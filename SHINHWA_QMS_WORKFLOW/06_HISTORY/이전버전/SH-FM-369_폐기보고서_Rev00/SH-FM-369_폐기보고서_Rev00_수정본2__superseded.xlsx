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폐기보고서" sheetId="1" state="visible" r:id="rId1"/>
    <sheet xmlns:r="http://schemas.openxmlformats.org/officeDocument/2006/relationships" name="작성예시" sheetId="2" state="visible" r:id="rId2"/>
    <sheet xmlns:r="http://schemas.openxmlformats.org/officeDocument/2006/relationships" name="폐기완료확인" sheetId="3" state="visible" r:id="rId3"/>
  </sheets>
  <definedNames>
    <definedName name="_xlnm.Print_Area" localSheetId="0">'폐기보고서'!$A$1:$L$38</definedName>
    <definedName name="_xlnm.Print_Area" localSheetId="1">'작성예시'!$A$1:$L$38</definedName>
    <definedName name="_xlnm.Print_Area" localSheetId="2">'폐기완료확인'!$A$1:$L$34</definedName>
  </definedNames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###"/>
    <numFmt numFmtId="166" formatCode="#,##0;[RED]\(#,##0\);\–"/>
    <numFmt numFmtId="167" formatCode="yyyy\-mm\-dd\ hh:mm"/>
  </numFmts>
  <fonts count="41">
    <font>
      <name val="Arial"/>
      <family val="2"/>
      <sz val="10"/>
    </font>
    <font>
      <name val="Arial"/>
      <sz val="10"/>
    </font>
    <font>
      <name val="Arial"/>
      <sz val="10"/>
    </font>
    <font>
      <name val="Arial"/>
      <sz val="10"/>
    </font>
    <font>
      <name val="Noto Sans CJK SC"/>
      <family val="2"/>
      <b val="1"/>
      <color rgb="FFFFFFFF"/>
      <sz val="22"/>
    </font>
    <font>
      <name val="Noto Sans CJK SC"/>
      <family val="2"/>
      <b val="1"/>
      <color rgb="FF233546"/>
      <sz val="10"/>
    </font>
    <font>
      <name val="Noto Sans CJK SC"/>
      <family val="2"/>
      <b val="1"/>
      <color rgb="FFFFFFFF"/>
      <sz val="10"/>
    </font>
    <font>
      <name val="맑은 고딕"/>
      <color rgb="FF233546"/>
      <sz val="10"/>
    </font>
    <font>
      <name val="Noto Sans CJK SC"/>
      <family val="2"/>
      <b val="1"/>
      <color rgb="FF233546"/>
      <sz val="9"/>
    </font>
    <font>
      <name val="맑은 고딕"/>
      <b val="1"/>
      <color rgb="FF233546"/>
      <sz val="9"/>
    </font>
    <font>
      <name val="Noto Sans CJK SC"/>
      <family val="2"/>
      <b val="1"/>
      <color rgb="FF233546"/>
      <sz val="9"/>
    </font>
    <font>
      <name val="Noto Sans CJK SC"/>
      <family val="2"/>
      <b val="1"/>
      <color rgb="FF000000"/>
      <sz val="10"/>
    </font>
    <font>
      <name val="맑은 고딕"/>
      <b val="1"/>
      <color rgb="FF000000"/>
      <sz val="10"/>
    </font>
    <font>
      <name val="Noto Sans CJK SC"/>
      <family val="2"/>
      <b val="1"/>
      <color rgb="FF000000"/>
      <sz val="10"/>
    </font>
    <font>
      <name val="맑은 고딕"/>
      <b val="1"/>
      <color rgb="FF233546"/>
      <sz val="10"/>
    </font>
    <font>
      <name val="Noto Sans CJK SC"/>
      <family val="2"/>
      <b val="1"/>
      <color rgb="FF233546"/>
      <sz val="11"/>
    </font>
    <font>
      <name val="맑은 고딕"/>
      <b val="1"/>
      <color rgb="FF17324C"/>
      <sz val="11"/>
    </font>
    <font>
      <name val="Noto Sans CJK SC"/>
      <family val="2"/>
      <color rgb="FF233546"/>
      <sz val="10"/>
    </font>
    <font>
      <name val="Noto Sans CJK SC"/>
      <family val="2"/>
      <b val="1"/>
      <color rgb="FF233546"/>
      <sz val="10"/>
    </font>
    <font>
      <name val="Noto Sans CJK SC"/>
      <family val="2"/>
      <b val="1"/>
      <color rgb="FF233546"/>
      <sz val="8"/>
    </font>
    <font>
      <name val="맑은 고딕"/>
      <color rgb="FF233546"/>
      <sz val="8"/>
    </font>
    <font>
      <name val="Noto Sans CJK SC"/>
      <family val="2"/>
      <color rgb="FF233546"/>
      <sz val="8"/>
    </font>
    <font>
      <name val="Noto Sans CJK SC"/>
      <family val="2"/>
      <color rgb="FF000000"/>
      <sz val="10"/>
    </font>
    <font>
      <name val="맑은 고딕"/>
      <color rgb="FF000000"/>
      <sz val="10"/>
    </font>
    <font>
      <name val="Noto Sans CJK SC"/>
      <family val="2"/>
      <color rgb="FF000000"/>
      <sz val="10"/>
    </font>
    <font>
      <name val="맑은 고딕"/>
      <b val="1"/>
      <color rgb="FFC00000"/>
      <sz val="9"/>
    </font>
    <font>
      <name val="Noto Sans CJK SC"/>
      <family val="2"/>
      <b val="1"/>
      <color rgb="FFC00000"/>
      <sz val="9"/>
    </font>
    <font>
      <name val="Noto Sans CJK SC"/>
      <family val="2"/>
      <color rgb="FF000000"/>
      <sz val="9"/>
    </font>
    <font>
      <name val="Noto Sans CJK SC"/>
      <family val="2"/>
      <b val="1"/>
      <color rgb="FFFFFFFF"/>
      <sz val="18"/>
    </font>
    <font>
      <name val="맑은 고딕"/>
      <color rgb="FF233546"/>
      <sz val="11"/>
    </font>
    <font>
      <name val="맑은 고딕"/>
      <b val="1"/>
      <color rgb="FF233546"/>
      <sz val="11"/>
    </font>
    <font>
      <name val="Noto Sans CJK SC"/>
      <family val="2"/>
      <b val="1"/>
      <color rgb="FF233546"/>
      <sz val="11"/>
    </font>
    <font>
      <name val="맑은 고딕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b val="1"/>
      <color rgb="FF17324C"/>
      <sz val="12"/>
    </font>
    <font>
      <name val="Noto Sans CJK SC"/>
      <family val="2"/>
      <color rgb="FF285673"/>
      <sz val="10"/>
    </font>
    <font>
      <name val="맑은 고딕"/>
      <color rgb="FF285673"/>
      <sz val="10"/>
    </font>
    <font>
      <name val="Noto Sans CJK SC"/>
      <family val="2"/>
      <color rgb="FF285673"/>
      <sz val="10"/>
    </font>
    <font>
      <name val="Noto Sans CJK SC"/>
      <family val="2"/>
      <b val="1"/>
      <color rgb="FF285673"/>
      <sz val="10"/>
    </font>
    <font>
      <name val="Noto Sans CJK SC"/>
      <family val="2"/>
      <color rgb="FF233546"/>
      <sz val="9"/>
    </font>
    <font>
      <sz val="9"/>
    </font>
  </fonts>
  <fills count="18">
    <fill>
      <patternFill/>
    </fill>
    <fill>
      <patternFill patternType="gray125"/>
    </fill>
    <fill>
      <patternFill patternType="solid">
        <fgColor rgb="FF17324C"/>
      </patternFill>
    </fill>
    <fill>
      <patternFill patternType="solid">
        <fgColor rgb="FFE8EEF3"/>
      </patternFill>
    </fill>
    <fill>
      <patternFill patternType="solid">
        <fgColor rgb="FFFFF2CC"/>
      </patternFill>
    </fill>
    <fill>
      <patternFill patternType="solid">
        <fgColor rgb="FF285673"/>
      </patternFill>
    </fill>
    <fill>
      <patternFill patternType="solid">
        <fgColor rgb="FFDFE9F2"/>
      </patternFill>
    </fill>
    <fill>
      <patternFill patternType="solid">
        <fgColor rgb="FFFAFCFE"/>
      </patternFill>
    </fill>
    <fill>
      <patternFill patternType="solid">
        <fgColor rgb="FFE9F0F6"/>
      </patternFill>
    </fill>
    <fill>
      <patternFill patternType="solid">
        <fgColor rgb="FFE7E6E6"/>
      </patternFill>
    </fill>
    <fill>
      <patternFill patternType="solid">
        <fgColor rgb="FFFBFCFD"/>
      </patternFill>
    </fill>
    <fill>
      <patternFill patternType="solid">
        <fgColor rgb="FFF7FAFD"/>
      </patternFill>
    </fill>
    <fill>
      <patternFill patternType="solid">
        <fgColor rgb="FFF2F7FB"/>
      </patternFill>
    </fill>
    <fill>
      <patternFill patternType="solid">
        <fgColor rgb="FFF0F4F8"/>
      </patternFill>
    </fill>
    <fill>
      <patternFill patternType="solid">
        <fgColor rgb="FFD8E5EF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ECF2F7"/>
      </patternFill>
    </fill>
  </fills>
  <borders count="1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rgb="FFB2C2CE"/>
      </left>
      <right style="thin">
        <color rgb="FFB2C2CE"/>
      </right>
      <top style="thin">
        <color rgb="FFB2C2CE"/>
      </top>
      <bottom style="thin">
        <color rgb="FFB2C2CE"/>
      </bottom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  <border>
      <left/>
      <right/>
      <top style="thin">
        <color rgb="FFB2C2CE"/>
      </top>
      <bottom/>
      <diagonal/>
    </border>
    <border>
      <left/>
      <right style="thin">
        <color rgb="FFB2C2CE"/>
      </right>
      <top style="thin">
        <color rgb="FFB2C2CE"/>
      </top>
      <bottom/>
      <diagonal/>
    </border>
    <border>
      <left/>
      <right style="thin">
        <color rgb="FFB2C2CE"/>
      </right>
      <top style="thin">
        <color rgb="FFB2C2CE"/>
      </top>
      <bottom style="thin">
        <color rgb="FFB2C2CE"/>
      </bottom>
      <diagonal/>
    </border>
    <border>
      <left style="thin">
        <color rgb="FFB2C2CE"/>
      </left>
      <right/>
      <top/>
      <bottom/>
      <diagonal/>
    </border>
    <border>
      <left/>
      <right style="thin">
        <color rgb="FFB2C2CE"/>
      </right>
      <top/>
      <bottom/>
      <diagonal/>
    </border>
    <border>
      <left style="thin">
        <color rgb="FFB2C2CE"/>
      </left>
      <right/>
      <top/>
      <bottom style="thin">
        <color rgb="FFB2C2CE"/>
      </bottom>
      <diagonal/>
    </border>
    <border>
      <left/>
      <right/>
      <top/>
      <bottom style="thin">
        <color rgb="FFB2C2CE"/>
      </bottom>
      <diagonal/>
    </border>
    <border>
      <left/>
      <right style="thin">
        <color rgb="FFB2C2CE"/>
      </right>
      <top/>
      <bottom style="thin">
        <color rgb="FFB2C2CE"/>
      </bottom>
      <diagonal/>
    </border>
    <border>
      <left/>
      <right/>
      <top style="thin">
        <color rgb="FFB2C2CE"/>
      </top>
      <bottom style="thin">
        <color rgb="FFB2C2C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/>
    </xf>
    <xf numFmtId="0" fontId="8" fillId="3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164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left" vertical="center" wrapText="1"/>
    </xf>
    <xf numFmtId="0" fontId="14" fillId="6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 wrapText="1"/>
    </xf>
    <xf numFmtId="165" fontId="7" fillId="4" borderId="5" applyAlignment="1" pivotButton="0" quotePrefix="0" xfId="0">
      <alignment horizontal="center" vertical="center" wrapText="1"/>
    </xf>
    <xf numFmtId="3" fontId="7" fillId="4" borderId="5" applyAlignment="1" pivotButton="0" quotePrefix="0" xfId="0">
      <alignment horizontal="center" vertical="center" wrapText="1"/>
    </xf>
    <xf numFmtId="166" fontId="7" fillId="8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166" fontId="16" fillId="8" borderId="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center" vertical="center" wrapText="1"/>
    </xf>
    <xf numFmtId="167" fontId="7" fillId="4" borderId="4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164" fontId="7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22" fillId="12" borderId="4" applyAlignment="1" pivotButton="0" quotePrefix="0" xfId="0">
      <alignment horizontal="center" vertical="center" wrapText="1"/>
    </xf>
    <xf numFmtId="0" fontId="23" fillId="12" borderId="4" applyAlignment="1" pivotButton="0" quotePrefix="0" xfId="0">
      <alignment horizontal="center" vertical="center" wrapText="1"/>
    </xf>
    <xf numFmtId="0" fontId="23" fillId="12" borderId="5" applyAlignment="1" pivotButton="0" quotePrefix="0" xfId="0">
      <alignment horizontal="left" vertical="center" wrapText="1"/>
    </xf>
    <xf numFmtId="0" fontId="7" fillId="12" borderId="5" applyAlignment="1" pivotButton="0" quotePrefix="0" xfId="0">
      <alignment horizontal="center" vertical="center" wrapText="1"/>
    </xf>
    <xf numFmtId="165" fontId="7" fillId="12" borderId="5" applyAlignment="1" pivotButton="0" quotePrefix="0" xfId="0">
      <alignment horizontal="center" vertical="center" wrapText="1"/>
    </xf>
    <xf numFmtId="3" fontId="7" fillId="12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 wrapText="1"/>
    </xf>
    <xf numFmtId="167" fontId="7" fillId="12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2" borderId="5" applyAlignment="1" pivotButton="0" quotePrefix="0" xfId="0">
      <alignment horizontal="center" vertical="center" wrapText="1"/>
    </xf>
    <xf numFmtId="0" fontId="15" fillId="3" borderId="5" applyAlignment="1" pivotButton="0" quotePrefix="0" xfId="0">
      <alignment horizontal="center" vertical="center" wrapText="1"/>
    </xf>
    <xf numFmtId="0" fontId="29" fillId="13" borderId="5" applyAlignment="1" pivotButton="0" quotePrefix="0" xfId="0">
      <alignment horizontal="general" vertical="center" wrapText="1"/>
    </xf>
    <xf numFmtId="0" fontId="30" fillId="3" borderId="5" applyAlignment="1" pivotButton="0" quotePrefix="0" xfId="0">
      <alignment horizontal="center" vertical="center" wrapText="1"/>
    </xf>
    <xf numFmtId="164" fontId="29" fillId="4" borderId="5" applyAlignment="1" pivotButton="0" quotePrefix="0" xfId="0">
      <alignment horizontal="general" vertical="center" wrapText="1"/>
    </xf>
    <xf numFmtId="0" fontId="29" fillId="4" borderId="5" applyAlignment="1" pivotButton="0" quotePrefix="0" xfId="0">
      <alignment horizontal="general" vertical="center" wrapText="1"/>
    </xf>
    <xf numFmtId="0" fontId="32" fillId="5" borderId="5" applyAlignment="1" pivotButton="0" quotePrefix="0" xfId="0">
      <alignment horizontal="general" vertical="center" wrapText="1"/>
    </xf>
    <xf numFmtId="0" fontId="14" fillId="14" borderId="5" applyAlignment="1" pivotButton="0" quotePrefix="0" xfId="0">
      <alignment horizontal="center" vertical="center" wrapText="1"/>
    </xf>
    <xf numFmtId="0" fontId="5" fillId="14" borderId="5" applyAlignment="1" pivotButton="0" quotePrefix="0" xfId="0">
      <alignment horizontal="center" vertical="center" wrapText="1"/>
    </xf>
    <xf numFmtId="0" fontId="7" fillId="15" borderId="5" applyAlignment="1" pivotButton="0" quotePrefix="0" xfId="0">
      <alignment horizontal="general" vertical="center" wrapText="1"/>
    </xf>
    <xf numFmtId="165" fontId="7" fillId="15" borderId="5" applyAlignment="1" pivotButton="0" quotePrefix="0" xfId="0">
      <alignment horizontal="general" vertical="center" wrapText="1"/>
    </xf>
    <xf numFmtId="165" fontId="7" fillId="4" borderId="5" applyAlignment="1" pivotButton="0" quotePrefix="0" xfId="0">
      <alignment horizontal="general" vertical="center" wrapText="1"/>
    </xf>
    <xf numFmtId="0" fontId="7" fillId="4" borderId="5" applyAlignment="1" pivotButton="0" quotePrefix="0" xfId="0">
      <alignment horizontal="general" vertical="center" wrapText="1"/>
    </xf>
    <xf numFmtId="164" fontId="7" fillId="4" borderId="5" applyAlignment="1" pivotButton="0" quotePrefix="0" xfId="0">
      <alignment horizontal="general" vertical="center" wrapText="1"/>
    </xf>
    <xf numFmtId="0" fontId="7" fillId="16" borderId="5" applyAlignment="1" pivotButton="0" quotePrefix="0" xfId="0">
      <alignment horizontal="general" vertical="center" wrapText="1"/>
    </xf>
    <xf numFmtId="165" fontId="7" fillId="16" borderId="5" applyAlignment="1" pivotButton="0" quotePrefix="0" xfId="0">
      <alignment horizontal="general" vertical="center" wrapText="1"/>
    </xf>
    <xf numFmtId="0" fontId="5" fillId="3" borderId="5" applyAlignment="1" pivotButton="0" quotePrefix="0" xfId="0">
      <alignment horizontal="center" vertical="center" wrapText="1"/>
    </xf>
    <xf numFmtId="0" fontId="14" fillId="8" borderId="5" applyAlignment="1" pivotButton="0" quotePrefix="0" xfId="0">
      <alignment horizontal="center" vertical="center" wrapText="1"/>
    </xf>
    <xf numFmtId="0" fontId="34" fillId="8" borderId="5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general" vertical="center" wrapText="1"/>
    </xf>
    <xf numFmtId="0" fontId="35" fillId="0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9" fillId="17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7" fillId="4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/>
    </xf>
    <xf numFmtId="0" fontId="8" fillId="3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0" fillId="0" borderId="9" pivotButton="0" quotePrefix="0" xfId="0"/>
    <xf numFmtId="164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left" vertical="center" wrapText="1"/>
    </xf>
    <xf numFmtId="0" fontId="14" fillId="6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 wrapText="1"/>
    </xf>
    <xf numFmtId="165" fontId="7" fillId="4" borderId="5" applyAlignment="1" pivotButton="0" quotePrefix="0" xfId="0">
      <alignment horizontal="center" vertical="center" wrapText="1"/>
    </xf>
    <xf numFmtId="3" fontId="7" fillId="4" borderId="5" applyAlignment="1" pivotButton="0" quotePrefix="0" xfId="0">
      <alignment horizontal="center" vertical="center" wrapText="1"/>
    </xf>
    <xf numFmtId="166" fontId="7" fillId="8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166" fontId="16" fillId="8" borderId="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center" vertical="center" wrapText="1"/>
    </xf>
    <xf numFmtId="167" fontId="7" fillId="4" borderId="4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164" fontId="7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22" fillId="12" borderId="4" applyAlignment="1" pivotButton="0" quotePrefix="0" xfId="0">
      <alignment horizontal="center" vertical="center" wrapText="1"/>
    </xf>
    <xf numFmtId="0" fontId="23" fillId="12" borderId="4" applyAlignment="1" pivotButton="0" quotePrefix="0" xfId="0">
      <alignment horizontal="center" vertical="center" wrapText="1"/>
    </xf>
    <xf numFmtId="0" fontId="23" fillId="12" borderId="5" applyAlignment="1" pivotButton="0" quotePrefix="0" xfId="0">
      <alignment horizontal="left" vertical="center" wrapText="1"/>
    </xf>
    <xf numFmtId="0" fontId="7" fillId="12" borderId="5" applyAlignment="1" pivotButton="0" quotePrefix="0" xfId="0">
      <alignment horizontal="center" vertical="center" wrapText="1"/>
    </xf>
    <xf numFmtId="165" fontId="7" fillId="12" borderId="5" applyAlignment="1" pivotButton="0" quotePrefix="0" xfId="0">
      <alignment horizontal="center" vertical="center" wrapText="1"/>
    </xf>
    <xf numFmtId="3" fontId="7" fillId="12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 wrapText="1"/>
    </xf>
    <xf numFmtId="167" fontId="7" fillId="12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2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15" fillId="3" borderId="5" applyAlignment="1" pivotButton="0" quotePrefix="0" xfId="0">
      <alignment horizontal="center" vertical="center" wrapText="1"/>
    </xf>
    <xf numFmtId="0" fontId="0" fillId="0" borderId="18" pivotButton="0" quotePrefix="0" xfId="0"/>
    <xf numFmtId="0" fontId="29" fillId="13" borderId="5" applyAlignment="1" pivotButton="0" quotePrefix="0" xfId="0">
      <alignment horizontal="general" vertical="center" wrapText="1"/>
    </xf>
    <xf numFmtId="0" fontId="30" fillId="3" borderId="5" applyAlignment="1" pivotButton="0" quotePrefix="0" xfId="0">
      <alignment horizontal="center" vertical="center" wrapText="1"/>
    </xf>
    <xf numFmtId="164" fontId="29" fillId="4" borderId="5" applyAlignment="1" pivotButton="0" quotePrefix="0" xfId="0">
      <alignment horizontal="general" vertical="center" wrapText="1"/>
    </xf>
    <xf numFmtId="0" fontId="29" fillId="4" borderId="5" applyAlignment="1" pivotButton="0" quotePrefix="0" xfId="0">
      <alignment horizontal="general" vertical="center" wrapText="1"/>
    </xf>
    <xf numFmtId="0" fontId="32" fillId="5" borderId="5" applyAlignment="1" pivotButton="0" quotePrefix="0" xfId="0">
      <alignment horizontal="general" vertical="center" wrapText="1"/>
    </xf>
    <xf numFmtId="0" fontId="14" fillId="14" borderId="5" applyAlignment="1" pivotButton="0" quotePrefix="0" xfId="0">
      <alignment horizontal="center" vertical="center" wrapText="1"/>
    </xf>
    <xf numFmtId="0" fontId="5" fillId="14" borderId="5" applyAlignment="1" pivotButton="0" quotePrefix="0" xfId="0">
      <alignment horizontal="center" vertical="center" wrapText="1"/>
    </xf>
    <xf numFmtId="0" fontId="7" fillId="15" borderId="5" applyAlignment="1" pivotButton="0" quotePrefix="0" xfId="0">
      <alignment horizontal="general" vertical="center" wrapText="1"/>
    </xf>
    <xf numFmtId="165" fontId="7" fillId="15" borderId="5" applyAlignment="1" pivotButton="0" quotePrefix="0" xfId="0">
      <alignment horizontal="general" vertical="center" wrapText="1"/>
    </xf>
    <xf numFmtId="165" fontId="7" fillId="4" borderId="5" applyAlignment="1" pivotButton="0" quotePrefix="0" xfId="0">
      <alignment horizontal="general" vertical="center" wrapText="1"/>
    </xf>
    <xf numFmtId="0" fontId="7" fillId="4" borderId="5" applyAlignment="1" pivotButton="0" quotePrefix="0" xfId="0">
      <alignment horizontal="general" vertical="center" wrapText="1"/>
    </xf>
    <xf numFmtId="164" fontId="7" fillId="4" borderId="5" applyAlignment="1" pivotButton="0" quotePrefix="0" xfId="0">
      <alignment horizontal="general" vertical="center" wrapText="1"/>
    </xf>
    <xf numFmtId="0" fontId="7" fillId="16" borderId="5" applyAlignment="1" pivotButton="0" quotePrefix="0" xfId="0">
      <alignment horizontal="general" vertical="center" wrapText="1"/>
    </xf>
    <xf numFmtId="165" fontId="7" fillId="16" borderId="5" applyAlignment="1" pivotButton="0" quotePrefix="0" xfId="0">
      <alignment horizontal="general" vertical="center" wrapText="1"/>
    </xf>
    <xf numFmtId="0" fontId="5" fillId="3" borderId="5" applyAlignment="1" pivotButton="0" quotePrefix="0" xfId="0">
      <alignment horizontal="center" vertical="center" wrapText="1"/>
    </xf>
    <xf numFmtId="0" fontId="14" fillId="8" borderId="5" applyAlignment="1" pivotButton="0" quotePrefix="0" xfId="0">
      <alignment horizontal="center" vertical="center" wrapText="1"/>
    </xf>
    <xf numFmtId="0" fontId="34" fillId="8" borderId="5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general" vertical="center" wrapText="1"/>
    </xf>
    <xf numFmtId="0" fontId="35" fillId="0" borderId="0" applyAlignment="1" pivotButton="0" quotePrefix="0" xfId="0">
      <alignment horizontal="general" vertical="center" wrapText="1"/>
    </xf>
    <xf numFmtId="0" fontId="36" fillId="0" borderId="0" applyAlignment="1" pivotButton="0" quotePrefix="0" xfId="0">
      <alignment horizontal="general" vertical="center" wrapText="1"/>
    </xf>
    <xf numFmtId="0" fontId="38" fillId="0" borderId="0" applyAlignment="1" pivotButton="0" quotePrefix="0" xfId="0">
      <alignment horizontal="general" vertical="center" wrapText="1"/>
    </xf>
    <xf numFmtId="0" fontId="39" fillId="17" borderId="0" applyAlignment="1" pivotButton="0" quotePrefix="0" xfId="0">
      <alignment horizontal="general" vertical="center" wrapText="1"/>
    </xf>
    <xf numFmtId="0" fontId="40" fillId="0" borderId="0" applyAlignment="1" pivotButton="0" quotePrefix="0" xfId="0">
      <alignment vertical="center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dxfs count="3">
    <dxf>
      <font>
        <b val="1"/>
        <color rgb="FFB91C1C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0F4F8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B2C2CE"/>
      <rgbColor rgb="FF808080"/>
      <rgbColor rgb="FFF7FAFD"/>
      <rgbColor rgb="FF993366"/>
      <rgbColor rgb="FFFEF3C7"/>
      <rgbColor rgb="FFDCFCE7"/>
      <rgbColor rgb="FF660066"/>
      <rgbColor rgb="FFFBFCFD"/>
      <rgbColor rgb="FF0066CC"/>
      <rgbColor rgb="FFD8E5EF"/>
      <rgbColor rgb="FF000080"/>
      <rgbColor rgb="FFFF00FF"/>
      <rgbColor rgb="FFF2F7FB"/>
      <rgbColor rgb="FF00FFFF"/>
      <rgbColor rgb="FF800080"/>
      <rgbColor rgb="FF800000"/>
      <rgbColor rgb="FF008080"/>
      <rgbColor rgb="FF0000FF"/>
      <rgbColor rgb="FF00CCFF"/>
      <rgbColor rgb="FFE9F0F6"/>
      <rgbColor rgb="FFDFE9F2"/>
      <rgbColor rgb="FFFFF2CC"/>
      <rgbColor rgb="FFE7E6E6"/>
      <rgbColor rgb="FFECF2F7"/>
      <rgbColor rgb="FFE8EEF3"/>
      <rgbColor rgb="FFFEE2E2"/>
      <rgbColor rgb="FF3366FF"/>
      <rgbColor rgb="FF33CCCC"/>
      <rgbColor rgb="FF99CC00"/>
      <rgbColor rgb="FFF7FAFC"/>
      <rgbColor rgb="FFFF9900"/>
      <rgbColor rgb="FFFF6600"/>
      <rgbColor rgb="FF666699"/>
      <rgbColor rgb="FFFAFCFE"/>
      <rgbColor rgb="FF17324C"/>
      <rgbColor rgb="FF339966"/>
      <rgbColor rgb="FF003300"/>
      <rgbColor rgb="FF333300"/>
      <rgbColor rgb="FFB91C1C"/>
      <rgbColor rgb="FF993366"/>
      <rgbColor rgb="FF285673"/>
      <rgbColor rgb="FF23354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selection activeCell="A1" sqref="A1"/>
    </sheetView>
  </sheetViews>
  <sheetFormatPr baseColWidth="8" defaultColWidth="8.6796875" defaultRowHeight="15"/>
  <cols>
    <col width="14" customWidth="1" style="79" min="1" max="1"/>
    <col width="12" customWidth="1" style="79" min="2" max="3"/>
    <col width="11" customWidth="1" style="79" min="4" max="4"/>
    <col width="14" customWidth="1" style="79" min="5" max="5"/>
    <col width="10" customWidth="1" style="79" min="6" max="6"/>
    <col width="8" customWidth="1" style="79" min="7" max="8"/>
    <col width="12" customWidth="1" style="79" min="9" max="9"/>
    <col width="14" customWidth="1" style="79" min="10" max="10"/>
    <col width="13" customWidth="1" style="79" min="11" max="12"/>
  </cols>
  <sheetData>
    <row r="1" ht="19.5" customHeight="1" s="80">
      <c r="A1" s="81" t="inlineStr">
        <is>
          <t>폐  기  보  고  서</t>
        </is>
      </c>
      <c r="B1" s="82" t="n"/>
      <c r="C1" s="82" t="n"/>
      <c r="D1" s="82" t="n"/>
      <c r="E1" s="82" t="n"/>
      <c r="F1" s="82" t="n"/>
      <c r="G1" s="82" t="n"/>
      <c r="H1" s="82" t="n"/>
      <c r="I1" s="83" t="inlineStr">
        <is>
          <t>결
재</t>
        </is>
      </c>
      <c r="J1" s="84" t="inlineStr">
        <is>
          <t>작  성</t>
        </is>
      </c>
      <c r="K1" s="84" t="inlineStr">
        <is>
          <t>검  토</t>
        </is>
      </c>
      <c r="L1" s="84" t="inlineStr">
        <is>
          <t>승  인</t>
        </is>
      </c>
    </row>
    <row r="2" ht="24" customHeight="1" s="80">
      <c r="A2" s="85" t="n"/>
      <c r="I2" s="86" t="n"/>
      <c r="J2" s="87" t="n"/>
      <c r="K2" s="87" t="n"/>
      <c r="L2" s="87" t="n"/>
    </row>
    <row r="3" ht="24" customHeight="1" s="80">
      <c r="A3" s="85" t="n"/>
      <c r="I3" s="86" t="n"/>
      <c r="J3" s="86" t="n"/>
      <c r="K3" s="86" t="n"/>
      <c r="L3" s="86" t="n"/>
    </row>
    <row r="4" ht="6" customHeight="1" s="80">
      <c r="A4" s="88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</row>
    <row r="5" ht="25.5" customHeight="1" s="80">
      <c r="A5" s="89" t="inlineStr">
        <is>
          <t>폐기번호</t>
        </is>
      </c>
      <c r="B5" s="90" t="n"/>
      <c r="C5" s="91" t="n"/>
      <c r="D5" s="89" t="inlineStr">
        <is>
          <t>작성일</t>
        </is>
      </c>
      <c r="E5" s="92" t="n"/>
      <c r="F5" s="91" t="n"/>
      <c r="G5" s="93" t="inlineStr">
        <is>
          <t>작성부서</t>
        </is>
      </c>
      <c r="H5" s="91" t="n"/>
      <c r="I5" s="90" t="n"/>
      <c r="J5" s="91" t="n"/>
      <c r="K5" s="89" t="inlineStr">
        <is>
          <t>작성자</t>
        </is>
      </c>
      <c r="L5" s="94" t="n"/>
    </row>
    <row r="6" ht="25.5" customHeight="1" s="80">
      <c r="A6" s="89" t="inlineStr">
        <is>
          <t>폐기 구분</t>
        </is>
      </c>
      <c r="B6" s="90" t="n"/>
      <c r="C6" s="91" t="n"/>
      <c r="D6" s="91" t="n"/>
      <c r="E6" s="89" t="inlineStr">
        <is>
          <t>발생 단계</t>
        </is>
      </c>
      <c r="F6" s="90" t="n"/>
      <c r="G6" s="91" t="n"/>
      <c r="H6" s="91" t="n"/>
      <c r="I6" s="95" t="inlineStr">
        <is>
          <t>NCR/CAPA
(8D) 번호</t>
        </is>
      </c>
      <c r="J6" s="90" t="n"/>
      <c r="K6" s="91" t="n"/>
      <c r="L6" s="91" t="n"/>
    </row>
    <row r="7" ht="25.5" customHeight="1" s="80">
      <c r="A7" s="96" t="inlineStr">
        <is>
          <t>고객사/
협력사</t>
        </is>
      </c>
      <c r="B7" s="90" t="n"/>
      <c r="C7" s="91" t="n"/>
      <c r="D7" s="91" t="n"/>
      <c r="E7" s="96" t="inlineStr">
        <is>
          <t>차종/프로젝트</t>
        </is>
      </c>
      <c r="F7" s="90" t="n"/>
      <c r="G7" s="91" t="n"/>
      <c r="H7" s="91" t="n"/>
      <c r="I7" s="89" t="inlineStr">
        <is>
          <t>발생일자</t>
        </is>
      </c>
      <c r="J7" s="92" t="n"/>
      <c r="K7" s="91" t="n"/>
      <c r="L7" s="91" t="n"/>
    </row>
    <row r="8" ht="22.5" customHeight="1" s="80">
      <c r="A8" s="97" t="inlineStr">
        <is>
          <t>1. 폐기 대상 내역</t>
        </is>
      </c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</row>
    <row r="9" ht="19.5" customHeight="1" s="80">
      <c r="A9" s="98" t="inlineStr">
        <is>
          <t>No.</t>
        </is>
      </c>
      <c r="B9" s="99" t="inlineStr">
        <is>
          <t>품 명</t>
        </is>
      </c>
      <c r="C9" s="100" t="n"/>
      <c r="D9" s="99" t="inlineStr">
        <is>
          <t>품 번</t>
        </is>
      </c>
      <c r="E9" s="98" t="inlineStr">
        <is>
          <t>LOT No.</t>
        </is>
      </c>
      <c r="F9" s="100" t="n"/>
      <c r="G9" s="99" t="inlineStr">
        <is>
          <t>수량</t>
        </is>
      </c>
      <c r="H9" s="99" t="inlineStr">
        <is>
          <t>단위</t>
        </is>
      </c>
      <c r="I9" s="101" t="inlineStr">
        <is>
          <t>단가(원)</t>
        </is>
      </c>
      <c r="J9" s="101" t="inlineStr">
        <is>
          <t>금액(원)</t>
        </is>
      </c>
      <c r="K9" s="99" t="inlineStr">
        <is>
          <t>보관 위치</t>
        </is>
      </c>
      <c r="L9" s="99" t="inlineStr">
        <is>
          <t>비 고</t>
        </is>
      </c>
    </row>
    <row r="10" ht="24.75" customHeight="1" s="80">
      <c r="A10" s="102" t="n">
        <v>1</v>
      </c>
      <c r="B10" s="103" t="n"/>
      <c r="C10" s="100" t="n"/>
      <c r="D10" s="104" t="n"/>
      <c r="E10" s="104" t="n"/>
      <c r="F10" s="100" t="n"/>
      <c r="G10" s="105" t="n"/>
      <c r="H10" s="104" t="n"/>
      <c r="I10" s="106" t="n"/>
      <c r="J10" s="107">
        <f>IF(OR(G10="",I10=""),"",G10*I10)</f>
        <v/>
      </c>
      <c r="K10" s="104" t="n"/>
      <c r="L10" s="104" t="n"/>
    </row>
    <row r="11" ht="24.75" customHeight="1" s="80">
      <c r="A11" s="108" t="n">
        <v>2</v>
      </c>
      <c r="B11" s="103" t="n"/>
      <c r="C11" s="100" t="n"/>
      <c r="D11" s="104" t="n"/>
      <c r="E11" s="104" t="n"/>
      <c r="F11" s="100" t="n"/>
      <c r="G11" s="105" t="n"/>
      <c r="H11" s="104" t="n"/>
      <c r="I11" s="106" t="n"/>
      <c r="J11" s="107">
        <f>IF(OR(G11="",I11=""),"",G11*I11)</f>
        <v/>
      </c>
      <c r="K11" s="104" t="n"/>
      <c r="L11" s="104" t="n"/>
    </row>
    <row r="12" ht="24.75" customHeight="1" s="80">
      <c r="A12" s="102" t="n">
        <v>3</v>
      </c>
      <c r="B12" s="103" t="n"/>
      <c r="C12" s="100" t="n"/>
      <c r="D12" s="104" t="n"/>
      <c r="E12" s="104" t="n"/>
      <c r="F12" s="100" t="n"/>
      <c r="G12" s="105" t="n"/>
      <c r="H12" s="104" t="n"/>
      <c r="I12" s="106" t="n"/>
      <c r="J12" s="107">
        <f>IF(OR(G12="",I12=""),"",G12*I12)</f>
        <v/>
      </c>
      <c r="K12" s="104" t="n"/>
      <c r="L12" s="104" t="n"/>
    </row>
    <row r="13" ht="24.75" customHeight="1" s="80">
      <c r="A13" s="108" t="n">
        <v>4</v>
      </c>
      <c r="B13" s="103" t="n"/>
      <c r="C13" s="100" t="n"/>
      <c r="D13" s="104" t="n"/>
      <c r="E13" s="104" t="n"/>
      <c r="F13" s="100" t="n"/>
      <c r="G13" s="105" t="n"/>
      <c r="H13" s="104" t="n"/>
      <c r="I13" s="106" t="n"/>
      <c r="J13" s="107">
        <f>IF(OR(G13="",I13=""),"",G13*I13)</f>
        <v/>
      </c>
      <c r="K13" s="104" t="n"/>
      <c r="L13" s="104" t="n"/>
    </row>
    <row r="14" ht="24.75" customHeight="1" s="80">
      <c r="A14" s="102" t="n">
        <v>5</v>
      </c>
      <c r="B14" s="103" t="n"/>
      <c r="C14" s="100" t="n"/>
      <c r="D14" s="104" t="n"/>
      <c r="E14" s="104" t="n"/>
      <c r="F14" s="100" t="n"/>
      <c r="G14" s="105" t="n"/>
      <c r="H14" s="104" t="n"/>
      <c r="I14" s="106" t="n"/>
      <c r="J14" s="107">
        <f>IF(OR(G14="",I14=""),"",G14*I14)</f>
        <v/>
      </c>
      <c r="K14" s="104" t="n"/>
      <c r="L14" s="104" t="n"/>
    </row>
    <row r="15" ht="24.75" customHeight="1" s="80">
      <c r="A15" s="108" t="n">
        <v>6</v>
      </c>
      <c r="B15" s="103" t="n"/>
      <c r="C15" s="100" t="n"/>
      <c r="D15" s="104" t="n"/>
      <c r="E15" s="104" t="n"/>
      <c r="F15" s="100" t="n"/>
      <c r="G15" s="105" t="n"/>
      <c r="H15" s="104" t="n"/>
      <c r="I15" s="106" t="n"/>
      <c r="J15" s="107">
        <f>IF(OR(G15="",I15=""),"",G15*I15)</f>
        <v/>
      </c>
      <c r="K15" s="104" t="n"/>
      <c r="L15" s="104" t="n"/>
    </row>
    <row r="16" ht="24.75" customHeight="1" s="80">
      <c r="A16" s="102" t="n">
        <v>7</v>
      </c>
      <c r="B16" s="103" t="n"/>
      <c r="C16" s="100" t="n"/>
      <c r="D16" s="104" t="n"/>
      <c r="E16" s="104" t="n"/>
      <c r="F16" s="100" t="n"/>
      <c r="G16" s="105" t="n"/>
      <c r="H16" s="104" t="n"/>
      <c r="I16" s="106" t="n"/>
      <c r="J16" s="107">
        <f>IF(OR(G16="",I16=""),"",G16*I16)</f>
        <v/>
      </c>
      <c r="K16" s="104" t="n"/>
      <c r="L16" s="104" t="n"/>
    </row>
    <row r="17" ht="24.75" customHeight="1" s="80">
      <c r="A17" s="108" t="n">
        <v>8</v>
      </c>
      <c r="B17" s="103" t="n"/>
      <c r="C17" s="100" t="n"/>
      <c r="D17" s="104" t="n"/>
      <c r="E17" s="104" t="n"/>
      <c r="F17" s="100" t="n"/>
      <c r="G17" s="105" t="n"/>
      <c r="H17" s="104" t="n"/>
      <c r="I17" s="106" t="n"/>
      <c r="J17" s="107">
        <f>IF(OR(G17="",I17=""),"",G17*I17)</f>
        <v/>
      </c>
      <c r="K17" s="104" t="n"/>
      <c r="L17" s="104" t="n"/>
    </row>
    <row r="18" ht="24.75" customHeight="1" s="80">
      <c r="A18" s="102" t="n">
        <v>9</v>
      </c>
      <c r="B18" s="103" t="n"/>
      <c r="C18" s="100" t="n"/>
      <c r="D18" s="104" t="n"/>
      <c r="E18" s="104" t="n"/>
      <c r="F18" s="100" t="n"/>
      <c r="G18" s="105" t="n"/>
      <c r="H18" s="104" t="n"/>
      <c r="I18" s="106" t="n"/>
      <c r="J18" s="107">
        <f>IF(OR(G18="",I18=""),"",G18*I18)</f>
        <v/>
      </c>
      <c r="K18" s="104" t="n"/>
      <c r="L18" s="104" t="n"/>
    </row>
    <row r="19" ht="24.75" customHeight="1" s="80">
      <c r="A19" s="108" t="n">
        <v>10</v>
      </c>
      <c r="B19" s="103" t="n"/>
      <c r="C19" s="100" t="n"/>
      <c r="D19" s="104" t="n"/>
      <c r="E19" s="104" t="n"/>
      <c r="F19" s="100" t="n"/>
      <c r="G19" s="105" t="n"/>
      <c r="H19" s="104" t="n"/>
      <c r="I19" s="106" t="n"/>
      <c r="J19" s="107">
        <f>IF(OR(G19="",I19=""),"",G19*I19)</f>
        <v/>
      </c>
      <c r="K19" s="104" t="n"/>
      <c r="L19" s="104" t="n"/>
    </row>
    <row r="20" ht="19.5" customHeight="1" s="80">
      <c r="A20" s="109" t="inlineStr">
        <is>
          <t>합  계  (폐기금액 · 품목별 단위 구분)</t>
        </is>
      </c>
      <c r="B20" s="91" t="n"/>
      <c r="C20" s="91" t="n"/>
      <c r="D20" s="91" t="n"/>
      <c r="E20" s="91" t="n"/>
      <c r="F20" s="91" t="n"/>
      <c r="G20" s="91" t="n"/>
      <c r="H20" s="91" t="n"/>
      <c r="I20" s="91" t="n"/>
      <c r="J20" s="110">
        <f>SUM(J10:J19)</f>
        <v/>
      </c>
      <c r="K20" s="111" t="inlineStr">
        <is>
          <t>※ 금액은 자동 계산</t>
        </is>
      </c>
      <c r="L20" s="91" t="n"/>
    </row>
    <row r="21" ht="22.5" customHeight="1" s="80">
      <c r="A21" s="97" t="inlineStr">
        <is>
          <t>2. 폐기 사유 및 원인</t>
        </is>
      </c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</row>
    <row r="22" ht="31.5" customHeight="1" s="80">
      <c r="A22" s="112" t="inlineStr">
        <is>
          <t>폐기 사유
(품번별 기재)</t>
        </is>
      </c>
      <c r="B22" s="113" t="n"/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</row>
    <row r="23" ht="31.5" customHeight="1" s="80">
      <c r="A23" s="112" t="inlineStr">
        <is>
          <t>발생 원인
(증빙 연계)</t>
        </is>
      </c>
      <c r="B23" s="113" t="n"/>
      <c r="C23" s="91" t="n"/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</row>
    <row r="24" ht="31.5" customHeight="1" s="80">
      <c r="A24" s="114" t="inlineStr">
        <is>
          <t>재작업·선별
특채 검토/판정</t>
        </is>
      </c>
      <c r="B24" s="113" t="n"/>
      <c r="C24" s="91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</row>
    <row r="25" ht="22.5" customHeight="1" s="80">
      <c r="A25" s="97" t="inlineStr">
        <is>
          <t>3. 폐기 처리 방법</t>
        </is>
      </c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</row>
    <row r="26" ht="25.5" customHeight="1" s="80">
      <c r="A26" s="112" t="inlineStr">
        <is>
          <t>처리 방법</t>
        </is>
      </c>
      <c r="B26" s="90" t="n"/>
      <c r="C26" s="91" t="n"/>
      <c r="D26" s="91" t="n"/>
      <c r="E26" s="112" t="inlineStr">
        <is>
          <t>처리 업체</t>
        </is>
      </c>
      <c r="F26" s="90" t="n"/>
      <c r="G26" s="91" t="n"/>
      <c r="H26" s="91" t="n"/>
      <c r="I26" s="112" t="inlineStr">
        <is>
          <t>폐기물 구분</t>
        </is>
      </c>
      <c r="J26" s="90" t="n"/>
      <c r="K26" s="91" t="n"/>
      <c r="L26" s="91" t="n"/>
    </row>
    <row r="27" ht="25.5" customHeight="1" s="80">
      <c r="A27" s="112" t="inlineStr">
        <is>
          <t>폐기 예정일</t>
        </is>
      </c>
      <c r="B27" s="92" t="n"/>
      <c r="C27" s="91" t="n"/>
      <c r="D27" s="91" t="n"/>
      <c r="E27" s="112" t="inlineStr">
        <is>
          <t>폐기 일시</t>
        </is>
      </c>
      <c r="F27" s="115" t="n"/>
      <c r="G27" s="91" t="n"/>
      <c r="H27" s="91" t="n"/>
      <c r="I27" s="112" t="inlineStr">
        <is>
          <t>폐기 장소</t>
        </is>
      </c>
      <c r="J27" s="90" t="n"/>
      <c r="K27" s="91" t="n"/>
      <c r="L27" s="91" t="n"/>
    </row>
    <row r="28" ht="25.5" customHeight="1" s="80">
      <c r="A28" s="112" t="inlineStr">
        <is>
          <t>올바로
인계 여부</t>
        </is>
      </c>
      <c r="B28" s="90" t="n"/>
      <c r="C28" s="91" t="n"/>
      <c r="D28" s="91" t="n"/>
      <c r="E28" s="116" t="inlineStr">
        <is>
          <t>인계서/
계량표 번호</t>
        </is>
      </c>
      <c r="F28" s="90" t="n"/>
      <c r="G28" s="91" t="n"/>
      <c r="H28" s="91" t="n"/>
      <c r="I28" s="112" t="inlineStr">
        <is>
          <t>원가 손실 구분</t>
        </is>
      </c>
      <c r="J28" s="90" t="n"/>
      <c r="K28" s="91" t="n"/>
      <c r="L28" s="91" t="n"/>
    </row>
    <row r="29" ht="22.5" customHeight="1" s="80">
      <c r="A29" s="97" t="inlineStr">
        <is>
          <t>4. 시정·재발방지 및 기록 연계</t>
        </is>
      </c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</row>
    <row r="30" ht="31.5" customHeight="1" s="80">
      <c r="A30" s="112" t="inlineStr">
        <is>
          <t>시정·재발방지
연계증빙</t>
        </is>
      </c>
      <c r="B30" s="113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</row>
    <row r="31" ht="25.5" customHeight="1" s="80">
      <c r="A31" s="117" t="inlineStr">
        <is>
          <t>LOT 이력
반영 여부</t>
        </is>
      </c>
      <c r="B31" s="90" t="n"/>
      <c r="C31" s="91" t="n"/>
      <c r="D31" s="91" t="n"/>
      <c r="E31" s="112" t="inlineStr">
        <is>
          <t>재고 차감
처리 여부</t>
        </is>
      </c>
      <c r="F31" s="90" t="n"/>
      <c r="G31" s="91" t="n"/>
      <c r="H31" s="91" t="n"/>
      <c r="I31" s="112" t="inlineStr">
        <is>
          <t>고객 통보
처리 여부</t>
        </is>
      </c>
      <c r="J31" s="90" t="n"/>
      <c r="K31" s="91" t="n"/>
      <c r="L31" s="91" t="n"/>
    </row>
    <row r="32" ht="22.5" customHeight="1" s="80">
      <c r="A32" s="97" t="inlineStr">
        <is>
          <t>5. 폐기 확인 (입회 서명)</t>
        </is>
      </c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</row>
    <row r="33" ht="31.5" customHeight="1" s="80">
      <c r="A33" s="118" t="inlineStr">
        <is>
          <t>입회·확인
(성명·서명·일자)</t>
        </is>
      </c>
      <c r="B33" s="119" t="inlineStr">
        <is>
          <t>품질 입회자</t>
        </is>
      </c>
      <c r="C33" s="91" t="n"/>
      <c r="D33" s="91" t="n"/>
      <c r="E33" s="119" t="inlineStr">
        <is>
          <t>현업 부서 입회자</t>
        </is>
      </c>
      <c r="F33" s="91" t="n"/>
      <c r="G33" s="91" t="n"/>
      <c r="H33" s="119" t="inlineStr">
        <is>
          <t>실제 폐기자</t>
        </is>
      </c>
      <c r="I33" s="91" t="n"/>
      <c r="J33" s="91" t="n"/>
      <c r="K33" s="119" t="inlineStr">
        <is>
          <t>외부업체(해당 시)</t>
        </is>
      </c>
      <c r="L33" s="91" t="n"/>
    </row>
    <row r="34" ht="30" customHeight="1" s="80">
      <c r="A34" s="86" t="n"/>
      <c r="B34" s="90" t="n"/>
      <c r="C34" s="91" t="n"/>
      <c r="D34" s="91" t="n"/>
      <c r="E34" s="90" t="n"/>
      <c r="F34" s="91" t="n"/>
      <c r="G34" s="91" t="n"/>
      <c r="H34" s="90" t="n"/>
      <c r="I34" s="91" t="n"/>
      <c r="J34" s="91" t="n"/>
      <c r="K34" s="90" t="n"/>
      <c r="L34" s="91" t="n"/>
    </row>
    <row r="35" ht="22.5" customHeight="1" s="80">
      <c r="A35" s="97" t="inlineStr">
        <is>
          <t>6. 증빙 사진 (폐기 전 / 폐기 후)</t>
        </is>
      </c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</row>
    <row r="36" ht="21.75" customHeight="1" s="80">
      <c r="A36" s="119" t="inlineStr">
        <is>
          <t>폐기 전</t>
        </is>
      </c>
      <c r="B36" s="91" t="n"/>
      <c r="C36" s="91" t="n"/>
      <c r="D36" s="91" t="n"/>
      <c r="E36" s="91" t="n"/>
      <c r="F36" s="91" t="n"/>
      <c r="G36" s="119" t="inlineStr">
        <is>
          <t>폐기 후</t>
        </is>
      </c>
      <c r="H36" s="91" t="n"/>
      <c r="I36" s="91" t="n"/>
      <c r="J36" s="91" t="n"/>
      <c r="K36" s="91" t="n"/>
      <c r="L36" s="91" t="n"/>
    </row>
    <row r="37" ht="103.5" customHeight="1" s="80">
      <c r="A37" s="120" t="n"/>
      <c r="B37" s="91" t="n"/>
      <c r="C37" s="91" t="n"/>
      <c r="D37" s="91" t="n"/>
      <c r="E37" s="91" t="n"/>
      <c r="F37" s="91" t="n"/>
      <c r="G37" s="120" t="n"/>
      <c r="H37" s="91" t="n"/>
      <c r="I37" s="91" t="n"/>
      <c r="J37" s="91" t="n"/>
      <c r="K37" s="91" t="n"/>
      <c r="L37" s="91" t="n"/>
    </row>
    <row r="38" ht="19.5" customHeight="1" s="80">
      <c r="A38" s="121" t="inlineStr">
        <is>
          <t>양식번호: SH-FM-369 | 문서명 폐기보고서 | Rev.00 | 문서상태: 개정초안(미승인) | 제정일·승인일: 승인 시 기재</t>
        </is>
      </c>
      <c r="G38" s="122" t="inlineStr">
        <is>
          <t>(주)신화에이치앤티 | 보존기간: 승인 문서관리기준 적용 | 폐기완료확인 시트 병행</t>
        </is>
      </c>
    </row>
  </sheetData>
  <mergeCells count="76">
    <mergeCell ref="E12:F12"/>
    <mergeCell ref="J6:L6"/>
    <mergeCell ref="B16:C16"/>
    <mergeCell ref="K34:L34"/>
    <mergeCell ref="A25:L25"/>
    <mergeCell ref="G37:L37"/>
    <mergeCell ref="A37:F37"/>
    <mergeCell ref="J27:L27"/>
    <mergeCell ref="K33:L33"/>
    <mergeCell ref="E5:F5"/>
    <mergeCell ref="F26:H26"/>
    <mergeCell ref="E34:G34"/>
    <mergeCell ref="E14:F14"/>
    <mergeCell ref="B22:L22"/>
    <mergeCell ref="B18:C18"/>
    <mergeCell ref="E17:F17"/>
    <mergeCell ref="A21:L21"/>
    <mergeCell ref="I1:I3"/>
    <mergeCell ref="A1:H3"/>
    <mergeCell ref="J26:L26"/>
    <mergeCell ref="B34:D34"/>
    <mergeCell ref="B12:C12"/>
    <mergeCell ref="J7:L7"/>
    <mergeCell ref="B28:D28"/>
    <mergeCell ref="K20:L20"/>
    <mergeCell ref="F28:H28"/>
    <mergeCell ref="B11:C11"/>
    <mergeCell ref="E10:F10"/>
    <mergeCell ref="F31:H31"/>
    <mergeCell ref="F27:H27"/>
    <mergeCell ref="E19:F19"/>
    <mergeCell ref="J31:L31"/>
    <mergeCell ref="A32:L32"/>
    <mergeCell ref="A8:L8"/>
    <mergeCell ref="B14:C14"/>
    <mergeCell ref="E13:F13"/>
    <mergeCell ref="B17:C17"/>
    <mergeCell ref="E9:F9"/>
    <mergeCell ref="B6:D6"/>
    <mergeCell ref="K2:K3"/>
    <mergeCell ref="A20:I20"/>
    <mergeCell ref="B23:L23"/>
    <mergeCell ref="A35:L35"/>
    <mergeCell ref="B13:C13"/>
    <mergeCell ref="B33:D33"/>
    <mergeCell ref="H33:J33"/>
    <mergeCell ref="A38:F38"/>
    <mergeCell ref="A29:L29"/>
    <mergeCell ref="E15:F15"/>
    <mergeCell ref="B19:C19"/>
    <mergeCell ref="A33:A34"/>
    <mergeCell ref="B10:C10"/>
    <mergeCell ref="E11:F11"/>
    <mergeCell ref="G5:H5"/>
    <mergeCell ref="B26:D26"/>
    <mergeCell ref="I5:J5"/>
    <mergeCell ref="B9:C9"/>
    <mergeCell ref="B7:D7"/>
    <mergeCell ref="J2:J3"/>
    <mergeCell ref="L2:L3"/>
    <mergeCell ref="F6:H6"/>
    <mergeCell ref="B15:C15"/>
    <mergeCell ref="E16:F16"/>
    <mergeCell ref="J28:L28"/>
    <mergeCell ref="B30:L30"/>
    <mergeCell ref="B31:D31"/>
    <mergeCell ref="B5:C5"/>
    <mergeCell ref="E33:G33"/>
    <mergeCell ref="A36:F36"/>
    <mergeCell ref="G36:L36"/>
    <mergeCell ref="B24:L24"/>
    <mergeCell ref="B27:D27"/>
    <mergeCell ref="H34:J34"/>
    <mergeCell ref="F7:H7"/>
    <mergeCell ref="E18:F18"/>
    <mergeCell ref="G38:L38"/>
  </mergeCells>
  <dataValidations count="12">
    <dataValidation sqref="G10:G19" showDropDown="0" showInputMessage="0" showErrorMessage="1" allowBlank="1" errorTitle="수량 오류" error="0보다 큰 수량만 입력할 수 있습니다." type="decimal" errorStyle="stop" operator="greaterThanOrEqual">
      <formula1>0</formula1>
      <formula2>0</formula2>
    </dataValidation>
    <dataValidation sqref="I10:I19" showDropDown="0" showInputMessage="0" showErrorMessage="1" allowBlank="1" errorTitle="단가 오류" error="0 이상의 숫자로 입력하세요." type="decimal" errorStyle="stop" operator="greaterThanOrEqual">
      <formula1>0</formula1>
      <formula2>0</formula2>
    </dataValidation>
    <dataValidation sqref="B6:D6" showDropDown="0" showInputMessage="0" showErrorMessage="1" allowBlank="1" errorTitle="선택 목록 확인" error="정해진 목록에서 값을 선택하세요." type="list" errorStyle="stop" operator="between">
      <formula1>"부적합품(불량),재고 노후/Obsolete,설계변경,고객 클레임 반품,시험·샘플,기타"</formula1>
      <formula2>0</formula2>
    </dataValidation>
    <dataValidation sqref="F6:H6" showDropDown="0" showInputMessage="0" showErrorMessage="1" allowBlank="1" errorTitle="선택 목록 확인" error="정해진 목록에서 값을 선택하세요." type="list" errorStyle="stop" operator="between">
      <formula1>"수입검사,공정,출하검사,고객/시장,재고 보관"</formula1>
      <formula2>0</formula2>
    </dataValidation>
    <dataValidation sqref="H10:H19" showDropDown="0" showInputMessage="0" showErrorMessage="1" allowBlank="1" errorTitle="선택 목록 확인" error="정해진 목록에서 값을 선택하세요." type="list" errorStyle="stop" operator="between">
      <formula1>"EA,SET,KG,M,BOX,LOT"</formula1>
      <formula2>0</formula2>
    </dataValidation>
    <dataValidation sqref="B26:D26" showDropDown="0" showInputMessage="0" showErrorMessage="1" allowBlank="1" errorTitle="선택 목록 확인" error="정해진 목록에서 값을 선택하세요." type="list" errorStyle="stop" operator="between">
      <formula1>"스크랩(유가물 매각),사내 폐기,위탁 폐기,재활용,공급사 반품"</formula1>
      <formula2>0</formula2>
    </dataValidation>
    <dataValidation sqref="J26:L26" showDropDown="0" showInputMessage="0" showErrorMessage="1" allowBlank="1" errorTitle="선택 목록 확인" error="정해진 목록에서 값을 선택하세요." type="list" errorStyle="stop" operator="between">
      <formula1>"해당없음(유가물),사업장일반폐기물,지정폐기물"</formula1>
      <formula2>0</formula2>
    </dataValidation>
    <dataValidation sqref="B28:D28" showDropDown="0" showInputMessage="0" showErrorMessage="1" allowBlank="1" errorTitle="선택 목록 확인" error="정해진 목록에서 값을 선택하세요." type="list" errorStyle="stop" operator="between">
      <formula1>"해당없음,인계예정,인계완료"</formula1>
      <formula2>0</formula2>
    </dataValidation>
    <dataValidation sqref="J28:L28" showDropDown="0" showInputMessage="0" showErrorMessage="1" allowBlank="1" errorTitle="선택 목록 확인" error="정해진 목록에서 값을 선택하세요." type="list" errorStyle="stop" operator="between">
      <formula1>"불량 손실,재고평가 손실,공급사/고객 부담,해당없음"</formula1>
      <formula2>0</formula2>
    </dataValidation>
    <dataValidation sqref="B31:D31" showDropDown="0" showInputMessage="0" showErrorMessage="1" allowBlank="1" errorTitle="선택 목록 확인" error="정해진 목록에서 값을 선택하세요." type="list" errorStyle="stop" operator="between">
      <formula1>"반영완료,반영예정,해당없음"</formula1>
      <formula2>0</formula2>
    </dataValidation>
    <dataValidation sqref="F31:H31" showDropDown="0" showInputMessage="0" showErrorMessage="1" allowBlank="1" errorTitle="선택 목록 확인" error="정해진 목록에서 값을 선택하세요." type="list" errorStyle="stop" operator="between">
      <formula1>"처리완료,처리예정,해당없음"</formula1>
      <formula2>0</formula2>
    </dataValidation>
    <dataValidation sqref="J31:L31" showDropDown="0" showInputMessage="0" showErrorMessage="1" allowBlank="1" errorTitle="선택 목록 확인" error="정해진 목록에서 값을 선택하세요." type="list" errorStyle="stop" operator="between">
      <formula1>"해당없음,통보예정,통보완료"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ColWidth="8.6796875" defaultRowHeight="15"/>
  <cols>
    <col width="14" customWidth="1" style="79" min="1" max="1"/>
    <col width="12" customWidth="1" style="79" min="2" max="3"/>
    <col width="11" customWidth="1" style="79" min="4" max="4"/>
    <col width="14" customWidth="1" style="79" min="5" max="5"/>
    <col width="10" customWidth="1" style="79" min="6" max="6"/>
    <col width="8" customWidth="1" style="79" min="7" max="8"/>
    <col width="12" customWidth="1" style="79" min="9" max="9"/>
    <col width="14" customWidth="1" style="79" min="10" max="10"/>
    <col width="13" customWidth="1" style="79" min="11" max="12"/>
  </cols>
  <sheetData>
    <row r="1" ht="19.5" customHeight="1" s="80">
      <c r="A1" s="81" t="inlineStr">
        <is>
          <t>폐  기  보  고  서</t>
        </is>
      </c>
      <c r="B1" s="82" t="n"/>
      <c r="C1" s="82" t="n"/>
      <c r="D1" s="82" t="n"/>
      <c r="E1" s="82" t="n"/>
      <c r="F1" s="82" t="n"/>
      <c r="G1" s="82" t="n"/>
      <c r="H1" s="82" t="n"/>
      <c r="I1" s="83" t="inlineStr">
        <is>
          <t>결
재</t>
        </is>
      </c>
      <c r="J1" s="84" t="inlineStr">
        <is>
          <t>작  성</t>
        </is>
      </c>
      <c r="K1" s="84" t="inlineStr">
        <is>
          <t>검  토</t>
        </is>
      </c>
      <c r="L1" s="84" t="inlineStr">
        <is>
          <t>승  인</t>
        </is>
      </c>
    </row>
    <row r="2" ht="24" customHeight="1" s="80">
      <c r="A2" s="85" t="n"/>
      <c r="I2" s="86" t="n"/>
      <c r="J2" s="123" t="n"/>
      <c r="K2" s="123" t="n"/>
      <c r="L2" s="123" t="n"/>
    </row>
    <row r="3" ht="24" customHeight="1" s="80">
      <c r="A3" s="85" t="n"/>
      <c r="I3" s="86" t="n"/>
      <c r="J3" s="86" t="n"/>
      <c r="K3" s="86" t="n"/>
      <c r="L3" s="86" t="n"/>
    </row>
    <row r="4" ht="6" customHeight="1" s="80">
      <c r="A4" s="88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</row>
    <row r="5" ht="25.5" customHeight="1" s="80">
      <c r="A5" s="89" t="inlineStr">
        <is>
          <t>폐기번호</t>
        </is>
      </c>
      <c r="B5" s="124" t="inlineStr">
        <is>
          <t>DSP-2026-001</t>
        </is>
      </c>
      <c r="C5" s="91" t="n"/>
      <c r="D5" s="89" t="inlineStr">
        <is>
          <t>작성일</t>
        </is>
      </c>
      <c r="E5" s="125" t="n">
        <v>46322</v>
      </c>
      <c r="F5" s="91" t="n"/>
      <c r="G5" s="93" t="inlineStr">
        <is>
          <t>작성부서</t>
        </is>
      </c>
      <c r="H5" s="91" t="n"/>
      <c r="I5" s="126" t="inlineStr">
        <is>
          <t>품질관리팀</t>
        </is>
      </c>
      <c r="J5" s="91" t="n"/>
      <c r="K5" s="89" t="inlineStr">
        <is>
          <t>작성자</t>
        </is>
      </c>
      <c r="L5" s="127" t="inlineStr">
        <is>
          <t>홍길동</t>
        </is>
      </c>
    </row>
    <row r="6" ht="25.5" customHeight="1" s="80">
      <c r="A6" s="89" t="inlineStr">
        <is>
          <t>폐기 구분</t>
        </is>
      </c>
      <c r="B6" s="128" t="inlineStr">
        <is>
          <t>부적합품(불량)</t>
        </is>
      </c>
      <c r="C6" s="91" t="n"/>
      <c r="D6" s="91" t="n"/>
      <c r="E6" s="89" t="inlineStr">
        <is>
          <t>발생 단계</t>
        </is>
      </c>
      <c r="F6" s="126" t="inlineStr">
        <is>
          <t>공정</t>
        </is>
      </c>
      <c r="G6" s="91" t="n"/>
      <c r="H6" s="91" t="n"/>
      <c r="I6" s="95" t="inlineStr">
        <is>
          <t>NCR/CAPA
(8D) 번호</t>
        </is>
      </c>
      <c r="J6" s="124" t="inlineStr">
        <is>
          <t>NCR-2026-001/002</t>
        </is>
      </c>
      <c r="K6" s="91" t="n"/>
      <c r="L6" s="91" t="n"/>
    </row>
    <row r="7" ht="25.5" customHeight="1" s="80">
      <c r="A7" s="96" t="inlineStr">
        <is>
          <t>고객사/
협력사</t>
        </is>
      </c>
      <c r="B7" s="129" t="inlineStr">
        <is>
          <t>○○○(예시)</t>
        </is>
      </c>
      <c r="C7" s="91" t="n"/>
      <c r="D7" s="91" t="n"/>
      <c r="E7" s="96" t="inlineStr">
        <is>
          <t>차종/프로젝트</t>
        </is>
      </c>
      <c r="F7" s="124" t="inlineStr">
        <is>
          <t>-</t>
        </is>
      </c>
      <c r="G7" s="91" t="n"/>
      <c r="H7" s="91" t="n"/>
      <c r="I7" s="89" t="inlineStr">
        <is>
          <t>발생일자</t>
        </is>
      </c>
      <c r="J7" s="125" t="n">
        <v>46321</v>
      </c>
      <c r="K7" s="91" t="n"/>
      <c r="L7" s="91" t="n"/>
    </row>
    <row r="8" ht="22.5" customHeight="1" s="80">
      <c r="A8" s="97" t="inlineStr">
        <is>
          <t>1. 폐기 대상 내역</t>
        </is>
      </c>
      <c r="B8" s="91" t="n"/>
      <c r="C8" s="91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</row>
    <row r="9" ht="19.5" customHeight="1" s="80">
      <c r="A9" s="98" t="inlineStr">
        <is>
          <t>No.</t>
        </is>
      </c>
      <c r="B9" s="99" t="inlineStr">
        <is>
          <t>품 명</t>
        </is>
      </c>
      <c r="C9" s="100" t="n"/>
      <c r="D9" s="99" t="inlineStr">
        <is>
          <t>품 번</t>
        </is>
      </c>
      <c r="E9" s="98" t="inlineStr">
        <is>
          <t>LOT No.</t>
        </is>
      </c>
      <c r="F9" s="100" t="n"/>
      <c r="G9" s="99" t="inlineStr">
        <is>
          <t>수량</t>
        </is>
      </c>
      <c r="H9" s="99" t="inlineStr">
        <is>
          <t>단위</t>
        </is>
      </c>
      <c r="I9" s="101" t="inlineStr">
        <is>
          <t>단가(원)</t>
        </is>
      </c>
      <c r="J9" s="101" t="inlineStr">
        <is>
          <t>금액(원)</t>
        </is>
      </c>
      <c r="K9" s="99" t="inlineStr">
        <is>
          <t>보관 위치</t>
        </is>
      </c>
      <c r="L9" s="99" t="inlineStr">
        <is>
          <t>비 고</t>
        </is>
      </c>
    </row>
    <row r="10" ht="24.75" customHeight="1" s="80">
      <c r="A10" s="102" t="n">
        <v>1</v>
      </c>
      <c r="B10" s="130" t="inlineStr">
        <is>
          <t>AL 파이프 ASSY</t>
        </is>
      </c>
      <c r="C10" s="100" t="n"/>
      <c r="D10" s="131" t="inlineStr">
        <is>
          <t>P-0000</t>
        </is>
      </c>
      <c r="E10" s="131" t="inlineStr">
        <is>
          <t>L261026-0001</t>
        </is>
      </c>
      <c r="F10" s="100" t="n"/>
      <c r="G10" s="132" t="n">
        <v>12</v>
      </c>
      <c r="H10" s="131" t="inlineStr">
        <is>
          <t>EA</t>
        </is>
      </c>
      <c r="I10" s="133" t="n">
        <v>8500</v>
      </c>
      <c r="J10" s="107">
        <f>IF(OR(G10="",I10=""),"",G10*I10)</f>
        <v/>
      </c>
      <c r="K10" s="134" t="inlineStr">
        <is>
          <t>부적합 구역</t>
        </is>
      </c>
      <c r="L10" s="134" t="inlineStr">
        <is>
          <t>누설 불량</t>
        </is>
      </c>
    </row>
    <row r="11" ht="24.75" customHeight="1" s="80">
      <c r="A11" s="108" t="n">
        <v>2</v>
      </c>
      <c r="B11" s="130" t="inlineStr">
        <is>
          <t>AL 파이프(소재)</t>
        </is>
      </c>
      <c r="C11" s="100" t="n"/>
      <c r="D11" s="131" t="inlineStr">
        <is>
          <t>M-0000</t>
        </is>
      </c>
      <c r="E11" s="131" t="inlineStr">
        <is>
          <t>L261020-0002</t>
        </is>
      </c>
      <c r="F11" s="100" t="n"/>
      <c r="G11" s="132" t="n">
        <v>35</v>
      </c>
      <c r="H11" s="131" t="inlineStr">
        <is>
          <t>EA</t>
        </is>
      </c>
      <c r="I11" s="133" t="n">
        <v>3200</v>
      </c>
      <c r="J11" s="107">
        <f>IF(OR(G11="",I11=""),"",G11*I11)</f>
        <v/>
      </c>
      <c r="K11" s="134" t="inlineStr">
        <is>
          <t>부적합 구역</t>
        </is>
      </c>
      <c r="L11" s="134" t="inlineStr">
        <is>
          <t>외관 불량</t>
        </is>
      </c>
    </row>
    <row r="12" ht="24.75" customHeight="1" s="80">
      <c r="A12" s="102" t="n">
        <v>3</v>
      </c>
      <c r="B12" s="130" t="n"/>
      <c r="C12" s="100" t="n"/>
      <c r="D12" s="131" t="n"/>
      <c r="E12" s="131" t="n"/>
      <c r="F12" s="100" t="n"/>
      <c r="G12" s="132" t="n"/>
      <c r="H12" s="131" t="n"/>
      <c r="I12" s="133" t="n"/>
      <c r="J12" s="107">
        <f>IF(OR(G12="",I12=""),"",G12*I12)</f>
        <v/>
      </c>
      <c r="K12" s="131" t="n"/>
      <c r="L12" s="131" t="n"/>
    </row>
    <row r="13" ht="24.75" customHeight="1" s="80">
      <c r="A13" s="108" t="n">
        <v>4</v>
      </c>
      <c r="B13" s="130" t="n"/>
      <c r="C13" s="100" t="n"/>
      <c r="D13" s="131" t="n"/>
      <c r="E13" s="131" t="n"/>
      <c r="F13" s="100" t="n"/>
      <c r="G13" s="132" t="n"/>
      <c r="H13" s="131" t="n"/>
      <c r="I13" s="133" t="n"/>
      <c r="J13" s="107">
        <f>IF(OR(G13="",I13=""),"",G13*I13)</f>
        <v/>
      </c>
      <c r="K13" s="131" t="n"/>
      <c r="L13" s="131" t="n"/>
    </row>
    <row r="14" ht="24.75" customHeight="1" s="80">
      <c r="A14" s="102" t="n">
        <v>5</v>
      </c>
      <c r="B14" s="130" t="n"/>
      <c r="C14" s="100" t="n"/>
      <c r="D14" s="131" t="n"/>
      <c r="E14" s="131" t="n"/>
      <c r="F14" s="100" t="n"/>
      <c r="G14" s="132" t="n"/>
      <c r="H14" s="131" t="n"/>
      <c r="I14" s="133" t="n"/>
      <c r="J14" s="107">
        <f>IF(OR(G14="",I14=""),"",G14*I14)</f>
        <v/>
      </c>
      <c r="K14" s="131" t="n"/>
      <c r="L14" s="131" t="n"/>
    </row>
    <row r="15" ht="24.75" customHeight="1" s="80">
      <c r="A15" s="108" t="n">
        <v>6</v>
      </c>
      <c r="B15" s="130" t="n"/>
      <c r="C15" s="100" t="n"/>
      <c r="D15" s="131" t="n"/>
      <c r="E15" s="131" t="n"/>
      <c r="F15" s="100" t="n"/>
      <c r="G15" s="132" t="n"/>
      <c r="H15" s="131" t="n"/>
      <c r="I15" s="133" t="n"/>
      <c r="J15" s="107">
        <f>IF(OR(G15="",I15=""),"",G15*I15)</f>
        <v/>
      </c>
      <c r="K15" s="131" t="n"/>
      <c r="L15" s="131" t="n"/>
    </row>
    <row r="16" ht="24.75" customHeight="1" s="80">
      <c r="A16" s="102" t="n">
        <v>7</v>
      </c>
      <c r="B16" s="130" t="n"/>
      <c r="C16" s="100" t="n"/>
      <c r="D16" s="131" t="n"/>
      <c r="E16" s="131" t="n"/>
      <c r="F16" s="100" t="n"/>
      <c r="G16" s="132" t="n"/>
      <c r="H16" s="131" t="n"/>
      <c r="I16" s="133" t="n"/>
      <c r="J16" s="107">
        <f>IF(OR(G16="",I16=""),"",G16*I16)</f>
        <v/>
      </c>
      <c r="K16" s="131" t="n"/>
      <c r="L16" s="131" t="n"/>
    </row>
    <row r="17" ht="24.75" customHeight="1" s="80">
      <c r="A17" s="108" t="n">
        <v>8</v>
      </c>
      <c r="B17" s="130" t="n"/>
      <c r="C17" s="100" t="n"/>
      <c r="D17" s="131" t="n"/>
      <c r="E17" s="131" t="n"/>
      <c r="F17" s="100" t="n"/>
      <c r="G17" s="132" t="n"/>
      <c r="H17" s="131" t="n"/>
      <c r="I17" s="133" t="n"/>
      <c r="J17" s="107">
        <f>IF(OR(G17="",I17=""),"",G17*I17)</f>
        <v/>
      </c>
      <c r="K17" s="131" t="n"/>
      <c r="L17" s="131" t="n"/>
    </row>
    <row r="18" ht="24.75" customHeight="1" s="80">
      <c r="A18" s="102" t="n">
        <v>9</v>
      </c>
      <c r="B18" s="130" t="n"/>
      <c r="C18" s="100" t="n"/>
      <c r="D18" s="131" t="n"/>
      <c r="E18" s="131" t="n"/>
      <c r="F18" s="100" t="n"/>
      <c r="G18" s="132" t="n"/>
      <c r="H18" s="131" t="n"/>
      <c r="I18" s="133" t="n"/>
      <c r="J18" s="107">
        <f>IF(OR(G18="",I18=""),"",G18*I18)</f>
        <v/>
      </c>
      <c r="K18" s="131" t="n"/>
      <c r="L18" s="131" t="n"/>
    </row>
    <row r="19" ht="24.75" customHeight="1" s="80">
      <c r="A19" s="108" t="n">
        <v>10</v>
      </c>
      <c r="B19" s="130" t="n"/>
      <c r="C19" s="100" t="n"/>
      <c r="D19" s="131" t="n"/>
      <c r="E19" s="131" t="n"/>
      <c r="F19" s="100" t="n"/>
      <c r="G19" s="132" t="n"/>
      <c r="H19" s="131" t="n"/>
      <c r="I19" s="133" t="n"/>
      <c r="J19" s="107">
        <f>IF(OR(G19="",I19=""),"",G19*I19)</f>
        <v/>
      </c>
      <c r="K19" s="131" t="n"/>
      <c r="L19" s="131" t="n"/>
    </row>
    <row r="20" ht="19.5" customHeight="1" s="80">
      <c r="A20" s="109" t="inlineStr">
        <is>
          <t>합  계  (폐기금액 · 품목별 단위 구분)</t>
        </is>
      </c>
      <c r="B20" s="91" t="n"/>
      <c r="C20" s="91" t="n"/>
      <c r="D20" s="91" t="n"/>
      <c r="E20" s="91" t="n"/>
      <c r="F20" s="91" t="n"/>
      <c r="G20" s="91" t="n"/>
      <c r="H20" s="91" t="n"/>
      <c r="I20" s="91" t="n"/>
      <c r="J20" s="110">
        <f>SUM(J10:J19)</f>
        <v/>
      </c>
      <c r="K20" s="111" t="inlineStr">
        <is>
          <t>※ 금액은 자동 계산</t>
        </is>
      </c>
      <c r="L20" s="91" t="n"/>
    </row>
    <row r="21" ht="22.5" customHeight="1" s="80">
      <c r="A21" s="97" t="inlineStr">
        <is>
          <t>2. 폐기 사유 및 원인</t>
        </is>
      </c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</row>
    <row r="22" ht="31.5" customHeight="1" s="80">
      <c r="A22" s="112" t="inlineStr">
        <is>
          <t>폐기 사유
(품번별 기재)</t>
        </is>
      </c>
      <c r="B22" s="135" t="inlineStr">
        <is>
          <t>품목 1: 접합부 누설 불량·재작업 불가. 품목 2: 원자재 외관 손상·재사용 불가.</t>
        </is>
      </c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</row>
    <row r="23" ht="31.5" customHeight="1" s="80">
      <c r="A23" s="112" t="inlineStr">
        <is>
          <t>발생 원인
(증빙 연계)</t>
        </is>
      </c>
      <c r="B23" s="135" t="inlineStr">
        <is>
          <t>품목 1: 접합부 가열 편차(추정, NCR-001 참조). 품목 2: 운반 중 긁힘(NCR-002 참조).</t>
        </is>
      </c>
      <c r="C23" s="91" t="n"/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</row>
    <row r="24" ht="31.5" customHeight="1" s="80">
      <c r="A24" s="114" t="inlineStr">
        <is>
          <t>재작업·선별
특채 검토/판정</t>
        </is>
      </c>
      <c r="B24" s="135" t="inlineStr">
        <is>
          <t>양 품목 재작업·선별·특채 적합성 검토 후 폐기 판정. 판정자/일자는 실제 승인 시 기재.</t>
        </is>
      </c>
      <c r="C24" s="91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</row>
    <row r="25" ht="22.5" customHeight="1" s="80">
      <c r="A25" s="97" t="inlineStr">
        <is>
          <t>3. 폐기 처리 방법</t>
        </is>
      </c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</row>
    <row r="26" ht="25.5" customHeight="1" s="80">
      <c r="A26" s="112" t="inlineStr">
        <is>
          <t>처리 방법</t>
        </is>
      </c>
      <c r="B26" s="128" t="inlineStr">
        <is>
          <t>스크랩(유가물 매각)</t>
        </is>
      </c>
      <c r="C26" s="91" t="n"/>
      <c r="D26" s="91" t="n"/>
      <c r="E26" s="112" t="inlineStr">
        <is>
          <t>처리 업체</t>
        </is>
      </c>
      <c r="F26" s="128" t="inlineStr">
        <is>
          <t>○○자원(예시)</t>
        </is>
      </c>
      <c r="G26" s="91" t="n"/>
      <c r="H26" s="91" t="n"/>
      <c r="I26" s="112" t="inlineStr">
        <is>
          <t>폐기물 구분</t>
        </is>
      </c>
      <c r="J26" s="128" t="inlineStr">
        <is>
          <t>해당없음(유가물)</t>
        </is>
      </c>
      <c r="K26" s="91" t="n"/>
      <c r="L26" s="91" t="n"/>
    </row>
    <row r="27" ht="25.5" customHeight="1" s="80">
      <c r="A27" s="112" t="inlineStr">
        <is>
          <t>폐기 예정일</t>
        </is>
      </c>
      <c r="B27" s="125" t="n">
        <v>46325</v>
      </c>
      <c r="C27" s="91" t="n"/>
      <c r="D27" s="91" t="n"/>
      <c r="E27" s="112" t="inlineStr">
        <is>
          <t>폐기 일시</t>
        </is>
      </c>
      <c r="F27" s="136" t="n"/>
      <c r="G27" s="91" t="n"/>
      <c r="H27" s="91" t="n"/>
      <c r="I27" s="112" t="inlineStr">
        <is>
          <t>폐기 장소</t>
        </is>
      </c>
      <c r="J27" s="128" t="inlineStr">
        <is>
          <t>자재 야적장(예시)</t>
        </is>
      </c>
      <c r="K27" s="91" t="n"/>
      <c r="L27" s="91" t="n"/>
    </row>
    <row r="28" ht="25.5" customHeight="1" s="80">
      <c r="A28" s="112" t="inlineStr">
        <is>
          <t>올바로
인계 여부</t>
        </is>
      </c>
      <c r="B28" s="126" t="inlineStr">
        <is>
          <t>해당없음</t>
        </is>
      </c>
      <c r="C28" s="91" t="n"/>
      <c r="D28" s="91" t="n"/>
      <c r="E28" s="116" t="inlineStr">
        <is>
          <t>인계서/
계량표 번호</t>
        </is>
      </c>
      <c r="F28" s="124" t="n"/>
      <c r="G28" s="91" t="n"/>
      <c r="H28" s="91" t="n"/>
      <c r="I28" s="112" t="inlineStr">
        <is>
          <t>원가 손실 구분</t>
        </is>
      </c>
      <c r="J28" s="126" t="inlineStr">
        <is>
          <t>불량 손실</t>
        </is>
      </c>
      <c r="K28" s="91" t="n"/>
      <c r="L28" s="91" t="n"/>
    </row>
    <row r="29" ht="22.5" customHeight="1" s="80">
      <c r="A29" s="97" t="inlineStr">
        <is>
          <t>4. 시정·재발방지 및 기록 연계</t>
        </is>
      </c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</row>
    <row r="30" ht="31.5" customHeight="1" s="80">
      <c r="A30" s="112" t="inlineStr">
        <is>
          <t>시정·재발방지
연계증빙</t>
        </is>
      </c>
      <c r="B30" s="135" t="inlineStr">
        <is>
          <t>용접조건 재점검 및 원자재 이송 보호대책 실시. 원인별 NCR·시정조치 기록을 연계.</t>
        </is>
      </c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</row>
    <row r="31" ht="25.5" customHeight="1" s="80">
      <c r="A31" s="117" t="inlineStr">
        <is>
          <t>LOT 이력
반영 여부</t>
        </is>
      </c>
      <c r="B31" s="126" t="inlineStr">
        <is>
          <t>반영예정</t>
        </is>
      </c>
      <c r="C31" s="91" t="n"/>
      <c r="D31" s="91" t="n"/>
      <c r="E31" s="112" t="inlineStr">
        <is>
          <t>재고 차감
처리 여부</t>
        </is>
      </c>
      <c r="F31" s="126" t="inlineStr">
        <is>
          <t>처리예정</t>
        </is>
      </c>
      <c r="G31" s="91" t="n"/>
      <c r="H31" s="91" t="n"/>
      <c r="I31" s="112" t="inlineStr">
        <is>
          <t>고객 통보
처리 여부</t>
        </is>
      </c>
      <c r="J31" s="126" t="inlineStr">
        <is>
          <t>해당없음</t>
        </is>
      </c>
      <c r="K31" s="91" t="n"/>
      <c r="L31" s="91" t="n"/>
    </row>
    <row r="32" ht="22.5" customHeight="1" s="80">
      <c r="A32" s="97" t="inlineStr">
        <is>
          <t>5. 폐기 확인 (입회 서명)</t>
        </is>
      </c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</row>
    <row r="33" ht="31.5" customHeight="1" s="80">
      <c r="A33" s="118" t="inlineStr">
        <is>
          <t>입회·확인
(성명·서명·일자)</t>
        </is>
      </c>
      <c r="B33" s="119" t="inlineStr">
        <is>
          <t>품질 입회자</t>
        </is>
      </c>
      <c r="C33" s="91" t="n"/>
      <c r="D33" s="91" t="n"/>
      <c r="E33" s="119" t="inlineStr">
        <is>
          <t>현업 부서 입회자</t>
        </is>
      </c>
      <c r="F33" s="91" t="n"/>
      <c r="G33" s="91" t="n"/>
      <c r="H33" s="119" t="inlineStr">
        <is>
          <t>실제 폐기자</t>
        </is>
      </c>
      <c r="I33" s="91" t="n"/>
      <c r="J33" s="91" t="n"/>
      <c r="K33" s="119" t="inlineStr">
        <is>
          <t>외부업체(해당 시)</t>
        </is>
      </c>
      <c r="L33" s="91" t="n"/>
    </row>
    <row r="34" ht="30" customHeight="1" s="80">
      <c r="A34" s="86" t="n"/>
      <c r="B34" s="124" t="n"/>
      <c r="C34" s="91" t="n"/>
      <c r="D34" s="91" t="n"/>
      <c r="E34" s="124" t="n"/>
      <c r="F34" s="91" t="n"/>
      <c r="G34" s="91" t="n"/>
      <c r="H34" s="124" t="n"/>
      <c r="I34" s="91" t="n"/>
      <c r="J34" s="91" t="n"/>
      <c r="K34" s="124" t="n"/>
      <c r="L34" s="91" t="n"/>
    </row>
    <row r="35" ht="22.5" customHeight="1" s="80">
      <c r="A35" s="97" t="inlineStr">
        <is>
          <t>6. 증빙 사진 (폐기 전 / 폐기 후)</t>
        </is>
      </c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</row>
    <row r="36" ht="21.75" customHeight="1" s="80">
      <c r="A36" s="119" t="inlineStr">
        <is>
          <t>폐기 전</t>
        </is>
      </c>
      <c r="B36" s="91" t="n"/>
      <c r="C36" s="91" t="n"/>
      <c r="D36" s="91" t="n"/>
      <c r="E36" s="91" t="n"/>
      <c r="F36" s="91" t="n"/>
      <c r="G36" s="119" t="inlineStr">
        <is>
          <t>폐기 후</t>
        </is>
      </c>
      <c r="H36" s="91" t="n"/>
      <c r="I36" s="91" t="n"/>
      <c r="J36" s="91" t="n"/>
      <c r="K36" s="91" t="n"/>
      <c r="L36" s="91" t="n"/>
    </row>
    <row r="37" ht="103.5" customHeight="1" s="80">
      <c r="A37" s="120" t="n"/>
      <c r="B37" s="91" t="n"/>
      <c r="C37" s="91" t="n"/>
      <c r="D37" s="91" t="n"/>
      <c r="E37" s="91" t="n"/>
      <c r="F37" s="91" t="n"/>
      <c r="G37" s="120" t="n"/>
      <c r="H37" s="91" t="n"/>
      <c r="I37" s="91" t="n"/>
      <c r="J37" s="91" t="n"/>
      <c r="K37" s="91" t="n"/>
      <c r="L37" s="91" t="n"/>
    </row>
    <row r="38" ht="19.5" customHeight="1" s="80">
      <c r="A38" s="121" t="inlineStr">
        <is>
          <t>양식번호: SH-FM-369 | 문서명 폐기보고서 | Rev.00 | 문서상태: 개정초안(미승인) | 제정일·승인일: 승인 시 기재</t>
        </is>
      </c>
      <c r="G38" s="122" t="inlineStr">
        <is>
          <t>(주)신화에이치앤티 | 보존기간: 승인 문서관리기준 적용 | 폐기완료확인 시트 병행</t>
        </is>
      </c>
    </row>
    <row r="39"/>
    <row r="40" ht="15" customHeight="1" s="80">
      <c r="A40" s="137" t="inlineStr">
        <is>
          <t>[작성안내] 이 시트는 가상 데이터 예시입니다. 실제 자료는 '폐기보고서' 및 '폐기완료확인' 시트를 작성하세요.</t>
        </is>
      </c>
    </row>
    <row r="41" ht="15" customHeight="1" s="80">
      <c r="A41" s="138" t="inlineStr">
        <is>
          <t>노란색 칸 = 입력 / 푸른색 금액칸 = 자동 계산. 실폐기량·LOT 대장번호·재고전표는 폐기 후 '폐기완료확인' 시트에 기록.</t>
        </is>
      </c>
    </row>
    <row r="42" ht="15" customHeight="1" s="80">
      <c r="A42" s="138" t="inlineStr">
        <is>
          <t>작성 → 검토 → 승인 → 실제 폐기 → 사진·인계증빙 수집 → LOT 반영·재고 차감 → 최종 확인 순으로 운영합니다.</t>
        </is>
      </c>
    </row>
    <row r="43" ht="15" customHeight="1" s="80">
      <c r="A43" s="138" t="inlineStr">
        <is>
          <t>금액은 재료 손실 산정 예시입니다. 인계업체, 처리방법, 유가물 여부·원가부담은 사실관계에 따라 작성하세요.</t>
        </is>
      </c>
    </row>
    <row r="44" ht="15" customHeight="1" s="80">
      <c r="A44" s="138" t="inlineStr">
        <is>
          <t>SH-FM-369 신규 등록. 실제 사용승인·보존기간은 회사 문서관리기준에 따라 확정합니다.</t>
        </is>
      </c>
    </row>
  </sheetData>
  <mergeCells count="76">
    <mergeCell ref="E12:F12"/>
    <mergeCell ref="J6:L6"/>
    <mergeCell ref="B16:C16"/>
    <mergeCell ref="K34:L34"/>
    <mergeCell ref="A25:L25"/>
    <mergeCell ref="G37:L37"/>
    <mergeCell ref="A37:F37"/>
    <mergeCell ref="J27:L27"/>
    <mergeCell ref="K33:L33"/>
    <mergeCell ref="E5:F5"/>
    <mergeCell ref="F26:H26"/>
    <mergeCell ref="E34:G34"/>
    <mergeCell ref="E14:F14"/>
    <mergeCell ref="B22:L22"/>
    <mergeCell ref="B18:C18"/>
    <mergeCell ref="E17:F17"/>
    <mergeCell ref="A21:L21"/>
    <mergeCell ref="I1:I3"/>
    <mergeCell ref="A1:H3"/>
    <mergeCell ref="J26:L26"/>
    <mergeCell ref="B34:D34"/>
    <mergeCell ref="B12:C12"/>
    <mergeCell ref="J7:L7"/>
    <mergeCell ref="B28:D28"/>
    <mergeCell ref="K20:L20"/>
    <mergeCell ref="F28:H28"/>
    <mergeCell ref="B11:C11"/>
    <mergeCell ref="E10:F10"/>
    <mergeCell ref="F31:H31"/>
    <mergeCell ref="F27:H27"/>
    <mergeCell ref="E19:F19"/>
    <mergeCell ref="J31:L31"/>
    <mergeCell ref="A32:L32"/>
    <mergeCell ref="A8:L8"/>
    <mergeCell ref="B14:C14"/>
    <mergeCell ref="E13:F13"/>
    <mergeCell ref="B17:C17"/>
    <mergeCell ref="E9:F9"/>
    <mergeCell ref="B6:D6"/>
    <mergeCell ref="K2:K3"/>
    <mergeCell ref="A20:I20"/>
    <mergeCell ref="B23:L23"/>
    <mergeCell ref="A35:L35"/>
    <mergeCell ref="B13:C13"/>
    <mergeCell ref="B33:D33"/>
    <mergeCell ref="H33:J33"/>
    <mergeCell ref="A38:F38"/>
    <mergeCell ref="A29:L29"/>
    <mergeCell ref="E15:F15"/>
    <mergeCell ref="B19:C19"/>
    <mergeCell ref="A33:A34"/>
    <mergeCell ref="B10:C10"/>
    <mergeCell ref="E11:F11"/>
    <mergeCell ref="G5:H5"/>
    <mergeCell ref="B26:D26"/>
    <mergeCell ref="I5:J5"/>
    <mergeCell ref="B9:C9"/>
    <mergeCell ref="B7:D7"/>
    <mergeCell ref="J2:J3"/>
    <mergeCell ref="L2:L3"/>
    <mergeCell ref="F6:H6"/>
    <mergeCell ref="B15:C15"/>
    <mergeCell ref="E16:F16"/>
    <mergeCell ref="J28:L28"/>
    <mergeCell ref="B30:L30"/>
    <mergeCell ref="B31:D31"/>
    <mergeCell ref="B5:C5"/>
    <mergeCell ref="E33:G33"/>
    <mergeCell ref="A36:F36"/>
    <mergeCell ref="G36:L36"/>
    <mergeCell ref="B24:L24"/>
    <mergeCell ref="B27:D27"/>
    <mergeCell ref="H34:J34"/>
    <mergeCell ref="F7:H7"/>
    <mergeCell ref="E18:F18"/>
    <mergeCell ref="G38:L38"/>
  </mergeCells>
  <dataValidations count="12">
    <dataValidation sqref="G10:G19" showDropDown="0" showInputMessage="0" showErrorMessage="1" allowBlank="1" errorTitle="수량 오류" error="0보다 큰 수량만 입력할 수 있습니다." type="decimal" errorStyle="stop" operator="greaterThanOrEqual">
      <formula1>0</formula1>
      <formula2>0</formula2>
    </dataValidation>
    <dataValidation sqref="I10:I19" showDropDown="0" showInputMessage="0" showErrorMessage="1" allowBlank="1" errorTitle="단가 오류" error="0 이상의 숫자로 입력하세요." type="decimal" errorStyle="stop" operator="greaterThanOrEqual">
      <formula1>0</formula1>
      <formula2>0</formula2>
    </dataValidation>
    <dataValidation sqref="B6:D6" showDropDown="0" showInputMessage="0" showErrorMessage="1" allowBlank="1" errorTitle="선택 목록 확인" error="정해진 목록에서 값을 선택하세요." type="list" errorStyle="stop" operator="between">
      <formula1>"부적합품(불량),재고 노후/Obsolete,설계변경,고객 클레임 반품,시험·샘플,기타"</formula1>
      <formula2>0</formula2>
    </dataValidation>
    <dataValidation sqref="F6:H6" showDropDown="0" showInputMessage="0" showErrorMessage="1" allowBlank="1" errorTitle="선택 목록 확인" error="정해진 목록에서 값을 선택하세요." type="list" errorStyle="stop" operator="between">
      <formula1>"수입검사,공정,출하검사,고객/시장,재고 보관"</formula1>
      <formula2>0</formula2>
    </dataValidation>
    <dataValidation sqref="H10:H19" showDropDown="0" showInputMessage="0" showErrorMessage="1" allowBlank="1" errorTitle="선택 목록 확인" error="정해진 목록에서 값을 선택하세요." type="list" errorStyle="stop" operator="between">
      <formula1>"EA,SET,KG,M,BOX,LOT"</formula1>
      <formula2>0</formula2>
    </dataValidation>
    <dataValidation sqref="B26:D26" showDropDown="0" showInputMessage="0" showErrorMessage="1" allowBlank="1" errorTitle="선택 목록 확인" error="정해진 목록에서 값을 선택하세요." type="list" errorStyle="stop" operator="between">
      <formula1>"스크랩(유가물 매각),사내 폐기,위탁 폐기,재활용,공급사 반품"</formula1>
      <formula2>0</formula2>
    </dataValidation>
    <dataValidation sqref="J26:L26" showDropDown="0" showInputMessage="0" showErrorMessage="1" allowBlank="1" errorTitle="선택 목록 확인" error="정해진 목록에서 값을 선택하세요." type="list" errorStyle="stop" operator="between">
      <formula1>"해당없음(유가물),사업장일반폐기물,지정폐기물"</formula1>
      <formula2>0</formula2>
    </dataValidation>
    <dataValidation sqref="B28:D28" showDropDown="0" showInputMessage="0" showErrorMessage="1" allowBlank="1" errorTitle="선택 목록 확인" error="정해진 목록에서 값을 선택하세요." type="list" errorStyle="stop" operator="between">
      <formula1>"해당없음,인계예정,인계완료"</formula1>
      <formula2>0</formula2>
    </dataValidation>
    <dataValidation sqref="J28:L28" showDropDown="0" showInputMessage="0" showErrorMessage="1" allowBlank="1" errorTitle="선택 목록 확인" error="정해진 목록에서 값을 선택하세요." type="list" errorStyle="stop" operator="between">
      <formula1>"불량 손실,재고평가 손실,공급사/고객 부담,해당없음"</formula1>
      <formula2>0</formula2>
    </dataValidation>
    <dataValidation sqref="B31:D31" showDropDown="0" showInputMessage="0" showErrorMessage="1" allowBlank="1" errorTitle="선택 목록 확인" error="정해진 목록에서 값을 선택하세요." type="list" errorStyle="stop" operator="between">
      <formula1>"반영완료,반영예정,해당없음"</formula1>
      <formula2>0</formula2>
    </dataValidation>
    <dataValidation sqref="F31:H31" showDropDown="0" showInputMessage="0" showErrorMessage="1" allowBlank="1" errorTitle="선택 목록 확인" error="정해진 목록에서 값을 선택하세요." type="list" errorStyle="stop" operator="between">
      <formula1>"처리완료,처리예정,해당없음"</formula1>
      <formula2>0</formula2>
    </dataValidation>
    <dataValidation sqref="J31:L31" showDropDown="0" showInputMessage="0" showErrorMessage="1" allowBlank="1" errorTitle="선택 목록 확인" error="정해진 목록에서 값을 선택하세요." type="list" errorStyle="stop" operator="between">
      <formula1>"해당없음,통보예정,통보완료"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1" workbookViewId="0">
      <pane ySplit="8" topLeftCell="A9" activePane="bottomLeft" state="frozen"/>
      <selection activeCell="A1" sqref="A1"/>
    </sheetView>
  </sheetViews>
  <sheetFormatPr baseColWidth="8" defaultColWidth="8.6796875" defaultRowHeight="15"/>
  <cols>
    <col width="8" customWidth="1" style="79" min="1" max="1"/>
    <col width="12" customWidth="1" style="79" min="2" max="2"/>
    <col width="11" customWidth="1" style="79" min="3" max="3"/>
    <col width="13" customWidth="1" style="79" min="4" max="4"/>
    <col width="10" customWidth="1" style="79" min="5" max="5"/>
    <col width="13" customWidth="1" style="79" min="6" max="7"/>
    <col width="9" customWidth="1" style="79" min="8" max="8"/>
    <col width="12" customWidth="1" style="79" min="9" max="9"/>
    <col width="22" customWidth="1" style="79" min="10" max="11"/>
    <col width="14" customWidth="1" style="79" min="12" max="12"/>
  </cols>
  <sheetData>
    <row r="1" ht="30" customHeight="1" s="80">
      <c r="A1" s="139" t="inlineStr">
        <is>
          <t>폐 기 완 료 · L O T / 재 고  추 적  확 인 서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1" t="n"/>
    </row>
    <row r="2" ht="30" customHeight="1" s="80">
      <c r="A2" s="142" t="n"/>
      <c r="B2" s="143" t="n"/>
      <c r="C2" s="143" t="n"/>
      <c r="D2" s="143" t="n"/>
      <c r="E2" s="143" t="n"/>
      <c r="F2" s="143" t="n"/>
      <c r="G2" s="143" t="n"/>
      <c r="H2" s="143" t="n"/>
      <c r="I2" s="143" t="n"/>
      <c r="J2" s="143" t="n"/>
      <c r="K2" s="143" t="n"/>
      <c r="L2" s="144" t="n"/>
    </row>
    <row r="3" ht="27" customHeight="1" s="80">
      <c r="A3" s="145" t="inlineStr">
        <is>
          <t>폐기번호</t>
        </is>
      </c>
      <c r="B3" s="146" t="n"/>
      <c r="C3" s="100" t="n"/>
      <c r="D3" s="147">
        <f>IF(폐기보고서!B5="","",폐기보고서!B5)</f>
        <v/>
      </c>
      <c r="E3" s="146" t="n"/>
      <c r="F3" s="100" t="n"/>
      <c r="G3" s="148" t="inlineStr">
        <is>
          <t>NCR/CAPA 번호</t>
        </is>
      </c>
      <c r="H3" s="146" t="n"/>
      <c r="I3" s="100" t="n"/>
      <c r="J3" s="147">
        <f>IF(폐기보고서!J6="","",폐기보고서!J6)</f>
        <v/>
      </c>
      <c r="K3" s="146" t="n"/>
      <c r="L3" s="100" t="n"/>
    </row>
    <row r="4" ht="27" customHeight="1" s="80">
      <c r="A4" s="145" t="inlineStr">
        <is>
          <t>폐기 사전승인일</t>
        </is>
      </c>
      <c r="B4" s="146" t="n"/>
      <c r="C4" s="100" t="n"/>
      <c r="D4" s="149" t="n"/>
      <c r="E4" s="146" t="n"/>
      <c r="F4" s="100" t="n"/>
      <c r="G4" s="145" t="inlineStr">
        <is>
          <t>실제 폐기완료일</t>
        </is>
      </c>
      <c r="H4" s="146" t="n"/>
      <c r="I4" s="100" t="n"/>
      <c r="J4" s="149" t="n"/>
      <c r="K4" s="146" t="n"/>
      <c r="L4" s="100" t="n"/>
    </row>
    <row r="5" ht="27" customHeight="1" s="80">
      <c r="A5" s="145" t="inlineStr">
        <is>
          <t>승인자 성명/서명</t>
        </is>
      </c>
      <c r="B5" s="146" t="n"/>
      <c r="C5" s="100" t="n"/>
      <c r="D5" s="150" t="n"/>
      <c r="E5" s="146" t="n"/>
      <c r="F5" s="100" t="n"/>
      <c r="G5" s="145" t="inlineStr">
        <is>
          <t>폐기 실시자 성명/서명</t>
        </is>
      </c>
      <c r="H5" s="146" t="n"/>
      <c r="I5" s="100" t="n"/>
      <c r="J5" s="150" t="n"/>
      <c r="K5" s="146" t="n"/>
      <c r="L5" s="100" t="n"/>
    </row>
    <row r="6" ht="27" customHeight="1" s="80">
      <c r="A6" s="145" t="inlineStr">
        <is>
          <t>폐기 방법</t>
        </is>
      </c>
      <c r="B6" s="146" t="n"/>
      <c r="C6" s="100" t="n"/>
      <c r="D6" s="147">
        <f>IF(폐기보고서!B26="","",폐기보고서!B26)</f>
        <v/>
      </c>
      <c r="E6" s="146" t="n"/>
      <c r="F6" s="100" t="n"/>
      <c r="G6" s="145" t="inlineStr">
        <is>
          <t>처리업체 / 장소</t>
        </is>
      </c>
      <c r="H6" s="146" t="n"/>
      <c r="I6" s="100" t="n"/>
      <c r="J6" s="147">
        <f>IF(폐기보고서!F26="","",폐기보고서!F26&amp;" / "&amp;폐기보고서!J27)</f>
        <v/>
      </c>
      <c r="K6" s="146" t="n"/>
      <c r="L6" s="100" t="n"/>
    </row>
    <row r="7" ht="24.75" customHeight="1" s="80">
      <c r="A7" s="151" t="inlineStr">
        <is>
          <t>1. 품목별 실제 폐기수량 및 LOT·재고 기록 확인</t>
        </is>
      </c>
      <c r="B7" s="146" t="n"/>
      <c r="C7" s="146" t="n"/>
      <c r="D7" s="146" t="n"/>
      <c r="E7" s="146" t="n"/>
      <c r="F7" s="146" t="n"/>
      <c r="G7" s="146" t="n"/>
      <c r="H7" s="146" t="n"/>
      <c r="I7" s="146" t="n"/>
      <c r="J7" s="146" t="n"/>
      <c r="K7" s="146" t="n"/>
      <c r="L7" s="100" t="n"/>
    </row>
    <row r="8" ht="30" customHeight="1" s="80">
      <c r="A8" s="152" t="inlineStr">
        <is>
          <t>No.</t>
        </is>
      </c>
      <c r="B8" s="153" t="inlineStr">
        <is>
          <t>품번</t>
        </is>
      </c>
      <c r="C8" s="100" t="n"/>
      <c r="D8" s="152" t="inlineStr">
        <is>
          <t>LOT No.</t>
        </is>
      </c>
      <c r="E8" s="100" t="n"/>
      <c r="F8" s="153" t="inlineStr">
        <is>
          <t>보고수량</t>
        </is>
      </c>
      <c r="G8" s="153" t="inlineStr">
        <is>
          <t>실폐기량</t>
        </is>
      </c>
      <c r="H8" s="153" t="inlineStr">
        <is>
          <t>단위</t>
        </is>
      </c>
      <c r="I8" s="153" t="inlineStr">
        <is>
          <t>차이</t>
        </is>
      </c>
      <c r="J8" s="152" t="inlineStr">
        <is>
          <t>LOT 이력번호</t>
        </is>
      </c>
      <c r="K8" s="153" t="inlineStr">
        <is>
          <t>재고 전표번호</t>
        </is>
      </c>
      <c r="L8" s="153" t="inlineStr">
        <is>
          <t>차감일</t>
        </is>
      </c>
    </row>
    <row r="9" ht="28.5" customHeight="1" s="80">
      <c r="A9" s="154">
        <f>IF(폐기보고서!B10="","",폐기보고서!A10)</f>
        <v/>
      </c>
      <c r="B9" s="154">
        <f>IF(폐기보고서!D10="","",폐기보고서!D10)</f>
        <v/>
      </c>
      <c r="C9" s="100" t="n"/>
      <c r="D9" s="154">
        <f>IF(폐기보고서!E10="","",폐기보고서!E10)</f>
        <v/>
      </c>
      <c r="E9" s="100" t="n"/>
      <c r="F9" s="155">
        <f>IF(폐기보고서!G10="","",폐기보고서!G10)</f>
        <v/>
      </c>
      <c r="G9" s="156" t="n"/>
      <c r="H9" s="155">
        <f>IF(폐기보고서!H10="","",폐기보고서!H10)</f>
        <v/>
      </c>
      <c r="I9" s="155">
        <f>IF(OR(F9="",G9=""),"",G9-F9)</f>
        <v/>
      </c>
      <c r="J9" s="157" t="n"/>
      <c r="K9" s="157" t="n"/>
      <c r="L9" s="158" t="n"/>
    </row>
    <row r="10" ht="28.5" customHeight="1" s="80">
      <c r="A10" s="159">
        <f>IF(폐기보고서!B11="","",폐기보고서!A11)</f>
        <v/>
      </c>
      <c r="B10" s="159">
        <f>IF(폐기보고서!D11="","",폐기보고서!D11)</f>
        <v/>
      </c>
      <c r="C10" s="100" t="n"/>
      <c r="D10" s="159">
        <f>IF(폐기보고서!E11="","",폐기보고서!E11)</f>
        <v/>
      </c>
      <c r="E10" s="100" t="n"/>
      <c r="F10" s="160">
        <f>IF(폐기보고서!G11="","",폐기보고서!G11)</f>
        <v/>
      </c>
      <c r="G10" s="156" t="n"/>
      <c r="H10" s="160">
        <f>IF(폐기보고서!H11="","",폐기보고서!H11)</f>
        <v/>
      </c>
      <c r="I10" s="160">
        <f>IF(OR(F10="",G10=""),"",G10-F10)</f>
        <v/>
      </c>
      <c r="J10" s="157" t="n"/>
      <c r="K10" s="157" t="n"/>
      <c r="L10" s="158" t="n"/>
    </row>
    <row r="11" ht="28.5" customHeight="1" s="80">
      <c r="A11" s="154">
        <f>IF(폐기보고서!B12="","",폐기보고서!A12)</f>
        <v/>
      </c>
      <c r="B11" s="154">
        <f>IF(폐기보고서!D12="","",폐기보고서!D12)</f>
        <v/>
      </c>
      <c r="C11" s="100" t="n"/>
      <c r="D11" s="154">
        <f>IF(폐기보고서!E12="","",폐기보고서!E12)</f>
        <v/>
      </c>
      <c r="E11" s="100" t="n"/>
      <c r="F11" s="155">
        <f>IF(폐기보고서!G12="","",폐기보고서!G12)</f>
        <v/>
      </c>
      <c r="G11" s="156" t="n"/>
      <c r="H11" s="155">
        <f>IF(폐기보고서!H12="","",폐기보고서!H12)</f>
        <v/>
      </c>
      <c r="I11" s="155">
        <f>IF(OR(F11="",G11=""),"",G11-F11)</f>
        <v/>
      </c>
      <c r="J11" s="157" t="n"/>
      <c r="K11" s="157" t="n"/>
      <c r="L11" s="158" t="n"/>
    </row>
    <row r="12" ht="28.5" customHeight="1" s="80">
      <c r="A12" s="159">
        <f>IF(폐기보고서!B13="","",폐기보고서!A13)</f>
        <v/>
      </c>
      <c r="B12" s="159">
        <f>IF(폐기보고서!D13="","",폐기보고서!D13)</f>
        <v/>
      </c>
      <c r="C12" s="100" t="n"/>
      <c r="D12" s="159">
        <f>IF(폐기보고서!E13="","",폐기보고서!E13)</f>
        <v/>
      </c>
      <c r="E12" s="100" t="n"/>
      <c r="F12" s="160">
        <f>IF(폐기보고서!G13="","",폐기보고서!G13)</f>
        <v/>
      </c>
      <c r="G12" s="156" t="n"/>
      <c r="H12" s="160">
        <f>IF(폐기보고서!H13="","",폐기보고서!H13)</f>
        <v/>
      </c>
      <c r="I12" s="160">
        <f>IF(OR(F12="",G12=""),"",G12-F12)</f>
        <v/>
      </c>
      <c r="J12" s="157" t="n"/>
      <c r="K12" s="157" t="n"/>
      <c r="L12" s="158" t="n"/>
    </row>
    <row r="13" ht="28.5" customHeight="1" s="80">
      <c r="A13" s="154">
        <f>IF(폐기보고서!B14="","",폐기보고서!A14)</f>
        <v/>
      </c>
      <c r="B13" s="154">
        <f>IF(폐기보고서!D14="","",폐기보고서!D14)</f>
        <v/>
      </c>
      <c r="C13" s="100" t="n"/>
      <c r="D13" s="154">
        <f>IF(폐기보고서!E14="","",폐기보고서!E14)</f>
        <v/>
      </c>
      <c r="E13" s="100" t="n"/>
      <c r="F13" s="155">
        <f>IF(폐기보고서!G14="","",폐기보고서!G14)</f>
        <v/>
      </c>
      <c r="G13" s="156" t="n"/>
      <c r="H13" s="155">
        <f>IF(폐기보고서!H14="","",폐기보고서!H14)</f>
        <v/>
      </c>
      <c r="I13" s="155">
        <f>IF(OR(F13="",G13=""),"",G13-F13)</f>
        <v/>
      </c>
      <c r="J13" s="157" t="n"/>
      <c r="K13" s="157" t="n"/>
      <c r="L13" s="158" t="n"/>
    </row>
    <row r="14" ht="28.5" customHeight="1" s="80">
      <c r="A14" s="159">
        <f>IF(폐기보고서!B15="","",폐기보고서!A15)</f>
        <v/>
      </c>
      <c r="B14" s="159">
        <f>IF(폐기보고서!D15="","",폐기보고서!D15)</f>
        <v/>
      </c>
      <c r="C14" s="100" t="n"/>
      <c r="D14" s="159">
        <f>IF(폐기보고서!E15="","",폐기보고서!E15)</f>
        <v/>
      </c>
      <c r="E14" s="100" t="n"/>
      <c r="F14" s="160">
        <f>IF(폐기보고서!G15="","",폐기보고서!G15)</f>
        <v/>
      </c>
      <c r="G14" s="156" t="n"/>
      <c r="H14" s="160">
        <f>IF(폐기보고서!H15="","",폐기보고서!H15)</f>
        <v/>
      </c>
      <c r="I14" s="160">
        <f>IF(OR(F14="",G14=""),"",G14-F14)</f>
        <v/>
      </c>
      <c r="J14" s="157" t="n"/>
      <c r="K14" s="157" t="n"/>
      <c r="L14" s="158" t="n"/>
    </row>
    <row r="15" ht="28.5" customHeight="1" s="80">
      <c r="A15" s="154">
        <f>IF(폐기보고서!B16="","",폐기보고서!A16)</f>
        <v/>
      </c>
      <c r="B15" s="154">
        <f>IF(폐기보고서!D16="","",폐기보고서!D16)</f>
        <v/>
      </c>
      <c r="C15" s="100" t="n"/>
      <c r="D15" s="154">
        <f>IF(폐기보고서!E16="","",폐기보고서!E16)</f>
        <v/>
      </c>
      <c r="E15" s="100" t="n"/>
      <c r="F15" s="155">
        <f>IF(폐기보고서!G16="","",폐기보고서!G16)</f>
        <v/>
      </c>
      <c r="G15" s="156" t="n"/>
      <c r="H15" s="155">
        <f>IF(폐기보고서!H16="","",폐기보고서!H16)</f>
        <v/>
      </c>
      <c r="I15" s="155">
        <f>IF(OR(F15="",G15=""),"",G15-F15)</f>
        <v/>
      </c>
      <c r="J15" s="157" t="n"/>
      <c r="K15" s="157" t="n"/>
      <c r="L15" s="158" t="n"/>
    </row>
    <row r="16" ht="28.5" customHeight="1" s="80">
      <c r="A16" s="159">
        <f>IF(폐기보고서!B17="","",폐기보고서!A17)</f>
        <v/>
      </c>
      <c r="B16" s="159">
        <f>IF(폐기보고서!D17="","",폐기보고서!D17)</f>
        <v/>
      </c>
      <c r="C16" s="100" t="n"/>
      <c r="D16" s="159">
        <f>IF(폐기보고서!E17="","",폐기보고서!E17)</f>
        <v/>
      </c>
      <c r="E16" s="100" t="n"/>
      <c r="F16" s="160">
        <f>IF(폐기보고서!G17="","",폐기보고서!G17)</f>
        <v/>
      </c>
      <c r="G16" s="156" t="n"/>
      <c r="H16" s="160">
        <f>IF(폐기보고서!H17="","",폐기보고서!H17)</f>
        <v/>
      </c>
      <c r="I16" s="160">
        <f>IF(OR(F16="",G16=""),"",G16-F16)</f>
        <v/>
      </c>
      <c r="J16" s="157" t="n"/>
      <c r="K16" s="157" t="n"/>
      <c r="L16" s="158" t="n"/>
    </row>
    <row r="17" ht="28.5" customHeight="1" s="80">
      <c r="A17" s="154">
        <f>IF(폐기보고서!B18="","",폐기보고서!A18)</f>
        <v/>
      </c>
      <c r="B17" s="154">
        <f>IF(폐기보고서!D18="","",폐기보고서!D18)</f>
        <v/>
      </c>
      <c r="C17" s="100" t="n"/>
      <c r="D17" s="154">
        <f>IF(폐기보고서!E18="","",폐기보고서!E18)</f>
        <v/>
      </c>
      <c r="E17" s="100" t="n"/>
      <c r="F17" s="155">
        <f>IF(폐기보고서!G18="","",폐기보고서!G18)</f>
        <v/>
      </c>
      <c r="G17" s="156" t="n"/>
      <c r="H17" s="155">
        <f>IF(폐기보고서!H18="","",폐기보고서!H18)</f>
        <v/>
      </c>
      <c r="I17" s="155">
        <f>IF(OR(F17="",G17=""),"",G17-F17)</f>
        <v/>
      </c>
      <c r="J17" s="157" t="n"/>
      <c r="K17" s="157" t="n"/>
      <c r="L17" s="158" t="n"/>
    </row>
    <row r="18" ht="28.5" customHeight="1" s="80">
      <c r="A18" s="159">
        <f>IF(폐기보고서!B19="","",폐기보고서!A19)</f>
        <v/>
      </c>
      <c r="B18" s="159">
        <f>IF(폐기보고서!D19="","",폐기보고서!D19)</f>
        <v/>
      </c>
      <c r="C18" s="100" t="n"/>
      <c r="D18" s="159">
        <f>IF(폐기보고서!E19="","",폐기보고서!E19)</f>
        <v/>
      </c>
      <c r="E18" s="100" t="n"/>
      <c r="F18" s="160">
        <f>IF(폐기보고서!G19="","",폐기보고서!G19)</f>
        <v/>
      </c>
      <c r="G18" s="156" t="n"/>
      <c r="H18" s="160">
        <f>IF(폐기보고서!H19="","",폐기보고서!H19)</f>
        <v/>
      </c>
      <c r="I18" s="160">
        <f>IF(OR(F18="",G18=""),"",G18-F18)</f>
        <v/>
      </c>
      <c r="J18" s="157" t="n"/>
      <c r="K18" s="157" t="n"/>
      <c r="L18" s="158" t="n"/>
    </row>
    <row r="19" ht="27" customHeight="1" s="80">
      <c r="A19" s="161" t="inlineStr">
        <is>
          <t>보고 품목 수</t>
        </is>
      </c>
      <c r="B19" s="146" t="n"/>
      <c r="C19" s="146" t="n"/>
      <c r="D19" s="146" t="n"/>
      <c r="E19" s="100" t="n"/>
      <c r="F19" s="162">
        <f>COUNT(폐기보고서!G10:G19)</f>
        <v/>
      </c>
      <c r="G19" s="161" t="inlineStr">
        <is>
          <t>폐기확인 품목 수</t>
        </is>
      </c>
      <c r="H19" s="100" t="n"/>
      <c r="I19" s="162">
        <f>COUNT(G9:G18)</f>
        <v/>
      </c>
      <c r="J19" s="161" t="inlineStr">
        <is>
          <t>불일치 품목 수</t>
        </is>
      </c>
      <c r="K19" s="100" t="n"/>
      <c r="L19" s="162">
        <f>COUNTIF(I9:I18,"&gt;0")+COUNTIF(I9:I18,"&lt;0")</f>
        <v/>
      </c>
    </row>
    <row r="20" ht="27" customHeight="1" s="80">
      <c r="A20" s="145" t="inlineStr">
        <is>
          <t>종합 대조 결과</t>
        </is>
      </c>
      <c r="B20" s="146" t="n"/>
      <c r="C20" s="100" t="n"/>
      <c r="D20" s="163">
        <f>IF(F19=0,"폐기 대상 품목을 입력하세요",IF(D4="","폐기 사전승인일 미입력",IF(J4="","실제 폐기완료일 미입력",IF(I19&lt;F19,"품목별 실제 폐기수량 미입력",IF(L19&gt;0,"폐기수량 불일치: 원인 확인 필요",IF(COUNTIF(J9:J18,"?*")&lt;F19,"LOT 추적이력번호 미입력",IF(COUNTIF(K9:K18,"?*")&lt;F19,"재고 차감 전표번호 미입력",IF(COUNT(L9:L18)&lt;F19,"재고 차감일 미입력","대조 완료: 승인·증빙 확인 후 종결"))))))))</f>
        <v/>
      </c>
      <c r="E20" s="140" t="n"/>
      <c r="F20" s="140" t="n"/>
      <c r="G20" s="140" t="n"/>
      <c r="H20" s="140" t="n"/>
      <c r="I20" s="140" t="n"/>
      <c r="J20" s="140" t="n"/>
      <c r="K20" s="140" t="n"/>
      <c r="L20" s="141" t="n"/>
    </row>
    <row r="21" ht="27" customHeight="1" s="80">
      <c r="A21" s="164" t="n"/>
      <c r="B21" s="164" t="n"/>
      <c r="C21" s="164" t="n"/>
      <c r="D21" s="142" t="n"/>
      <c r="E21" s="143" t="n"/>
      <c r="F21" s="143" t="n"/>
      <c r="G21" s="143" t="n"/>
      <c r="H21" s="143" t="n"/>
      <c r="I21" s="143" t="n"/>
      <c r="J21" s="143" t="n"/>
      <c r="K21" s="143" t="n"/>
      <c r="L21" s="144" t="n"/>
    </row>
    <row r="22" ht="22.5" customHeight="1" s="80">
      <c r="A22" s="165" t="inlineStr">
        <is>
          <t>※ 차이 = 실폐기량 − 보고수량. LOT 이력번호·재고전표번호는 폐기 후 원본 기록과 대조하여 입력합니다.</t>
        </is>
      </c>
    </row>
    <row r="23" ht="24.75" customHeight="1" s="80">
      <c r="A23" s="151" t="inlineStr">
        <is>
          <t>2. 처리증빙 및 고객통보 이력</t>
        </is>
      </c>
      <c r="B23" s="146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00" t="n"/>
    </row>
    <row r="24" ht="27" customHeight="1" s="80">
      <c r="A24" s="161" t="inlineStr">
        <is>
          <t>외부 인계/계량표 번호</t>
        </is>
      </c>
      <c r="B24" s="146" t="n"/>
      <c r="C24" s="100" t="n"/>
      <c r="D24" s="161" t="inlineStr">
        <is>
          <t>폐기증빙·사진 파일명</t>
        </is>
      </c>
      <c r="E24" s="146" t="n"/>
      <c r="F24" s="100" t="n"/>
      <c r="G24" s="161" t="inlineStr">
        <is>
          <t>고객 통보 근거번호</t>
        </is>
      </c>
      <c r="H24" s="146" t="n"/>
      <c r="I24" s="100" t="n"/>
      <c r="J24" s="161" t="inlineStr">
        <is>
          <t>고객 통보일(해당 시)</t>
        </is>
      </c>
      <c r="K24" s="146" t="n"/>
      <c r="L24" s="100" t="n"/>
    </row>
    <row r="25" ht="27" customHeight="1" s="80">
      <c r="A25" s="150" t="n"/>
      <c r="B25" s="146" t="n"/>
      <c r="C25" s="100" t="n"/>
      <c r="D25" s="150" t="n"/>
      <c r="E25" s="146" t="n"/>
      <c r="F25" s="100" t="n"/>
      <c r="G25" s="150" t="n"/>
      <c r="H25" s="146" t="n"/>
      <c r="I25" s="100" t="n"/>
      <c r="J25" s="149" t="n"/>
      <c r="K25" s="146" t="n"/>
      <c r="L25" s="100" t="n"/>
    </row>
    <row r="26" ht="27" customHeight="1" s="80">
      <c r="A26" s="161" t="inlineStr">
        <is>
          <t>격리 해제 / 재고 정리</t>
        </is>
      </c>
      <c r="B26" s="146" t="n"/>
      <c r="C26" s="100" t="n"/>
      <c r="D26" s="157" t="n"/>
      <c r="E26" s="146" t="n"/>
      <c r="F26" s="100" t="n"/>
      <c r="G26" s="161" t="inlineStr">
        <is>
          <t>완료 확인일</t>
        </is>
      </c>
      <c r="H26" s="146" t="n"/>
      <c r="I26" s="100" t="n"/>
      <c r="J26" s="158" t="n"/>
      <c r="K26" s="146" t="n"/>
      <c r="L26" s="100" t="n"/>
    </row>
    <row r="27" ht="27" customHeight="1" s="80">
      <c r="A27" s="166" t="inlineStr">
        <is>
          <t>* 수량 일치만으로 종결되지 않습니다. 승인·인계증빙·LOT/재고 처리 상태를 함께 확인하세요.</t>
        </is>
      </c>
    </row>
    <row r="28" ht="24.75" customHeight="1" s="80">
      <c r="A28" s="151" t="inlineStr">
        <is>
          <t>3. 최종 확인 및 기록 보존</t>
        </is>
      </c>
      <c r="B28" s="146" t="n"/>
      <c r="C28" s="146" t="n"/>
      <c r="D28" s="146" t="n"/>
      <c r="E28" s="146" t="n"/>
      <c r="F28" s="146" t="n"/>
      <c r="G28" s="146" t="n"/>
      <c r="H28" s="146" t="n"/>
      <c r="I28" s="146" t="n"/>
      <c r="J28" s="146" t="n"/>
      <c r="K28" s="146" t="n"/>
      <c r="L28" s="100" t="n"/>
    </row>
    <row r="29" ht="27" customHeight="1" s="80">
      <c r="A29" s="145" t="inlineStr">
        <is>
          <t>품질 최종 확인자</t>
        </is>
      </c>
      <c r="B29" s="146" t="n"/>
      <c r="C29" s="100" t="n"/>
      <c r="D29" s="145" t="inlineStr">
        <is>
          <t>재고관리 확인자</t>
        </is>
      </c>
      <c r="E29" s="146" t="n"/>
      <c r="F29" s="100" t="n"/>
      <c r="G29" s="145" t="inlineStr">
        <is>
          <t>현장 폐기 입회자</t>
        </is>
      </c>
      <c r="H29" s="146" t="n"/>
      <c r="I29" s="100" t="n"/>
      <c r="J29" s="145" t="inlineStr">
        <is>
          <t>최종 승인자</t>
        </is>
      </c>
      <c r="K29" s="146" t="n"/>
      <c r="L29" s="100" t="n"/>
    </row>
    <row r="30" ht="37.5" customHeight="1" s="80">
      <c r="A30" s="150" t="n"/>
      <c r="B30" s="146" t="n"/>
      <c r="C30" s="100" t="n"/>
      <c r="D30" s="150" t="n"/>
      <c r="E30" s="146" t="n"/>
      <c r="F30" s="100" t="n"/>
      <c r="G30" s="150" t="n"/>
      <c r="H30" s="146" t="n"/>
      <c r="I30" s="100" t="n"/>
      <c r="J30" s="150" t="n"/>
      <c r="K30" s="146" t="n"/>
      <c r="L30" s="100" t="n"/>
    </row>
    <row r="31" ht="27" customHeight="1" s="80">
      <c r="A31" s="145" t="inlineStr">
        <is>
          <t>처리 완료 적합성</t>
        </is>
      </c>
      <c r="B31" s="146" t="n"/>
      <c r="C31" s="100" t="n"/>
      <c r="D31" s="150" t="n"/>
      <c r="E31" s="146" t="n"/>
      <c r="F31" s="100" t="n"/>
      <c r="G31" s="145" t="inlineStr">
        <is>
          <t>승인/반려일</t>
        </is>
      </c>
      <c r="H31" s="146" t="n"/>
      <c r="I31" s="100" t="n"/>
      <c r="J31" s="149" t="n"/>
      <c r="K31" s="146" t="n"/>
      <c r="L31" s="100" t="n"/>
    </row>
    <row r="32" ht="27" customHeight="1" s="80">
      <c r="A32" s="167" t="inlineStr">
        <is>
          <t>작성 순서: 폐기보고서 작성·승인 → 실제 폐기 → 실폐기량/LOT/재고 확인 → 증빙 첨부 → 최종 승인</t>
        </is>
      </c>
    </row>
    <row r="33" ht="27" customHeight="1" s="80">
      <c r="A33" s="165" t="inlineStr">
        <is>
          <t>작성자 입력: 연노랑 | 자동 연계·수식: 연파랑  /  원본 증빙은 승인된 전자문서 또는 관리대장에 별도 보관</t>
        </is>
      </c>
    </row>
    <row r="34" ht="33.75" customHeight="1" s="80">
      <c r="A34" s="168" t="inlineStr">
        <is>
          <t>SH-FM-369 | Rev.00 | 문서상태: 개정초안(미승인) | 폐기보고서 부속 확인서 | NCR·8D / LOT 이력 / 재고 전표 연계</t>
        </is>
      </c>
    </row>
    <row r="35" ht="18" customHeight="1" s="80">
      <c r="A35" s="169" t="inlineStr">
        <is>
          <t>※ LOT 추적 기록은 SH-QP-018 기준(보존기간 5년, 입고~출하 추적 목표시간 1시간)을 따른다.</t>
        </is>
      </c>
    </row>
  </sheetData>
  <mergeCells count="77">
    <mergeCell ref="J19:K19"/>
    <mergeCell ref="A26:C26"/>
    <mergeCell ref="B12:C12"/>
    <mergeCell ref="G24:I24"/>
    <mergeCell ref="J25:L25"/>
    <mergeCell ref="D13:E13"/>
    <mergeCell ref="A23:L23"/>
    <mergeCell ref="A1:L2"/>
    <mergeCell ref="B14:C14"/>
    <mergeCell ref="G26:I26"/>
    <mergeCell ref="D30:F30"/>
    <mergeCell ref="J3:L3"/>
    <mergeCell ref="B13:C13"/>
    <mergeCell ref="D29:F29"/>
    <mergeCell ref="A34:L34"/>
    <mergeCell ref="J29:L29"/>
    <mergeCell ref="A6:C6"/>
    <mergeCell ref="J24:L24"/>
    <mergeCell ref="B16:C16"/>
    <mergeCell ref="D10:E10"/>
    <mergeCell ref="G6:I6"/>
    <mergeCell ref="D20:L21"/>
    <mergeCell ref="A3:C3"/>
    <mergeCell ref="J26:L26"/>
    <mergeCell ref="B18:C18"/>
    <mergeCell ref="G30:I30"/>
    <mergeCell ref="A5:C5"/>
    <mergeCell ref="B11:C11"/>
    <mergeCell ref="D11:E11"/>
    <mergeCell ref="A32:L32"/>
    <mergeCell ref="D3:F3"/>
    <mergeCell ref="G4:I4"/>
    <mergeCell ref="A29:C29"/>
    <mergeCell ref="A4:C4"/>
    <mergeCell ref="D25:F25"/>
    <mergeCell ref="D5:F5"/>
    <mergeCell ref="A31:C31"/>
    <mergeCell ref="D9:E9"/>
    <mergeCell ref="A24:C24"/>
    <mergeCell ref="J5:L5"/>
    <mergeCell ref="B15:C15"/>
    <mergeCell ref="D15:E15"/>
    <mergeCell ref="D31:F31"/>
    <mergeCell ref="J30:L30"/>
    <mergeCell ref="A25:C25"/>
    <mergeCell ref="J6:L6"/>
    <mergeCell ref="G3:I3"/>
    <mergeCell ref="J4:L4"/>
    <mergeCell ref="G5:I5"/>
    <mergeCell ref="A22:L22"/>
    <mergeCell ref="B17:C17"/>
    <mergeCell ref="G29:I29"/>
    <mergeCell ref="D17:E17"/>
    <mergeCell ref="A20:C20"/>
    <mergeCell ref="G31:I31"/>
    <mergeCell ref="A30:C30"/>
    <mergeCell ref="B9:C9"/>
    <mergeCell ref="D12:E12"/>
    <mergeCell ref="D14:E14"/>
    <mergeCell ref="D6:F6"/>
    <mergeCell ref="A7:L7"/>
    <mergeCell ref="A27:L27"/>
    <mergeCell ref="A33:L33"/>
    <mergeCell ref="D4:F4"/>
    <mergeCell ref="J31:L31"/>
    <mergeCell ref="G19:H19"/>
    <mergeCell ref="B8:C8"/>
    <mergeCell ref="A35:L35"/>
    <mergeCell ref="D24:F24"/>
    <mergeCell ref="G25:I25"/>
    <mergeCell ref="D16:E16"/>
    <mergeCell ref="A28:L28"/>
    <mergeCell ref="B10:C10"/>
    <mergeCell ref="D26:F26"/>
    <mergeCell ref="D18:E18"/>
    <mergeCell ref="D8:E8"/>
    <mergeCell ref="A19:E19"/>
  </mergeCells>
  <conditionalFormatting sqref="I9:I18">
    <cfRule type="expression" rank="0" priority="2" equalAverage="0" aboveAverage="0" dxfId="0" percent="0" bottom="0">
      <formula>AND(ISNUMBER(I9),I9&lt;&gt;0)</formula>
    </cfRule>
    <cfRule type="expression" rank="0" priority="3" equalAverage="0" aboveAverage="0" dxfId="1" percent="0" bottom="0">
      <formula>AND(ISNUMBER(I9),I9=0)</formula>
    </cfRule>
  </conditionalFormatting>
  <conditionalFormatting sqref="D20:L21">
    <cfRule type="expression" rank="0" priority="4" equalAverage="0" aboveAverage="0" dxfId="2" percent="0" bottom="0">
      <formula>AND($F$19&gt;0,LEFT($D$20,4)&lt;&gt;"대조 완료")</formula>
    </cfRule>
  </conditionalFormatting>
  <dataValidations count="3">
    <dataValidation sqref="G9:G18" showDropDown="0" showInputMessage="0" showErrorMessage="1" allowBlank="1" errorTitle="수량 오류" error="실폐기량은 0 이상의 숫자로 입력하세요. (미폐기는 0)" type="decimal" errorStyle="stop" operator="greaterThanOrEqual">
      <formula1>0</formula1>
      <formula2>0</formula2>
    </dataValidation>
    <dataValidation sqref="D26:F26" showDropDown="0" showInputMessage="0" showErrorMessage="1" allowBlank="1" errorTitle="선택 목록 확인" error="정해진 목록에서 값을 선택하세요." type="list" errorStyle="stop" operator="between">
      <formula1>"해당없음,완료,조치중"</formula1>
      <formula2>0</formula2>
    </dataValidation>
    <dataValidation sqref="D31:F31" showDropDown="0" showInputMessage="0" showErrorMessage="1" allowBlank="1" errorTitle="선택 목록 확인" error="정해진 목록에서 값을 선택하세요." type="list" errorStyle="stop" operator="between">
      <formula1>"최종 승인,보완 후 승인,반려"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2026-10-28T04:14:08Z</dcterms:created>
  <dcterms:modified xmlns:dcterms="http://purl.org/dc/terms/" xmlns:xsi="http://www.w3.org/2001/XMLSchema-instance" xsi:type="dcterms:W3CDTF">2026-10-28T04:14:49Z</dcterms:modified>
</cp:coreProperties>
</file>