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drawings/drawing2.xml" ContentType="application/vnd.openxmlformats-officedocument.drawing+xml"/>
  <Override PartName="/xl/drawings/charts/chart2.xml" ContentType="application/vnd.openxmlformats-officedocument.drawingml.char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bbdd44229b94661" /></Relationships>
</file>

<file path=xl/workbook.xml><?xml version="1.0" encoding="utf-8"?>
<x:workbook xmlns:x="http://schemas.openxmlformats.org/spreadsheetml/2006/main">
  <x:sheets>
    <x:sheet xmlns:r="http://schemas.openxmlformats.org/officeDocument/2006/relationships" name="00_1단계_요약" sheetId="1" r:id="Rc780f1543abe4c83"/>
    <x:sheet xmlns:r="http://schemas.openxmlformats.org/officeDocument/2006/relationships" name="01_일정_담당_증빙" sheetId="2" r:id="Ra15bf5f818284692"/>
    <x:sheet xmlns:r="http://schemas.openxmlformats.org/officeDocument/2006/relationships" name="02_미흡사항_조치" sheetId="3" r:id="R40ffbd47fca546b5"/>
    <x:sheet xmlns:r="http://schemas.openxmlformats.org/officeDocument/2006/relationships" name="03_참고문서" sheetId="4" r:id="R013207855c0c473d"/>
    <x:sheet xmlns:r="http://schemas.openxmlformats.org/officeDocument/2006/relationships" name="04_부서별_역할" sheetId="5" r:id="R964ad1ea6db7409a"/>
    <x:sheet xmlns:r="http://schemas.openxmlformats.org/officeDocument/2006/relationships" name="05_2단계_증빙판정" sheetId="6" r:id="Rb618d7e5d5534ccc"/>
    <x:sheet xmlns:r="http://schemas.openxmlformats.org/officeDocument/2006/relationships" name="06_2단계_요약" sheetId="7" r:id="Rcf81a56d5de14438"/>
    <x:sheet xmlns:r="http://schemas.openxmlformats.org/officeDocument/2006/relationships" name="07_대표품번_교차검증" sheetId="8" r:id="R4524638e22bd4503"/>
    <x:sheet xmlns:r="http://schemas.openxmlformats.org/officeDocument/2006/relationships" name="08_최종_증빙패키지" sheetId="9" r:id="R7c0d7531445b4b58"/>
    <x:sheet xmlns:r="http://schemas.openxmlformats.org/officeDocument/2006/relationships" name="09_모의심사_최종" sheetId="10" r:id="Rf25d7d81d7734c5b"/>
    <x:sheet xmlns:r="http://schemas.openxmlformats.org/officeDocument/2006/relationships" name="10_사용자_정리필수" sheetId="11" r:id="Rb0c9e3de13574dc8"/>
    <x:sheet xmlns:r="http://schemas.openxmlformats.org/officeDocument/2006/relationships" name="11_FINAL_READY_GATE" sheetId="12" r:id="R64bcdd191ed54eed"/>
    <x:sheet xmlns:r="http://schemas.openxmlformats.org/officeDocument/2006/relationships" name="12_심사당일_준비목록" sheetId="13" r:id="Rbfb5a44297d242a4"/>
    <x:sheet xmlns:r="http://schemas.openxmlformats.org/officeDocument/2006/relationships" name="13_원문평가코드" sheetId="14" r:id="R898ab29d053b44fa"/>
    <x:sheet xmlns:r="http://schemas.openxmlformats.org/officeDocument/2006/relationships" name="14_원문상세행" sheetId="15" r:id="R49f1326e49164ff3"/>
    <x:sheet xmlns:r="http://schemas.openxmlformats.org/officeDocument/2006/relationships" name="15_원본점수_검증" sheetId="16" r:id="R225a310757444bf3"/>
    <x:sheet xmlns:r="http://schemas.openxmlformats.org/officeDocument/2006/relationships" name="16_22항목_코드연계" sheetId="17" r:id="Rd3fa440dc06349dd"/>
    <x:sheet xmlns:r="http://schemas.openxmlformats.org/officeDocument/2006/relationships" name="17_사용자_최우선" sheetId="18" r:id="R7f2d1e2ab7384916"/>
    <x:sheet xmlns:r="http://schemas.openxmlformats.org/officeDocument/2006/relationships" name="18_운영안내_보존" sheetId="19" r:id="R6205d0cc36a84dc1"/>
    <x:sheet xmlns:r="http://schemas.openxmlformats.org/officeDocument/2006/relationships" name="19_RG3HEV_대상범위" sheetId="20" r:id="R73ef639da1fc44fe"/>
    <x:sheet xmlns:r="http://schemas.openxmlformats.org/officeDocument/2006/relationships" name="20_품번별_증빙대조" sheetId="21" r:id="R81a7cd1479b94738"/>
    <x:sheet xmlns:r="http://schemas.openxmlformats.org/officeDocument/2006/relationships" name="21_코드별_심사실행" sheetId="22" r:id="R318e8f3842424ecc"/>
    <x:sheet xmlns:r="http://schemas.openxmlformats.org/officeDocument/2006/relationships" name="22_2동_브레이징_점검" sheetId="23" r:id="R1b710b16d65845b0"/>
    <x:sheet xmlns:r="http://schemas.openxmlformats.org/officeDocument/2006/relationships" name="23_도면_사내대조" sheetId="24" r:id="Rd9d089b6741c4f01"/>
    <x:sheet xmlns:r="http://schemas.openxmlformats.org/officeDocument/2006/relationships" name="24_부서별_자료회수" sheetId="25" r:id="Rc759f52e851b4861"/>
    <x:sheet xmlns:r="http://schemas.openxmlformats.org/officeDocument/2006/relationships" name="25_3단계_진척관리" sheetId="26" r:id="Rcb42161ad6814ed4"/>
    <x:sheet xmlns:r="http://schemas.openxmlformats.org/officeDocument/2006/relationships" name="26_Rev05_운영안내" sheetId="27" r:id="Ra7f83761ed824bc7"/>
    <x:sheet xmlns:r="http://schemas.openxmlformats.org/officeDocument/2006/relationships" name="28_검증_CAPA_연계" sheetId="28" r:id="R7f064679b567406a"/>
    <x:sheet xmlns:r="http://schemas.openxmlformats.org/officeDocument/2006/relationships" name="29_6동2동_현장점검" sheetId="29" r:id="Reeeca13c37a64a9b"/>
    <x:sheet xmlns:r="http://schemas.openxmlformats.org/officeDocument/2006/relationships" name="27_4단계_실증현황" sheetId="30" r:id="R4607e606ab554c2d"/>
    <x:sheet xmlns:r="http://schemas.openxmlformats.org/officeDocument/2006/relationships" name="30_Rev06_운영승인" sheetId="31" r:id="R0e61ad51778f47b4"/>
    <x:sheet xmlns:r="http://schemas.openxmlformats.org/officeDocument/2006/relationships" name="31_동별공정_LOT연계" sheetId="32" r:id="Rb628d8c8561e4b35"/>
    <x:sheet xmlns:r="http://schemas.openxmlformats.org/officeDocument/2006/relationships" name="32_2동_기밀검사_실증" sheetId="33" r:id="R2516171d733140dd"/>
    <x:sheet xmlns:r="http://schemas.openxmlformats.org/officeDocument/2006/relationships" name="33_SQ신청서_대조" sheetId="34" r:id="R930f8f55dae64ef0"/>
    <x:sheet xmlns:r="http://schemas.openxmlformats.org/officeDocument/2006/relationships" name="34_Rev07_운영안내" sheetId="35" r:id="Rb47fa6768cc748cf"/>
    <x:sheet xmlns:r="http://schemas.openxmlformats.org/officeDocument/2006/relationships" name="35_Rev08_설비정정이력" sheetId="36" r:id="R6f6da1b2f40d45bc"/>
    <x:sheet xmlns:r="http://schemas.openxmlformats.org/officeDocument/2006/relationships" name="36_전자검사_관리기준" sheetId="37" r:id="Rc0bb157362f64980"/>
    <x:sheet xmlns:r="http://schemas.openxmlformats.org/officeDocument/2006/relationships" name="37_전자검사LOT_원본대사" sheetId="38" r:id="Rf8e53b68d6f942ff"/>
    <x:sheet xmlns:r="http://schemas.openxmlformats.org/officeDocument/2006/relationships" name="38_전자기록_심사시연" sheetId="39" r:id="R02181f1e50ff46ab"/>
    <x:sheet xmlns:r="http://schemas.openxmlformats.org/officeDocument/2006/relationships" name="39_Rev09_실행대시보드" sheetId="40" r:id="R07790f90714247d4"/>
  </x:sheets>
</x:workbook>
</file>

<file path=xl/sharedStrings.xml><?xml version="1.0" encoding="utf-8"?>
<x:sst xmlns:x="http://schemas.openxmlformats.org/spreadsheetml/2006/main">
  <x:si>
    <x:t xml:space="preserve">총 점검항목</x:t>
  </x:si>
  <x:si>
    <x:t xml:space="preserve">실증 보완필요</x:t>
  </x:si>
  <x:si>
    <x:t xml:space="preserve">우선순위 A</x:t>
  </x:si>
  <x:si>
    <x:t xml:space="preserve">통합 미흡사항</x:t>
  </x:si>
  <x:si>
    <x:t xml:space="preserve">마일스톤</x:t>
  </x:si>
  <x:si>
    <x:t xml:space="preserve">단계</x:t>
  </x:si>
  <x:si>
    <x:t xml:space="preserve">주요 산출물 / 완료조건</x:t>
  </x:si>
  <x:si>
    <x:t xml:space="preserve">제안 목표일</x:t>
  </x:si>
  <x:si>
    <x:t xml:space="preserve">주관</x:t>
  </x:si>
  <x:si>
    <x:t xml:space="preserve">현재 상태</x:t>
  </x:si>
  <x:si>
    <x:t xml:space="preserve">M1</x:t>
  </x:si>
  <x:si>
    <x:t xml:space="preserve">기준 확정</x:t>
  </x:si>
  <x:si>
    <x:t xml:space="preserve">한온 최신 SQ 평가기준/대상공정 확보, 22개 항목 적용범위 확정</x:t>
  </x:si>
  <x:si>
    <x:t xml:space="preserve">2026-10-26</x:t>
  </x:si>
  <x:si>
    <x:t xml:space="preserve">영업관리 + 품질</x:t>
  </x:si>
  <x:si>
    <x:t xml:space="preserve">미확인</x:t>
  </x:si>
  <x:si>
    <x:t xml:space="preserve">M2</x:t>
  </x:si>
  <x:si>
    <x:t xml:space="preserve">문서 정합성</x:t>
  </x:si>
  <x:si>
    <x:t xml:space="preserve">공정흐름도-PFMEA-CP-WI-검사기준 및 QMS 개정 대조</x:t>
  </x:si>
  <x:si>
    <x:t xml:space="preserve">2026-10-27</x:t>
  </x:si>
  <x:si>
    <x:t xml:space="preserve">품질 + 개발 + 생산기술</x:t>
  </x:si>
  <x:si>
    <x:t xml:space="preserve">M3</x:t>
  </x:si>
  <x:si>
    <x:t xml:space="preserve">현장 증빙</x:t>
  </x:si>
  <x:si>
    <x:t xml:space="preserve">조건·설비·JIG·검사·계측·부적합·교육 실제 기록 수집</x:t>
  </x:si>
  <x:si>
    <x:t xml:space="preserve">2026-10-29</x:t>
  </x:si>
  <x:si>
    <x:t xml:space="preserve">생산 + 생산기술 + 품질 + 경영관리</x:t>
  </x:si>
  <x:si>
    <x:t xml:space="preserve">M4</x:t>
  </x:si>
  <x:si>
    <x:t xml:space="preserve">Core Tools/추적</x:t>
  </x:si>
  <x:si>
    <x:t xml:space="preserve">MSA·SPC·LOT 모의추적·초품/재가동·중요특성 확인</x:t>
  </x:si>
  <x:si>
    <x:t xml:space="preserve">2026-10-30</x:t>
  </x:si>
  <x:si>
    <x:t xml:space="preserve">품질 + 생산 + 자재</x:t>
  </x:si>
  <x:si>
    <x:t xml:space="preserve">M5</x:t>
  </x:si>
  <x:si>
    <x:t xml:space="preserve">자체점검</x:t>
  </x:si>
  <x:si>
    <x:t xml:space="preserve">22개 항목 자체점검, 미흡사항 담당/기한/증빙 확정</x:t>
  </x:si>
  <x:si>
    <x:t xml:space="preserve">2026-11-02</x:t>
  </x:si>
  <x:si>
    <x:t xml:space="preserve">품질경영본부 + 전 부서</x:t>
  </x:si>
  <x:si>
    <x:t xml:space="preserve">M6</x:t>
  </x:si>
  <x:si>
    <x:t xml:space="preserve">미흡 종결</x:t>
  </x:si>
  <x:si>
    <x:t xml:space="preserve">A급 미흡사항 조치 및 증빙 연결 완료</x:t>
  </x:si>
  <x:si>
    <x:t xml:space="preserve">2026-11-04</x:t>
  </x:si>
  <x:si>
    <x:t xml:space="preserve">각 담당부서</x:t>
  </x:si>
  <x:si>
    <x:t xml:space="preserve">M7</x:t>
  </x:si>
  <x:si>
    <x:t xml:space="preserve">모의심사</x:t>
  </x:si>
  <x:si>
    <x:t xml:space="preserve">현장 질문/문서 추적/브레이징 작업자 인터뷰 모의심사</x:t>
  </x:si>
  <x:si>
    <x:t xml:space="preserve">2026-11-05</x:t>
  </x:si>
  <x:si>
    <x:t xml:space="preserve">품질 + 생산 + 생산기술</x:t>
  </x:si>
  <x:si>
    <x:t xml:space="preserve">M8</x:t>
  </x:si>
  <x:si>
    <x:t xml:space="preserve">최종검토</x:t>
  </x:si>
  <x:si>
    <x:t xml:space="preserve">결재·승인·배포상태, 심사 당일 증빙 패키지 최종 확인</x:t>
  </x:si>
  <x:si>
    <x:t xml:space="preserve">2026-11-06</x:t>
  </x:si>
  <x:si>
    <x:t xml:space="preserve">품질책임자 + 프로세스 책임자</x:t>
  </x:si>
  <x:si>
    <x:t xml:space="preserve">M9</x:t>
  </x:si>
  <x:si>
    <x:t xml:space="preserve">준비완료</x:t>
  </x:si>
  <x:si>
    <x:t xml:space="preserve">SQ 신청/심사 대응 Ready 상태 판정</x:t>
  </x:si>
  <x:si>
    <x:t xml:space="preserve">2026-11-10</x:t>
  </x:si>
  <x:si>
    <x:t xml:space="preserve">품질경영본부</x:t>
  </x:si>
  <x:si>
    <x:t xml:space="preserve">잠정</x:t>
  </x:si>
  <x:si>
    <x:t xml:space="preserve">1단계 판단</x:t>
  </x:si>
  <x:si>
    <x:t xml:space="preserve">현재 문서 기반 준비는 상당 부분 구축되어 있으나, SQ 체크리스트 22개 항목의 실제 점검결과가 대부분 '미확인'이고 증빙번호·확인자·완료일이 비어 있어 심사 Ready 상태로 볼 수 없습니다. 1단계의 핵심은 새로운 양식 작성보다 ① 한온 최신 SQ 기준/대상공정 확정, ② PFMEA·Control Plan·작업표준·검사기준 정합성 확인, ③ 현장 실적/조건/설비/검사/교육 증빙 수집, ④ MSA·SPC·LOT 추적 검증, ⑤ 자체점검 및 미흡사항 종결입니다.</x:t>
  </x:si>
  <x:si>
    <x:t xml:space="preserve">주의: 본 일정은 2026-10-23 기준 '제안 일정'입니다. 실제 한온 SQ 심사일/신청마감은 현재 자료에 확인되지 않아 별도 확정이 필요합니다.</x:t>
  </x:si>
  <x:si>
    <x:t xml:space="preserve">2단계 대조결과: 22개 전 항목이 심사 객관적 증빙 기준에서는 보완필요. 절차·양식은 대부분 존재하지만 실제 운영·승인 원본 확인이 필요하며, LOT 파일의 25분 기록도 '예시행'으로 확인되어 실제 모의추적 재실시가 필요함. 상세는 05_2단계_증빙판정 / 06_2단계_요약 참조.</x:t>
  </x:si>
  <x:si>
    <x:t xml:space="preserve">최종단계 통합 완료: 07 대표품번 교차검증 → 08 증빙패키지 → 09 모의심사 → 10 사용자 정리필수 → 11 FINAL READY GATE → 12 심사당일 준비목록 순서로 사용. 현재 Gate는 NOT READY이며, 10번 시트의 사용자/부서 실자료가 채워져야 해제됩니다.</x:t>
  </x:si>
  <x:si>
    <x:t xml:space="preserve">평가표 연계 Rev.01: 원본 「SQ_진척율 보고 자료 한온시스템 260921.xlsx」(2026-09-07 작성)의 43개 코드기재행·42개 유효 배점그룹(1,000점)과 원문 세부 행을 추가. 원본 관리도 229건은 다른 집계단위이며 수치 불일치/6-12 중복을 15시트에서 관리. 입력은 17_사용자_최우선부터 시작.</x:t>
  </x:si>
  <x:si>
    <x:t xml:space="preserve">No.</x:t>
  </x:si>
  <x:si>
    <x:t xml:space="preserve">구분</x:t>
  </x:si>
  <x:si>
    <x:t xml:space="preserve">점검 항목</x:t>
  </x:si>
  <x:si>
    <x:t xml:space="preserve">담당(현 자료 기준)</x:t>
  </x:si>
  <x:si>
    <x:t xml:space="preserve">필요 증빙</x:t>
  </x:si>
  <x:si>
    <x:t xml:space="preserve">보유/참고 문서</x:t>
  </x:si>
  <x:si>
    <x:t xml:space="preserve">미흡사항·확인 필요</x:t>
  </x:si>
  <x:si>
    <x:t xml:space="preserve">우선순위</x:t>
  </x:si>
  <x:si>
    <x:t xml:space="preserve">종결 기준</x:t>
  </x:si>
  <x:si>
    <x:t xml:space="preserve">신청요건</x:t>
  </x:si>
  <x:si>
    <x:t xml:space="preserve">고객사 최신 SQ 평가기준 및 신청 대상 공정 확인</x:t>
  </x:si>
  <x:si>
    <x:t xml:space="preserve">영업관리본부 신성호 부장 / 품질경영본부 이광재 부장</x:t>
  </x:si>
  <x:si>
    <x:t xml:space="preserve">보완필요</x:t>
  </x:si>
  <x:si>
    <x:t xml:space="preserve">고객사 최신 SQ 평가기준, 대상 공정, 신청/승인 조건</x:t>
  </x:si>
  <x:si>
    <x:t xml:space="preserve">SHINHWA_SQ_PreMeeting_Review_20261023_FIXED.xlsx</x:t>
  </x:si>
  <x:si>
    <x:t xml:space="preserve">한온 공개 Supplier 페이지는 확인했으나 SQ 평가표/개정일/대상공정은 공개 확인되지 않음. HGPS/고객 담당 통해 공식본 확보 필요.</x:t>
  </x:si>
  <x:si>
    <x:t xml:space="preserve">A</x:t>
  </x:si>
  <x:si>
    <x:t xml:space="preserve">최신 기준 문서 확보 + 적용범위 확정 + 내부 공유 기록</x:t>
  </x:si>
  <x:si>
    <x:t xml:space="preserve">공정관리</x:t>
  </x:si>
  <x:si>
    <x:t xml:space="preserve">가공부터 용접까지 공정흐름도 최신화 및 현장 일치 여부</x:t>
  </x:si>
  <x:si>
    <x:t xml:space="preserve">양산품질 이광재 부장 / 조남욱(직급 확인) / 생산관리본부 김흥수 이사</x:t>
  </x:si>
  <x:si>
    <x:t xml:space="preserve">현행 공정흐름도, 현장 공정순서, 공정별 설비/검사 위치</x:t>
  </x:si>
  <x:si>
    <x:t xml:space="preserve">SH_QMS_통합문서_Rev03_20260929.docx</x:t>
  </x:si>
  <x:si>
    <x:t xml:space="preserve">QMS/Core Tools에 연계 기준은 존재하나 대표 품번의 실제 공정흐름도와 현장 순서 대조 증빙이 없음.</x:t>
  </x:si>
  <x:si>
    <x:t xml:space="preserve">현장 워크스루 결과와 공정흐름도 일치 확인</x:t>
  </x:si>
  <x:si>
    <x:t xml:space="preserve">위험분석</x:t>
  </x:si>
  <x:si>
    <x:t xml:space="preserve">PFMEA의 공정 위험요인·예방/검출 관리 반영 여부</x:t>
  </x:si>
  <x:si>
    <x:t xml:space="preserve">양산품질 이광재 부장 / 생산기술 황지환 차장</x:t>
  </x:si>
  <x:si>
    <x:t xml:space="preserve">PFMEA 최신본, 고위험 항목 조치, 변경 이력</x:t>
  </x:si>
  <x:si>
    <x:t xml:space="preserve">SHINHWA_CoreTools_APQP_PPAP_PFMEA_CP_MSA_SPC_Rev00.xlsx</x:t>
  </x:si>
  <x:si>
    <x:t xml:space="preserve">PFMEA 체계·양식은 존재하나 실제 대표 품번/자동화 공정의 S·O·D, 고위험조치, 불량이력 반영 확인이 필요.</x:t>
  </x:si>
  <x:si>
    <x:t xml:space="preserve">PFMEA 최신성 및 현장/불량이력 반영 확인</x:t>
  </x:si>
  <x:si>
    <x:t xml:space="preserve">관리계획</x:t>
  </x:si>
  <x:si>
    <x:t xml:space="preserve">관리계획서의 관리항목·방법·주기·반응계획 적정성</x:t>
  </x:si>
  <x:si>
    <x:t xml:space="preserve">양산품질 이광재 부장 / 생산본부 지성규 부장</x:t>
  </x:si>
  <x:si>
    <x:t xml:space="preserve">Control Plan 최신본, 관리특성·주기·반응계획</x:t>
  </x:si>
  <x:si>
    <x:t xml:space="preserve">Control Plan 양식·연계 구조는 존재하나 대표 품번의 실제 관리특성·주기·반응계획 현장 일치 확인이 필요.</x:t>
  </x:si>
  <x:si>
    <x:t xml:space="preserve">PFMEA/CP/WI/검사기준 상호 일치 확인</x:t>
  </x:si>
  <x:si>
    <x:t xml:space="preserve">작업표준</x:t>
  </x:si>
  <x:si>
    <x:t xml:space="preserve">자동화 설비 운전 및 작업표준서 현장 비치·준수 여부</x:t>
  </x:si>
  <x:si>
    <x:t xml:space="preserve">생산본부 지성규 부장 / 황지환 차장</x:t>
  </x:si>
  <x:si>
    <x:t xml:space="preserve">2026-10-28</x:t>
  </x:si>
  <x:si>
    <x:t xml:space="preserve">최신 작업표준, 현장 비치본, 작업자 확인/교육기록</x:t>
  </x:si>
  <x:si>
    <x:t xml:space="preserve">WI001-030_REV00_INITIAL_ACTIVE_FINAL_QA.pdf</x:t>
  </x:si>
  <x:si>
    <x:t xml:space="preserve">Rev.03 작업표준 체계는 확인되나 현장 게시본, 배포/회수, 실제 작업 준수 증빙과 최신 승인기록 확인이 필요.</x:t>
  </x:si>
  <x:si>
    <x:t xml:space="preserve">승인 최신본 현장 비치 + 실제 작업 일치</x:t>
  </x:si>
  <x:si>
    <x:t xml:space="preserve">검사기준</x:t>
  </x:si>
  <x:si>
    <x:t xml:space="preserve">가공 치수·용접 품질 등 제품별 검사기준 및 합격판정</x:t>
  </x:si>
  <x:si>
    <x:t xml:space="preserve">양산품질 이광재 부장 / 조남욱(직급 확인)</x:t>
  </x:si>
  <x:si>
    <x:t xml:space="preserve">제품별 검사기준서, 도면 특성, 합격/불합격 판정기준</x:t>
  </x:si>
  <x:si>
    <x:t xml:space="preserve">검사 절차 체계는 있으나 제품별 도면특성·합격기준·한도견본/검사기준 최신본의 실제 적용 확인이 필요.</x:t>
  </x:si>
  <x:si>
    <x:t xml:space="preserve">도면/CP/검사기준 일치 + 현장 판정 가능</x:t>
  </x:si>
  <x:si>
    <x:t xml:space="preserve">검사기록</x:t>
  </x:si>
  <x:si>
    <x:t xml:space="preserve">초품·공정·최종검사 기록의 작성 및 추적 가능 여부</x:t>
  </x:si>
  <x:si>
    <x:t xml:space="preserve">초품·공정·최종검사 기록, LOT/작업자/설비 연결정보</x:t>
  </x:si>
  <x:si>
    <x:t xml:space="preserve">SH_FM_Master_Rev00_20260929.xlsx</x:t>
  </x:si>
  <x:si>
    <x:t xml:space="preserve">FM/검사기록 요구사항은 존재하나 최근 생산 LOT의 실제 초품·공정·최종검사 기록 샘플이 확인되지 않음.</x:t>
  </x:si>
  <x:si>
    <x:t xml:space="preserve">최근 생산 LOT 1건 이상 정/역추적 가능</x:t>
  </x:si>
  <x:si>
    <x:t xml:space="preserve">용접조건</x:t>
  </x:si>
  <x:si>
    <x:t xml:space="preserve">생산본부 김흥수 이사 / 황지환 차장</x:t>
  </x:si>
  <x:si>
    <x:t xml:space="preserve">온도/시간/가스압력/프로그램 등 조건표, 이탈·변경기록</x:t>
  </x:si>
  <x:si>
    <x:t xml:space="preserve">브레이징_SQ_예상질문_13pt_테두리적용_FINAL.docx</x:t>
  </x:si>
  <x:si>
    <x:t xml:space="preserve">라인 확인 완료. 실제 용접종류·설비번호·표준조건·허용범위·변경승인·조건이탈 후 영향품 기록은 미확인</x:t>
  </x:si>
  <x:si>
    <x:t xml:space="preserve">승인조건-실제기록-이탈반응-변경승인 연결 확인</x:t>
  </x:si>
  <x:si>
    <x:t xml:space="preserve">설비관리</x:t>
  </x:si>
  <x:si>
    <x:t xml:space="preserve">설비 일상점검·예방보전·고장수리 이력 관리</x:t>
  </x:si>
  <x:si>
    <x:t xml:space="preserve">일상점검표, 예방보전계획/실적, 고장/수리 이력, 치공구 점검</x:t>
  </x:si>
  <x:si>
    <x:t xml:space="preserve">SHINHWA_QMS_Maintenance_Reliability_Rev35.xlsx</x:t>
  </x:si>
  <x:si>
    <x:t xml:space="preserve">설비·JIG 관리 체계는 있으나 SQ 준비자료에 일부 신규 작성 필요 항목이 남아 있고 실제 최근 점검/보전 행이 확인되지 않음.</x:t>
  </x:si>
  <x:si>
    <x:t xml:space="preserve">대상설비별 계획 대비 최근 실적 확인</x:t>
  </x:si>
  <x:si>
    <x:t xml:space="preserve">계측기</x:t>
  </x:si>
  <x:si>
    <x:t xml:space="preserve">검사장비·계측기 교정상태 및 사용 적합성</x:t>
  </x:si>
  <x:si>
    <x:t xml:space="preserve">계측기 목록, 교정성적서, 유효기간, 사용 전 점검</x:t>
  </x:si>
  <x:si>
    <x:t xml:space="preserve">계측기 관리/MSA 요구사항은 확인되나 SQ 대상 계측기 목록·교정성적서·유효기간·검사특성 매핑 실적이 확인되지 않음.</x:t>
  </x:si>
  <x:si>
    <x:t xml:space="preserve">대상 기기 전수 유효 + 식별상태 확인</x:t>
  </x:si>
  <x:si>
    <x:t xml:space="preserve">부적합관리</x:t>
  </x:si>
  <x:si>
    <x:t xml:space="preserve">부적합품 식별·격리·판정·재발방지 기록</x:t>
  </x:si>
  <x:si>
    <x:t xml:space="preserve">부적합 보고, 격리표시, 판정, 재작업/폐기, 시정조치 기록</x:t>
  </x:si>
  <x:si>
    <x:t xml:space="preserve">부적합 격리·판정·재작업 절차는 확인되나 최근 실제 사례의 End-to-End 기록이 확인되지 않음.</x:t>
  </x:si>
  <x:si>
    <x:t xml:space="preserve">최근 사례 1건 End-to-End 증빙 확보</x:t>
  </x:si>
  <x:si>
    <x:t xml:space="preserve">교육/자격</x:t>
  </x:si>
  <x:si>
    <x:t xml:space="preserve">작업자·검사원 교육 및 업무별 자격 확인</x:t>
  </x:si>
  <x:si>
    <x:t xml:space="preserve">경영관리팀 안혜정 대리 / 각 부서 팀장</x:t>
  </x:si>
  <x:si>
    <x:t xml:space="preserve">교육계획/실적, 자격기준, 평가결과, 배치자격 목록</x:t>
  </x:si>
  <x:si>
    <x:t xml:space="preserve">SHINHWA_QMS_Workforce_Competency_Rev34.xlsx</x:t>
  </x:si>
  <x:si>
    <x:t xml:space="preserve">역량/교육/자격 요구와 양식은 확인되나 SQ 대상 작업자·검사원별 실제 교육·자격 유효 기록이 확인되지 않음.</x:t>
  </x:si>
  <x:si>
    <x:t xml:space="preserve">대상자 전원 자격/교육 유효 + 현장 질의 대응</x:t>
  </x:si>
  <x:si>
    <x:t xml:space="preserve">변경관리</x:t>
  </x:si>
  <x:si>
    <x:t xml:space="preserve">도면·자재·공정조건·설비 변경 시 검토 및 승인 기록</x:t>
  </x:si>
  <x:si>
    <x:t xml:space="preserve">개발팀 한상돈 부장·최윤서 과장 / 양산품질 이광재 부장</x:t>
  </x:si>
  <x:si>
    <x:t xml:space="preserve">4M 변경, 도면/사양 변경, 영향평가, 고객승인 필요성 검토</x:t>
  </x:si>
  <x:si>
    <x:t xml:space="preserve">4M 변경관리 체크포인트는 확인되나 최근 실제 변경사례의 영향평가·승인·검증 또는 변경없음 근거가 필요.</x:t>
  </x:si>
  <x:si>
    <x:t xml:space="preserve">최근 변경사례 또는 변경없음 근거 확보</x:t>
  </x:si>
  <x:si>
    <x:t xml:space="preserve">성과관리</x:t>
  </x:si>
  <x:si>
    <x:t xml:space="preserve">불량률·재작업·폐기·생산성·원가 실적 분석</x:t>
  </x:si>
  <x:si>
    <x:t xml:space="preserve">생산관리 이은주 주임 / 양산품질 이광재 부장</x:t>
  </x:si>
  <x:si>
    <x:t xml:space="preserve">생산량·검사량·불량·재작업·폐기·비가동·원가 원자료</x:t>
  </x:si>
  <x:si>
    <x:t xml:space="preserve">자동화 전/후 수치가 있으나 비교기간·원자료·실적/예시 여부가 미확인이라 심사 증빙으로 확정 불가.</x:t>
  </x:si>
  <x:si>
    <x:t xml:space="preserve">동일 품번/동일 기준기간 원자료 대사 + 승인된 분석</x:t>
  </x:si>
  <x:si>
    <x:t xml:space="preserve">SQ 자체점검 실시 및 미흡사항 개선완료 증빙</x:t>
  </x:si>
  <x:si>
    <x:t xml:space="preserve">품질경영본부 김주태 이사(겸임) / 이광재 부장</x:t>
  </x:si>
  <x:si>
    <x:t xml:space="preserve">부서별 자체점검표, 미흡사항 조치대장, 완료 증빙</x:t>
  </x:si>
  <x:si>
    <x:t xml:space="preserve">SQ 체크리스트 자체가 대부분 미확인·미종결이며 증빙번호·확인자·완료일 입력이 필요.</x:t>
  </x:si>
  <x:si>
    <x:t xml:space="preserve">22개 항목 결과 입력 + 미흡사항 책임/기한/증빙 확정</x:t>
  </x:si>
  <x:si>
    <x:t xml:space="preserve">측정 신뢰성</x:t>
  </x:si>
  <x:si>
    <x:t xml:space="preserve">검사방법·계측기별 필요한 MSA 선정 및 유효성 검토</x:t>
  </x:si>
  <x:si>
    <x:t xml:space="preserve">품질팀 / 검사 담당(담당 확정 필요)</x:t>
  </x:si>
  <x:si>
    <x:t xml:space="preserve">MSA 계획, GR&amp;R 등 결과, 판정, 부적합 조치</x:t>
  </x:si>
  <x:si>
    <x:t xml:space="preserve">MSA 양식/판정기준은 존재하나 대표 측정시스템의 실제 GR&amp;R 등 결과가 확인되지 않음.</x:t>
  </x:si>
  <x:si>
    <x:t xml:space="preserve">적용대상 확정 + 유효 결과/조치 기록</x:t>
  </x:si>
  <x:si>
    <x:t xml:space="preserve">공정능력 / SPC</x:t>
  </x:si>
  <x:si>
    <x:t xml:space="preserve">주요 관리특성의 공정능력·SPC 적용 및 이상 반응계획 확인</x:t>
  </x:si>
  <x:si>
    <x:t xml:space="preserve">품질팀 / 생산팀(담당 확정 필요)</x:t>
  </x:si>
  <x:si>
    <x:t xml:space="preserve">관리도, Cp/Cpk 또는 Pp/Ppk, 이상반응 기록</x:t>
  </x:si>
  <x:si>
    <x:t xml:space="preserve">SPC/공정능력 양식·기준은 존재하나 대표 특성의 실제 측정값·관리도·Cpk/Ppk·이상반응 기록이 확인되지 않음.</x:t>
  </x:si>
  <x:si>
    <x:t xml:space="preserve">대상특성 선정 + 최신 분석 + 이상반응 기록</x:t>
  </x:si>
  <x:si>
    <x:t xml:space="preserve">LOT 추적 / 재작업</x:t>
  </x:si>
  <x:si>
    <x:t xml:space="preserve">원자재부터 공정·검사·출하 및 재작업 이력 모의 추적</x:t>
  </x:si>
  <x:si>
    <x:t xml:space="preserve">자재관리 / 생산팀 / 품질팀(담당 확정 필요)</x:t>
  </x:si>
  <x:si>
    <x:t xml:space="preserve">원자재 LOT, 공정/검사 이력, 재작업, 출하처, 수량대사, 소요시간</x:t>
  </x:si>
  <x:si>
    <x:t xml:space="preserve">SH_QMS_실행관리_20260929.xlsx</x:t>
  </x:si>
  <x:si>
    <x:t xml:space="preserve">LOT 추적 관리체계와 모의추적 양식은 존재하지만, 확인된 FG260901-A01 / 25분 기록은 각 원자료에 '예시행'으로 표시되어 실제 운영증빙으로 사용할 수 없음. 실제 LOT로 모의추적 재실시 필요.</x:t>
  </x:si>
  <x:si>
    <x:t xml:space="preserve">대표 LOT 모의추적 완료 + 수량대사 + 1시간 내 목표 확인</x:t>
  </x:si>
  <x:si>
    <x:t xml:space="preserve">초품 / 재가동</x:t>
  </x:si>
  <x:si>
    <x:t xml:space="preserve">품번·조건 변경 및 설비 재가동 시 초품 승인과 초·중·종품 확인</x:t>
  </x:si>
  <x:si>
    <x:t xml:space="preserve">생산팀 / 생산기술 / 품질팀(담당 확정 필요)</x:t>
  </x:si>
  <x:si>
    <x:t xml:space="preserve">초품승인, 재가동 확인, 조건이력, 초·중·종품 기록</x:t>
  </x:si>
  <x:si>
    <x:t xml:space="preserve">초품/재가동 요구사항은 확인되나 최근 실제 초품 승인·조건이력·초중종품 기록 샘플이 확인되지 않음.</x:t>
  </x:si>
  <x:si>
    <x:t xml:space="preserve">B</x:t>
  </x:si>
  <x:si>
    <x:t xml:space="preserve">최근 사례로 승인/검사/조건 연계 확인</x:t>
  </x:si>
  <x:si>
    <x:t xml:space="preserve">공급자 / 외주</x:t>
  </x:si>
  <x:si>
    <x:t xml:space="preserve">승인 공급자·자재 성적서·입고검사 및 외주 관리 적용 확인</x:t>
  </x:si>
  <x:si>
    <x:t xml:space="preserve">자재관리 / 구매 / 품질팀(담당 확정 필요)</x:t>
  </x:si>
  <x:si>
    <x:t xml:space="preserve">승인공급자 목록, 평가, 성적서, 입고검사, 외주 품질요건</x:t>
  </x:si>
  <x:si>
    <x:t xml:space="preserve">공급자/외주 관리 양식·절차는 있으나 실제 승인공급자·성적서·입고검사·외주 적용 여부 증빙이 확인되지 않음.</x:t>
  </x:si>
  <x:si>
    <x:t xml:space="preserve">적용 공급자 증빙 또는 해당없음 근거</x:t>
  </x:si>
  <x:si>
    <x:t xml:space="preserve">중요특성 / 용접</x:t>
  </x:si>
  <x:si>
    <x:t xml:space="preserve">RG3 HEV 두 품번 도면 중요특성과 FT-ASY-A/C JUMPER 용접 품질검증 방법·주기·판정 확인</x:t>
  </x:si>
  <x:si>
    <x:t xml:space="preserve">개발팀 / 생산기술 / 품질팀(담당 확정 필요)</x:t>
  </x:si>
  <x:si>
    <x:t xml:space="preserve">도면 특성표시, PFMEA/CP 연계, 용접/브레이징 검증기록</x:t>
  </x:si>
  <x:si>
    <x:t xml:space="preserve">Core Tools 샘플에는 SC/CC 연계가 있으나 한온 대상 실제 도면 특성→PFMEA→CP→검사/공정기록 연결 확인이 필요.</x:t>
  </x:si>
  <x:si>
    <x:t xml:space="preserve">도면→PFMEA→CP→검사/공정기록 연결 확인</x:t>
  </x:si>
  <x:si>
    <x:t xml:space="preserve">비상대응 / 오류방지</x:t>
  </x:si>
  <x:si>
    <x:t xml:space="preserve">설비·검사 이상 시 정지·격리·보고·재가동 및 오류방지 기능 확인</x:t>
  </x:si>
  <x:si>
    <x:t xml:space="preserve">이상대응 기준, 훈련/확인기록, Fool Proof 점검, 우회 승인</x:t>
  </x:si>
  <x:si>
    <x:t xml:space="preserve">비상대응/오류방지 요구는 문서화되어 있으나 Fool Proof 기능점검·우회승인·비상훈련/재가동 실제 기록이 확인되지 않음.</x:t>
  </x:si>
  <x:si>
    <x:t xml:space="preserve">기능점검 + 이상상황 대응/재가동 증빙</x:t>
  </x:si>
  <x:si>
    <x:t xml:space="preserve">분야</x:t>
  </x:si>
  <x:si>
    <x:t xml:space="preserve">현재 미흡사항</x:t>
  </x:si>
  <x:si>
    <x:t xml:space="preserve">주관/협조</x:t>
  </x:si>
  <x:si>
    <x:t xml:space="preserve">종결 증빙</x:t>
  </x:si>
  <x:si>
    <x:t xml:space="preserve">고객사 기준</x:t>
  </x:si>
  <x:si>
    <x:t xml:space="preserve">한온 최신 SQ 평가기준·개정일·대상공정·신청조건 자료 미확보/미첨부</x:t>
  </x:si>
  <x:si>
    <x:t xml:space="preserve">영업관리본부 / 품질경영본부</x:t>
  </x:si>
  <x:si>
    <x:t xml:space="preserve">공식 기준 문서와 적용범위 확정 기록</x:t>
  </x:si>
  <x:si>
    <x:t xml:space="preserve">공정흐름도-PFMEA-Control Plan-WI-검사기준 간 최신 개정 및 현장 일치 검증 미완료</x:t>
  </x:si>
  <x:si>
    <x:t xml:space="preserve">품질 / 개발 / 생산기술</x:t>
  </x:si>
  <x:si>
    <x:t xml:space="preserve">상호대조표 + 현장 확인 결과</x:t>
  </x:si>
  <x:si>
    <x:t xml:space="preserve">개정/승인</x:t>
  </x:si>
  <x:si>
    <x:t xml:space="preserve">Rev.00 QP·WI와 Rev.03 통합문서/10월 패키지 간 개정 대조 및 실제 승인기록 미확인</x:t>
  </x:si>
  <x:si>
    <x:t xml:space="preserve">품질 / 문서관리</x:t>
  </x:si>
  <x:si>
    <x:t xml:space="preserve">문서대장·승인기록·배포본 대조</x:t>
  </x:si>
  <x:si>
    <x:t xml:space="preserve">FT-ASY-A/C JUMPER 용접조건</x:t>
  </x:si>
  <x:si>
    <x:t xml:space="preserve">FT-ASY-A/C JUMPER 실제 용접방식·조건값·허용범위·이탈/변경/영향품 판정 증빙 미확인</x:t>
  </x:si>
  <x:si>
    <x:t xml:space="preserve">생산기술 / 생산 / 품질</x:t>
  </x:si>
  <x:si>
    <x:t xml:space="preserve">조건기록 + 이탈반응 + 변경승인</x:t>
  </x:si>
  <x:si>
    <x:t xml:space="preserve">현장 운영증빙</x:t>
  </x:si>
  <x:si>
    <x:t xml:space="preserve">설비·JIG 점검, 예방보전, 검사기록, 부적합 처리의 최근 실제 기록 미확인</x:t>
  </x:si>
  <x:si>
    <x:t xml:space="preserve">생산 / 생산기술 / 품질</x:t>
  </x:si>
  <x:si>
    <x:t xml:space="preserve">최근 1~3개월 실제 기록 세트</x:t>
  </x:si>
  <x:si>
    <x:t xml:space="preserve">계측/MSA</x:t>
  </x:si>
  <x:si>
    <x:t xml:space="preserve">계측기 유효성 및 MSA 적용대상·평가결과 미확정</x:t>
  </x:si>
  <x:si>
    <x:t xml:space="preserve">품질</x:t>
  </x:si>
  <x:si>
    <x:t xml:space="preserve">교정현황 + MSA 결과/판정</x:t>
  </x:si>
  <x:si>
    <x:t xml:space="preserve">SPC/공정능력</x:t>
  </x:si>
  <x:si>
    <x:t xml:space="preserve">주요 특성 SPC 적용 근거와 최신 능력분석·이상반응 기록 미확인</x:t>
  </x:si>
  <x:si>
    <x:t xml:space="preserve">품질 / 생산</x:t>
  </x:si>
  <x:si>
    <x:t xml:space="preserve">관리도 + Cpk/Ppk + 반응기록</x:t>
  </x:si>
  <x:si>
    <x:t xml:space="preserve">LOT 추적</x:t>
  </x:si>
  <x:si>
    <x:t xml:space="preserve">정추적·역추적·재작업 수량대사와 목표시간 내 모의추적 미실시</x:t>
  </x:si>
  <x:si>
    <x:t xml:space="preserve">자재 / 생산 / 품질</x:t>
  </x:si>
  <x:si>
    <x:t xml:space="preserve">모의추적 결과서 + 소요시간</x:t>
  </x:si>
  <x:si>
    <x:t xml:space="preserve">작업자·검사원별 SQ 대상 공정 교육/자격 유효성 미확인</x:t>
  </x:si>
  <x:si>
    <x:t xml:space="preserve">경영관리 / 각 부서</x:t>
  </x:si>
  <x:si>
    <x:t xml:space="preserve">대상자 명단 + 교육/자격 증빙</x:t>
  </x:si>
  <x:si>
    <x:t xml:space="preserve">성과 원자료</x:t>
  </x:si>
  <x:si>
    <x:t xml:space="preserve">자동화 전/후 개선수치의 비교기간·원자료·실적/예시 여부 미확인</x:t>
  </x:si>
  <x:si>
    <x:t xml:space="preserve">생산관리 / 품질</x:t>
  </x:si>
  <x:si>
    <x:t xml:space="preserve">동일 품번/기간 원자료 + 계산근거</x:t>
  </x:si>
  <x:si>
    <x:t xml:space="preserve">공급자/외주</x:t>
  </x:si>
  <x:si>
    <x:t xml:space="preserve">승인 공급자·성적서·입고검사 및 외주 적용 여부/통제 증빙 미확인</x:t>
  </x:si>
  <x:si>
    <x:t xml:space="preserve">자재 / 구매 / 품질</x:t>
  </x:si>
  <x:si>
    <x:t xml:space="preserve">공급자 평가·성적서·입고검사 또는 N/A 근거</x:t>
  </x:si>
  <x:si>
    <x:t xml:space="preserve">자체점검/종결</x:t>
  </x:si>
  <x:si>
    <x:t xml:space="preserve">22개 점검항목이 대부분 미확인·미종결이며 증빙번호·확인자·완료일 미입력</x:t>
  </x:si>
  <x:si>
    <x:t xml:space="preserve">품질경영본부 / 전 부서</x:t>
  </x:si>
  <x:si>
    <x:t xml:space="preserve">조치대장 종결 + 증빙 연결 + 확인자 서명/승인</x:t>
  </x:si>
  <x:si>
    <x:t xml:space="preserve">문서명</x:t>
  </x:si>
  <x:si>
    <x:t xml:space="preserve">현재 위치/역할</x:t>
  </x:si>
  <x:si>
    <x:t xml:space="preserve">1단계 활용</x:t>
  </x:si>
  <x:si>
    <x:t xml:space="preserve">추가 확인</x:t>
  </x:si>
  <x:si>
    <x:t xml:space="preserve">SQ 사전미팅/체크리스트</x:t>
  </x:si>
  <x:si>
    <x:t xml:space="preserve">최신 오류 수정본</x:t>
  </x:si>
  <x:si>
    <x:t xml:space="preserve">1단계 기준 초안. 회의록·부서별 실행계획·22개 체크리스트·성과관리 포함</x:t>
  </x:si>
  <x:si>
    <x:t xml:space="preserve">실제 회의일/결재, 상태, 기한, 증빙번호, 확인자 입력 필요</x:t>
  </x:si>
  <x:si>
    <x:t xml:space="preserve">브레이징 현장질의</x:t>
  </x:si>
  <x:si>
    <x:t xml:space="preserve">최종 표기본</x:t>
  </x:si>
  <x:si>
    <x:t xml:space="preserve">작업자 구두심사 및 특수공정 현장확인 대비</x:t>
  </x:si>
  <x:si>
    <x:t xml:space="preserve">실제 사내 조건값/표준과 답변 일치 최종 확인</x:t>
  </x:si>
  <x:si>
    <x:t xml:space="preserve">SQ 약자 교육</x:t>
  </x:si>
  <x:si>
    <x:t xml:space="preserve">SQ심사_품질영어약자_한장정리_FINAL.pptx / PDF</x:t>
  </x:si>
  <x:si>
    <x:t xml:space="preserve">심사원 질문 대비 핵심 약자 교육</x:t>
  </x:si>
  <x:si>
    <x:t xml:space="preserve">사내 용어/고객 용어와 차이 여부 확인</x:t>
  </x:si>
  <x:si>
    <x:t xml:space="preserve">QMS 통합</x:t>
  </x:si>
  <x:si>
    <x:t xml:space="preserve">Rev.03 관리본 후보</x:t>
  </x:si>
  <x:si>
    <x:t xml:space="preserve">SQ 공통 절차·현장 기준·변경/부적합/검사 체계 근거</x:t>
  </x:si>
  <x:si>
    <x:t xml:space="preserve">실제 승인기록 및 최근 패키지와 개정 대조</x:t>
  </x:si>
  <x:si>
    <x:t xml:space="preserve">QP/WI</x:t>
  </x:si>
  <x:si>
    <x:t xml:space="preserve">QP001-025_REV00_INITIAL_ACTIVE_FINAL_QA / WI001-030_REV00_INITIAL_ACTIVE_FINAL_QA</x:t>
  </x:si>
  <x:si>
    <x:t xml:space="preserve">절차·작업표준 참고</x:t>
  </x:si>
  <x:si>
    <x:t xml:space="preserve">Rev.03 통합/10월 패키지와 내용·개정 일치 검증</x:t>
  </x:si>
  <x:si>
    <x:t xml:space="preserve">FM 기록양식</x:t>
  </x:si>
  <x:si>
    <x:t xml:space="preserve">최근 작성본</x:t>
  </x:si>
  <x:si>
    <x:t xml:space="preserve">현장 기록·증빙 양식 기준</x:t>
  </x:si>
  <x:si>
    <x:t xml:space="preserve">현행 문서대장과 FM 번호/개정/보존기간 대조</x:t>
  </x:si>
  <x:si>
    <x:t xml:space="preserve">Core Tools</x:t>
  </x:si>
  <x:si>
    <x:t xml:space="preserve">통합 관리본 후보</x:t>
  </x:si>
  <x:si>
    <x:t xml:space="preserve">PFMEA/CP/MSA/SPC 등 SQ 공통 핵심도구</x:t>
  </x:si>
  <x:si>
    <x:t xml:space="preserve">실제 대상 품번 데이터와 최신성 확인</x:t>
  </x:si>
  <x:si>
    <x:t xml:space="preserve">문서관리</x:t>
  </x:si>
  <x:si>
    <x:t xml:space="preserve">SH_QMS_문서관리대장_Rev00_20260929.xlsx</x:t>
  </x:si>
  <x:si>
    <x:t xml:space="preserve">문서번호·개정·배포·회수 관리</x:t>
  </x:si>
  <x:si>
    <x:t xml:space="preserve">실제 승인/배포/회수 기록 확인</x:t>
  </x:si>
  <x:si>
    <x:t xml:space="preserve">QMS 실행관리</x:t>
  </x:si>
  <x:si>
    <x:t xml:space="preserve">최근 실행관리본</x:t>
  </x:si>
  <x:si>
    <x:t xml:space="preserve">승인증빙·FM·LOT·현장운영·내부심사 종결관리</x:t>
  </x:si>
  <x:si>
    <x:t xml:space="preserve">기존 목표일 경과 항목의 실제 상태 재설정</x:t>
  </x:si>
  <x:si>
    <x:t xml:space="preserve">심사 준비자료</x:t>
  </x:si>
  <x:si>
    <x:t xml:space="preserve">04_필요서류_인쇄물구분_Rev05_FINAL.xlsx / SHINHWA_QMS_Audit_Evidence_Preparation_Rev00.xlsx</x:t>
  </x:si>
  <x:si>
    <x:t xml:space="preserve">최근 준비자료</x:t>
  </x:si>
  <x:si>
    <x:t xml:space="preserve">심사 당일 문서·증빙 준비 참고</x:t>
  </x:si>
  <x:si>
    <x:t xml:space="preserve">SQ용 우선 증빙과 IATF용 증빙 구분</x:t>
  </x:si>
  <x:si>
    <x:t xml:space="preserve">최신 문서 인덱스</x:t>
  </x:si>
  <x:si>
    <x:t xml:space="preserve">SHINHWA_Project01_Latest_Final_Documents_20261023.xlsx</x:t>
  </x:si>
  <x:si>
    <x:t xml:space="preserve">2026-10-23 최신 인덱스</x:t>
  </x:si>
  <x:si>
    <x:t xml:space="preserve">최근·최종 후보 문서 50개 선정 기준</x:t>
  </x:si>
  <x:si>
    <x:t xml:space="preserve">파일명 FINAL/승인판이 실제 승인 확정은 아님</x:t>
  </x:si>
  <x:si>
    <x:t xml:space="preserve">한온 공식 공개정보</x:t>
  </x:si>
  <x:si>
    <x:t xml:space="preserve">Hanon Systems Suppliers / HGPS Supplier Portal</x:t>
  </x:si>
  <x:si>
    <x:t xml:space="preserve">현재 공급사 포털 공식 진입 경로</x:t>
  </x:si>
  <x:si>
    <x:t xml:space="preserve">최신 SQ 평가표 자체는 공개 페이지에서 확인되지 않아 HGPS/한온 담당 공식본 확보 필요</x:t>
  </x:si>
  <x:si>
    <x:t xml:space="preserve">https://www.hanonsystems.com/En/Suppliers</x:t>
  </x:si>
  <x:si>
    <x:t xml:space="preserve">최우선 SQ 평가기준</x:t>
  </x:si>
  <x:si>
    <x:t xml:space="preserve">SQ_진척율 보고 자료 한온시스템 260921.xlsx</x:t>
  </x:si>
  <x:si>
    <x:t xml:space="preserve">실제 업로드 원본 — 작성일 2026-09-07 / 4개 시트(2개 데이터시트 + 이미지 관련시트)</x:t>
  </x:si>
  <x:si>
    <x:t xml:space="preserve">43개 평가코드 기재행·42개 배점그룹·총 1,000점 및 세부 요구/준비서류 연계</x:t>
  </x:si>
  <x:si>
    <x:t xml:space="preserve">진척 총229건과 세부 건수 구분. 공식 최신 Rev 및 6-12 중복/집계불일치 검증 필요</x:t>
  </x:si>
  <x:si>
    <x:t xml:space="preserve">부서</x:t>
  </x:si>
  <x:si>
    <x:t xml:space="preserve">현재 담당(자료 기준)</x:t>
  </x:si>
  <x:si>
    <x:t xml:space="preserve">1단계 역할</x:t>
  </x:si>
  <x:si>
    <x:t xml:space="preserve">주요 증빙</x:t>
  </x:si>
  <x:si>
    <x:t xml:space="preserve">경영관리</x:t>
  </x:si>
  <x:si>
    <x:t xml:space="preserve">조현우 대표 / 안혜정 대리</x:t>
  </x:si>
  <x:si>
    <x:t xml:space="preserve">추진 승인·지원·리스크 조정·교육/자격 증빙</x:t>
  </x:si>
  <x:si>
    <x:t xml:space="preserve">회의/승인기록, 지원사항, 교육·자격</x:t>
  </x:si>
  <x:si>
    <x:t xml:space="preserve">김주태 이사(겸임) / 이광재 부장</x:t>
  </x:si>
  <x:si>
    <x:t xml:space="preserve">SQ 기준 총괄, 문서정합성, 자체점검, 미흡 종결</x:t>
  </x:si>
  <x:si>
    <x:t xml:space="preserve">체크리스트, 대조표, 검사·부적합·MSA/SPC</x:t>
  </x:si>
  <x:si>
    <x:t xml:space="preserve">생산/생산관리</x:t>
  </x:si>
  <x:si>
    <x:t xml:space="preserve">김흥수 이사 / 지성규 부장 / 이은주 주임</x:t>
  </x:si>
  <x:si>
    <x:t xml:space="preserve">자동화 양산, 공정실적, 이상대응, 생산성 원자료</x:t>
  </x:si>
  <x:si>
    <x:t xml:space="preserve">생산일보, 불량/재작업/폐기, 공정기록</x:t>
  </x:si>
  <x:si>
    <x:t xml:space="preserve">생산기술</x:t>
  </x:si>
  <x:si>
    <x:t xml:space="preserve">황지환 차장</x:t>
  </x:si>
  <x:si>
    <x:t xml:space="preserve">설비/JIG, 공정조건, 변경관리, 특수공정 조건</x:t>
  </x:si>
  <x:si>
    <x:t xml:space="preserve">점검·보전·조건·변경·이탈 기록</x:t>
  </x:si>
  <x:si>
    <x:t xml:space="preserve">개발</x:t>
  </x:si>
  <x:si>
    <x:t xml:space="preserve">김주태 이사 / 한상돈 부장 / 최윤서 과장</x:t>
  </x:si>
  <x:si>
    <x:t xml:space="preserve">도면/사양, 중요특성, 변경, PFMEA/CP 연계</x:t>
  </x:si>
  <x:si>
    <x:t xml:space="preserve">도면/사양, 변경기록, 중요특성 연계</x:t>
  </x:si>
  <x:si>
    <x:t xml:space="preserve">자재/구매</x:t>
  </x:si>
  <x:si>
    <x:t xml:space="preserve">이재황 주임 / 신현진 사원 / 담당 확정 필요</x:t>
  </x:si>
  <x:si>
    <x:t xml:space="preserve">공급자·자재성적서·입고검사·LOT/외주</x:t>
  </x:si>
  <x:si>
    <x:t xml:space="preserve">승인공급자, 성적서, 입고검사, 추적성</x:t>
  </x:si>
  <x:si>
    <x:t xml:space="preserve">영업관리</x:t>
  </x:si>
  <x:si>
    <x:t xml:space="preserve">신성호 부장</x:t>
  </x:si>
  <x:si>
    <x:t xml:space="preserve">한온 SQ 신청요건·고객요구·변경사항 전달</x:t>
  </x:si>
  <x:si>
    <x:t xml:space="preserve">최신 SQ 기준, 고객요구, 전달기록</x:t>
  </x:si>
  <x:si>
    <x:t xml:space="preserve">검사 담당</x:t>
  </x:si>
  <x:si>
    <x:t xml:space="preserve">담당 확정 필요</x:t>
  </x:si>
  <x:si>
    <x:t xml:space="preserve">검사기록, 계측기, MSA, 초품/최종검사</x:t>
  </x:si>
  <x:si>
    <x:t xml:space="preserve">검사기록, 교정, MSA, 초품승인</x:t>
  </x:si>
  <x:si>
    <x:t xml:space="preserve">확인된 근거 문서</x:t>
  </x:si>
  <x:si>
    <x:t xml:space="preserve">확인된 내용</x:t>
  </x:si>
  <x:si>
    <x:t xml:space="preserve">미확보/추가 확인 증빙</x:t>
  </x:si>
  <x:si>
    <x:t xml:space="preserve">즉시 조치</x:t>
  </x:si>
  <x:si>
    <x:t xml:space="preserve">담당</x:t>
  </x:si>
  <x:si>
    <x:t xml:space="preserve">목표일</x:t>
  </x:si>
  <x:si>
    <x:t xml:space="preserve">종결조건</x:t>
  </x:si>
  <x:si>
    <x:t xml:space="preserve">외부/공개 출처</x:t>
  </x:si>
  <x:si>
    <x:t xml:space="preserve">SQ_진척율 보고 자료 한온시스템 260921.xlsx / 한온 Supplier/HGPS</x:t>
  </x:si>
  <x:si>
    <x:t xml:space="preserve">한온 SQ 추진계획 평가자료 업로드 확인: 원문 42개 배점그룹(6개 분야, 1,000점). 다만 공식 발행·최신성/개정일 및 6-12 중복 확인 필요.</x:t>
  </x:si>
  <x:si>
    <x:t xml:space="preserve">배포근거/공식 최신Rev·실제 적용 공정·중복코드 정오표/확인</x:t>
  </x:si>
  <x:si>
    <x:t xml:space="preserve">원본을 현재 사전준비 기준으로 등록하고 공식 최신본 여부만 한온에 확인. 13~15 원문 연계시트 참고</x:t>
  </x:si>
  <x:si>
    <x:t xml:space="preserve">신성호 부장 / 이광재 부장</x:t>
  </x:si>
  <x:si>
    <x:t xml:space="preserve">공식 최신성 확인 + 6-12 코드 확정 + 사내 적용범위 승인</x:t>
  </x:si>
  <x:si>
    <x:t xml:space="preserve">SH_QMS_통합문서_Rev03_20260929.docx / Core Tools 통합관리본</x:t>
  </x:si>
  <x:si>
    <x:t xml:space="preserve">Flow→PFMEA→CP 연계 원칙과 상호참조 구조 존재.</x:t>
  </x:si>
  <x:si>
    <x:t xml:space="preserve">한온 대상 대표 품번 실제 Flow와 현장 순서/설비/검사위치 대조</x:t>
  </x:si>
  <x:si>
    <x:t xml:space="preserve">대표 품번 1개 선정 후 현장 Walk-through 대조표 작성</x:t>
  </x:si>
  <x:si>
    <x:t xml:space="preserve">이광재 / 김흥수 / 조남욱(직급확인)</x:t>
  </x:si>
  <x:si>
    <x:t xml:space="preserve">현장-Flow 100% 일치 또는 차이 조치완료</x:t>
  </x:si>
  <x:si>
    <x:t xml:space="preserve">신화에이치앤티_APQP_PPAP_PFMEA_ControlPlan_SPC_MSA_CoreTool_통합관리_Rev00.xlsx</x:t>
  </x:si>
  <x:si>
    <x:t xml:space="preserve">PFMEA 관리 구조와 Flow/CP 연계 체계 존재.</x:t>
  </x:si>
  <x:si>
    <x:t xml:space="preserve">실제 품번 S/O/D, 예방·검출관리, 고위험 조치, 최근 불량/변경 반영</x:t>
  </x:si>
  <x:si>
    <x:t xml:space="preserve">대표 품번 PFMEA 실제값·최근 이력 대조 및 고위험 조치 확인</x:t>
  </x:si>
  <x:si>
    <x:t xml:space="preserve">이광재 / 황지환</x:t>
  </x:si>
  <x:si>
    <x:t xml:space="preserve">실제 PFMEA + 조치완료 + 효과확인</x:t>
  </x:si>
  <x:si>
    <x:t xml:space="preserve">Core Tools 통합관리본 Control Plan 시트</x:t>
  </x:si>
  <x:si>
    <x:t xml:space="preserve">특성·규격·측정·주기·반응계획·SPC/MSA 연결 구조 존재.</x:t>
  </x:si>
  <x:si>
    <x:t xml:space="preserve">한온 대상 실제 규격/공차·주기·반응계획과 현장 적용</x:t>
  </x:si>
  <x:si>
    <x:t xml:space="preserve">PFMEA와 CP의 동일 공정번호/특성 대조 후 검사기준/WI까지 연결</x:t>
  </x:si>
  <x:si>
    <x:t xml:space="preserve">이광재 / 지성규</x:t>
  </x:si>
  <x:si>
    <x:t xml:space="preserve">PFMEA-CP-WI-검사기준 상호 일치</x:t>
  </x:si>
  <x:si>
    <x:t xml:space="preserve">SH_QMS_통합문서_Rev03_20260929.docx / 최신 문서 인덱스</x:t>
  </x:si>
  <x:si>
    <x:t xml:space="preserve">Rev.03 작업표준 체계 및 현장심사 확인사항 존재.</x:t>
  </x:si>
  <x:si>
    <x:t xml:space="preserve">현장 게시본 Rev., 배포/회수기록, 실제 작업 준수, 승인증빙</x:t>
  </x:si>
  <x:si>
    <x:t xml:space="preserve">SQ 대상 공정 게시본/작업자 1:1 대조 및 구본 회수 확인</x:t>
  </x:si>
  <x:si>
    <x:t xml:space="preserve">지성규 / 황지환</x:t>
  </x:si>
  <x:si>
    <x:t xml:space="preserve">최신 승인본 현장비치 + 작업일치 + 구본없음</x:t>
  </x:si>
  <x:si>
    <x:t xml:space="preserve">검사/측정 및 검사기준 관리 체계 존재.</x:t>
  </x:si>
  <x:si>
    <x:t xml:space="preserve">제품별 도면특성·합격판정·한도견본/누설·기밀 등 실제 기준</x:t>
  </x:si>
  <x:si>
    <x:t xml:space="preserve">대표 품번 검사기준서와 도면/CP 대조</x:t>
  </x:si>
  <x:si>
    <x:t xml:space="preserve">이광재 / 조남욱(직급확인)</x:t>
  </x:si>
  <x:si>
    <x:t xml:space="preserve">도면-CP-검사기준 동일 + 현장판정 가능</x:t>
  </x:si>
  <x:si>
    <x:t xml:space="preserve">SH_FM_Master_Rev00_20260929.xlsx / QMS Rev.03</x:t>
  </x:si>
  <x:si>
    <x:t xml:space="preserve">검사기록에 품번·LOT·결과·판정·검사자·측정장비 추적 요구 존재.</x:t>
  </x:si>
  <x:si>
    <x:t xml:space="preserve">최근 생산 LOT의 초품·공정·최종검사 실제 기록</x:t>
  </x:si>
  <x:si>
    <x:t xml:space="preserve">최근 LOT 1건을 선정해 검사기록→LOT→설비/작업자 연결</x:t>
  </x:si>
  <x:si>
    <x:t xml:space="preserve">최근 LOT End-to-End 검사추적 완료</x:t>
  </x:si>
  <x:si>
    <x:t xml:space="preserve">브레이징_SQ_예상질문_13pt_테두리적용_FINAL.docx / QMS Rev.03</x:t>
  </x:si>
  <x:si>
    <x:t xml:space="preserve">실제 용접방식/설비번호/승인조건(해당하는 전류·전압·가압력·통전시간·가스유량 등)/변경기록</x:t>
  </x:si>
  <x:si>
    <x:t xml:space="preserve">생산기술이 FT-ASY-A/C JUMPER 해당 설비 표준조건 및 실제 기록 확인, 브레이징 해당 시 별도 기준 연결</x:t>
  </x:si>
  <x:si>
    <x:t xml:space="preserve">김흥수 / 황지환</x:t>
  </x:si>
  <x:si>
    <x:t xml:space="preserve">승인조건=현장설정=기록 + 이탈반응/변경승인 확인</x:t>
  </x:si>
  <x:si>
    <x:t xml:space="preserve">04_필요서류_인쇄물구분_Rev05_FINAL.xlsx / 설비·예방보전 통합관리본</x:t>
  </x:si>
  <x:si>
    <x:t xml:space="preserve">설비/JIG·용접장비 점검 요구와 보전/고장이력 양식 존재.</x:t>
  </x:si>
  <x:si>
    <x:t xml:space="preserve">실제 최근 일상점검·PM 실적·고장/수리·JIG 확인 기록. 일부 항목은 '신규 작성 필요'.</x:t>
  </x:si>
  <x:si>
    <x:t xml:space="preserve">SQ 대상 설비 목록 확정 후 최근 1~3개월 점검/PM 원본 수집</x:t>
  </x:si>
  <x:si>
    <x:t xml:space="preserve">대상설비 전수 점검/PM 이력 + 이상조치 확인</x:t>
  </x:si>
  <x:si>
    <x:t xml:space="preserve">계측기 등록·교정/검증·상태식별·이상 영향평가 및 MSA 요구 존재.</x:t>
  </x:si>
  <x:si>
    <x:t xml:space="preserve">대상 계측기 목록, 교정성적서, 유효기간, 라벨, 검사특성 매핑</x:t>
  </x:si>
  <x:si>
    <x:t xml:space="preserve">SQ 대상 검사특성별 사용기기 리스트 작성 후 성적서 대조</x:t>
  </x:si>
  <x:si>
    <x:t xml:space="preserve">대상기기 100% 유효 + 상태식별 + 특성 매핑</x:t>
  </x:si>
  <x:si>
    <x:t xml:space="preserve">정지/보류→격리→보고→원인→재확인 및 SH-FM-071 연계 체계 존재.</x:t>
  </x:si>
  <x:si>
    <x:t xml:space="preserve">최근 실제 부적합 사례의 격리표시·판정·재작업/폐기·재검사·시정조치</x:t>
  </x:si>
  <x:si>
    <x:t xml:space="preserve">최근 사례 1건을 선택해 전 흐름 증빙 묶음 작성</x:t>
  </x:si>
  <x:si>
    <x:t xml:space="preserve">1건 이상 End-to-End 객관적 증거 확보</x:t>
  </x:si>
  <x:si>
    <x:t xml:space="preserve">SH_QMS_통합문서_Rev03_20260929.docx / WI-025·FM-020~023 계열</x:t>
  </x:si>
  <x:si>
    <x:t xml:space="preserve">신규작업자·검사원·공정감사원 등 역량/자격 기준 및 기록체계 존재.</x:t>
  </x:si>
  <x:si>
    <x:t xml:space="preserve">SQ 대상 작업자/검사원 실제 교육일·평가·자격 유효기간·배치 승인</x:t>
  </x:si>
  <x:si>
    <x:t xml:space="preserve">대상자 명단을 공정별로 만들고 교육/자격 원본 대조</x:t>
  </x:si>
  <x:si>
    <x:t xml:space="preserve">안혜정 / 각 부서장</x:t>
  </x:si>
  <x:si>
    <x:t xml:space="preserve">대상자 전원 유효 자격/교육 + 인터뷰 가능</x:t>
  </x:si>
  <x:si>
    <x:t xml:space="preserve">Man/Machine/Material/Method/Location/Software 변경 체크포인트 존재.</x:t>
  </x:si>
  <x:si>
    <x:t xml:space="preserve">최근 실제 변경 사례의 사전검토·영향평가·검증·고객승인 또는 변경없음 근거</x:t>
  </x:si>
  <x:si>
    <x:t xml:space="preserve">최근 6개월 변경 이력 조회 후 대표 1건 추적</x:t>
  </x:si>
  <x:si>
    <x:t xml:space="preserve">한상돈 / 최윤서 / 이광재</x:t>
  </x:si>
  <x:si>
    <x:t xml:space="preserve">대표 변경 1건 완전 추적 또는 변경없음 근거 승인</x:t>
  </x:si>
  <x:si>
    <x:t xml:space="preserve">자동화 전/후 불량·재작업·폐기·생산성 등 수치와 계산 구조 존재.</x:t>
  </x:si>
  <x:si>
    <x:t xml:space="preserve">비교기간, 동일 품번 조건, 원자료, 수치의 실제/예시 여부, 승인</x:t>
  </x:si>
  <x:si>
    <x:t xml:space="preserve">동일 품번/기간 원자료로 재계산하고 출처 문서번호 연결</x:t>
  </x:si>
  <x:si>
    <x:t xml:space="preserve">이은주 / 이광재</x:t>
  </x:si>
  <x:si>
    <x:t xml:space="preserve">원자료 대사 100% + 승인된 분석표</x:t>
  </x:si>
  <x:si>
    <x:t xml:space="preserve">22개 점검항목과 담당/필요증빙/종결 필드 존재.</x:t>
  </x:si>
  <x:si>
    <x:t xml:space="preserve">실제 점검결과·증빙번호·확인자·확인일·종결</x:t>
  </x:si>
  <x:si>
    <x:t xml:space="preserve">2단계 판정값을 원 체크리스트에 반영하고 부서별 미흡조치 회의</x:t>
  </x:si>
  <x:si>
    <x:t xml:space="preserve">김주태 / 이광재</x:t>
  </x:si>
  <x:si>
    <x:t xml:space="preserve">22개 항목 상태·증빙·확인자 입력 완료</x:t>
  </x:si>
  <x:si>
    <x:t xml:space="preserve">Core Tools 통합관리본 / QMS Rev.03</x:t>
  </x:si>
  <x:si>
    <x:t xml:space="preserve">GR&amp;R 등 MSA 적용 구조와 판정기준 존재.</x:t>
  </x:si>
  <x:si>
    <x:t xml:space="preserve">대표 측정시스템 실제 반복성/재현성 데이터 및 판정</x:t>
  </x:si>
  <x:si>
    <x:t xml:space="preserve">중요 검사특성 우선 1~2개 GR&amp;R 실행/확인</x:t>
  </x:si>
  <x:si>
    <x:t xml:space="preserve">품질팀 / 검사담당</x:t>
  </x:si>
  <x:si>
    <x:t xml:space="preserve">실제 MSA 결과 + 판정 + 부적합 조치</x:t>
  </x:si>
  <x:si>
    <x:t xml:space="preserve">Core Tools 통합관리본</x:t>
  </x:si>
  <x:si>
    <x:t xml:space="preserve">SPC/Cpk 구조와 반응계획 체계 존재. Dashboard는 대표품목 실제값 입력 필요 상태.</x:t>
  </x:si>
  <x:si>
    <x:t xml:space="preserve">대표 특성 실측값·관리도·Cpk/Ppk·특별원인/반응 기록</x:t>
  </x:si>
  <x:si>
    <x:t xml:space="preserve">중요특성 1~2개 최근 데이터로 SPC/Cpk 산출</x:t>
  </x:si>
  <x:si>
    <x:t xml:space="preserve">품질팀 / 생산팀</x:t>
  </x:si>
  <x:si>
    <x:t xml:space="preserve">관리도 + 능력지수 + 이상반응 기록</x:t>
  </x:si>
  <x:si>
    <x:t xml:space="preserve">SHINHWA_LOT_추적성_대응관리_Rev00.xlsx</x:t>
  </x:si>
  <x:si>
    <x:t xml:space="preserve">원자재→생산→검사→출하를 연결하는 추적 구조와 모의훈련 양식은 구축됨. 확인된 25분 기록은 예시 데이터.</x:t>
  </x:si>
  <x:si>
    <x:t xml:space="preserve">실제 생산 LOT의 원자재·공정·검사·출하·재작업/회수 수량대사 및 소요시간 기록</x:t>
  </x:si>
  <x:si>
    <x:t xml:space="preserve">실제 한온 대상 또는 대표 양산 LOT 1건으로 정·역추적 재실시. 내부 목표 60분 기준 적용.</x:t>
  </x:si>
  <x:si>
    <x:t xml:space="preserve">실제 LOT 기준 60분 이내 + 수량대사 + 원본증빙 링크 + 확인자/일자</x:t>
  </x:si>
  <x:si>
    <x:t xml:space="preserve">QMS Rev.03 / FM Master</x:t>
  </x:si>
  <x:si>
    <x:t xml:space="preserve">설비 이상 후 재가동 시 초품 및 영향품 확인 요구 존재.</x:t>
  </x:si>
  <x:si>
    <x:t xml:space="preserve">최근 초품승인·설비재가동·조건변경 후 초중종품 실제 기록</x:t>
  </x:si>
  <x:si>
    <x:t xml:space="preserve">최근 재가동/품번변경 사례 1건 증빙 수집</x:t>
  </x:si>
  <x:si>
    <x:t xml:space="preserve">사례 1건 승인→검사→조건→판정 연계</x:t>
  </x:si>
  <x:si>
    <x:t xml:space="preserve">FM Master / QMS 공급자·외주 절차 체계</x:t>
  </x:si>
  <x:si>
    <x:t xml:space="preserve">공급자평가·입고검사·외주 관리 양식/절차 존재.</x:t>
  </x:si>
  <x:si>
    <x:t xml:space="preserve">한온 대상 원자재 공급자 최신평가·COC/성적서·입고검사, 외주 적용 여부</x:t>
  </x:si>
  <x:si>
    <x:t xml:space="preserve">핵심 원자재 공급자 1~2개 표본 점검, 외주 N/A 여부 근거화</x:t>
  </x:si>
  <x:si>
    <x:t xml:space="preserve">공급자 증빙 또는 외주 해당없음 근거</x:t>
  </x:si>
  <x:si>
    <x:t xml:space="preserve">Core Tools Control Plan / QMS Rev.03</x:t>
  </x:si>
  <x:si>
    <x:t xml:space="preserve">한온 실제 도면 중요특성 기호와 PFMEA/CP/검사/브레이징 기록 연결</x:t>
  </x:si>
  <x:si>
    <x:t xml:space="preserve">대표 품번 도면 특성표시부터 현장기록까지 1개 특성 추적</x:t>
  </x:si>
  <x:si>
    <x:t xml:space="preserve">개발 / 생산기술 / 품질</x:t>
  </x:si>
  <x:si>
    <x:t xml:space="preserve">도면→PFMEA→CP→검사/공정기록 완전 연결</x:t>
  </x:si>
  <x:si>
    <x:t xml:space="preserve">QMS Rev.03 / 04_필요서류_인쇄물구분_Rev05_FINAL.xlsx</x:t>
  </x:si>
  <x:si>
    <x:t xml:space="preserve">이상 시 정지·격리·재가동, Fool Proof 관리 요구 및 관련 신규 조치항목 존재.</x:t>
  </x:si>
  <x:si>
    <x:t xml:space="preserve">오류방지 기능점검·우회승인·비상훈련·복구 후 초품 실제 기록</x:t>
  </x:si>
  <x:si>
    <x:t xml:space="preserve">Fool Proof 1개 기능시험 + 이상상황 모의대응 기록</x:t>
  </x:si>
  <x:si>
    <x:t xml:space="preserve">기능점검 + 대응훈련 + 재가동 증빙</x:t>
  </x:si>
  <x:si>
    <x:t xml:space="preserve">한온 SQ 심사 준비 2단계 — 보유 증빙 대조 결과</x:t>
  </x:si>
  <x:si>
    <x:t xml:space="preserve">기준: 기존 사전미팅 자료 + QMS Rev.03 + Core Tools + LOT 추적 + 설비/문서관리 자료 대조 (2026-10-26)</x:t>
  </x:si>
  <x:si>
    <x:t xml:space="preserve">증빙확보</x:t>
  </x:si>
  <x:si>
    <x:t xml:space="preserve">총 항목</x:t>
  </x:si>
  <x:si>
    <x:t xml:space="preserve">판정 요약</x:t>
  </x:si>
  <x:si>
    <x:t xml:space="preserve">현재 22개 항목 모두 심사 객관적 증빙 기준에서는 '보완필요'로 판정했습니다. 절차·양식·관리체계는 상당 부분 구축되어 있으나 대표 품번/최근 실적/현장 적용/승인 원본이 아직 확인되지 않았습니다. LOT 추적 파일의 25분 기록도 원자료에 '예시행'으로 표시되어 실제 심사 증빙으로 사용할 수 없습니다. 특히 한온 최신 SQ 평가기준, 실제 브레이징 승인조건, MSA/SPC 실측자료, 설비/JIG 최근 점검실적, 작업자 자격, 자동화 전후 성과 원자료를 우선 확보해야 합니다.</x:t>
  </x:si>
  <x:si>
    <x:t xml:space="preserve">우선</x:t>
  </x:si>
  <x:si>
    <x:t xml:space="preserve">완료 기준</x:t>
  </x:si>
  <x:si>
    <x:t xml:space="preserve">1</x:t>
  </x:si>
  <x:si>
    <x:t xml:space="preserve">한온 공식 SQ 기준 확보</x:t>
  </x:si>
  <x:si>
    <x:t xml:space="preserve">HGPS/고객 담당에서 최신 평가표·개정일·대상공정 확보</x:t>
  </x:si>
  <x:si>
    <x:t xml:space="preserve">2</x:t>
  </x:si>
  <x:si>
    <x:t xml:space="preserve">대표 품번 선정·문서 정합성</x:t>
  </x:si>
  <x:si>
    <x:t xml:space="preserve">Flow-PFMEA-CP-WI-검사기준 현장대조</x:t>
  </x:si>
  <x:si>
    <x:t xml:space="preserve">3</x:t>
  </x:si>
  <x:si>
    <x:t xml:space="preserve">브레이징/용접 조건 실적화</x:t>
  </x:si>
  <x:si>
    <x:t xml:space="preserve">승인 조건값·허용범위·최근 기록·이탈/4M 변경 증빙</x:t>
  </x:si>
  <x:si>
    <x:t xml:space="preserve">생산기술 + 생산 + 품질</x:t>
  </x:si>
  <x:si>
    <x:t xml:space="preserve">4</x:t>
  </x:si>
  <x:si>
    <x:t xml:space="preserve">현장 운영기록 수집</x:t>
  </x:si>
  <x:si>
    <x:t xml:space="preserve">설비/JIG·계측기·검사·부적합·교육 최근 원본 확보</x:t>
  </x:si>
  <x:si>
    <x:t xml:space="preserve">생산/품질/경영관리</x:t>
  </x:si>
  <x:si>
    <x:t xml:space="preserve">5</x:t>
  </x:si>
  <x:si>
    <x:t xml:space="preserve">MSA·SPC 실행</x:t>
  </x:si>
  <x:si>
    <x:t xml:space="preserve">중요특성 1~2개 GR&amp;R + SPC/Cpk 최신데이터 확보</x:t>
  </x:si>
  <x:si>
    <x:t xml:space="preserve">품질 + 생산</x:t>
  </x:si>
  <x:si>
    <x:t xml:space="preserve">6</x:t>
  </x:si>
  <x:si>
    <x:t xml:space="preserve">LOT 실제 모의추적</x:t>
  </x:si>
  <x:si>
    <x:t xml:space="preserve">예시데이터가 아닌 실제 LOT로 정·역추적 + 수량대사 + 60분 이내</x:t>
  </x:si>
  <x:si>
    <x:t xml:space="preserve">자재 + 생산 + 품질</x:t>
  </x:si>
  <x:si>
    <x:t xml:space="preserve">7</x:t>
  </x:si>
  <x:si>
    <x:t xml:space="preserve">성과 원자료 재검증</x:t>
  </x:si>
  <x:si>
    <x:t xml:space="preserve">자동화 전/후 동일 품번·기간 원자료 대사 후 승인</x:t>
  </x:si>
  <x:si>
    <x:t xml:space="preserve">생산관리 + 품질</x:t>
  </x:si>
  <x:si>
    <x:t xml:space="preserve">8</x:t>
  </x:si>
  <x:si>
    <x:t xml:space="preserve">자체점검 종결</x:t>
  </x:si>
  <x:si>
    <x:t xml:space="preserve">22개 항목 증빙번호·확인자·완료일 입력, A급 미흡 종결</x:t>
  </x:si>
  <x:si>
    <x:t xml:space="preserve">사용자 입력</x:t>
  </x:si>
  <x:si>
    <x:t xml:space="preserve">값</x:t>
  </x:si>
  <x:si>
    <x:t xml:space="preserve">SQ 대상 대표 품번 (2종)</x:t>
  </x:si>
  <x:si>
    <x:t xml:space="preserve">FA1A8HRAAC/AD (=FA1A8HRAAC, FA1A8HRAAD; AD 전개는 도면 확인)</x:t>
  </x:si>
  <x:si>
    <x:t xml:space="preserve">제품/품명</x:t>
  </x:si>
  <x:si>
    <x:t xml:space="preserve">대상 공정</x:t>
  </x:si>
  <x:si>
    <x:t xml:space="preserve">생산동 / 용접라인</x:t>
  </x:si>
  <x:si>
    <x:t xml:space="preserve">한온 대상 차종</x:t>
  </x:si>
  <x:si>
    <x:t xml:space="preserve">한온시스템 / RG3 HEV</x:t>
  </x:si>
  <x:si>
    <x:t xml:space="preserve">연계 단계</x:t>
  </x:si>
  <x:si>
    <x:t xml:space="preserve">필수 문서/현장</x:t>
  </x:si>
  <x:si>
    <x:t xml:space="preserve">기존 보유 근거</x:t>
  </x:si>
  <x:si>
    <x:t xml:space="preserve">사용자가 연결할 실제 파일/문서번호</x:t>
  </x:si>
  <x:si>
    <x:t xml:space="preserve">Rev./일자</x:t>
  </x:si>
  <x:si>
    <x:t xml:space="preserve">핵심 대조 항목</x:t>
  </x:si>
  <x:si>
    <x:t xml:space="preserve">현장 확인</x:t>
  </x:si>
  <x:si>
    <x:t xml:space="preserve">현재 판정</x:t>
  </x:si>
  <x:si>
    <x:t xml:space="preserve">불일치/조치</x:t>
  </x:si>
  <x:si>
    <x:t xml:space="preserve">완료일</x:t>
  </x:si>
  <x:si>
    <x:t xml:space="preserve">확인자</x:t>
  </x:si>
  <x:si>
    <x:t xml:space="preserve">Gate</x:t>
  </x:si>
  <x:si>
    <x:t xml:space="preserve">고객 요구</x:t>
  </x:si>
  <x:si>
    <x:t xml:space="preserve">한온 최신 SQ 평가기준/CSR</x:t>
  </x:si>
  <x:si>
    <x:t xml:space="preserve">SQ_진척율 보고 자료 한온시스템 260921.xlsx (최신성 검증 대기)</x:t>
  </x:si>
  <x:si>
    <x:t xml:space="preserve">[원본 파일 확보 / 한온 공식 배포·최신 Rev 증빙 연결]</x:t>
  </x:si>
  <x:si>
    <x:t xml:space="preserve">[입력]</x:t>
  </x:si>
  <x:si>
    <x:t xml:space="preserve">개정일·대상공정·평가항목·신청조건</x:t>
  </x:si>
  <x:si>
    <x:t xml:space="preserve">[확인]</x:t>
  </x:si>
  <x:si>
    <x:t xml:space="preserve">기준자료 확보, 발행·최신성 확인 필요</x:t>
  </x:si>
  <x:si>
    <x:t xml:space="preserve">영업/품질</x:t>
  </x:si>
  <x:si>
    <x:t xml:space="preserve">STOP</x:t>
  </x:si>
  <x:si>
    <x:t xml:space="preserve">제품/도면</x:t>
  </x:si>
  <x:si>
    <x:t xml:space="preserve">최신 도면·사양/중요특성</x:t>
  </x:si>
  <x:si>
    <x:t xml:space="preserve">QMS Rev.03 중요특성 관리체계</x:t>
  </x:si>
  <x:si>
    <x:t xml:space="preserve">RG3 HEV / FA1A8HRAAC와 AD 약식 품번 전개 확인·도면 Rev·특별특성</x:t>
  </x:si>
  <x:si>
    <x:t xml:space="preserve">실제 도면 미연결</x:t>
  </x:si>
  <x:si>
    <x:t xml:space="preserve">개발/품질</x:t>
  </x:si>
  <x:si>
    <x:t xml:space="preserve">공정흐름</x:t>
  </x:si>
  <x:si>
    <x:t xml:space="preserve">Process Flow</x:t>
  </x:si>
  <x:si>
    <x:t xml:space="preserve">Core Tools Flow 구조 존재</x:t>
  </x:si>
  <x:si>
    <x:t xml:space="preserve">[두 품번 공정 Flow 또는 공용문서 적용 근거 연결]</x:t>
  </x:si>
  <x:si>
    <x:t xml:space="preserve">현장 Walk-through 필요</x:t>
  </x:si>
  <x:si>
    <x:t xml:space="preserve">품질/생산</x:t>
  </x:si>
  <x:si>
    <x:t xml:space="preserve">PFMEA</x:t>
  </x:si>
  <x:si>
    <x:t xml:space="preserve">Core Tools PFMEA 체계 존재</x:t>
  </x:si>
  <x:si>
    <x:t xml:space="preserve">[두 품번 PFMEA 또는 공용문서 적용 근거 연결]</x:t>
  </x:si>
  <x:si>
    <x:t xml:space="preserve">Flow 공정번호·S/O/D·예방/검출·변경/불량 반영</x:t>
  </x:si>
  <x:si>
    <x:t xml:space="preserve">실제 품번 데이터 미확인</x:t>
  </x:si>
  <x:si>
    <x:t xml:space="preserve">품질/생산기술</x:t>
  </x:si>
  <x:si>
    <x:t xml:space="preserve">Control Plan</x:t>
  </x:si>
  <x:si>
    <x:t xml:space="preserve">Control Plan 양식/반응계획 구조 존재</x:t>
  </x:si>
  <x:si>
    <x:t xml:space="preserve">[두 품번 CP 또는 공용문서 적용 근거 연결]</x:t>
  </x:si>
  <x:si>
    <x:t xml:space="preserve">PFMEA 특성·규격·측정·주기·반응계획·SPC/MSA ID</x:t>
  </x:si>
  <x:si>
    <x:t xml:space="preserve">실제 CP 미연결</x:t>
  </x:si>
  <x:si>
    <x:t xml:space="preserve">현장 WI/조건표</x:t>
  </x:si>
  <x:si>
    <x:t xml:space="preserve">QMS Rev.03 WI 체계 존재</x:t>
  </x:si>
  <x:si>
    <x:t xml:space="preserve">[현장 게시 WI 연결]</x:t>
  </x:si>
  <x:si>
    <x:t xml:space="preserve">작업순서·조건·JIG·이상시 조치·최신 승인본</x:t>
  </x:si>
  <x:si>
    <x:t xml:space="preserve">현장 게시/배포 확인 필요</x:t>
  </x:si>
  <x:si>
    <x:t xml:space="preserve">생산/생산기술</x:t>
  </x:si>
  <x:si>
    <x:t xml:space="preserve">특수공정</x:t>
  </x:si>
  <x:si>
    <x:t xml:space="preserve">FT-ASY-A/C JUMPER 용접 승인조건</x:t>
  </x:si>
  <x:si>
    <x:t xml:space="preserve">SQ 예상질문 및 조건관리 요구 존재</x:t>
  </x:si>
  <x:si>
    <x:t xml:space="preserve">[조건표/검증기록 연결]</x:t>
  </x:si>
  <x:si>
    <x:t xml:space="preserve">실제 용접방식에 따른 전류·전압·시간·가압력·가스조건·JIG 및 프로그램 등 해당 관리변수 (브레이징은 적용 시)</x:t>
  </x:si>
  <x:si>
    <x:t xml:space="preserve">FT-ASY-A/C JUMPER 실제 용접방식·승인조건·최근 검증실적 미확인</x:t>
  </x:si>
  <x:si>
    <x:t xml:space="preserve">생산기술/품질</x:t>
  </x:si>
  <x:si>
    <x:t xml:space="preserve">검사기준서/한도견본</x:t>
  </x:si>
  <x:si>
    <x:t xml:space="preserve">QMS 검사기준 관리체계 존재</x:t>
  </x:si>
  <x:si>
    <x:t xml:space="preserve">[검사기준 연결]</x:t>
  </x:si>
  <x:si>
    <x:t xml:space="preserve">도면/CP와 규격·판정·누설/기밀/외관 기준 일치</x:t>
  </x:si>
  <x:si>
    <x:t xml:space="preserve">실제 기준 미연결</x:t>
  </x:si>
  <x:si>
    <x:t xml:space="preserve">측정검증</x:t>
  </x:si>
  <x:si>
    <x:t xml:space="preserve">MSA</x:t>
  </x:si>
  <x:si>
    <x:t xml:space="preserve">MSA 체계/GR&amp;R 양식 존재</x:t>
  </x:si>
  <x:si>
    <x:t xml:space="preserve">[실제 MSA 결과 연결]</x:t>
  </x:si>
  <x:si>
    <x:t xml:space="preserve">측정기·특성·작업자·반복/재현성·판정·조치</x:t>
  </x:si>
  <x:si>
    <x:t xml:space="preserve">실측 결과 없음</x:t>
  </x:si>
  <x:si>
    <x:t xml:space="preserve">공정능력</x:t>
  </x:si>
  <x:si>
    <x:t xml:space="preserve">SPC/Cpk</x:t>
  </x:si>
  <x:si>
    <x:t xml:space="preserve">SPC/Cpk 양식/기준 존재</x:t>
  </x:si>
  <x:si>
    <x:t xml:space="preserve">[실제 SPC 데이터 연결]</x:t>
  </x:si>
  <x:si>
    <x:t xml:space="preserve">중요특성 실측값·관리도·Cpk/Ppk·이상반응</x:t>
  </x:si>
  <x:si>
    <x:t xml:space="preserve">검사실적</x:t>
  </x:si>
  <x:si>
    <x:t xml:space="preserve">초품/공정/최종검사</x:t>
  </x:si>
  <x:si>
    <x:t xml:space="preserve">검사 기록 요구/FMs 존재</x:t>
  </x:si>
  <x:si>
    <x:t xml:space="preserve">[최근 LOT 기록 연결]</x:t>
  </x:si>
  <x:si>
    <x:t xml:space="preserve">품번·LOT·측정값·판정·검사자·측정기 추적</x:t>
  </x:si>
  <x:si>
    <x:t xml:space="preserve">실제 최근 기록 미확인</x:t>
  </x:si>
  <x:si>
    <x:t xml:space="preserve">설비/JIG</x:t>
  </x:si>
  <x:si>
    <x:t xml:space="preserve">점검·PM·고장·JIG</x:t>
  </x:si>
  <x:si>
    <x:t xml:space="preserve">설비 관리체계 및 신규작성 목록 존재</x:t>
  </x:si>
  <x:si>
    <x:t xml:space="preserve">[최근 1~3개월 기록 연결]</x:t>
  </x:si>
  <x:si>
    <x:t xml:space="preserve">대상설비/JIG·PM 계획대실적·고장이력·복구 후 초품</x:t>
  </x:si>
  <x:si>
    <x:t xml:space="preserve">작업자</x:t>
  </x:si>
  <x:si>
    <x:t xml:space="preserve">역량/교육 기준·양식 존재</x:t>
  </x:si>
  <x:si>
    <x:t xml:space="preserve">[작업자/검사원 자격 연결]</x:t>
  </x:si>
  <x:si>
    <x:t xml:space="preserve">대상자·교육일·평가·자격유효·배치승인</x:t>
  </x:si>
  <x:si>
    <x:t xml:space="preserve">실제 자격기록 미확인</x:t>
  </x:si>
  <x:si>
    <x:t xml:space="preserve">경영관리/부서장</x:t>
  </x:si>
  <x:si>
    <x:t xml:space="preserve">추적성</x:t>
  </x:si>
  <x:si>
    <x:t xml:space="preserve">실제 LOT 모의추적</x:t>
  </x:si>
  <x:si>
    <x:t xml:space="preserve">LOT 관리체계/예시행 존재</x:t>
  </x:si>
  <x:si>
    <x:t xml:space="preserve">[실제 LOT 추적결과 연결]</x:t>
  </x:si>
  <x:si>
    <x:t xml:space="preserve">원자재↔생산↔검사↔출하·재작업·수량대사·60분 이내</x:t>
  </x:si>
  <x:si>
    <x:t xml:space="preserve">예시행만 확인됨</x:t>
  </x:si>
  <x:si>
    <x:t xml:space="preserve">자재/생산/품질</x:t>
  </x:si>
  <x:si>
    <x:t xml:space="preserve">최근 4M 변경사례</x:t>
  </x:si>
  <x:si>
    <x:t xml:space="preserve">4M 변경 체크포인트 존재</x:t>
  </x:si>
  <x:si>
    <x:t xml:space="preserve">[최근 변경 기록 연결]</x:t>
  </x:si>
  <x:si>
    <x:t xml:space="preserve">영향평가·PFMEA/CP/WI 갱신·검증·고객승인 필요성</x:t>
  </x:si>
  <x:si>
    <x:t xml:space="preserve">실제 사례 미확인</x:t>
  </x:si>
  <x:si>
    <x:t xml:space="preserve">부적합</x:t>
  </x:si>
  <x:si>
    <x:t xml:space="preserve">최근 부적합 1건</x:t>
  </x:si>
  <x:si>
    <x:t xml:space="preserve">격리/판정/재작업 절차 존재</x:t>
  </x:si>
  <x:si>
    <x:t xml:space="preserve">[최근 사례 연결]</x:t>
  </x:si>
  <x:si>
    <x:t xml:space="preserve">격리→판정→조치→재검사→원인/재발방지→LOT</x:t>
  </x:si>
  <x:si>
    <x:t xml:space="preserve">4단계 — 한온 SQ 심사 최종 증빙 패키지 목록</x:t>
  </x:si>
  <x:si>
    <x:t xml:space="preserve">증빙 묶음</x:t>
  </x:si>
  <x:si>
    <x:t xml:space="preserve">심사 시 제시 자료</x:t>
  </x:si>
  <x:si>
    <x:t xml:space="preserve">기존 보유/참고</x:t>
  </x:si>
  <x:si>
    <x:t xml:space="preserve">사용자 입력 파일/경로</x:t>
  </x:si>
  <x:si>
    <x:t xml:space="preserve">담당부서</x:t>
  </x:si>
  <x:si>
    <x:t xml:space="preserve">제시형태</x:t>
  </x:si>
  <x:si>
    <x:t xml:space="preserve">심사 포인트</x:t>
  </x:si>
  <x:si>
    <x:t xml:space="preserve">최종 확인</x:t>
  </x:si>
  <x:si>
    <x:t xml:space="preserve">비고</x:t>
  </x:si>
  <x:si>
    <x:t xml:space="preserve">A. 고객/신청</x:t>
  </x:si>
  <x:si>
    <x:t xml:space="preserve">SQ 추진 평가자료 + 한온 공식 최신본 배포 근거</x:t>
  </x:si>
  <x:si>
    <x:t xml:space="preserve">SQ_진척율 보고 자료 한온시스템 260921.xlsx 확보</x:t>
  </x:si>
  <x:si>
    <x:t xml:space="preserve">[한온 배포/최신 Rev 증빙 경로 입력]</x:t>
  </x:si>
  <x:si>
    <x:t xml:space="preserve">전자+인쇄</x:t>
  </x:si>
  <x:si>
    <x:t xml:space="preserve">최신 개정·적용범위</x:t>
  </x:si>
  <x:si>
    <x:t xml:space="preserve">평가원문 확보. 최신성 및 적용범위 확인 뒤 종결</x:t>
  </x:si>
  <x:si>
    <x:t xml:space="preserve">RG3 HEV 두 품번 도면·사양·중요특성</x:t>
  </x:si>
  <x:si>
    <x:t xml:space="preserve">QMS 중요특성 체계</x:t>
  </x:si>
  <x:si>
    <x:t xml:space="preserve">[도면/사양 경로]</x:t>
  </x:si>
  <x:si>
    <x:t xml:space="preserve">전자</x:t>
  </x:si>
  <x:si>
    <x:t xml:space="preserve">최신 Rev·CC/SC</x:t>
  </x:si>
  <x:si>
    <x:t xml:space="preserve">B. 문서체계</x:t>
  </x:si>
  <x:si>
    <x:t xml:space="preserve">Core Tools 구조</x:t>
  </x:si>
  <x:si>
    <x:t xml:space="preserve">[Flow 경로]</x:t>
  </x:si>
  <x:si>
    <x:t xml:space="preserve">인쇄 권장</x:t>
  </x:si>
  <x:si>
    <x:t xml:space="preserve">실제 현장 순서</x:t>
  </x:si>
  <x:si>
    <x:t xml:space="preserve">FA1A8HRAAC/AD 적용 PFMEA</x:t>
  </x:si>
  <x:si>
    <x:t xml:space="preserve">Core Tools PFMEA</x:t>
  </x:si>
  <x:si>
    <x:t xml:space="preserve">[PFMEA 경로]</x:t>
  </x:si>
  <x:si>
    <x:t xml:space="preserve">최근 변경/불량 반영</x:t>
  </x:si>
  <x:si>
    <x:t xml:space="preserve">FA1A8HRAAC/AD 적용 Control Plan</x:t>
  </x:si>
  <x:si>
    <x:t xml:space="preserve">Core Tools CP</x:t>
  </x:si>
  <x:si>
    <x:t xml:space="preserve">[CP 경로]</x:t>
  </x:si>
  <x:si>
    <x:t xml:space="preserve">PFMEA 특성/반응계획 연계</x:t>
  </x:si>
  <x:si>
    <x:t xml:space="preserve">작업표준서/조건표 최신 승인본</x:t>
  </x:si>
  <x:si>
    <x:t xml:space="preserve">QMS Rev.03</x:t>
  </x:si>
  <x:si>
    <x:t xml:space="preserve">[WI/조건표 경로]</x:t>
  </x:si>
  <x:si>
    <x:t xml:space="preserve">현장+인쇄</x:t>
  </x:si>
  <x:si>
    <x:t xml:space="preserve">현장 게시본과 동일</x:t>
  </x:si>
  <x:si>
    <x:t xml:space="preserve">QMS 검사기준 체계</x:t>
  </x:si>
  <x:si>
    <x:t xml:space="preserve">[검사기준 경로]</x:t>
  </x:si>
  <x:si>
    <x:t xml:space="preserve">도면/CP와 동일</x:t>
  </x:si>
  <x:si>
    <x:t xml:space="preserve">C. 특수공정</x:t>
  </x:si>
  <x:si>
    <x:t xml:space="preserve">SQ 브레이징 예상질문/QMS 조건관리</x:t>
  </x:si>
  <x:si>
    <x:t xml:space="preserve">[실제 조건표 경로]</x:t>
  </x:si>
  <x:si>
    <x:t xml:space="preserve">압력·유량·온도/시간·용가재/Flux·JIG</x:t>
  </x:si>
  <x:si>
    <x:t xml:space="preserve">브레이징 적용은 미확인. 해당하지 않으면 N/A 근거</x:t>
  </x:si>
  <x:si>
    <x:t xml:space="preserve">FM-PRD-N10~N12 작성 필요 목록</x:t>
  </x:si>
  <x:si>
    <x:t xml:space="preserve">[최근 실적 경로]</x:t>
  </x:si>
  <x:si>
    <x:t xml:space="preserve">인쇄</x:t>
  </x:si>
  <x:si>
    <x:t xml:space="preserve">실제값·허용범위·판정·확인자</x:t>
  </x:si>
  <x:si>
    <x:t xml:space="preserve">브레이징 Q&amp;A 요구</x:t>
  </x:si>
  <x:si>
    <x:t xml:space="preserve">[자재/현장 기록 경로]</x:t>
  </x:si>
  <x:si>
    <x:t xml:space="preserve">자재/생산</x:t>
  </x:si>
  <x:si>
    <x:t xml:space="preserve">현장</x:t>
  </x:si>
  <x:si>
    <x:t xml:space="preserve">승인품목·LOT·오염/유효기간</x:t>
  </x:si>
  <x:si>
    <x:t xml:space="preserve">D. 검사/측정</x:t>
  </x:si>
  <x:si>
    <x:t xml:space="preserve">인쇄+전자</x:t>
  </x:si>
  <x:si>
    <x:t xml:space="preserve">계측기 대장·교정성적서·라벨</x:t>
  </x:si>
  <x:si>
    <x:t xml:space="preserve">QMS Rev.03 계측관리</x:t>
  </x:si>
  <x:si>
    <x:t xml:space="preserve">[계측기/성적서 경로]</x:t>
  </x:si>
  <x:si>
    <x:t xml:space="preserve">전자+현장</x:t>
  </x:si>
  <x:si>
    <x:t xml:space="preserve">유효기간·영향평가</x:t>
  </x:si>
  <x:si>
    <x:t xml:space="preserve">MSA/GR&amp;R 실제 결과</x:t>
  </x:si>
  <x:si>
    <x:t xml:space="preserve">Core Tools MSA</x:t>
  </x:si>
  <x:si>
    <x:t xml:space="preserve">[MSA 경로]</x:t>
  </x:si>
  <x:si>
    <x:t xml:space="preserve">실제 특성/기기/작업자</x:t>
  </x:si>
  <x:si>
    <x:t xml:space="preserve">SPC 관리도·Cpk/Ppk 실제 결과</x:t>
  </x:si>
  <x:si>
    <x:t xml:space="preserve">Core Tools SPC</x:t>
  </x:si>
  <x:si>
    <x:t xml:space="preserve">[SPC 경로]</x:t>
  </x:si>
  <x:si>
    <x:t xml:space="preserve">최근 데이터·이상반응</x:t>
  </x:si>
  <x:si>
    <x:t xml:space="preserve">E. 설비/JIG</x:t>
  </x:si>
  <x:si>
    <x:t xml:space="preserve">대상 설비·JIG 목록 및 일상점검</x:t>
  </x:si>
  <x:si>
    <x:t xml:space="preserve">설비 관리체계</x:t>
  </x:si>
  <x:si>
    <x:t xml:space="preserve">[점검표 경로]</x:t>
  </x:si>
  <x:si>
    <x:t xml:space="preserve">설비번호·일자·점검자</x:t>
  </x:si>
  <x:si>
    <x:t xml:space="preserve">예방보전 계획대실적·고장수리</x:t>
  </x:si>
  <x:si>
    <x:t xml:space="preserve">설비 통합관리 양식</x:t>
  </x:si>
  <x:si>
    <x:t xml:space="preserve">[PM/고장 경로]</x:t>
  </x:si>
  <x:si>
    <x:t xml:space="preserve">계획 대비 실적·반복고장</x:t>
  </x:si>
  <x:si>
    <x:t xml:space="preserve">Fool Proof 기능점검/우회승인</x:t>
  </x:si>
  <x:si>
    <x:t xml:space="preserve">필요서류 목록/현장조치 항목</x:t>
  </x:si>
  <x:si>
    <x:t xml:space="preserve">[F/P 점검 경로]</x:t>
  </x:si>
  <x:si>
    <x:t xml:space="preserve">기능시험·우회 통제</x:t>
  </x:si>
  <x:si>
    <x:t xml:space="preserve">F. 인원</x:t>
  </x:si>
  <x:si>
    <x:t xml:space="preserve">작업자/검사원 교육·자격</x:t>
  </x:si>
  <x:si>
    <x:t xml:space="preserve">QMS Rev.03/WI-025/FM-020~023</x:t>
  </x:si>
  <x:si>
    <x:t xml:space="preserve">[교육/자격 경로]</x:t>
  </x:si>
  <x:si>
    <x:t xml:space="preserve">경영관리/각부서</x:t>
  </x:si>
  <x:si>
    <x:t xml:space="preserve">인쇄/전자</x:t>
  </x:si>
  <x:si>
    <x:t xml:space="preserve">유효 자격·현장 인터뷰</x:t>
  </x:si>
  <x:si>
    <x:t xml:space="preserve">G. 품질이상</x:t>
  </x:si>
  <x:si>
    <x:t xml:space="preserve">최근 부적합 1건 End-to-End</x:t>
  </x:si>
  <x:si>
    <x:t xml:space="preserve">QMS Rev.03/SH-FM-071 연계</x:t>
  </x:si>
  <x:si>
    <x:t xml:space="preserve">[부적합 사례 경로]</x:t>
  </x:si>
  <x:si>
    <x:t xml:space="preserve">격리·판정·재검사·재발방지</x:t>
  </x:si>
  <x:si>
    <x:t xml:space="preserve">최근 4M 변경 1건 또는 변경없음 근거</x:t>
  </x:si>
  <x:si>
    <x:t xml:space="preserve">4M 체크포인트</x:t>
  </x:si>
  <x:si>
    <x:t xml:space="preserve">[변경 경로]</x:t>
  </x:si>
  <x:si>
    <x:t xml:space="preserve">영향평가·검증·고객승인</x:t>
  </x:si>
  <x:si>
    <x:t xml:space="preserve">H. 추적성</x:t>
  </x:si>
  <x:si>
    <x:t xml:space="preserve">LOT 관리체계/예시행</x:t>
  </x:si>
  <x:si>
    <x:t xml:space="preserve">[실제 추적 결과]</x:t>
  </x:si>
  <x:si>
    <x:t xml:space="preserve">수량대사·60분 이내</x:t>
  </x:si>
  <x:si>
    <x:t xml:space="preserve">예시행은 사용 금지</x:t>
  </x:si>
  <x:si>
    <x:t xml:space="preserve">재작업/선별품 원 LOT 유지 기록</x:t>
  </x:si>
  <x:si>
    <x:t xml:space="preserve">QMS Rev.03 추적 요구</x:t>
  </x:si>
  <x:si>
    <x:t xml:space="preserve">[재작업 기록]</x:t>
  </x:si>
  <x:si>
    <x:t xml:space="preserve">전후검사·원LOT</x:t>
  </x:si>
  <x:si>
    <x:t xml:space="preserve">I. 공급자</x:t>
  </x:si>
  <x:si>
    <x:t xml:space="preserve">승인공급자 평가·성적서·입고검사</x:t>
  </x:si>
  <x:si>
    <x:t xml:space="preserve">FM Master/공급자 체계</x:t>
  </x:si>
  <x:si>
    <x:t xml:space="preserve">[공급자 자료 경로]</x:t>
  </x:si>
  <x:si>
    <x:t xml:space="preserve">구매/자재/품질</x:t>
  </x:si>
  <x:si>
    <x:t xml:space="preserve">실제 원자재와 연결</x:t>
  </x:si>
  <x:si>
    <x:t xml:space="preserve">외주공정 관리 또는 N/A 근거</x:t>
  </x:si>
  <x:si>
    <x:t xml:space="preserve">외주 관리체계</x:t>
  </x:si>
  <x:si>
    <x:t xml:space="preserve">[외주/N/A 근거]</x:t>
  </x:si>
  <x:si>
    <x:t xml:space="preserve">구매/품질</x:t>
  </x:si>
  <x:si>
    <x:t xml:space="preserve">외주 조건/검사/추적</x:t>
  </x:si>
  <x:si>
    <x:t xml:space="preserve">J. 성과</x:t>
  </x:si>
  <x:si>
    <x:t xml:space="preserve">자동화 전/후 품질·생산성 원자료</x:t>
  </x:si>
  <x:si>
    <x:t xml:space="preserve">SQ 사전미팅 성과관리표</x:t>
  </x:si>
  <x:si>
    <x:t xml:space="preserve">[원자료 경로]</x:t>
  </x:si>
  <x:si>
    <x:t xml:space="preserve">생산관리/품질</x:t>
  </x:si>
  <x:si>
    <x:t xml:space="preserve">전자+요약 인쇄</x:t>
  </x:si>
  <x:si>
    <x:t xml:space="preserve">동일품번·동일기간·산식</x:t>
  </x:si>
  <x:si>
    <x:t xml:space="preserve">예시/가정 수치 금지</x:t>
  </x:si>
  <x:si>
    <x:t xml:space="preserve">K. 문서통제</x:t>
  </x:si>
  <x:si>
    <x:t xml:space="preserve">Rev.03 승인·배포·구본 회수 증빙</x:t>
  </x:si>
  <x:si>
    <x:t xml:space="preserve">문서관리대장</x:t>
  </x:si>
  <x:si>
    <x:t xml:space="preserve">[승인/배포/회수 경로]</x:t>
  </x:si>
  <x:si>
    <x:t xml:space="preserve">문서관리/품질</x:t>
  </x:si>
  <x:si>
    <x:t xml:space="preserve">실제 승인자·배포일·수령자</x:t>
  </x:si>
  <x:si>
    <x:t xml:space="preserve">L. 자체점검</x:t>
  </x:si>
  <x:si>
    <x:t xml:space="preserve">SQ 자체점검표·미흡사항 종결대장</x:t>
  </x:si>
  <x:si>
    <x:t xml:space="preserve">SQ PreMeeting FIXED</x:t>
  </x:si>
  <x:si>
    <x:t xml:space="preserve">[최종 체크리스트]</x:t>
  </x:si>
  <x:si>
    <x:t xml:space="preserve">품질/전부서</x:t>
  </x:si>
  <x:si>
    <x:t xml:space="preserve">증빙번호·확인자·완료일</x:t>
  </x:si>
  <x:si>
    <x:t xml:space="preserve">M. 교육</x:t>
  </x:si>
  <x:si>
    <x:t xml:space="preserve">브레이징 예상질문/품질약자 교육기록</x:t>
  </x:si>
  <x:si>
    <x:t xml:space="preserve">브레이징 Q&amp;A/약자 한장정리</x:t>
  </x:si>
  <x:si>
    <x:t xml:space="preserve">[교육실적 경로]</x:t>
  </x:si>
  <x:si>
    <x:t xml:space="preserve">작업자가 실제 기준대로 답변</x:t>
  </x:si>
  <x:si>
    <x:t xml:space="preserve">5단계 — 최종 모의심사 체크시트</x:t>
  </x:si>
  <x:si>
    <x:t xml:space="preserve">심사 질문/확인</x:t>
  </x:si>
  <x:si>
    <x:t xml:space="preserve">대상</x:t>
  </x:si>
  <x:si>
    <x:t xml:space="preserve">기대 답변/확인 포인트</x:t>
  </x:si>
  <x:si>
    <x:t xml:space="preserve">제시 증빙</x:t>
  </x:si>
  <x:si>
    <x:t xml:space="preserve">결과</x:t>
  </x:si>
  <x:si>
    <x:t xml:space="preserve">조치사항</x:t>
  </x:si>
  <x:si>
    <x:t xml:space="preserve">재확인</x:t>
  </x:si>
  <x:si>
    <x:t xml:space="preserve">한온 SQ 평가기준 최신본은 무엇이며 적용 공정은?</x:t>
  </x:si>
  <x:si>
    <x:t xml:space="preserve">품질/영업</x:t>
  </x:si>
  <x:si>
    <x:t xml:space="preserve">공식 문서명·Rev·입수일·적용 대상 즉시 제시</x:t>
  </x:si>
  <x:si>
    <x:t xml:space="preserve">한온 공식 평가기준/외부문서대장</x:t>
  </x:si>
  <x:si>
    <x:t xml:space="preserve">Flow/PFMEA/CP</x:t>
  </x:si>
  <x:si>
    <x:t xml:space="preserve">PFMEA 위험과 Control Plan 관리는 어떻게 연결됩니까?</x:t>
  </x:si>
  <x:si>
    <x:t xml:space="preserve">동일 공정번호·특성·예방/검출·반응계획 연결</x:t>
  </x:si>
  <x:si>
    <x:t xml:space="preserve">PFMEA/CP/상호참조</x:t>
  </x:si>
  <x:si>
    <x:t xml:space="preserve">조건표/WI/최근기록</x:t>
  </x:si>
  <x:si>
    <x:t xml:space="preserve">조건 이탈 시 어떻게 합니까?</x:t>
  </x:si>
  <x:si>
    <x:t xml:space="preserve">정지→영향품 식별/격리→보고→원인→재검사→재가동</x:t>
  </x:si>
  <x:si>
    <x:t xml:space="preserve">WI/이탈사례</x:t>
  </x:si>
  <x:si>
    <x:t xml:space="preserve">생산/품질</x:t>
  </x:si>
  <x:si>
    <x:t xml:space="preserve">실제 용접방식에 사용하는 소모재·용가재/Flux(해당 시)는 어떻게 관리합니까?</x:t>
  </x:si>
  <x:si>
    <x:t xml:space="preserve">작업자/자재</x:t>
  </x:si>
  <x:si>
    <x:t xml:space="preserve">실제 적용 자재·소모재만 대상으로 승인 품목·규격·LOT·보관상태 관리</x:t>
  </x:si>
  <x:si>
    <x:t xml:space="preserve">자재 LOT/보관기록</x:t>
  </x:si>
  <x:si>
    <x:t xml:space="preserve">JIG 이상이면?</x:t>
  </x:si>
  <x:si>
    <x:t xml:space="preserve">사용중지·식별·보고·점검/수리·영향품 확인</x:t>
  </x:si>
  <x:si>
    <x:t xml:space="preserve">JIG 점검/고장이력</x:t>
  </x:si>
  <x:si>
    <x:t xml:space="preserve">작업자 자격은 어떻게 확인합니까?</x:t>
  </x:si>
  <x:si>
    <x:t xml:space="preserve">생산/경영관리</x:t>
  </x:si>
  <x:si>
    <x:t xml:space="preserve">교육·숙련평가·자격승인 후 독립작업</x:t>
  </x:si>
  <x:si>
    <x:t xml:space="preserve">자격대장/교육기록</x:t>
  </x:si>
  <x:si>
    <x:t xml:space="preserve">경영관리/생산</x:t>
  </x:si>
  <x:si>
    <x:t xml:space="preserve">초품은 언제 확인합니까?</x:t>
  </x:si>
  <x:si>
    <x:t xml:space="preserve">작업자/품질</x:t>
  </x:si>
  <x:si>
    <x:t xml:space="preserve">생산시작·품번/조건변경·재가동 등 기준대로 승인</x:t>
  </x:si>
  <x:si>
    <x:t xml:space="preserve">초품 기록</x:t>
  </x:si>
  <x:si>
    <x:t xml:space="preserve">계측기 교정상태를 보여 주세요.</x:t>
  </x:si>
  <x:si>
    <x:t xml:space="preserve">검사원</x:t>
  </x:si>
  <x:si>
    <x:t xml:space="preserve">기기ID·유효기간·라벨·성적서 일치</x:t>
  </x:si>
  <x:si>
    <x:t xml:space="preserve">계측기대장/성적서</x:t>
  </x:si>
  <x:si>
    <x:t xml:space="preserve">이 측정방법의 MSA 결과는?</x:t>
  </x:si>
  <x:si>
    <x:t xml:space="preserve">실제 특성/기기의 GR&amp;R 등 결과·판정 설명</x:t>
  </x:si>
  <x:si>
    <x:t xml:space="preserve">MSA 결과</x:t>
  </x:si>
  <x:si>
    <x:t xml:space="preserve">공정능력은 어떻게 관리합니까?</x:t>
  </x:si>
  <x:si>
    <x:t xml:space="preserve">관리도·Cpk/Ppk·이상반응 계획 제시</x:t>
  </x:si>
  <x:si>
    <x:t xml:space="preserve">최근 부적합 사례를 보여 주세요.</x:t>
  </x:si>
  <x:si>
    <x:t xml:space="preserve">격리→판정→조치→재검사→원인/재발방지 연결</x:t>
  </x:si>
  <x:si>
    <x:t xml:space="preserve">부적합 기록</x:t>
  </x:si>
  <x:si>
    <x:t xml:space="preserve">최근 4M 변경은 어떻게 관리했습니까?</x:t>
  </x:si>
  <x:si>
    <x:t xml:space="preserve">사전 영향평가·관련문서 변경·검증·고객승인 필요성 확인</x:t>
  </x:si>
  <x:si>
    <x:t xml:space="preserve">변경기록</x:t>
  </x:si>
  <x:si>
    <x:t xml:space="preserve">LOT 하나를 역추적해 주세요.</x:t>
  </x:si>
  <x:si>
    <x:t xml:space="preserve">품질/자재</x:t>
  </x:si>
  <x:si>
    <x:t xml:space="preserve">고객/완성품→공정→검사→자재 LOT, 수량대사</x:t>
  </x:si>
  <x:si>
    <x:t xml:space="preserve">실제 모의추적 결과</x:t>
  </x:si>
  <x:si>
    <x:t xml:space="preserve">자재/품질</x:t>
  </x:si>
  <x:si>
    <x:t xml:space="preserve">설비 예방보전 실적을 보여 주세요.</x:t>
  </x:si>
  <x:si>
    <x:t xml:space="preserve">대상설비 계획대실적·고장이력·후속조치</x:t>
  </x:si>
  <x:si>
    <x:t xml:space="preserve">PM/고장기록</x:t>
  </x:si>
  <x:si>
    <x:t xml:space="preserve">Fool Proof는 정상 작동합니까?</x:t>
  </x:si>
  <x:si>
    <x:t xml:space="preserve">기능점검·이상 시 정지/우회승인 통제</x:t>
  </x:si>
  <x:si>
    <x:t xml:space="preserve">F/P 점검기록</x:t>
  </x:si>
  <x:si>
    <x:t xml:space="preserve">자동화 전환 효과를 어떤 원자료로 검증했습니까?</x:t>
  </x:si>
  <x:si>
    <x:t xml:space="preserve">동일 품번·기간·산식·원자료 대사</x:t>
  </x:si>
  <x:si>
    <x:t xml:space="preserve">생산/불량/재작업 원자료</x:t>
  </x:si>
  <x:si>
    <x:t xml:space="preserve">최신 문서가 현장에 배포되어 있습니까?</x:t>
  </x:si>
  <x:si>
    <x:t xml:space="preserve">문서관리/현장</x:t>
  </x:si>
  <x:si>
    <x:t xml:space="preserve">승인·배포·수령·구본회수 증빙 제시</x:t>
  </x:si>
  <x:si>
    <x:t xml:space="preserve">문서관리대장/현장본</x:t>
  </x:si>
  <x:si>
    <x:t xml:space="preserve">기존 22항목 실행용 정리표 — 최신 우선순위는 17시트 확인</x:t>
  </x:si>
  <x:si>
    <x:t xml:space="preserve">이 시트는 기존 FINAL MASTER의 부서 과제를 유지한 참고 목록입니다. 새 한온 SQ 평가자료 기준으로 검증/확정해야 할 최신 사용자 과제는 「17_사용자_최우선」 시트에서 관리합니다. 두 목록의 중복 항목은 동일 증빙으로 연계하십시오.</x:t>
  </x:si>
  <x:si>
    <x:t xml:space="preserve">유형</x:t>
  </x:si>
  <x:si>
    <x:t xml:space="preserve">정리할 항목</x:t>
  </x:si>
  <x:si>
    <x:t xml:space="preserve">사용자가 해야 할 일</x:t>
  </x:si>
  <x:si>
    <x:t xml:space="preserve">받을 자료/결정값</x:t>
  </x:si>
  <x:si>
    <x:t xml:space="preserve">요청 대상</x:t>
  </x:si>
  <x:si>
    <x:t xml:space="preserve">완료</x:t>
  </x:si>
  <x:si>
    <x:t xml:space="preserve">완료 후 다음 작업</x:t>
  </x:si>
  <x:si>
    <x:t xml:space="preserve">직접 확정</x:t>
  </x:si>
  <x:si>
    <x:t xml:space="preserve">대표 품번 2종 확정</x:t>
  </x:si>
  <x:si>
    <x:t xml:space="preserve">FA1A8HRAAC/AD 두 품번으로 구분해 진행; AD 전개표기는 도면으로 확인</x:t>
  </x:si>
  <x:si>
    <x:t xml:space="preserve">사용자</x:t>
  </x:si>
  <x:si>
    <x:t xml:space="preserve">즉시</x:t>
  </x:si>
  <x:si>
    <x:t xml:space="preserve">07 시트 B5~B9 입력</x:t>
  </x:si>
  <x:si>
    <x:t xml:space="preserve">범위 확정 / 설비·용접방식 확인 필요</x:t>
  </x:si>
  <x:si>
    <x:t xml:space="preserve">세부 설비번호·용접방식·승인조건은 생산기술 확인</x:t>
  </x:si>
  <x:si>
    <x:t xml:space="preserve">사용자+생산</x:t>
  </x:si>
  <x:si>
    <x:t xml:space="preserve">대표 품번 Flow 범위 고정</x:t>
  </x:si>
  <x:si>
    <x:t xml:space="preserve">생산동·공정·라인 확인. 용접방식/설비별 조건 확인 필요</x:t>
  </x:si>
  <x:si>
    <x:t xml:space="preserve">외부 확보</x:t>
  </x:si>
  <x:si>
    <x:t xml:space="preserve">한온 SQ 원문 평가자료 공식/최신성 확인</x:t>
  </x:si>
  <x:si>
    <x:t xml:space="preserve">기준자료 확보·공식 최신성 미확인</x:t>
  </x:si>
  <x:si>
    <x:t xml:space="preserve">업로드한 한온 SQ 추진자료를 기준으로 사용. 한온 공식 배포원본인지/새 개정본이 있는지만 확인</x:t>
  </x:si>
  <x:si>
    <x:t xml:space="preserve">작성일 2026-09-07 평가자료 + 배포 근거/Rev·최신 여부</x:t>
  </x:si>
  <x:si>
    <x:t xml:space="preserve">영업 신성호/한온 담당</x:t>
  </x:si>
  <x:si>
    <x:t xml:space="preserve">최우선</x:t>
  </x:si>
  <x:si>
    <x:t xml:space="preserve">미완료</x:t>
  </x:si>
  <x:si>
    <x:t xml:space="preserve">13~15 원문 평가표·진척 연계 확정</x:t>
  </x:si>
  <x:si>
    <x:t xml:space="preserve">새 기준 확보 불필요. 공식 발행처/최신본 여부 검증만 남음</x:t>
  </x:si>
  <x:si>
    <x:t xml:space="preserve">부서 요청</x:t>
  </x:si>
  <x:si>
    <x:t xml:space="preserve">개발 한상돈/최윤서</x:t>
  </x:si>
  <x:si>
    <x:t xml:space="preserve">D+1</x:t>
  </x:si>
  <x:si>
    <x:t xml:space="preserve">Flow-PFMEA-CP 대조</x:t>
  </x:si>
  <x:si>
    <x:t xml:space="preserve">대표 품번 Flow·PFMEA·Control Plan</x:t>
  </x:si>
  <x:si>
    <x:t xml:space="preserve">두 품번별 최신 도면·사양/Rev를 확보; 공용 도면이면 적용 근거 확인</x:t>
  </x:si>
  <x:si>
    <x:t xml:space="preserve">Flow/PFMEA/CP 실제 파일</x:t>
  </x:si>
  <x:si>
    <x:t xml:space="preserve">품질/개발/생산기술</x:t>
  </x:si>
  <x:si>
    <x:t xml:space="preserve">07 시트 E열 연결</x:t>
  </x:si>
  <x:si>
    <x:t xml:space="preserve">브레이징 실제 승인 조건값</x:t>
  </x:si>
  <x:si>
    <x:t xml:space="preserve">두 품번 Flow·PFMEA·CP를 각각 확인하거나 공용문서 적용범위 증빙</x:t>
  </x:si>
  <x:si>
    <x:t xml:space="preserve">가스종류·압력/유량·온도/시간·용가재/Flux·JIG/간극</x:t>
  </x:si>
  <x:si>
    <x:t xml:space="preserve">생산기술 황지환</x:t>
  </x:si>
  <x:si>
    <x:t xml:space="preserve">D+2</x:t>
  </x:si>
  <x:si>
    <x:t xml:space="preserve">Q&amp;A와 조건표 일치 검증</x:t>
  </x:si>
  <x:si>
    <x:t xml:space="preserve">FT-ASY-A/C JUMPER 실제 용접 조건값</x:t>
  </x:si>
  <x:si>
    <x:t xml:space="preserve">CO₂·스폿·브레이징 등 적용 용접방식과 승인 조건을 확인; 임의 입력 금지</x:t>
  </x:si>
  <x:si>
    <x:t xml:space="preserve">WI/검사기준/현장게시 사진</x:t>
  </x:si>
  <x:si>
    <x:t xml:space="preserve">생산 지성규 / 품질</x:t>
  </x:si>
  <x:si>
    <x:t xml:space="preserve">구본 회수·최신본 확인</x:t>
  </x:si>
  <x:si>
    <x:t xml:space="preserve">최근 실제 검사기록</x:t>
  </x:si>
  <x:si>
    <x:t xml:space="preserve">대표 품번 최근 LOT 1~3건 기록 확보</x:t>
  </x:si>
  <x:si>
    <x:t xml:space="preserve">초품/공정/최종검사·측정기·검사자</x:t>
  </x:si>
  <x:si>
    <x:t xml:space="preserve">LOT 추적과 연결</x:t>
  </x:si>
  <x:si>
    <x:t xml:space="preserve">9</x:t>
  </x:si>
  <x:si>
    <x:t xml:space="preserve">설비·JIG 실제 점검/PM 기록</x:t>
  </x:si>
  <x:si>
    <x:t xml:space="preserve">SQ 대상 설비만 추려 최근 1~3개월 원본 확보</x:t>
  </x:si>
  <x:si>
    <x:t xml:space="preserve">일상점검/PM/고장수리/JIG 점검</x:t>
  </x:si>
  <x:si>
    <x:t xml:space="preserve">D+3</x:t>
  </x:si>
  <x:si>
    <x:t xml:space="preserve">08 패키지 등록</x:t>
  </x:si>
  <x:si>
    <x:t xml:space="preserve">신규작성 필요 항목 확인</x:t>
  </x:si>
  <x:si>
    <x:t xml:space="preserve">10</x:t>
  </x:si>
  <x:si>
    <x:t xml:space="preserve">계측기 교정성적서</x:t>
  </x:si>
  <x:si>
    <x:t xml:space="preserve">대표 품번 검사에 쓰는 기기만 우선 수집</x:t>
  </x:si>
  <x:si>
    <x:t xml:space="preserve">기기ID/교정성적서/유효기간/라벨</x:t>
  </x:si>
  <x:si>
    <x:t xml:space="preserve">MSA 대상 선정</x:t>
  </x:si>
  <x:si>
    <x:t xml:space="preserve">11</x:t>
  </x:si>
  <x:si>
    <x:t xml:space="preserve">작업자·검사원 교육/자격</x:t>
  </x:si>
  <x:si>
    <x:t xml:space="preserve">SQ 대상 인원 명단 기준 유효성 확인</x:t>
  </x:si>
  <x:si>
    <x:t xml:space="preserve">교육일지/평가/자격대장</x:t>
  </x:si>
  <x:si>
    <x:t xml:space="preserve">경영관리 안혜정/부서장</x:t>
  </x:si>
  <x:si>
    <x:t xml:space="preserve">현장 인터뷰 대상 지정</x:t>
  </x:si>
  <x:si>
    <x:t xml:space="preserve">12</x:t>
  </x:si>
  <x:si>
    <x:t xml:space="preserve">실행 필요</x:t>
  </x:si>
  <x:si>
    <x:t xml:space="preserve">MSA 실제 결과</x:t>
  </x:si>
  <x:si>
    <x:t xml:space="preserve">미실행/미확인</x:t>
  </x:si>
  <x:si>
    <x:t xml:space="preserve">중요 검사특성 1~2개로 실제 GR&amp;R 확인/실행</x:t>
  </x:si>
  <x:si>
    <x:t xml:space="preserve">GR&amp;R 원자료/판정/조치</x:t>
  </x:si>
  <x:si>
    <x:t xml:space="preserve">D+4</x:t>
  </x:si>
  <x:si>
    <x:t xml:space="preserve">09 모의심사 Q11 대응</x:t>
  </x:si>
  <x:si>
    <x:t xml:space="preserve">샘플 양식만으로는 부족</x:t>
  </x:si>
  <x:si>
    <x:t xml:space="preserve">13</x:t>
  </x:si>
  <x:si>
    <x:t xml:space="preserve">SPC/Cpk 실제 결과</x:t>
  </x:si>
  <x:si>
    <x:t xml:space="preserve">중요특성 1~2개 최근 실측값으로 분석</x:t>
  </x:si>
  <x:si>
    <x:t xml:space="preserve">관리도/Cpk 또는 Ppk/이상반응</x:t>
  </x:si>
  <x:si>
    <x:t xml:space="preserve">품질+생산</x:t>
  </x:si>
  <x:si>
    <x:t xml:space="preserve">09 모의심사 Q12 대응</x:t>
  </x:si>
  <x:si>
    <x:t xml:space="preserve">14</x:t>
  </x:si>
  <x:si>
    <x:t xml:space="preserve">실제 LOT 모의추적 1회</x:t>
  </x:si>
  <x:si>
    <x:t xml:space="preserve">예시 데이터만 존재</x:t>
  </x:si>
  <x:si>
    <x:t xml:space="preserve">실제 대표 LOT로 정·역추적 실시</x:t>
  </x:si>
  <x:si>
    <x:t xml:space="preserve">원자재/생산/검사/출하/재작업/수량대사/소요시간</x:t>
  </x:si>
  <x:si>
    <x:t xml:space="preserve">자재+생산+품질</x:t>
  </x:si>
  <x:si>
    <x:t xml:space="preserve">60분 이내 기준으로 종결</x:t>
  </x:si>
  <x:si>
    <x:t xml:space="preserve">기존 25분 기록은 예시행</x:t>
  </x:si>
  <x:si>
    <x:t xml:space="preserve">15</x:t>
  </x:si>
  <x:si>
    <x:t xml:space="preserve">최근 부적합 사례 1건</x:t>
  </x:si>
  <x:si>
    <x:t xml:space="preserve">최근 실제 사례를 처음부터 끝까지 묶기</x:t>
  </x:si>
  <x:si>
    <x:t xml:space="preserve">격리/판정/재작업·폐기/재검사/원인/재발방지</x:t>
  </x:si>
  <x:si>
    <x:t xml:space="preserve">09 모의심사 Q13 대응</x:t>
  </x:si>
  <x:si>
    <x:t xml:space="preserve">16</x:t>
  </x:si>
  <x:si>
    <x:t xml:space="preserve">최근 4M 변경 사례 또는 변경없음 근거</x:t>
  </x:si>
  <x:si>
    <x:t xml:space="preserve">최근 6개월 이력에서 1건 선정</x:t>
  </x:si>
  <x:si>
    <x:t xml:space="preserve">변경요청/영향평가/검증/고객승인 필요성</x:t>
  </x:si>
  <x:si>
    <x:t xml:space="preserve">개발+품질</x:t>
  </x:si>
  <x:si>
    <x:t xml:space="preserve">09 모의심사 Q14 대응</x:t>
  </x:si>
  <x:si>
    <x:t xml:space="preserve">17</x:t>
  </x:si>
  <x:si>
    <x:t xml:space="preserve">공급자/자재 증빙</x:t>
  </x:si>
  <x:si>
    <x:t xml:space="preserve">대표 원자재 1~2개만 우선 수집</x:t>
  </x:si>
  <x:si>
    <x:t xml:space="preserve">승인공급자/성적서/입고검사/추적성</x:t>
  </x:si>
  <x:si>
    <x:t xml:space="preserve">구매+자재+품질</x:t>
  </x:si>
  <x:si>
    <x:t xml:space="preserve">D+5</x:t>
  </x:si>
  <x:si>
    <x:t xml:space="preserve">18</x:t>
  </x:si>
  <x:si>
    <x:t xml:space="preserve">직접 확인</x:t>
  </x:si>
  <x:si>
    <x:t xml:space="preserve">자동화 전/후 성과가 실제 실적인지 확정</x:t>
  </x:si>
  <x:si>
    <x:t xml:space="preserve">미판정</x:t>
  </x:si>
  <x:si>
    <x:t xml:space="preserve">사전미팅 수치가 예시인지 실제인지 결정하고 기간 지정</x:t>
  </x:si>
  <x:si>
    <x:t xml:space="preserve">비교품번/기간/원자료 위치/산식</x:t>
  </x:si>
  <x:si>
    <x:t xml:space="preserve">사용자+생산관리</x:t>
  </x:si>
  <x:si>
    <x:t xml:space="preserve">실제 원자료로 재계산</x:t>
  </x:si>
  <x:si>
    <x:t xml:space="preserve">19</x:t>
  </x:si>
  <x:si>
    <x:t xml:space="preserve">QMS Rev.03 실제 승인·배포·구본 회수</x:t>
  </x:si>
  <x:si>
    <x:t xml:space="preserve">승인자/승인일/배포일/수령자/회수상태 확인</x:t>
  </x:si>
  <x:si>
    <x:t xml:space="preserve">승인·배포·회수 증빙</x:t>
  </x:si>
  <x:si>
    <x:t xml:space="preserve">문서통제 Gate 해제</x:t>
  </x:si>
  <x:si>
    <x:t xml:space="preserve">20</x:t>
  </x:si>
  <x:si>
    <x:t xml:space="preserve">최종 실행</x:t>
  </x:si>
  <x:si>
    <x:t xml:space="preserve">부서 합동 모의심사 1회</x:t>
  </x:si>
  <x:si>
    <x:t xml:space="preserve">미실시</x:t>
  </x:si>
  <x:si>
    <x:t xml:space="preserve">09 시트 20문항을 실제 현장에서 실행</x:t>
  </x:si>
  <x:si>
    <x:t xml:space="preserve">결과/부적합/담당/재확인일</x:t>
  </x:si>
  <x:si>
    <x:t xml:space="preserve">품질 주관 전부서</x:t>
  </x:si>
  <x:si>
    <x:t xml:space="preserve">최종 D-2</x:t>
  </x:si>
  <x:si>
    <x:t xml:space="preserve">11 Final Gate 판정</x:t>
  </x:si>
  <x:si>
    <x:t xml:space="preserve">한온 SQ 심사 준비 FINAL READY GATE</x:t>
  </x:si>
  <x:si>
    <x:t xml:space="preserve">본 시트는 계획이 아니라 '실제 증빙이 확인된 상태'만 집계합니다. 현재 결과는 자료 대조 기준이며, 실제 파일을 연결하면 자동으로 갱신하십시오.</x:t>
  </x:si>
  <x:si>
    <x:t xml:space="preserve">필수조건</x:t>
  </x:si>
  <x:si>
    <x:t xml:space="preserve">현재</x:t>
  </x:si>
  <x:si>
    <x:t xml:space="preserve">판정</x:t>
  </x:si>
  <x:si>
    <x:t xml:space="preserve">사용자/부서 조치</x:t>
  </x:si>
  <x:si>
    <x:t xml:space="preserve">G1</x:t>
  </x:si>
  <x:si>
    <x:t xml:space="preserve">한온 SQ 평가자료 확보 + 공식 최신성 검증</x:t>
  </x:si>
  <x:si>
    <x:t xml:space="preserve">공식 배포/최신 Rev·평가 적용범위·6-12 중복 확인</x:t>
  </x:si>
  <x:si>
    <x:t xml:space="preserve">배포 증빙·적용범위 및 코드 확정 시 PASS</x:t>
  </x:si>
  <x:si>
    <x:t xml:space="preserve">상태</x:t>
  </x:si>
  <x:si>
    <x:t xml:space="preserve">건수</x:t>
  </x:si>
  <x:si>
    <x:t xml:space="preserve">G2</x:t>
  </x:si>
  <x:si>
    <x:t xml:space="preserve">대표 품번/공정/라인 확정</x:t>
  </x:si>
  <x:si>
    <x:t xml:space="preserve">G3</x:t>
  </x:si>
  <x:si>
    <x:t xml:space="preserve">G4</x:t>
  </x:si>
  <x:si>
    <x:t xml:space="preserve">G5</x:t>
  </x:si>
  <x:si>
    <x:t xml:space="preserve">MSA/SPC 실제 데이터</x:t>
  </x:si>
  <x:si>
    <x:t xml:space="preserve">중요특성 실측 분석</x:t>
  </x:si>
  <x:si>
    <x:t xml:space="preserve">판정+반응기록</x:t>
  </x:si>
  <x:si>
    <x:t xml:space="preserve">G6</x:t>
  </x:si>
  <x:si>
    <x:t xml:space="preserve">실제 LOT 재실시</x:t>
  </x:si>
  <x:si>
    <x:t xml:space="preserve">정/역추적·수량대사·60분 내</x:t>
  </x:si>
  <x:si>
    <x:t xml:space="preserve">G7</x:t>
  </x:si>
  <x:si>
    <x:t xml:space="preserve">설비/JIG/계측/교육 실제 기록</x:t>
  </x:si>
  <x:si>
    <x:t xml:space="preserve">최근 원본 수집</x:t>
  </x:si>
  <x:si>
    <x:t xml:space="preserve">대상 전수 유효</x:t>
  </x:si>
  <x:si>
    <x:t xml:space="preserve">G8</x:t>
  </x:si>
  <x:si>
    <x:t xml:space="preserve">부적합/4M 변경 실제 사례</x:t>
  </x:si>
  <x:si>
    <x:t xml:space="preserve">각 1건 또는 변경없음 근거</x:t>
  </x:si>
  <x:si>
    <x:t xml:space="preserve">End-to-End 증빙</x:t>
  </x:si>
  <x:si>
    <x:t xml:space="preserve">G9</x:t>
  </x:si>
  <x:si>
    <x:t xml:space="preserve">QMS Rev.03 승인/배포/회수</x:t>
  </x:si>
  <x:si>
    <x:t xml:space="preserve">승인·배포·구본회수 확인</x:t>
  </x:si>
  <x:si>
    <x:t xml:space="preserve">대장 실제값 입력</x:t>
  </x:si>
  <x:si>
    <x:t xml:space="preserve">G10</x:t>
  </x:si>
  <x:si>
    <x:t xml:space="preserve">최종 모의심사</x:t>
  </x:si>
  <x:si>
    <x:t xml:space="preserve">부적합 0 + 개선기회 조치</x:t>
  </x:si>
  <x:si>
    <x:t xml:space="preserve">최종 결론</x:t>
  </x:si>
  <x:si>
    <x:t xml:space="preserve">심사 당일 — 인쇄/전자/현장 준비 목록</x:t>
  </x:si>
  <x:si>
    <x:t xml:space="preserve">자료/준비물</x:t>
  </x:si>
  <x:si>
    <x:t xml:space="preserve">권장 형태</x:t>
  </x:si>
  <x:si>
    <x:t xml:space="preserve">사전 체크</x:t>
  </x:si>
  <x:si>
    <x:t xml:space="preserve">심사 시 사용처</x:t>
  </x:si>
  <x:si>
    <x:t xml:space="preserve">준비 상태</x:t>
  </x:si>
  <x:si>
    <x:t xml:space="preserve">필수 인쇄</x:t>
  </x:si>
  <x:si>
    <x:t xml:space="preserve">한온 SQ 추진 평가원문 및 공식 최신본 확인자료</x:t>
  </x:si>
  <x:si>
    <x:t xml:space="preserve">인쇄 1부+전자</x:t>
  </x:si>
  <x:si>
    <x:t xml:space="preserve">260921 업로드 원문 확보 / 공식 최신 Rev·발행근거 확인</x:t>
  </x:si>
  <x:si>
    <x:t xml:space="preserve">Opening/항목별 대응</x:t>
  </x:si>
  <x:si>
    <x:t xml:space="preserve">준비중</x:t>
  </x:si>
  <x:si>
    <x:t xml:space="preserve">인쇄 각 1부</x:t>
  </x:si>
  <x:si>
    <x:t xml:space="preserve">동일 Rev/공정번호</x:t>
  </x:si>
  <x:si>
    <x:t xml:space="preserve">문서 추적</x:t>
  </x:si>
  <x:si>
    <x:t xml:space="preserve">미준비</x:t>
  </x:si>
  <x:si>
    <x:t xml:space="preserve">작업표준·검사기준·브레이징 조건표</x:t>
  </x:si>
  <x:si>
    <x:t xml:space="preserve">현장 원본+인쇄</x:t>
  </x:si>
  <x:si>
    <x:t xml:space="preserve">현장 게시본 동일</x:t>
  </x:si>
  <x:si>
    <x:t xml:space="preserve">현장심사</x:t>
  </x:si>
  <x:si>
    <x:t xml:space="preserve">설비/JIG 점검·PM·고장이력</x:t>
  </x:si>
  <x:si>
    <x:t xml:space="preserve">인쇄 표본</x:t>
  </x:si>
  <x:si>
    <x:t xml:space="preserve">대상설비 일치</x:t>
  </x:si>
  <x:si>
    <x:t xml:space="preserve">작업자/검사원 자격·교육</x:t>
  </x:si>
  <x:si>
    <x:t xml:space="preserve">대상자 일치</x:t>
  </x:si>
  <x:si>
    <x:t xml:space="preserve">인터뷰</x:t>
  </x:si>
  <x:si>
    <x:t xml:space="preserve">실제 LOT 모의추적 결과</x:t>
  </x:si>
  <x:si>
    <x:t xml:space="preserve">인쇄 1부</x:t>
  </x:si>
  <x:si>
    <x:t xml:space="preserve">60분/수량대사</x:t>
  </x:si>
  <x:si>
    <x:t xml:space="preserve">추적성 질문</x:t>
  </x:si>
  <x:si>
    <x:t xml:space="preserve">최근 부적합/4M 변경 사례</x:t>
  </x:si>
  <x:si>
    <x:t xml:space="preserve">인쇄 각 1건</x:t>
  </x:si>
  <x:si>
    <x:t xml:space="preserve">End-to-End</x:t>
  </x:si>
  <x:si>
    <x:t xml:space="preserve">이상/변경 질문</x:t>
  </x:si>
  <x:si>
    <x:t xml:space="preserve">품질/개발</x:t>
  </x:si>
  <x:si>
    <x:t xml:space="preserve">전자 폴더</x:t>
  </x:si>
  <x:si>
    <x:t xml:space="preserve">전체 QMS Rev.03 / 문서대장 / FM Master</x:t>
  </x:si>
  <x:si>
    <x:t xml:space="preserve">노트북/공유폴더</x:t>
  </x:si>
  <x:si>
    <x:t xml:space="preserve">오프라인 접근 확인</x:t>
  </x:si>
  <x:si>
    <x:t xml:space="preserve">추가 자료 요청</x:t>
  </x:si>
  <x:si>
    <x:t xml:space="preserve">공급자/성적서/입고검사/외주자료</x:t>
  </x:si>
  <x:si>
    <x:t xml:space="preserve">노트북</x:t>
  </x:si>
  <x:si>
    <x:t xml:space="preserve">대표 자재 연결</x:t>
  </x:si>
  <x:si>
    <x:t xml:space="preserve">구매/공급망</x:t>
  </x:si>
  <x:si>
    <x:t xml:space="preserve">부적합 격리구역/식별표시</x:t>
  </x:si>
  <x:si>
    <x:t xml:space="preserve">정상품과 혼재 없음</x:t>
  </x:si>
  <x:si>
    <x:t xml:space="preserve">Fool Proof/JIG/설비 상태</x:t>
  </x:si>
  <x:si>
    <x:t xml:space="preserve">기능점검 완료</x:t>
  </x:si>
  <x:si>
    <x:t xml:space="preserve">계측기 교정라벨/보관상태</x:t>
  </x:si>
  <x:si>
    <x:t xml:space="preserve">유효기간 전수 확인</x:t>
  </x:si>
  <x:si>
    <x:t xml:space="preserve">용가재/Flux LOT·보관상태</x:t>
  </x:si>
  <x:si>
    <x:t xml:space="preserve">승인품목/LOT/유효기간</x:t>
  </x:si>
  <x:si>
    <x:t xml:space="preserve">브레이징 심사</x:t>
  </x:si>
  <x:si>
    <x:t xml:space="preserve">인원</x:t>
  </x:si>
  <x:si>
    <x:t xml:space="preserve">대표 작업자/검사원 인터뷰 대상 지정</x:t>
  </x:si>
  <x:si>
    <x:t xml:space="preserve">휴가/교대 확인</x:t>
  </x:si>
  <x:si>
    <x:t xml:space="preserve">구두질문</x:t>
  </x:si>
  <x:si>
    <x:t xml:space="preserve">운영</x:t>
  </x:si>
  <x:si>
    <x:t xml:space="preserve">심사 중 자료 요청 담당 1명 지정</x:t>
  </x:si>
  <x:si>
    <x:t xml:space="preserve">파일 위치 숙지</x:t>
  </x:si>
  <x:si>
    <x:t xml:space="preserve">신속한 증빙 제출</x:t>
  </x:si>
  <x:si>
    <x:t xml:space="preserve">13. 한온 SQ 추진자료 — 평가코드 원문대조 (43개 기재행)</x:t>
  </x:si>
  <x:si>
    <x:t xml:space="preserve">No</x:t>
  </x:si>
  <x:si>
    <x:t xml:space="preserve">평가분야(원문)</x:t>
  </x:si>
  <x:si>
    <x:t xml:space="preserve">평가코드(원문)</x:t>
  </x:si>
  <x:si>
    <x:t xml:space="preserve">배점(원문)</x:t>
  </x:si>
  <x:si>
    <x:t xml:space="preserve">평가내용(원문 C열 묶음)</x:t>
  </x:si>
  <x:si>
    <x:t xml:space="preserve">세부 요구사항 행수</x:t>
  </x:si>
  <x:si>
    <x:t xml:space="preserve">준비서류 행수</x:t>
  </x:si>
  <x:si>
    <x:t xml:space="preserve">원문 담당자</x:t>
  </x:si>
  <x:si>
    <x:t xml:space="preserve">원문 담당부서</x:t>
  </x:si>
  <x:si>
    <x:t xml:space="preserve">원본 행·주의</x:t>
  </x:si>
  <x:si>
    <x:t xml:space="preserve">생산조건관리</x:t>
  </x:si>
  <x:si>
    <x:t xml:space="preserve">1-1</x:t>
  </x:si>
  <x:si>
    <x:t xml:space="preserve">표준류 작성및 준수상태</x:t>
  </x:si>
  <x:si>
    <x:t xml:space="preserve">5행 / 원문 기재값 보존</x:t>
  </x:si>
  <x:si>
    <x:t xml:space="preserve">1-2</x:t>
  </x:si>
  <x:si>
    <x:t xml:space="preserve">설비 가동중단(계획/비계획)후
재가동시 업무처리 절차 수립
및 준수상태</x:t>
  </x:si>
  <x:si>
    <x:t xml:space="preserve">지성규 / 이광재</x:t>
  </x:si>
  <x:si>
    <x:t xml:space="preserve">생산팀 / 품질팀</x:t>
  </x:si>
  <x:si>
    <x:t xml:space="preserve">11행 / 원문 기재값 보존</x:t>
  </x:si>
  <x:si>
    <x:t xml:space="preserve">1-3</x:t>
  </x:si>
  <x:si>
    <x:t xml:space="preserve">외국인 배치 운영공정 현지어
번역/게시된 표준류 반영상태</x:t>
  </x:si>
  <x:si>
    <x:t xml:space="preserve">17행 / 원문 기재값 보존</x:t>
  </x:si>
  <x:si>
    <x:t xml:space="preserve">1-4</x:t>
  </x:si>
  <x:si>
    <x:t xml:space="preserve">품질관리 취약 시간대 관리기준
수립 및 관리상태</x:t>
  </x:si>
  <x:si>
    <x:t xml:space="preserve">22행 / 원문 기재값 보존</x:t>
  </x:si>
  <x:si>
    <x:t xml:space="preserve">1-5</x:t>
  </x:si>
  <x:si>
    <x:t xml:space="preserve">주요조건 기준수립및 현장관리
상태 비교검증</x:t>
  </x:si>
  <x:si>
    <x:t xml:space="preserve">생산팀 / 생산기술</x:t>
  </x:si>
  <x:si>
    <x:t xml:space="preserve">29행 / 원문 기재값 보존</x:t>
  </x:si>
  <x:si>
    <x:t xml:space="preserve">검사시험</x:t>
  </x:si>
  <x:si>
    <x:t xml:space="preserve">2-1</x:t>
  </x:si>
  <x:si>
    <x:t xml:space="preserve">수입검사 실시기준 수립 및
준수상태</x:t>
  </x:si>
  <x:si>
    <x:t xml:space="preserve">이은주
박철호</x:t>
  </x:si>
  <x:si>
    <x:t xml:space="preserve">구매자재팀</x:t>
  </x:si>
  <x:si>
    <x:t xml:space="preserve">40행 / 원문 기재값 보존</x:t>
  </x:si>
  <x:si>
    <x:t xml:space="preserve">2-2</x:t>
  </x:si>
  <x:si>
    <x:t xml:space="preserve">수입검사 누락방지 절차 수립
수입검사 대장 LIST 작성및 준수
불량품 처리절차 수립 및 준수</x:t>
  </x:si>
  <x:si>
    <x:t xml:space="preserve">김명용 / 이은주 / 이광재</x:t>
  </x:si>
  <x:si>
    <x:t xml:space="preserve">품질팀 / 구매자재팀</x:t>
  </x:si>
  <x:si>
    <x:t xml:space="preserve">49행 / 원문 기재값 보존</x:t>
  </x:si>
  <x:si>
    <x:t xml:space="preserve">2-3</x:t>
  </x:si>
  <x:si>
    <x:t xml:space="preserve">검사용 마스터(한도견본)
관리기준 수립 및 준수상태</x:t>
  </x:si>
  <x:si>
    <x:t xml:space="preserve">김명용 / 지성규</x:t>
  </x:si>
  <x:si>
    <x:t xml:space="preserve">54행 / 원문 기재값 보존</x:t>
  </x:si>
  <x:si>
    <x:t xml:space="preserve">2-4</x:t>
  </x:si>
  <x:si>
    <x:t xml:space="preserve">정기신뢰성 검사 실시계획 수립
및 준수상태
(실시결과 신뢰성 확보 요구됨)</x:t>
  </x:si>
  <x:si>
    <x:t xml:space="preserve">이광재 / 이은주</x:t>
  </x:si>
  <x:si>
    <x:t xml:space="preserve">59행 / 원문 기재값 보존</x:t>
  </x:si>
  <x:si>
    <x:t xml:space="preserve">2-5</x:t>
  </x:si>
  <x:si>
    <x:t xml:space="preserve">계측기/검사구 보유 및 신뢰성
확보상태
(검교정 주기설정, 교정상태)</x:t>
  </x:si>
  <x:si>
    <x:t xml:space="preserve">김명용 / 김주태</x:t>
  </x:si>
  <x:si>
    <x:t xml:space="preserve">품질팀</x:t>
  </x:si>
  <x:si>
    <x:t xml:space="preserve">63행 / 원문 기재값 보존</x:t>
  </x:si>
  <x:si>
    <x:t xml:space="preserve">2-6</x:t>
  </x:si>
  <x:si>
    <x:t xml:space="preserve">게이지 R&amp;R 실시기준 수립 및
준수 상태</x:t>
  </x:si>
  <x:si>
    <x:t xml:space="preserve">김명용</x:t>
  </x:si>
  <x:si>
    <x:t xml:space="preserve">74행 / 원문 기재값 보존</x:t>
  </x:si>
  <x:si>
    <x:t xml:space="preserve">2-7</x:t>
  </x:si>
  <x:si>
    <x:t xml:space="preserve">자주검사 기준설정 및 준수상태</x:t>
  </x:si>
  <x:si>
    <x:t xml:space="preserve">78행 / 원문 기재값 보존</x:t>
  </x:si>
  <x:si>
    <x:t xml:space="preserve">2-8</x:t>
  </x:si>
  <x:si>
    <x:t xml:space="preserve">완제품 검사기준 수립 및
준수상태 점검</x:t>
  </x:si>
  <x:si>
    <x:t xml:space="preserve">86행 / 원문 기재값 보존</x:t>
  </x:si>
  <x:si>
    <x:t xml:space="preserve">2-9</x:t>
  </x:si>
  <x:si>
    <x:t xml:space="preserve">용접 파괴검사 방법, 기준 설정
및 준수상태, DATA 관리</x:t>
  </x:si>
  <x:si>
    <x:t xml:space="preserve">이광재 / 한상돈</x:t>
  </x:si>
  <x:si>
    <x:t xml:space="preserve">92행 / 원문 기재값 보존</x:t>
  </x:si>
  <x:si>
    <x:t xml:space="preserve">3-1</x:t>
  </x:si>
  <x:si>
    <x:t xml:space="preserve">설비 일상점검 업무절차 수립
및 준수여부</x:t>
  </x:si>
  <x:si>
    <x:t xml:space="preserve">한상돈</x:t>
  </x:si>
  <x:si>
    <x:t xml:space="preserve">102행 / 원문 기재값 보존</x:t>
  </x:si>
  <x:si>
    <x:t xml:space="preserve">3-2</x:t>
  </x:si>
  <x:si>
    <x:t xml:space="preserve">설비 정기점검 업무절차 수립
및 준수여부</x:t>
  </x:si>
  <x:si>
    <x:t xml:space="preserve">황지환</x:t>
  </x:si>
  <x:si>
    <x:t xml:space="preserve">108행 / 원문 기재값 보존</x:t>
  </x:si>
  <x:si>
    <x:t xml:space="preserve">3-3</x:t>
  </x:si>
  <x:si>
    <x:t xml:space="preserve">용접기: 팁 교환. 노즐청소.
와이어 공급기. 케이블.
전류 전압. 전극 드레싱 및 교환</x:t>
  </x:si>
  <x:si>
    <x:t xml:space="preserve">김운주</x:t>
  </x:si>
  <x:si>
    <x:t xml:space="preserve">생산팀</x:t>
  </x:si>
  <x:si>
    <x:t xml:space="preserve">119행 / 원문 기재값 보존</x:t>
  </x:si>
  <x:si>
    <x:t xml:space="preserve">3-4</x:t>
  </x:si>
  <x:si>
    <x:t xml:space="preserve">설비별 정기점검 항목 설정
상태 및 시행 여부</x:t>
  </x:si>
  <x:si>
    <x:t xml:space="preserve">125행 / 원문 기재값 보존</x:t>
  </x:si>
  <x:si>
    <x:t xml:space="preserve">3-5</x:t>
  </x:si>
  <x:si>
    <x:t xml:space="preserve">전극, 가스잔량, 냉각수 온도
F/PROOF 구축, 미구축시
관리기준 수립 및 이행 상태</x:t>
  </x:si>
  <x:si>
    <x:t xml:space="preserve">129행 / 원문 기재값 보존</x:t>
  </x:si>
  <x:si>
    <x:t xml:space="preserve">3-6</x:t>
  </x:si>
  <x:si>
    <x:t xml:space="preserve">용접 지그 점검주기, 관리주기
설정 및 이행상태</x:t>
  </x:si>
  <x:si>
    <x:t xml:space="preserve">지성규</x:t>
  </x:si>
  <x:si>
    <x:t xml:space="preserve">139행 / 원문 기재값 보존</x:t>
  </x:si>
  <x:si>
    <x:t xml:space="preserve">금형관리</x:t>
  </x:si>
  <x:si>
    <x:t xml:space="preserve">4-1</x:t>
  </x:si>
  <x:si>
    <x:t xml:space="preserve">금형/용접지그 일상/점기점검
프로세스 수립 및 준수상태</x:t>
  </x:si>
  <x:si>
    <x:t xml:space="preserve">143행 / 원문 기재값 보존</x:t>
  </x:si>
  <x:si>
    <x:t xml:space="preserve">4-2</x:t>
  </x:si>
  <x:si>
    <x:t xml:space="preserve">금형 세척관리 프로세스 수립 및
준수상태</x:t>
  </x:si>
  <x:si>
    <x:t xml:space="preserve">149행 / 원문 기재값 보존</x:t>
  </x:si>
  <x:si>
    <x:t xml:space="preserve">4-3</x:t>
  </x:si>
  <x:si>
    <x:t xml:space="preserve">금형보전 관리기준 설정 및
준수상태</x:t>
  </x:si>
  <x:si>
    <x:t xml:space="preserve">개발팀 / 개밸팀</x:t>
  </x:si>
  <x:si>
    <x:t xml:space="preserve">155행 / 원문 기재값 보존</x:t>
  </x:si>
  <x:si>
    <x:t xml:space="preserve">4-4</x:t>
  </x:si>
  <x:si>
    <x:t xml:space="preserve">금형 보관관리 프로세스 수립 및
준수상태</x:t>
  </x:si>
  <x:si>
    <x:t xml:space="preserve">지성규 / 현장</x:t>
  </x:si>
  <x:si>
    <x:t xml:space="preserve">158행 / 원문 기재값 보존</x:t>
  </x:si>
  <x:si>
    <x:t xml:space="preserve">4-5</x:t>
  </x:si>
  <x:si>
    <x:t xml:space="preserve">금형 이관 프로세스 수립 및
준수상태</x:t>
  </x:si>
  <x:si>
    <x:t xml:space="preserve">사무실</x:t>
  </x:si>
  <x:si>
    <x:t xml:space="preserve">162행 / 원문 기재값 보존</x:t>
  </x:si>
  <x:si>
    <x:t xml:space="preserve">자재관리</x:t>
  </x:si>
  <x:si>
    <x:t xml:space="preserve">5-1</x:t>
  </x:si>
  <x:si>
    <x:t xml:space="preserve">원자재 및 재공품, 출하품
LOT 추적성 관리 프로세스
수립 및 준수상태</x:t>
  </x:si>
  <x:si>
    <x:t xml:space="preserve">이은주 / 지성규</x:t>
  </x:si>
  <x:si>
    <x:t xml:space="preserve">구매자재팀 / 생산팀</x:t>
  </x:si>
  <x:si>
    <x:t xml:space="preserve">165행 / 원문 기재값 보존</x:t>
  </x:si>
  <x:si>
    <x:t xml:space="preserve">5-2</x:t>
  </x:si>
  <x:si>
    <x:t xml:space="preserve">수입자재 보관장 관리기준 수립
및 준수상태</x:t>
  </x:si>
  <x:si>
    <x:t xml:space="preserve">174행 / 원문 기재값 보존</x:t>
  </x:si>
  <x:si>
    <x:t xml:space="preserve">5-3</x:t>
  </x:si>
  <x:si>
    <x:t xml:space="preserve">입고품 식별관리 기준 수립 및
준수여부</x:t>
  </x:si>
  <x:si>
    <x:t xml:space="preserve">187행 / 원문 기재값 보존</x:t>
  </x:si>
  <x:si>
    <x:t xml:space="preserve">5-4</x:t>
  </x:si>
  <x:si>
    <x:t xml:space="preserve">재공품/완제품 용기 표준화
관리기준 수립 및 이행상태</x:t>
  </x:si>
  <x:si>
    <x:t xml:space="preserve">지성규 / 이은주</x:t>
  </x:si>
  <x:si>
    <x:t xml:space="preserve">생산팀 / 구매자재팀</x:t>
  </x:si>
  <x:si>
    <x:t xml:space="preserve">192행 / 원문 기재값 보존</x:t>
  </x:si>
  <x:si>
    <x:t xml:space="preserve">품질경영체제</x:t>
  </x:si>
  <x:si>
    <x:t xml:space="preserve">6-1</x:t>
  </x:si>
  <x:si>
    <x:t xml:space="preserve">안전사고 발생 예방을 위한
업무 프로세스 수립 및 준수실태</x:t>
  </x:si>
  <x:si>
    <x:t xml:space="preserve">200행 / 원문 기재값 보존</x:t>
  </x:si>
  <x:si>
    <x:t xml:space="preserve">6-2</x:t>
  </x:si>
  <x:si>
    <x:t xml:space="preserve">설계변경, 4M 변경처리업무절차
수립 및 준수여부</x:t>
  </x:si>
  <x:si>
    <x:t xml:space="preserve">이광재</x:t>
  </x:si>
  <x:si>
    <x:t xml:space="preserve">212행 / 원문 기재값 보존</x:t>
  </x:si>
  <x:si>
    <x:t xml:space="preserve">6-3</x:t>
  </x:si>
  <x:si>
    <x:t xml:space="preserve">품목별  도면기준 검사협정 체결
및 관리기준 준수상태
(도면 일치성)</x:t>
  </x:si>
  <x:si>
    <x:t xml:space="preserve">218행 / 원문 기재값 보존</x:t>
  </x:si>
  <x:si>
    <x:t xml:space="preserve">6-4</x:t>
  </x:si>
  <x:si>
    <x:t xml:space="preserve">품질 경영체제 구축/유지를 위한
위한 조직구성 및 운영 상태
조직구성 및 운영 상태</x:t>
  </x:si>
  <x:si>
    <x:t xml:space="preserve">223행 / 원문 기재값 보존</x:t>
  </x:si>
  <x:si>
    <x:t xml:space="preserve">6-5</x:t>
  </x:si>
  <x:si>
    <x:t xml:space="preserve">자격인증 관리기준 수립 및
준수상태</x:t>
  </x:si>
  <x:si>
    <x:t xml:space="preserve">228행 / 원문 기재값 보존</x:t>
  </x:si>
  <x:si>
    <x:t xml:space="preserve">6-6</x:t>
  </x:si>
  <x:si>
    <x:t xml:space="preserve">정기적 품질 중요성에 교안작성
및 임직원 교육 실시 이행상태</x:t>
  </x:si>
  <x:si>
    <x:t xml:space="preserve">242행 / 원문 기재값 보존</x:t>
  </x:si>
  <x:si>
    <x:t xml:space="preserve">6-7</x:t>
  </x:si>
  <x:si>
    <x:t xml:space="preserve">수입검사/생산공정/최종검사
부적합(추정)품에 대한
격리/식별절차 수립 및 준수여부</x:t>
  </x:si>
  <x:si>
    <x:t xml:space="preserve">248행 / 원문 기재값 보존</x:t>
  </x:si>
  <x:si>
    <x:t xml:space="preserve">6-8</x:t>
  </x:si>
  <x:si>
    <x:t xml:space="preserve">품질실적 점검 프로세스 수립
및 개선활동 실시상태</x:t>
  </x:si>
  <x:si>
    <x:t xml:space="preserve">박철호 / 품질팀</x:t>
  </x:si>
  <x:si>
    <x:t xml:space="preserve">253행 / 원문 기재값 보존</x:t>
  </x:si>
  <x:si>
    <x:t xml:space="preserve">6-9</x:t>
  </x:si>
  <x:si>
    <x:t xml:space="preserve">검사 유효성 확보를 위한 조도
관리프로세스 수립 및 준수실태</x:t>
  </x:si>
  <x:si>
    <x:t xml:space="preserve">258행 / 원문 기재값 보존</x:t>
  </x:si>
  <x:si>
    <x:t xml:space="preserve">6-10</x:t>
  </x:si>
  <x:si>
    <x:t xml:space="preserve">3정 5행 관리 프로세스
수립 및 준수실태</x:t>
  </x:si>
  <x:si>
    <x:t xml:space="preserve">262행 / 원문 기재값 보존</x:t>
  </x:si>
  <x:si>
    <x:t xml:space="preserve">6-11</x:t>
  </x:si>
  <x:si>
    <x:t xml:space="preserve">주요 품질현황 작성 및 수평전개
실시상태</x:t>
  </x:si>
  <x:si>
    <x:t xml:space="preserve">268행 / 원문 기재값 보존</x:t>
  </x:si>
  <x:si>
    <x:t xml:space="preserve">6-12</x:t>
  </x:si>
  <x:si>
    <x:t xml:space="preserve">불량부품 REWORK시 업무처리
절차 수립 및 이행 상태</x:t>
  </x:si>
  <x:si>
    <x:t xml:space="preserve">271행 / 배점 없음·6-12 중복 기재/원본 확인 필수</x:t>
  </x:si>
  <x:si>
    <x:t xml:space="preserve">이론 및 실습 교육 절차
▷(이론평가 / 실기평가
▷파괴시험 합격) 수립 및 시행</x:t>
  </x:si>
  <x:si>
    <x:t xml:space="preserve">안종명</x:t>
  </x:si>
  <x:si>
    <x:t xml:space="preserve">277행 / 6-12 코드 중복 존재·배점 10점</x:t>
  </x:si>
  <x:si>
    <x:t xml:space="preserve">6-13</x:t>
  </x:si>
  <x:si>
    <x:t xml:space="preserve">『정성품질』 운영 프로세스는
마련되어 있고, 점검 및
포상활동은 실시되는가?
합     계</x:t>
  </x:si>
  <x:si>
    <x:t xml:space="preserve">280행 / 원문 기재값 보존</x:t>
  </x:si>
  <x:si>
    <x:t xml:space="preserve">14. 한온 SQ 원문 세부항목 — 행 단위 보존/현장 검토</x:t>
  </x:si>
  <x:si>
    <x:t xml:space="preserve">각 행은 원본 「일자별추진계획 (2)」 시트의 동일 행번호와 연결됩니다. 원문 요구사항(E), 준비서류(F), 현장연계(G), 담당(H/I)을 그대로 옮겼으며, 진행 여부는 별도 미검증입니다. 이 시트의 행수는 원본 진척관리 229건과 동일한 집계 단위가 아닙니다.</x:t>
  </x:si>
  <x:si>
    <x:t xml:space="preserve">순번</x:t>
  </x:si>
  <x:si>
    <x:t xml:space="preserve">원본 행</x:t>
  </x:si>
  <x:si>
    <x:t xml:space="preserve">평가분야</x:t>
  </x:si>
  <x:si>
    <x:t xml:space="preserve">평가코드</x:t>
  </x:si>
  <x:si>
    <x:t xml:space="preserve">평가묶음 No</x:t>
  </x:si>
  <x:si>
    <x:t xml:space="preserve">세부 항목(원문 E열)</x:t>
  </x:si>
  <x:si>
    <x:t xml:space="preserve">준비 서류(원문 F열)</x:t>
  </x:si>
  <x:si>
    <x:t xml:space="preserve">현장 연계(원문 G열)</x:t>
  </x:si>
  <x:si>
    <x:t xml:space="preserve">담당자(원문 H열)</x:t>
  </x:si>
  <x:si>
    <x:t xml:space="preserve">부서(원문 I열)</x:t>
  </x:si>
  <x:si>
    <x:t xml:space="preserve">평가내용 C열</x:t>
  </x:si>
  <x:si>
    <x:t xml:space="preserve">원문 비고 AQ열</x:t>
  </x:si>
  <x:si>
    <x:t xml:space="preserve">준비상태(입력)</x:t>
  </x:si>
  <x:si>
    <x:t xml:space="preserve">실제 증빙번호·파일경로(입력)</x:t>
  </x:si>
  <x:si>
    <x:t xml:space="preserve">검토자·일자(입력)</x:t>
  </x:si>
  <x:si>
    <x:t xml:space="preserve">미흡/조치(입력)</x:t>
  </x:si>
  <x:si>
    <x:t xml:space="preserve">표준류(관리계획서, 작업표준서, 설비일상점검표 등)와 실제공정 일치성 확인[관리 분담 등]</x:t>
  </x:si>
  <x:si>
    <x:t xml:space="preserve">- P-FMEA</x:t>
  </x:si>
  <x:si>
    <x:t xml:space="preserve">미검증</x:t>
  </x:si>
  <x:si>
    <x:t xml:space="preserve">고객과 협의된 검사협정서/검사기준서 기준과 실제 업무절차 일치성</x:t>
  </x:si>
  <x:si>
    <x:t xml:space="preserve">- 관리계획서</x:t>
  </x:si>
  <x:si>
    <x:t xml:space="preserve">공정 FMEA작성 및 주요 품질 문서 내용과 연계상태 확인</x:t>
  </x:si>
  <x:si>
    <x:t xml:space="preserve">- 작업표준서</x:t>
  </x:si>
  <x:si>
    <x:t xml:space="preserve">관리본 배포</x:t>
  </x:si>
  <x:si>
    <x:t xml:space="preserve">주요 표준류(작업표준서 등) 현장내 게시 상태</x:t>
  </x:si>
  <x:si>
    <x:t xml:space="preserve">-설비일상점검표</x:t>
  </x:si>
  <x:si>
    <x:t xml:space="preserve">관리계획서 및 현장내 표준류 중요공정/안전 보안공정 식별표시관리</x:t>
  </x:si>
  <x:si>
    <x:t xml:space="preserve">-고객승인 검사협정 / ISIR 서류</x:t>
  </x:si>
  <x:si>
    <x:t xml:space="preserve">공정내 사용되는 설비 및 부자재등은 사전 검증을 통해 표준류 반영되어야 하며 미승인 설비 및 부자재 사용 금지</x:t>
  </x:si>
  <x:si>
    <x:t xml:space="preserve">설비 가동중단 발생시 설비점검 절차 수립 및 준수상태</x:t>
  </x:si>
  <x:si>
    <x:t xml:space="preserve">- 설비재가동업무 프로세스</x:t>
  </x:si>
  <x:si>
    <x:t xml:space="preserve">설비 가동중단(계획/비계획)후</x:t>
  </x:si>
  <x:si>
    <x:t xml:space="preserve">※ 계획 : 가동중단 시간별/사유별 점검절차 수립 및 이행</x:t>
  </x:si>
  <x:si>
    <x:t xml:space="preserve">(계획/비계획정지 기준 명확화)</x:t>
  </x:si>
  <x:si>
    <x:t xml:space="preserve">재가동시 업무처리 절차 수립</x:t>
  </x:si>
  <x:si>
    <x:t xml:space="preserve">비계획 : 이상발생 가동중단 발생시 설비 점검 지침, 생산중인 제품에 대한 품질보증 업무절차 수립 및 이행</x:t>
  </x:si>
  <x:si>
    <x:t xml:space="preserve">- 설비가동중단 LIST (설비이력카드 연계)</x:t>
  </x:si>
  <x:si>
    <x:t xml:space="preserve">및 준수상태</x:t>
  </x:si>
  <x:si>
    <x:t xml:space="preserve">재가동후 초도생산품에 대한 중요품질특성부 품질검증 결과 기록관리여부</x:t>
  </x:si>
  <x:si>
    <x:t xml:space="preserve">- 재가동 초품 검사 체크시트</x:t>
  </x:si>
  <x:si>
    <x:t xml:space="preserve">비계획 가동중단 발생시 전/후 생산제품에 대한 LOT 구분 관리방안 수립 및 식별관리 실시</x:t>
  </x:si>
  <x:si>
    <x:t xml:space="preserve">-재가동 초도생산품 LOT식별관리 기준서</x:t>
  </x:si>
  <x:si>
    <x:t xml:space="preserve">작업표준서, 설비일상점검 기준표, 작업일보 등 외국인 배치공정 표준류 현지어 번역 게시상태</x:t>
  </x:si>
  <x:si>
    <x:t xml:space="preserve">- 작업표준서 현지어번역본</x:t>
  </x:si>
  <x:si>
    <x:t xml:space="preserve">외국인 배치 운영공정 현지어</x:t>
  </x:si>
  <x:si>
    <x:t xml:space="preserve">: 부적합 처리절차 및 중요 품질문제 개선 사례등 품질의식 강화목적 표준류 번역 게시 (추가 관리시 우수)</x:t>
  </x:si>
  <x:si>
    <x:t xml:space="preserve">-설비일상점검표 현지어 번역본</x:t>
  </x:si>
  <x:si>
    <x:t xml:space="preserve">번역/게시된 표준류 반영상태</x:t>
  </x:si>
  <x:si>
    <x:t xml:space="preserve">※ 해당공정 외국인작업자 주요 표준류 교육 및 내용 숙지 시 현지어 번역게시 불필요(현장확인 필요)</x:t>
  </x:si>
  <x:si>
    <x:t xml:space="preserve">-작업일보 현지어 번역본</x:t>
  </x:si>
  <x:si>
    <x:t xml:space="preserve">-부적합처리기준 현지어번역본</x:t>
  </x:si>
  <x:si>
    <x:t xml:space="preserve">-외관검사기준 현지어번역본</x:t>
  </x:si>
  <x:si>
    <x:t xml:space="preserve">품질관리 취약 시간대 관리기준 수립 및 관리상태</x:t>
  </x:si>
  <x:si>
    <x:t xml:space="preserve">-품질취약시간관리기준서</x:t>
  </x:si>
  <x:si>
    <x:t xml:space="preserve">품질관리 취약 시간대 관리기준</x:t>
  </x:si>
  <x:si>
    <x:t xml:space="preserve">- 주간/야간 작업전 일상점검, 자주검사 및 순회검사 관리기준 수립 및 관리상태</x:t>
  </x:si>
  <x:si>
    <x:t xml:space="preserve">-비상연락망</x:t>
  </x:si>
  <x:si>
    <x:t xml:space="preserve">수립 및 관리상태</x:t>
  </x:si>
  <x:si>
    <x:t xml:space="preserve">- 주간/야간 교대 시 공정 Issue 사항 전달 여부</x:t>
  </x:si>
  <x:si>
    <x:t xml:space="preserve">-주야간업무 인수인계서</x:t>
  </x:si>
  <x:si>
    <x:t xml:space="preserve">※ 초/종품 검사는 필수, 중품은 선택사항으로 자율적 기준 수립필요, 중품검사 미진행도 가능,</x:t>
  </x:si>
  <x:si>
    <x:t xml:space="preserve">-야간설비일상점검표</x:t>
  </x:si>
  <x:si>
    <x:t xml:space="preserve">단, 생산LOT가 장기적일경우 최소 1회/shift검사 진행 필요</x:t>
  </x:si>
  <x:si>
    <x:t xml:space="preserve">-야간생산품 식별격리절차</x:t>
  </x:si>
  <x:si>
    <x:t xml:space="preserve">※ 인원 부족으로 야간 검사요원 미 투입 시 야간 생산품 검증 프로세스 수립</x:t>
  </x:si>
  <x:si>
    <x:t xml:space="preserve">-야간생산품 검사일지</x:t>
  </x:si>
  <x:si>
    <x:t xml:space="preserve">(야간 작업 초종 생산품 익일 주간 검사인원 출근시 검사 등)</x:t>
  </x:si>
  <x:si>
    <x:t xml:space="preserve">▣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x:t>
  </x:si>
  <x:si>
    <x:t xml:space="preserve">-작업표준서 OR 작업조건표</x:t>
  </x:si>
  <x:si>
    <x:t xml:space="preserve">주요조건 기준수립및 현장관리</x:t>
  </x:si>
  <x:si>
    <x:t xml:space="preserve">-작업일보</x:t>
  </x:si>
  <x:si>
    <x:t xml:space="preserve">상태 비교검증</x:t>
  </x:si>
  <x:si>
    <x:t xml:space="preserve">(작업일보내작업조건필히기록)</x:t>
  </x:si>
  <x:si>
    <x:t xml:space="preserve">-로봇용접프로그램백업관리기준서</x:t>
  </x:si>
  <x:si>
    <x:t xml:space="preserve">-로봇용접프로그램백업관리실적</x:t>
  </x:si>
  <x:si>
    <x:t xml:space="preserve">-용접조건 검증체크시트</x:t>
  </x:si>
  <x:si>
    <x:t xml:space="preserve">-스폿용접전류/가압력 관리기준서</x:t>
  </x:si>
  <x:si>
    <x:t xml:space="preserve">-스폿용접전류/가압력 관리실적(1회/월)</x:t>
  </x:si>
  <x:si>
    <x:t xml:space="preserve">검사협정서/기준서 체결상태</x:t>
  </x:si>
  <x:si>
    <x:t xml:space="preserve">-원자재 검사협정서  OR 검사기준서</x:t>
  </x:si>
  <x:si>
    <x:t xml:space="preserve">수입검사 실시기준 수립 및</x:t>
  </x:si>
  <x:si>
    <x:t xml:space="preserve">(사급품은 1차 협력사가 체결한 검사협정서 사본 접수 및 동일 시료/주기로 검사 실시 필요)</x:t>
  </x:si>
  <x:si>
    <x:t xml:space="preserve">-원자재 입고 LIST</x:t>
  </x:si>
  <x:si>
    <x:t xml:space="preserve">준수상태</x:t>
  </x:si>
  <x:si>
    <x:t xml:space="preserve">→ 검사협정 체결이 어려울 시 검사기준서 수립으로 대체 (예: 대기업 공급 원재료,도금업종 등)</x:t>
  </x:si>
  <x:si>
    <x:t xml:space="preserve">-원자재수입검사 기준서</x:t>
  </x:si>
  <x:si>
    <x:t xml:space="preserve">외주품 입고 시 외주사 출하성적서 접수 및 수입검사 실측값 비교검증 여부</x:t>
  </x:si>
  <x:si>
    <x:t xml:space="preserve">-원자재수입검사 일지</x:t>
  </x:si>
  <x:si>
    <x:t xml:space="preserve">원재료 M/SHEET 접수 시 물성 및 화학조성비 합/부 판단기준 명확화 수립</x:t>
  </x:si>
  <x:si>
    <x:t xml:space="preserve">-원자재 M/SHEET (입고LOT별 접수)</x:t>
  </x:si>
  <x:si>
    <x:t xml:space="preserve">입고 LOT와 출하검사 성적서내 LOT 일치성 확보여부(원소재의 경우 M/SHEET내 검사시료 LOT 일치성)</x:t>
  </x:si>
  <x:si>
    <x:t xml:space="preserve">-원자재 규격별 물성및 화학조성비 기준서</x:t>
  </x:si>
  <x:si>
    <x:t xml:space="preserve">검사협정서/기준서에 준한 일상검사/정기검사 실시상태</x:t>
  </x:si>
  <x:si>
    <x:t xml:space="preserve">-원자재 중금속검사 성적서</x:t>
  </x:si>
  <x:si>
    <x:t xml:space="preserve">(원소재) 도금처리된 원소재 판넬 : 도금 부착력 검사 (180˚밴딩후 크랙, 박리여부), 도금두께(3point),</x:t>
  </x:si>
  <x:si>
    <x:t xml:space="preserve">-원자재식별표</x:t>
  </x:si>
  <x:si>
    <x:t xml:space="preserve">두께, 판넬 폭, 필요시 경도</x:t>
  </x:si>
  <x:si>
    <x:t xml:space="preserve">외주품 입고시 수입검사 마스터 관리 대장 작성을 통한 검사 누락 예방</x:t>
  </x:si>
  <x:si>
    <x:t xml:space="preserve">-외주품 수입검사기준서</x:t>
  </x:si>
  <x:si>
    <x:t xml:space="preserve">수입검사 누락방지 절차 수립</x:t>
  </x:si>
  <x:si>
    <x:t xml:space="preserve">수입검사 실시 전 외주품/원재료 입고처리 안되도록 업무 프로세스 수립</x:t>
  </x:si>
  <x:si>
    <x:t xml:space="preserve">-외주품입고식별표</x:t>
  </x:si>
  <x:si>
    <x:t xml:space="preserve">이은주</x:t>
  </x:si>
  <x:si>
    <x:t xml:space="preserve">수입검사 대장 LIST 작성및 준수</x:t>
  </x:si>
  <x:si>
    <x:t xml:space="preserve">-외주품 부적합처리기준서</x:t>
  </x:si>
  <x:si>
    <x:t xml:space="preserve">불량품 처리절차 수립 및 준수</x:t>
  </x:si>
  <x:si>
    <x:t xml:space="preserve">- 외주품 검사협정서</x:t>
  </x:si>
  <x:si>
    <x:t xml:space="preserve">- 외주품 검사기준서</x:t>
  </x:si>
  <x:si>
    <x:t xml:space="preserve">외주품/완제품 외관 합/부 판별용 한도견본 운영</x:t>
  </x:si>
  <x:si>
    <x:t xml:space="preserve">-한도견본 관리대장(외주품/완성품)</x:t>
  </x:si>
  <x:si>
    <x:t xml:space="preserve">검사용 마스터(한도견본)</x:t>
  </x:si>
  <x:si>
    <x:t xml:space="preserve">한도견본의 변색, 변형, 녹 발생 등으로 실제 견본품 운영이 어려울 경우 외관검사기준서로 대체 가능</x:t>
  </x:si>
  <x:si>
    <x:t xml:space="preserve">-한도견본 식별표</x:t>
  </x:si>
  <x:si>
    <x:t xml:space="preserve">관리기준 수립 및 준수상태</x:t>
  </x:si>
  <x:si>
    <x:t xml:space="preserve">검사기 신뢰도 확인을 위한 양/불 마스터 설정기준 및 관리상태</x:t>
  </x:si>
  <x:si>
    <x:t xml:space="preserve">-한도견본 샘플보관대 및 샘플</x:t>
  </x:si>
  <x:si>
    <x:t xml:space="preserve">외관검사 지정항목 (버, 찍힘, 스크래치, 밴딩, 뒤틀림, 오염, 변색, 얼룩, 이물질) 수치적 한도설정,</x:t>
  </x:si>
  <x:si>
    <x:t xml:space="preserve">-외관검사기준서</x:t>
  </x:si>
  <x:si>
    <x:t xml:space="preserve">외관불량 허용가능 크기 및 위치 지정</x:t>
  </x:si>
  <x:si>
    <x:t xml:space="preserve">정기 시험 성적서 신뢰도 확보</x:t>
  </x:si>
  <x:si>
    <x:t xml:space="preserve">-정기검사계획대실적(치수/용접)</x:t>
  </x:si>
  <x:si>
    <x:t xml:space="preserve">정기신뢰성 검사 실시계획 수립</x:t>
  </x:si>
  <x:si>
    <x:t xml:space="preserve">(성적서 시험 전/후 사진 첨부, 사진內 시험 날짜표시, 계측기 전산 연동시 원본데이터 저장관리 등)</x:t>
  </x:si>
  <x:si>
    <x:t xml:space="preserve">-정기검사성적서(치수/용접)</x:t>
  </x:si>
  <x:si>
    <x:t xml:space="preserve">환경규제(중금속) 정기시험 실시상태 : 검사협정 체결기준 시험결과 증빙관리 상태</x:t>
  </x:si>
  <x:si>
    <x:t xml:space="preserve">-중금속 정기검사 계획대실적</x:t>
  </x:si>
  <x:si>
    <x:t xml:space="preserve">(실시결과 신뢰성 확보 요구됨)</x:t>
  </x:si>
  <x:si>
    <x:t xml:space="preserve">(시험장비 보유시 자체 성적서 인정, 미보유시 1차사 또는 공인기관 의뢰 가능)</x:t>
  </x:si>
  <x:si>
    <x:t xml:space="preserve">-중금속 성적서</x:t>
  </x:si>
  <x:si>
    <x:t xml:space="preserve">검사협정 체결기준 시험항목 자체시험 가능한 계측장비 보유상태 (정기 신뢰성 항목별 계측기 지정 및 준수필요)</x:t>
  </x:si>
  <x:si>
    <x:t xml:space="preserve">-계측기관리대장</x:t>
  </x:si>
  <x:si>
    <x:t xml:space="preserve">계측기/검사구 보유 및 신뢰성</x:t>
  </x:si>
  <x:si>
    <x:t xml:space="preserve">※ 고가 계측기 등 자체검증 불가능 시험 항목의 경우 1차 협력사 또는 공인기관시험 인정</x:t>
  </x:si>
  <x:si>
    <x:t xml:space="preserve">-계측기이력카드</x:t>
  </x:si>
  <x:si>
    <x:t xml:space="preserve">확보상태</x:t>
  </x:si>
  <x:si>
    <x:t xml:space="preserve">(예 : 3차원 측정기, 성분분석기 등)되나 시험결과 접수 및 이상발생 여부 검토 필요</x:t>
  </x:si>
  <x:si>
    <x:t xml:space="preserve">-계측기검교정 계획대실적표</x:t>
  </x:si>
  <x:si>
    <x:t xml:space="preserve">(검교정 주기설정, 교정상태)</x:t>
  </x:si>
  <x:si>
    <x:t xml:space="preserve">계측기 검교정 계획 대비 실적관리 상태 (계측기 검교정 성적서/테그 관리)</x:t>
  </x:si>
  <x:si>
    <x:t xml:space="preserve">-계측기검교정 성적서</x:t>
  </x:si>
  <x:si>
    <x:t xml:space="preserve">-계측기보관함  위치지정및 레이아웃 주소화</x:t>
  </x:si>
  <x:si>
    <x:t xml:space="preserve">주요 검사구 유효성 확보여부 점검결과</x:t>
  </x:si>
  <x:si>
    <x:t xml:space="preserve">-검사구관리대장</x:t>
  </x:si>
  <x:si>
    <x:t xml:space="preserve">김주태</x:t>
  </x:si>
  <x:si>
    <x:t xml:space="preserve">[정밀프레스] 자주검사用 정밀 측정장비 필수보유</x:t>
  </x:si>
  <x:si>
    <x:t xml:space="preserve">-검사구이력카드</x:t>
  </x:si>
  <x:si>
    <x:t xml:space="preserve">→ 필수 측정장비는 검사항목별 상이: 공구현미경, 비접촉시 3차원 측정기, 투영기, X-Ray 측정기</x:t>
  </x:si>
  <x:si>
    <x:t xml:space="preserve">-검사구정기점검 계획대실적표</x:t>
  </x:si>
  <x:si>
    <x:t xml:space="preserve">(내부 단면검사, 단자 &amp; 터미널 필수)등</x:t>
  </x:si>
  <x:si>
    <x:t xml:space="preserve">-검사구점검체크시트</x:t>
  </x:si>
  <x:si>
    <x:t xml:space="preserve">비전 전수검사장비 유효성 검사 : 시업전 OK, NG마스터를 활용한 검출 유효성 점검후 생산</x:t>
  </x:si>
  <x:si>
    <x:t xml:space="preserve">-검사구보관 lay-out</x:t>
  </x:si>
  <x:si>
    <x:t xml:space="preserve">(정기적 반복측정 게이지 R&amp;R진행)</x:t>
  </x:si>
  <x:si>
    <x:t xml:space="preserve">-검사구 식별표</x:t>
  </x:si>
  <x:si>
    <x:t xml:space="preserve">계측기 운영 기준별 R&amp;R 평가 계획 수립</x:t>
  </x:si>
  <x:si>
    <x:t xml:space="preserve">- 계측기 GAGE R&amp;R 계획대실적표</x:t>
  </x:si>
  <x:si>
    <x:t xml:space="preserve">게이지 R&amp;R 실시기준 수립 및</x:t>
  </x:si>
  <x:si>
    <x:t xml:space="preserve">(자체제작 전용 계측기는 필히 실시할 것. V/C등 범용 계측기의 경우 별도 계측기별 R&amp;R 평가 불필요)</x:t>
  </x:si>
  <x:si>
    <x:t xml:space="preserve">- 계측기 GAGE R&amp;R 실시실적</x:t>
  </x:si>
  <x:si>
    <x:t xml:space="preserve">준수 상태</x:t>
  </x:si>
  <x:si>
    <x:t xml:space="preserve">계측 장비별 실제 사용인력(작업자/검사원) 계량형  R&amp;R 검증 진행 및 R&amp;R 10% 이하관리 필요</x:t>
  </x:si>
  <x:si>
    <x:t xml:space="preserve">- 계측기 사용자 등록현황</x:t>
  </x:si>
  <x:si>
    <x:t xml:space="preserve">(계측장비는 치수관리 공차의 1/10까지 측정가능한 장비로 선정)</x:t>
  </x:si>
  <x:si>
    <x:t xml:space="preserve">- 초/종품 외관, 치수 및 장착상태 (용접지그 수정/변경시 치수 및 용접물간 갭 최대 1mm 이하관리 - 샘플실측)</x:t>
  </x:si>
  <x:si>
    <x:t xml:space="preserve">-자주검사기준서</x:t>
  </x:si>
  <x:si>
    <x:t xml:space="preserve">예) 카울크로스바 파이프-SUB 용접물 간 갭</x:t>
  </x:si>
  <x:si>
    <x:t xml:space="preserve">-자주검사체크시트</x:t>
  </x:si>
  <x:si>
    <x:t xml:space="preserve">- 자주검사 기록, 불량품 시정조치 내역 및 이력관리 상태</x:t>
  </x:si>
  <x:si>
    <x:t xml:space="preserve">-용접spatter 관리기준</x:t>
  </x:si>
  <x:si>
    <x:t xml:space="preserve">- 용접제품 표면관리기준 설정 (스패터, Chip, 버어, 이물질 ) 및 점검 이력 관리</x:t>
  </x:si>
  <x:si>
    <x:t xml:space="preserve">-용접스패터관리 점검체크시트</x:t>
  </x:si>
  <x:si>
    <x:t xml:space="preserve">: 제품 표면 품질관리를 위한 지속적 개선활동 (스패터 감소를 위한 목표설정)</x:t>
  </x:si>
  <x:si>
    <x:t xml:space="preserve">- QC순회검사: 작업자 자주검사 실시상태 확인 및 주요 포인트 추가 검사 후 확인 서명</x:t>
  </x:si>
  <x:si>
    <x:t xml:space="preserve">→ 용접관련 기술표준 (MS181   ▷ 13 (용융용접) / MS 181   ▷ 06 (SEAM용접) /</x:t>
  </x:si>
  <x:si>
    <x:t xml:space="preserve">-품질순회검사체크시트(중요항목치수추가)</x:t>
  </x:si>
  <x:si>
    <x:t xml:space="preserve">MS181   ▷ 15 (점용접) 참조</x:t>
  </x:si>
  <x:si>
    <x:t xml:space="preserve">-자주검사대 설치(초중종현품보관)</x:t>
  </x:si>
  <x:si>
    <x:t xml:space="preserve">- 외관, 치수, 취약부 절단면 검사, 상대 물 조립 성 검증 등 (샘플 실측 요망)</x:t>
  </x:si>
  <x:si>
    <x:t xml:space="preserve">-완성품검사기준서</x:t>
  </x:si>
  <x:si>
    <x:t xml:space="preserve">완제품 검사기준 수립 및</x:t>
  </x:si>
  <x:si>
    <x:t xml:space="preserve">-완성품검사체크시트</x:t>
  </x:si>
  <x:si>
    <x:t xml:space="preserve">준수상태 점검</x:t>
  </x:si>
  <x:si>
    <x:t xml:space="preserve">-완성품검사식별표</x:t>
  </x:si>
  <x:si>
    <x:t xml:space="preserve">-완성품보관장소선정</x:t>
  </x:si>
  <x:si>
    <x:t xml:space="preserve">-완성검사관리대제작</x:t>
  </x:si>
  <x:si>
    <x:t xml:space="preserve">(QMS SYSTEM 운영시 컴퓨터설치운영)</x:t>
  </x:si>
  <x:si>
    <x:t xml:space="preserve">▷ 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x:t>
  </x:si>
  <x:si>
    <x:t xml:space="preserve">-용입검사 계획대실적</x:t>
  </x:si>
  <x:si>
    <x:t xml:space="preserve">용접 파괴검사 방법, 기준 설정</x:t>
  </x:si>
  <x:si>
    <x:t xml:space="preserve">-용접로보트별 용접POINT 관리표준</x:t>
  </x:si>
  <x:si>
    <x:t xml:space="preserve">및 준수상태, DATA 관리</x:t>
  </x:si>
  <x:si>
    <x:t xml:space="preserve">-용접반파괴/파괴검사기준</x:t>
  </x:si>
  <x:si>
    <x:t xml:space="preserve">-용접검사체크시트</x:t>
  </x:si>
  <x:si>
    <x:t xml:space="preserve">-용접반파괴 검사대제작</x:t>
  </x:si>
  <x:si>
    <x:t xml:space="preserve">(용접반파괴테스트 보관대제작-한도견본&amp;현품)</x:t>
  </x:si>
  <x:si>
    <x:t xml:space="preserve">설비별 설비일상 점검부위 및 점검방법 도식화 관리상태</x:t>
  </x:si>
  <x:si>
    <x:t xml:space="preserve">-설비일상점검기준서</x:t>
  </x:si>
  <x:si>
    <x:t xml:space="preserve">설비 일상점검 업무절차 수립</x:t>
  </x:si>
  <x:si>
    <x:t xml:space="preserve">설비내 부착 게이지류 상/하한 식별 및 측정 실측값 일상점검표 기록관리</x:t>
  </x:si>
  <x:si>
    <x:t xml:space="preserve">-설비일상점검표(각부위별사진도식화)</x:t>
  </x:si>
  <x:si>
    <x:t xml:space="preserve">게이지값기록</x:t>
  </x:si>
  <x:si>
    <x:t xml:space="preserve">및 준수여부</x:t>
  </x:si>
  <x:si>
    <x:t xml:space="preserve">설비내 F/P설비 경고등/알람 정상작동 및 설비내 셋팅값/관리공차 표준과 일치여부</x:t>
  </x:si>
  <x:si>
    <x:t xml:space="preserve">-설비게이지 상하한식별관리</x:t>
  </x:si>
  <x:si>
    <x:t xml:space="preserve">설비 셋팅값 임의조작 방지를 위한 시건장치/KEY-LOCK 반영상태</x:t>
  </x:si>
  <x:si>
    <x:t xml:space="preserve">-설비 오셋팅방지 KEY-LOCK</x:t>
  </x:si>
  <x:si>
    <x:t xml:space="preserve">주요 핵심설비 시업시 설비 정상작동 여부 검증 프로세스 수립</x:t>
  </x:si>
  <x:si>
    <x:t xml:space="preserve">(OK/NG 마스터 점검 또는 계측값 셋팅용 게이지 점검)</x:t>
  </x:si>
  <x:si>
    <x:t xml:space="preserve">주요 핵심설비 정기점검 계획수립 및 점검상태(외주업체 정도점검 성적서 포함, 최소 1회/년)</x:t>
  </x:si>
  <x:si>
    <x:t xml:space="preserve">-설비정기점검 계획대실적표</x:t>
  </x:si>
  <x:si>
    <x:t xml:space="preserve">설비 정기점검 업무절차 수립</x:t>
  </x:si>
  <x:si>
    <x:t xml:space="preserve">(외주업체 또는 자체 정도점검 가능 설비/인력이 확보된경우 인정)</x:t>
  </x:si>
  <x:si>
    <x:t xml:space="preserve">-설비정기점검 실적</x:t>
  </x:si>
  <x:si>
    <x:t xml:space="preserve">설비내 소모성 부자재류 점검/교체주기 설정 및 준수여부</x:t>
  </x:si>
  <x:si>
    <x:t xml:space="preserve">-설비관리대장</x:t>
  </x:si>
  <x:si>
    <x:t xml:space="preserve">[필요시 소모성 부자재 교체주기 설정근거 제시 필요, T/O 이력 등]</x:t>
  </x:si>
  <x:si>
    <x:t xml:space="preserve">-설비이력카드</x:t>
  </x:si>
  <x:si>
    <x:t xml:space="preserve">설비고장수리반영</x:t>
  </x:si>
  <x:si>
    <x:t xml:space="preserve">설비 부착 센서 및 게이지류에 대한 정도 보증 방안 수립 및 이행 상태</x:t>
  </x:si>
  <x:si>
    <x:t xml:space="preserve">-설비수리보고서</x:t>
  </x:si>
  <x:si>
    <x:t xml:space="preserve">1) 설비내 주요 압력계 정기점검 정도보증 또른 검교정된 마스터게이지 비교 검증활동 실시</x:t>
  </x:si>
  <x:si>
    <x:t xml:space="preserve">-설비압력게이지 검증 계획대실적표</x:t>
  </x:si>
  <x:si>
    <x:t xml:space="preserve">2) 금형내 노즐온도 센서 등 중요 센서류 고장여부 정기점검시 정도보증 활동 필요</x:t>
  </x:si>
  <x:si>
    <x:t xml:space="preserve">-설비압력게이지 점검실적</x:t>
  </x:si>
  <x:si>
    <x:t xml:space="preserve">B/C,C/B,O/R</x:t>
  </x:si>
  <x:si>
    <x:t xml:space="preserve">※ 설비 일상점검 항목을 제외한 세부 점검 필요부만 정기점검 계획 수립 및 점검 필요</x:t>
  </x:si>
  <x:si>
    <x:t xml:space="preserve">-설비예비품관리대장</x:t>
  </x:si>
  <x:si>
    <x:t xml:space="preserve">설비 작동유는 사용시간을 고려한 교체주기설정 예)설비오일 2,000Hr시 전량교체 (필터포함)(※정밀프레스추가)</x:t>
  </x:si>
  <x:si>
    <x:t xml:space="preserve">-설비예비품 입출고 관리일지</x:t>
  </x:si>
  <x:si>
    <x:t xml:space="preserve">프레스설비 1회/년 설비제조협력사에 정기정도 점검 진행</x:t>
  </x:si>
  <x:si>
    <x:t xml:space="preserve">-작동유관리기준서</x:t>
  </x:si>
  <x:si>
    <x:t xml:space="preserve">(일상검사시 Air 압력 검사: 바란스, 클러치, 브레이크 AIR) (※정밀프레스 추가)</x:t>
  </x:si>
  <x:si>
    <x:t xml:space="preserve">-작동유샘플보관대제작설치</x:t>
  </x:si>
  <x:si>
    <x:t xml:space="preserve">용접기: 팁 교환. 노즐청소. 와이어 공급기. 케이블. 전류 전압. 전극 드레싱 및 교환</x:t>
  </x:si>
  <x:si>
    <x:t xml:space="preserve">-CO2용접원점확인장치</x:t>
  </x:si>
  <x:si>
    <x:t xml:space="preserve">용접기: 팁 교환. 노즐청소.</x:t>
  </x:si>
  <x:si>
    <x:t xml:space="preserve">해당 없음</x:t>
  </x:si>
  <x:si>
    <x:t xml:space="preserve">'- 유압설비: 유압. 유량. 소음. 누유 등 이상유무 확인</x:t>
  </x:si>
  <x:si>
    <x:t xml:space="preserve">-스폿로봇 원점확인장치</x:t>
  </x:si>
  <x:si>
    <x:t xml:space="preserve">와이어 공급기. 케이블.</x:t>
  </x:si>
  <x:si>
    <x:t xml:space="preserve">- 유틸리티: 에어압력. 냉각수(온도: 10∼30℃). 압력: 가스 유량</x:t>
  </x:si>
  <x:si>
    <x:t xml:space="preserve">-용접전극드레싱/교환 F/P장비설치</x:t>
  </x:si>
  <x:si>
    <x:t xml:space="preserve">전류 전압. 전극 드레싱 및 교환</x:t>
  </x:si>
  <x:si>
    <x:t xml:space="preserve">- 로봇 원점관리 : 로봇 용접 시작원점 일치 확인. 궤적 확인</x:t>
  </x:si>
  <x:si>
    <x:t xml:space="preserve">(시업전 원점확인/ 사진 전산관리 or 경보작동 : 원점확인 수치화 어려움)</x:t>
  </x:si>
  <x:si>
    <x:t xml:space="preserve">- P/J 용접 전극 드레싱 및 전극 교환후 전극 평탄도(먹지) 검사 (전극 선반 선삭시도 검사 필요)</x:t>
  </x:si>
  <x:si>
    <x:t xml:space="preserve">- 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x:t>
  </x:si>
  <x:si>
    <x:t xml:space="preserve">-설비정기점검 관리기준서</x:t>
  </x:si>
  <x:si>
    <x:t xml:space="preserve">설비별 정기점검 항목 설정</x:t>
  </x:si>
  <x:si>
    <x:t xml:space="preserve">-설비정기점검계획대실적표</x:t>
  </x:si>
  <x:si>
    <x:t xml:space="preserve">상태 및 시행 여부</x:t>
  </x:si>
  <x:si>
    <x:t xml:space="preserve">- 전극, 가스, 냉각수 관리 F/PROOF 구축시 관리기준 및 준수상태, F/PROOF 미구축시 관리기준 수립여부,</x:t>
  </x:si>
  <x:si>
    <x:t xml:space="preserve">전극, 가스잔량, 냉각수 온도</x:t>
  </x:si>
  <x:si>
    <x:t xml:space="preserve">해당없음</x:t>
  </x:si>
  <x:si>
    <x:t xml:space="preserve">기준준수 및 이행상태</x:t>
  </x:si>
  <x:si>
    <x:t xml:space="preserve">F/PROOF 구축, 미구축시</x:t>
  </x:si>
  <x:si>
    <x:t xml:space="preserve">(드레싱 및 교체 주기 관리, 용접타점 관리, 타점 도달시 경보장치)</x:t>
  </x:si>
  <x:si>
    <x:t xml:space="preserve">-가스잔량 F/P장치</x:t>
  </x:si>
  <x:si>
    <x:t xml:space="preserve">관리기준 수립 및 이행 상태</x:t>
  </x:si>
  <x:si>
    <x:t xml:space="preserve">→ 드레싱 주기 관리 : 드레싱 주기 설정값 입력관리</x:t>
  </x:si>
  <x:si>
    <x:t xml:space="preserve">*아크용접 : 노즐청소, 팁교체 / 저항용접 : 드레싱주기, 전극교체</x:t>
  </x:si>
  <x:si>
    <x:t xml:space="preserve">→ 용접타점 및 길이 관리 : 용접타점 및 길이 카운터 설치 (길이를 비례한 수량으로 관리 가능)</x:t>
  </x:si>
  <x:si>
    <x:t xml:space="preserve">→ 가스잔량관리 (아크용접) : 가스탱크내 잔량 또는 가스탱크압력 부족시 경보작동</x:t>
  </x:si>
  <x:si>
    <x:t xml:space="preserve">※ 개별 가스탱크 사용 용접기 잔량 F/PROOF 설치 불요   ▷ 단, 가스탱크 2개이상 병렬연결 사용시</x:t>
  </x:si>
  <x:si>
    <x:t xml:space="preserve">잔량 F/PROOF 설치</x:t>
  </x:si>
  <x:si>
    <x:t xml:space="preserve">→ 냉각수 온도 관리 (저항용접) : 냉각수 온도 이탈시 경보작동 (디지털 온도계)</x:t>
  </x:si>
  <x:si>
    <x:t xml:space="preserve">- 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x:t>
  </x:si>
  <x:si>
    <x:t xml:space="preserve">-JIG정기점검 관리기준서</x:t>
  </x:si>
  <x:si>
    <x:t xml:space="preserve">용접 지그 점검주기, 관리주기</x:t>
  </x:si>
  <x:si>
    <x:t xml:space="preserve">-JIG정기점검계획대실적표</x:t>
  </x:si>
  <x:si>
    <x:t xml:space="preserve">설정 및 이행상태</x:t>
  </x:si>
  <x:si>
    <x:t xml:space="preserve">-JIG 기준핀정기점검 실적</x:t>
  </x:si>
  <x:si>
    <x:t xml:space="preserve">-JIG PIN 위치도 및 상세사진 위치도</x:t>
  </x:si>
  <x:si>
    <x:t xml:space="preserve">- 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x:t>
  </x:si>
  <x:si>
    <x:t xml:space="preserve">-금형관리 프로세스</x:t>
  </x:si>
  <x:si>
    <x:t xml:space="preserve">금형/용접지그 일상/점기점검</x:t>
  </x:si>
  <x:si>
    <x:t xml:space="preserve">-금형관리대장</x:t>
  </x:si>
  <x:si>
    <x:t xml:space="preserve">프로세스 수립 및 준수상태</x:t>
  </x:si>
  <x:si>
    <x:t xml:space="preserve">-금형이력카드</x:t>
  </x:si>
  <x:si>
    <x:t xml:space="preserve">-MMS SYSTEM금형수리내역</x:t>
  </x:si>
  <x:si>
    <x:t xml:space="preserve">-금형일상점검관리기준서</x:t>
  </x:si>
  <x:si>
    <x:t xml:space="preserve">-금형일상점검체크시트</x:t>
  </x:si>
  <x:si>
    <x:t xml:space="preserve">- 금형별 등급별 점검/세척 기준 설정 및 준수상태 [점검 타발수 도달 전 예방점검 활동 가능토록 업무절차 수립 필요]</x:t>
  </x:si>
  <x:si>
    <x:t xml:space="preserve">-금형등급관리준서</x:t>
  </x:si>
  <x:si>
    <x:t xml:space="preserve">금형 세척관리 프로세스 수립 및</x:t>
  </x:si>
  <x:si>
    <x:t xml:space="preserve">- 금형별 타발수 기록/관리 상태(정기적인 실적점검 실적)</x:t>
  </x:si>
  <x:si>
    <x:t xml:space="preserve">-금형별 등급실적</x:t>
  </x:si>
  <x:si>
    <x:t xml:space="preserve">→ 전산시스템 대체 방안(엑셀, 금형관리 마스터 LIST 등) 활용한 타발수 실적관리 데이터 유효성 확보여부 점검</x:t>
  </x:si>
  <x:si>
    <x:t xml:space="preserve">-금형정기점검실적</x:t>
  </x:si>
  <x:si>
    <x:t xml:space="preserve">(설비내 카운터 또는 생산일보 실적 기준으로 타발수 관리 필요,      ※ 출하수량 기준으로 타발수 관리시 감점 실시)</x:t>
  </x:si>
  <x:si>
    <x:t xml:space="preserve">-금형타발수관리대장</x:t>
  </x:si>
  <x:si>
    <x:t xml:space="preserve">※ 출하수량 기준으로 타발수 관리시 감점 실시)</x:t>
  </x:si>
  <x:si>
    <x:t xml:space="preserve">-금형전산화시스템적용시 금형반컴퓨터설치</x:t>
  </x:si>
  <x:si>
    <x:t xml:space="preserve">※ 자체 프레스 공정이 없는경우 미해당으로 표기</x:t>
  </x:si>
  <x:si>
    <x:t xml:space="preserve">- 금형 및 지그 수리이력 관리대장 (금형 Shot수, 지그 보수 이력)</x:t>
  </x:si>
  <x:si>
    <x:t xml:space="preserve">-금형/지그관리대장</x:t>
  </x:si>
  <x:si>
    <x:t xml:space="preserve">개발팀</x:t>
  </x:si>
  <x:si>
    <x:t xml:space="preserve">금형보전 관리기준 설정 및</x:t>
  </x:si>
  <x:si>
    <x:t xml:space="preserve">-금형/JIG이력카드</x:t>
  </x:si>
  <x:si>
    <x:t xml:space="preserve">개밸팀</x:t>
  </x:si>
  <x:si>
    <x:t xml:space="preserve">- 금형보관대 제작 및 금형위치 현황판 주소화 관리(공정투입/작업대기/외주수리 등 LOCATION별 관리여부)</x:t>
  </x:si>
  <x:si>
    <x:t xml:space="preserve">-금형보관 lay-out 설치</x:t>
  </x:si>
  <x:si>
    <x:t xml:space="preserve">금형 보관관리 프로세스 수립 및</x:t>
  </x:si>
  <x:si>
    <x:t xml:space="preserve">- 금형 식별관리 절차 수립 및 준수(양산, A/S차종 등)</x:t>
  </x:si>
  <x:si>
    <x:t xml:space="preserve">-금형보관구역 식별표시</x:t>
  </x:si>
  <x:si>
    <x:t xml:space="preserve">- 금형 보관시 이물유입 방지 대책 수립 및 세척/냉각수 탈수 상태 보관 등 관리실태 현장 점검</x:t>
  </x:si>
  <x:si>
    <x:t xml:space="preserve">-금형보관시 잔존이물제거후 적재</x:t>
  </x:si>
  <x:si>
    <x:t xml:space="preserve">- 신규제작 금형 이관시 T/OUT 성형 검증 실시(실시결과 증빙관리)
      ※ 자체 프레스 공정이 없는경우 미해당으로 표기</x:t>
  </x:si>
  <x:si>
    <x:t xml:space="preserve">-금형이관 T/O보고서</x:t>
  </x:si>
  <x:si>
    <x:t xml:space="preserve">금형 이관 프로세스 수립 및</x:t>
  </x:si>
  <x:si>
    <x:t xml:space="preserve">-금형이관시 접수자료</x:t>
  </x:si>
  <x:si>
    <x:t xml:space="preserve">-금형문제점개선자료</x:t>
  </x:si>
  <x:si>
    <x:t xml:space="preserve">[CASE1] LOT수작업관리    - 파렛트or 부품단위</x:t>
  </x:si>
  <x:si>
    <x:t xml:space="preserve">-원자재입고 부품식별표</x:t>
  </x:si>
  <x:si>
    <x:t xml:space="preserve">COIL NO기록</x:t>
  </x:si>
  <x:si>
    <x:t xml:space="preserve">원자재 및 재공품, 출하품</x:t>
  </x:si>
  <x:si>
    <x:t xml:space="preserve">MES  사용</x:t>
  </x:si>
  <x:si>
    <x:t xml:space="preserve">▷ 수입검사 완료품 식별 프로세스 수립 (합격도장 등) - 보안/안전 부품 별도 식별 표시 : LOT타각, 식별마크 등</x:t>
  </x:si>
  <x:si>
    <x:t xml:space="preserve">입고LOT OR C/N</x:t>
  </x:si>
  <x:si>
    <x:t xml:space="preserve">LOT 추적성 관리 프로세스</x:t>
  </x:si>
  <x:si>
    <x:t xml:space="preserve">▷ 선입/선출 관리기준 유무 (공정~출하) - 관리 대장, 레이아웃</x:t>
  </x:si>
  <x:si>
    <x:t xml:space="preserve">-부품식별표</x:t>
  </x:si>
  <x:si>
    <x:t xml:space="preserve">LOT NO기록</x:t>
  </x:si>
  <x:si>
    <x:t xml:space="preserve">수립 및 준수상태</x:t>
  </x:si>
  <x:si>
    <x:t xml:space="preserve">▷ 선입선출 준수여부 - 중요부품 샘플링 점검, 인라인투입제품, 투입대기제품, 자재창고 적재 제품 생산일 점검</x:t>
  </x:si>
  <x:si>
    <x:t xml:space="preserve">생산LOT OR C/N</x:t>
  </x:si>
  <x:si>
    <x:t xml:space="preserve">▷ 부품 LOT 표기 여부  (표준류 지정시) - 각인, 스티커, 타각 등</x:t>
  </x:si>
  <x:si>
    <x:t xml:space="preserve">▷ 부품 LOT기록 마스터리스트 관리되고 역추적 가능 여부</x:t>
  </x:si>
  <x:si>
    <x:t xml:space="preserve">-출하일지</x:t>
  </x:si>
  <x:si>
    <x:t xml:space="preserve">[CASE2] LOT전산관리    - 파렛트단위</x:t>
  </x:si>
  <x:si>
    <x:t xml:space="preserve">-고객부품식별표</x:t>
  </x:si>
  <x:si>
    <x:t xml:space="preserve">[CASE3] LOT전산관리    - 부품단위</x:t>
  </x:si>
  <x:si>
    <x:t xml:space="preserve">-일별생산실적현황 OR LOT 관리대장</x:t>
  </x:si>
  <x:si>
    <x:t xml:space="preserve">종합수합</x:t>
  </x:si>
  <x:si>
    <x:t xml:space="preserve">-LOT관리기준서</x:t>
  </x:si>
  <x:si>
    <x:t xml:space="preserve">자재 창고 Lay Out 현황도 작성 및 선입선출 다이 등반영 상태(구조적 시스템, 입/불출 절차 효율성 확보 여부)</x:t>
  </x:si>
  <x:si>
    <x:t xml:space="preserve">-원자재보관관리기준서</x:t>
  </x:si>
  <x:si>
    <x:t xml:space="preserve">수입자재 보관장 관리기준 수립</x:t>
  </x:si>
  <x:si>
    <x:t xml:space="preserve">입고품 적재/관리기준 수립 및 준수(입고 완료품 찍힘/발청, 이물질오염, 기타 손상 확인시 감점)</x:t>
  </x:si>
  <x:si>
    <x:t xml:space="preserve">-원자재보관대 LAY-OUT 및재고현황</x:t>
  </x:si>
  <x:si>
    <x:t xml:space="preserve">원소재 보관 관리기준 수립 및 준수상태(포장상태 및 개봉후 식별방법 등)</x:t>
  </x:si>
  <x:si>
    <x:t xml:space="preserve">-원자재보관대 구역설정및 식별</x:t>
  </x:si>
  <x:si>
    <x:t xml:space="preserve">미사용 장기보관 자재류 처리기준 수립 및 이행상태</x:t>
  </x:si>
  <x:si>
    <x:t xml:space="preserve">-원자재선입선출관리기준서</x:t>
  </x:si>
  <x:si>
    <x:t xml:space="preserve">설변에 의한 불용자재 발생시 자재 식별 및 혼입 방지 관리 상태</x:t>
  </x:si>
  <x:si>
    <x:t xml:space="preserve">-.원자재식별표</x:t>
  </x:si>
  <x:si>
    <x:t xml:space="preserve">항온/항습보관 필요 자재의 경우 보관장 관리기준 수립 및 준수 상태</x:t>
  </x:si>
  <x:si>
    <x:t xml:space="preserve">-장기재고보관관리기준서</x:t>
  </x:si>
  <x:si>
    <x:t xml:space="preserve">-장기재고점검체크시트</x:t>
  </x:si>
  <x:si>
    <x:t xml:space="preserve">-장기재고식별표</x:t>
  </x:si>
  <x:si>
    <x:t xml:space="preserve">LAY-OUT 및재고현황</x:t>
  </x:si>
  <x:si>
    <x:t xml:space="preserve">- 구역설정및 식별</x:t>
  </x:si>
  <x:si>
    <x:t xml:space="preserve">부품식별표</x:t>
  </x:si>
  <x:si>
    <x:t xml:space="preserve">'-불용자재관리기준서</x:t>
  </x:si>
  <x:si>
    <x:t xml:space="preserve">-불용자재식별표</x:t>
  </x:si>
  <x:si>
    <x:t xml:space="preserve">검사 전,후 식별 및 선입선출 관리</x:t>
  </x:si>
  <x:si>
    <x:t xml:space="preserve">-선입고품 우선사용 TAG식별</x:t>
  </x:si>
  <x:si>
    <x:t xml:space="preserve">입고품 식별관리 기준 수립 및</x:t>
  </x:si>
  <x:si>
    <x:t xml:space="preserve">소재사양 및 GRADE 식별절차</x:t>
  </x:si>
  <x:si>
    <x:t xml:space="preserve">준수여부</x:t>
  </x:si>
  <x:si>
    <x:t xml:space="preserve">장기/불용/개발품 자재 관리기준 및 식별절차(장기/불용/개발용 원재료 별도 구분/식별관리)</x:t>
  </x:si>
  <x:si>
    <x:t xml:space="preserve">공정 투입후 잔량관리(보관상태/식별표시/유효기간 설정 등)</x:t>
  </x:si>
  <x:si>
    <x:t xml:space="preserve">품목별/공정별 장입(적재) 기준 수립 및 준수상태/ 과다적재 예방을 위한 장입 한계 기준설정 등</x:t>
  </x:si>
  <x:si>
    <x:t xml:space="preserve">-공정제품 용기설정 기준서</x:t>
  </x:si>
  <x:si>
    <x:t xml:space="preserve">재공품/완제품 용기 표준화</x:t>
  </x:si>
  <x:si>
    <x:t xml:space="preserve">외관확인이 어려운 공정처리 전/후 재공품 보관용기 식별절차 수립 및 준수상태</x:t>
  </x:si>
  <x:si>
    <x:t xml:space="preserve">-과다적재방지 장입한계기준 설정</x:t>
  </x:si>
  <x:si>
    <x:t xml:space="preserve">공용용기한계선</x:t>
  </x:si>
  <x:si>
    <x:t xml:space="preserve">관리기준 수립 및 이행상태</x:t>
  </x:si>
  <x:si>
    <x:t xml:space="preserve">(예: 표면처리, 열처리 전/후 용기 식별관리 절차 수립 등)</x:t>
  </x:si>
  <x:si>
    <x:t xml:space="preserve">-완성품 납용용기설정서</x:t>
  </x:si>
  <x:si>
    <x:t xml:space="preserve">고객승인</x:t>
  </x:si>
  <x:si>
    <x:t xml:space="preserve">제품 특성을 고려한 용기 관리기준 설정(청정도 관리 대상품 이물질유입 예방목적 용기세척, 오염방지커버적용등)</x:t>
  </x:si>
  <x:si>
    <x:t xml:space="preserve">-완성품 LAY-OUT</x:t>
  </x:si>
  <x:si>
    <x:t xml:space="preserve">포장 용기 다단적재 및 현장 적재상태 (종이BOX, 프라스틱BOX, 전용용기 등 적재 관리기준 수립 및 이행상태)</x:t>
  </x:si>
  <x:si>
    <x:t xml:space="preserve">-완성품 적재공간 구역설정 LINE MARK'G</x:t>
  </x:si>
  <x:si>
    <x:t xml:space="preserve">완제품 보관관리 기준 및 관리상태</x:t>
  </x:si>
  <x:si>
    <x:t xml:space="preserve">-완성품 적재장소 NAME PLATE부착</x:t>
  </x:si>
  <x:si>
    <x:t xml:space="preserve">: 성적서 기록상태, 완제품 보관관리 (별도공간/식별공간, 청결관리, 간지사용 등 제품 외관 및 기능에</x:t>
  </x:si>
  <x:si>
    <x:t xml:space="preserve">품질문제 발생   가능여부)</x:t>
  </x:si>
  <x:si>
    <x:t xml:space="preserve">작업자 안전관리 프로세스 수립 및 준수실태(현장확인)</x:t>
  </x:si>
  <x:si>
    <x:t xml:space="preserve">안전관리업무기준서</x:t>
  </x:si>
  <x:si>
    <x:t xml:space="preserve">안전사고 발생 예방을 위한</x:t>
  </x:si>
  <x:si>
    <x:t xml:space="preserve">: 생산라인 투입전 핸드폰 보관을 위한 별도 보관대 설치 및 활용상태 점검 (생산중 핸드폰 사용에 따른 사고 방지)</x:t>
  </x:si>
  <x:si>
    <x:t xml:space="preserve">안전보호구 지급기준</x:t>
  </x:si>
  <x:si>
    <x:t xml:space="preserve">업무 프로세스 수립 및 준수실태</x:t>
  </x:si>
  <x:si>
    <x:t xml:space="preserve">: 안전 보호장구(보안경/헬멧/장갑 등) 착용 기준수립 및 이행상태 점검(일상)</x:t>
  </x:si>
  <x:si>
    <x:t xml:space="preserve">안전보호구 지급관리대장</x:t>
  </x:si>
  <x:si>
    <x:t xml:space="preserve">업종별 안전사고 발생 예방을 위한 설비/레이아웃 반영</x:t>
  </x:si>
  <x:si>
    <x:t xml:space="preserve">안전교육교안</x:t>
  </x:si>
  <x:si>
    <x:t xml:space="preserve">⇒ 예) 프레스 : 작업자 감지센서(안전BAR), 양수 조작버튼, 플라이휠 커버 등</x:t>
  </x:si>
  <x:si>
    <x:t xml:space="preserve">안전교육실시보고서</x:t>
  </x:si>
  <x:si>
    <x:t xml:space="preserve">- 작업 현장내 안전표지/수칙 게시 및 작업자 교육</x:t>
  </x:si>
  <x:si>
    <x:t xml:space="preserve">작업장 안전수칙 라인별 제작활용</x:t>
  </x:si>
  <x:si>
    <x:t xml:space="preserve">- 작업 현장내 위험요소(위험물)에 대한 사고예방 장비/시설물 설치 및 식별 표준류 반영</x:t>
  </x:si>
  <x:si>
    <x:t xml:space="preserve">유해물질보관장 선정</x:t>
  </x:si>
  <x:si>
    <x:t xml:space="preserve">1) 표준류 게시된 현위치 기준 소화 방재시설 위치 및 비상대피 동선 표기된 표준류 작성/게시</x:t>
  </x:si>
  <x:si>
    <x:t xml:space="preserve">유해물질보관장 MSDS비치활용</x:t>
  </x:si>
  <x:si>
    <x:t xml:space="preserve">2) 설비 간섭 등 고려 소화 방재시설 식별표, 비상대비 표시등 2층높이 반영</x:t>
  </x:si>
  <x:si>
    <x:t xml:space="preserve">설비일상/정기점검기준서(안전장치점검반영)</x:t>
  </x:si>
  <x:si>
    <x:t xml:space="preserve">- 운영중인 설비에 대한 정기 안전관리 프로세스 수립 및 이행상태</x:t>
  </x:si>
  <x:si>
    <x:t xml:space="preserve">설비안전관리책임자선정및 정,부 식별현황</x:t>
  </x:si>
  <x:si>
    <x:t xml:space="preserve">- 설비 점검시(계획/비계획) 업무 처리절차 수립 : 2인 1개조 운영, 비정상 가동 예방절차 등</x:t>
  </x:si>
  <x:si>
    <x:t xml:space="preserve">소화기 배치 LAY-OUT</x:t>
  </x:si>
  <x:si>
    <x:t xml:space="preserve">공장LAYOUT반영</x:t>
  </x:si>
  <x:si>
    <x:t xml:space="preserve">소화기점검식별표</x:t>
  </x:si>
  <x:si>
    <x:t xml:space="preserve">설계변경/4M 변경 업무 프로세스 수립여부</x:t>
  </x:si>
  <x:si>
    <x:t xml:space="preserve">설계변경/4M관리업무 프로세스</x:t>
  </x:si>
  <x:si>
    <x:t xml:space="preserve">설계변경, 4M 변경처리업무절차</x:t>
  </x:si>
  <x:si>
    <x:t xml:space="preserve">[세부 유형별 업무 처리절차 및 관리분담, 고객사 ISIR 재승인 필요여부 등]</x:t>
  </x:si>
  <x:si>
    <x:t xml:space="preserve">변경관리 master list</x:t>
  </x:si>
  <x:si>
    <x:t xml:space="preserve">수립 및 준수여부</x:t>
  </x:si>
  <x:si>
    <x:t xml:space="preserve">변경점 추적성 확보를 위한 마스터리스트 작성관리[누락 발생시 감점 처리]</x:t>
  </x:si>
  <x:si>
    <x:t xml:space="preserve">변경품적용시점통보서</x:t>
  </x:si>
  <x:si>
    <x:t xml:space="preserve">변경점 누락 발생 예방을 위한 정기적인 점검활동 실시여부[담당자 지정 및 점검주기 설정관리]</x:t>
  </x:si>
  <x:si>
    <x:t xml:space="preserve">변경품적용시 고객ISIR승인서류</x:t>
  </x:si>
  <x:si>
    <x:t xml:space="preserve">4M 변경품 이상여부 확인을 위한 초기유동관리 여부</x:t>
  </x:si>
  <x:si>
    <x:t xml:space="preserve">4M 변경이력 고객사 여부 확인[고객사 승인본 접수관리]</x:t>
  </x:si>
  <x:si>
    <x:t xml:space="preserve">도면에 명시된 외관, 치수, 기능, 주기를 검사협정 및 사내 검사기준 반영</x:t>
  </x:si>
  <x:si>
    <x:t xml:space="preserve">도면일치성관리기준서</x:t>
  </x:si>
  <x:si>
    <x:t xml:space="preserve">품목별  도면기준 검사협정 체결</x:t>
  </x:si>
  <x:si>
    <x:t xml:space="preserve">- 검사협정서/기준서/초도품 보증서 고객 승인본 보유</x:t>
  </x:si>
  <x:si>
    <x:t xml:space="preserve">도면일치성점검체크시트(고객사관리본접수)</x:t>
  </x:si>
  <x:si>
    <x:t xml:space="preserve">고객점검접수</x:t>
  </x:si>
  <x:si>
    <x:t xml:space="preserve">및 관리기준 준수상태</x:t>
  </x:si>
  <x:si>
    <x:t xml:space="preserve">'-도면 일치성 점검 담당자 지정하여 정기적 도면대비 검사협정/기준서 일치성 점검 및 점검이력 관리</x:t>
  </x:si>
  <x:si>
    <x:t xml:space="preserve">도면/검사협정서/초도품보증서고객승인본</x:t>
  </x:si>
  <x:si>
    <x:t xml:space="preserve">(도면 일치성)</x:t>
  </x:si>
  <x:si>
    <x:t xml:space="preserve">검사협정 및 검사기준서내 부품 검사항목(정기신뢰성 시험 포함)의 점검주기 준수여부</x:t>
  </x:si>
  <x:si>
    <x:t xml:space="preserve">정기검사계획대실적표</x:t>
  </x:si>
  <x:si>
    <x:t xml:space="preserve">정기검사실적</x:t>
  </x:si>
  <x:si>
    <x:t xml:space="preserve">품질 매뉴얼/절차서/지침서 구비 및 적용상태</x:t>
  </x:si>
  <x:si>
    <x:t xml:space="preserve">ISO인증서</x:t>
  </x:si>
  <x:si>
    <x:t xml:space="preserve">품질 경영체제 구축/유지를 위한</x:t>
  </x:si>
  <x:si>
    <x:t xml:space="preserve">구체적인 업무분장 수립상태</x:t>
  </x:si>
  <x:si>
    <x:t xml:space="preserve">품질매뉴얼/절차서/지침서</x:t>
  </x:si>
  <x:si>
    <x:t xml:space="preserve">위한 조직구성 및 운영 상태</x:t>
  </x:si>
  <x:si>
    <x:t xml:space="preserve">SQ 인증업종 자체 내부심사[평가서 기준] 활동 실시 및 발췌 문제점에 대한 개선활동 추진</x:t>
  </x:si>
  <x:si>
    <x:t xml:space="preserve">전사조직도 및 업무분장표</x:t>
  </x:si>
  <x:si>
    <x:t xml:space="preserve">조직구성 및 운영 상태</x:t>
  </x:si>
  <x:si>
    <x:t xml:space="preserve">⇒ 점검결과 경영자/임원 보고 및 후속조치 활동 이력[증빙물 관리]</x:t>
  </x:si>
  <x:si>
    <x:t xml:space="preserve">SQ 사전점검 지적사항및 개선대책</x:t>
  </x:si>
  <x:si>
    <x:t xml:space="preserve">(유효성검증관리 실적)</x:t>
  </x:si>
  <x:si>
    <x:t xml:space="preserve">공정별 작업자/검사자 배치기준 수립 및 자격인증 평가 실시여부 [품질 표준류내 검사지정 항목별 담당자]</x:t>
  </x:si>
  <x:si>
    <x:t xml:space="preserve">자격인증관리 기준서</x:t>
  </x:si>
  <x:si>
    <x:t xml:space="preserve">자격인증 관리기준 수립 및</x:t>
  </x:si>
  <x:si>
    <x:t xml:space="preserve">⇒ 자격인증 실시 기준</x:t>
  </x:si>
  <x:si>
    <x:t xml:space="preserve">자격인증체크시트 (검사원)</x:t>
  </x:si>
  <x:si>
    <x:t xml:space="preserve">[부적합 판별 실기평가, 품질특성 교육, 동일업무 경력, 생산품 품질산포 발생 가능성 검증 등]</x:t>
  </x:si>
  <x:si>
    <x:t xml:space="preserve">자격인증체크시트 (현장작업자)</x:t>
  </x:si>
  <x:si>
    <x:t xml:space="preserve">※ 부적합 판별 실기평가</x:t>
  </x:si>
  <x:si>
    <x:t xml:space="preserve">계수형R&amp;R 계획대실적표</x:t>
  </x:si>
  <x:si>
    <x:t xml:space="preserve">외관검사 : 부적합 유형별 검출능력 실기평가</x:t>
  </x:si>
  <x:si>
    <x:t xml:space="preserve">계수형R&amp;R 실시실적</x:t>
  </x:si>
  <x:si>
    <x:t xml:space="preserve">치수검사 : 담당별 지정 계측기 사용능력 평가 [계측기 활용능력 평가로 CpK 산출 불필요]</x:t>
  </x:si>
  <x:si>
    <x:t xml:space="preserve">계량형/계수형 R&amp;R 수기작성본</x:t>
  </x:si>
  <x:si>
    <x:t xml:space="preserve">샘플OR사진</x:t>
  </x:si>
  <x:si>
    <x:t xml:space="preserve">자격인증 검증평가 결과에 대한 신뢰도 확보 필요(수기 작성 원본데이터, 검증용 시료 확보 등)</x:t>
  </x:si>
  <x:si>
    <x:t xml:space="preserve">계수형R&amp;R 평가샘플 보관대</x:t>
  </x:si>
  <x:si>
    <x:t xml:space="preserve">자격인증자 결원/휴가시 대응인원 확보상태 및 후속조치 관리방안/실행상태</x:t>
  </x:si>
  <x:si>
    <x:t xml:space="preserve">자격인증대상자교육실시보고서</x:t>
  </x:si>
  <x:si>
    <x:t xml:space="preserve">작업자 결원으로 대체인원 투입 불가피시, 투입전 교육/품질보증 방안 등 관리 규정 수립 및 관리 상태점검</x:t>
  </x:si>
  <x:si>
    <x:t xml:space="preserve">자격인증서(검사원/현장작업자)</x:t>
  </x:si>
  <x:si>
    <x:t xml:space="preserve">현장라인부착</x:t>
  </x:si>
  <x:si>
    <x:t xml:space="preserve">생산작업자 자격인증 : 동일작업 반복 생산후 부품간 산포발생 가능성 검증</x:t>
  </x:si>
  <x:si>
    <x:t xml:space="preserve">작업자변경시 교육실시보고서</x:t>
  </x:si>
  <x:si>
    <x:t xml:space="preserve">4M변경연계</x:t>
  </x:si>
  <x:si>
    <x:t xml:space="preserve">중요/특별 공정에 대한 품질검사원 확보 및 자격인증 실시 필요</x:t>
  </x:si>
  <x:si>
    <x:t xml:space="preserve">⇒ 열처리/단조:조직 판독능력, 전자/조립 : 리워크 검사원, 도금/도장: 액분석 검사원,</x:t>
  </x:si>
  <x:si>
    <x:t xml:space="preserve">전자(납땜) : AOI 검사담당자 등</x:t>
  </x:si>
  <x:si>
    <x:t xml:space="preserve">※ 중요/특별특성 공정 자격인증평가 미실시, 허위작성 확인시 이행도 '0'점 처리</x:t>
  </x:si>
  <x:si>
    <x:t xml:space="preserve">리콜/캠페인 등 고객사 품질문제 발생시 회사에 미치는 영향성 (대외이미지, 비용부담 등) 교안작성</x:t>
  </x:si>
  <x:si>
    <x:t xml:space="preserve">교육교안</x:t>
  </x:si>
  <x:si>
    <x:t xml:space="preserve">정기적 품질 중요성에 교안작성</x:t>
  </x:si>
  <x:si>
    <x:t xml:space="preserve">임직원 대상(비정규직 포함) 교육 실시후 교육이력 증빙관리</x:t>
  </x:si>
  <x:si>
    <x:t xml:space="preserve">2026년 교육계획대실적</x:t>
  </x:si>
  <x:si>
    <x:t xml:space="preserve">및 임직원 교육 실시 이행상태</x:t>
  </x:si>
  <x:si>
    <x:t xml:space="preserve">작업실수 방지 및 안전사고 예방을 위한 작업자 교육실시(실시교안 및 이력 증빙관리)</x:t>
  </x:si>
  <x:si>
    <x:t xml:space="preserve">교육실시보고서 (교육사진/참석자서명)</x:t>
  </x:si>
  <x:si>
    <x:t xml:space="preserve">공정별(수입/제조/완성품 검사) 작업자 및 검사 담당자에 대한 부적합 처리절차 교육 시행여부</x:t>
  </x:si>
  <x:si>
    <x:t xml:space="preserve">품질문제발생시 즉시교육실적보고서</x:t>
  </x:si>
  <x:si>
    <x:t xml:space="preserve">수입검사/생산공정/최종검사 부적합(추정)품에 대한 격리/식별절차 수립 및 준수여부</x:t>
  </x:si>
  <x:si>
    <x:t xml:space="preserve">부적합처리업무 프로세스</x:t>
  </x:si>
  <x:si>
    <x:t xml:space="preserve">수입검사/생산공정/최종검사</x:t>
  </x:si>
  <x:si>
    <x:t xml:space="preserve">부적합품 후공정 유출 방지를 위한 식별 및 격리방안 세부 작성 및 준수여부</x:t>
  </x:si>
  <x:si>
    <x:t xml:space="preserve">부적합 격리보관장소 지정 (펜스격리)</x:t>
  </x:si>
  <x:si>
    <x:t xml:space="preserve">LOT불량격리</x:t>
  </x:si>
  <x:si>
    <x:t xml:space="preserve">부적합(추정)품에 대한</x:t>
  </x:si>
  <x:si>
    <x:t xml:space="preserve">부적합(추정)품 처리 프로세스 수립 및 준수여부</x:t>
  </x:si>
  <x:si>
    <x:t xml:space="preserve">부적합처리일지</x:t>
  </x:si>
  <x:si>
    <x:t xml:space="preserve">격리/식별절차 수립 및 준수여부</x:t>
  </x:si>
  <x:si>
    <x:t xml:space="preserve">생산중 부적합품 발생수량과 실제 수거량 비교를 통한 부적합품 후공정 유출 발생여부점검활동[점검이력 보관]</x:t>
  </x:si>
  <x:si>
    <x:t xml:space="preserve">부적합품 보관함</x:t>
  </x:si>
  <x:si>
    <x:t xml:space="preserve">라인별비치</x:t>
  </x:si>
  <x:si>
    <x:t xml:space="preserve">개발등 시제품 생산시 양산부품과 혼입 방지를 위한 식별 및 격리 절차 수립/준수상태 점검</x:t>
  </x:si>
  <x:si>
    <x:t xml:space="preserve">부적합식별표</x:t>
  </x:si>
  <x:si>
    <x:t xml:space="preserve">전년도 품질 실적대비 목표설정 및 실적 점검(1회/월)상태</x:t>
  </x:si>
  <x:si>
    <x:t xml:space="preserve">품질실적보고서 (전부서KPI목표대비실적)</x:t>
  </x:si>
  <x:si>
    <x:t xml:space="preserve">매월경영자승인본</x:t>
  </x:si>
  <x:si>
    <x:t xml:space="preserve">박철호</x:t>
  </x:si>
  <x:si>
    <x:t xml:space="preserve">품질실적 점검 프로세스 수립</x:t>
  </x:si>
  <x:si>
    <x:t xml:space="preserve">⇒ 공정불량 (생산수량, 불량수, PPM), 고객불량 (납품수량, 불량수, PPM), 외주불량(입고수량, 불량수, PPM)</x:t>
  </x:si>
  <x:si>
    <x:t xml:space="preserve">-고객/공정/외주불량 실적PPM</x:t>
  </x:si>
  <x:si>
    <x:t xml:space="preserve">및 개선활동 실시상태</x:t>
  </x:si>
  <x:si>
    <x:t xml:space="preserve">목표 미달시 워스트 항목에 대한 근본적인 원인분석 및 개선대책 수립/유효성 평가 실시상태</x:t>
  </x:si>
  <x:si>
    <x:t xml:space="preserve">-고객/공정/외주불량 개선대책서</x:t>
  </x:si>
  <x:si>
    <x:t xml:space="preserve">고객 불량(필드 클레임) 문제점에 대한 고품분석 및 시정조치 활동 실시여부</x:t>
  </x:si>
  <x:si>
    <x:t xml:space="preserve">고객불량 유효성검증  MASTER LIST</x:t>
  </x:si>
  <x:si>
    <x:t xml:space="preserve">현장현황판제작</x:t>
  </x:si>
  <x:si>
    <x:t xml:space="preserve">-D+3개월 유효성검증</x:t>
  </x:si>
  <x:si>
    <x:t xml:space="preserve">정기적인 작업장/ 검사장 조도 관리를 위한 운영 프로세스 수립[측정장소/시간, 조도 관리기준, 측정장소 지정]</x:t>
  </x:si>
  <x:si>
    <x:t xml:space="preserve">조도관리기준서</x:t>
  </x:si>
  <x:si>
    <x:t xml:space="preserve">검사 유효성 확보를 위한 조도</x:t>
  </x:si>
  <x:si>
    <x:t xml:space="preserve">표준류내 자주/순회검사 실시구간 조도관리 포인트 누락여부</x:t>
  </x:si>
  <x:si>
    <x:t xml:space="preserve">조도측정 LAY-OUT</x:t>
  </x:si>
  <x:si>
    <x:t xml:space="preserve">관리프로세스 수립 및 준수실태</x:t>
  </x:si>
  <x:si>
    <x:t xml:space="preserve">조도측정부 현장내 식별</x:t>
  </x:si>
  <x:si>
    <x:t xml:space="preserve">조도측정구역표시</x:t>
  </x:si>
  <x:si>
    <x:t xml:space="preserve">조도측정 실적</x:t>
  </x:si>
  <x:si>
    <x:t xml:space="preserve">정기적인 3정5행 현장개선 프로세스 수립</x:t>
  </x:si>
  <x:si>
    <x:t xml:space="preserve">3정5행관리 기준서</x:t>
  </x:si>
  <x:si>
    <x:t xml:space="preserve">3정 5행 관리 프로세스</x:t>
  </x:si>
  <x:si>
    <x:t xml:space="preserve">(점검 체크시트 작성, 점검 주기, 업무 분담, 지적사항 개선 시정조치 완료여부]</x:t>
  </x:si>
  <x:si>
    <x:t xml:space="preserve">3정5행 점검 구역별 책임자 선정</x:t>
  </x:si>
  <x:si>
    <x:t xml:space="preserve">수립 및 준수실태</x:t>
  </x:si>
  <x:si>
    <x:t xml:space="preserve">현장점검시 3정 5행 관리실태</x:t>
  </x:si>
  <x:si>
    <x:t xml:space="preserve">3정5행점검 체크시트</x:t>
  </x:si>
  <x:si>
    <x:t xml:space="preserve">3정5행 점검 결과 개선대책</x:t>
  </x:si>
  <x:si>
    <x:t xml:space="preserve">3정5행개선사례 현황판</x:t>
  </x:si>
  <x:si>
    <x:t xml:space="preserve">주기 : 최소 월 1회 이상 주요 품질 문제점 현황 작성현장내 게시활동 실시</x:t>
  </x:si>
  <x:si>
    <x:t xml:space="preserve">품질종합현황판 제작설치</x:t>
  </x:si>
  <x:si>
    <x:t xml:space="preserve">3정5행개선사례</x:t>
  </x:si>
  <x:si>
    <x:t xml:space="preserve">주요 품질현황 작성 및 수평전개</x:t>
  </x:si>
  <x:si>
    <x:t xml:space="preserve">내용 : 고객사 입고불량, HKMC 주요 필드 클레임, 고객/HKMC 입고불량 문제점 및 발생(유출)원인</x:t>
  </x:si>
  <x:si>
    <x:t xml:space="preserve">공정별 주요문제점 각공정별 비치</x:t>
  </x:si>
  <x:si>
    <x:t xml:space="preserve">실시상태</x:t>
  </x:si>
  <x:si>
    <x:t xml:space="preserve">장소 : 발생 해당공정 및 필요시 주요 공정(예: 수입검사 공정, 완제품 검사공정, 교육장 등)</x:t>
  </x:si>
  <x:si>
    <x:t xml:space="preserve">중점관리POINT 선정 운영</x:t>
  </x:si>
  <x:si>
    <x:t xml:space="preserve">리워크 가능부품 선정기준 수립 및 관리상태</x:t>
  </x:si>
  <x:si>
    <x:t xml:space="preserve">재작업엄무처리 기준서</x:t>
  </x:si>
  <x:si>
    <x:t xml:space="preserve">불량부품 REWORK시 업무처리</x:t>
  </x:si>
  <x:si>
    <x:t xml:space="preserve">리워크품 LOT 추적성 및 선입선출 관리상태</x:t>
  </x:si>
  <x:si>
    <x:t xml:space="preserve">재작업품 작업공간 장소지정(공구확보)</x:t>
  </x:si>
  <x:si>
    <x:t xml:space="preserve">부적합품보관장소</x:t>
  </x:si>
  <x:si>
    <x:t xml:space="preserve">절차 수립 및 이행 상태</x:t>
  </x:si>
  <x:si>
    <x:t xml:space="preserve">불량부품 REWORK시 품질검사항목 설정 및 REWORK 전후 검사 이력 유지 관리상태</x:t>
  </x:si>
  <x:si>
    <x:t xml:space="preserve">재작업품 MASTER LIST</x:t>
  </x:si>
  <x:si>
    <x:t xml:space="preserve">REWORK 전/후 부품의 식별 관리기준 및 준수상태</x:t>
  </x:si>
  <x:si>
    <x:t xml:space="preserve">재작업품 검사기준및 검사실적</x:t>
  </x:si>
  <x:si>
    <x:t xml:space="preserve">REWORK 제품의 출하 절차 준수 상태</x:t>
  </x:si>
  <x:si>
    <x:t xml:space="preserve">재작업품 부품식별표</x:t>
  </x:si>
  <x:si>
    <x:t xml:space="preserve">REWORK 작업을 위한 별도 공간 운영시 작업을 위한 TOOL 및 자재의 비치 상태</x:t>
  </x:si>
  <x:si>
    <x:t xml:space="preserve">재작업품 출하 고객승인본</x:t>
  </x:si>
  <x:si>
    <x:t xml:space="preserve">- 이론 및 실습교육 이력 보관관리 및 용접교육 교안비치 (권장사항)</x:t>
  </x:si>
  <x:si>
    <x:t xml:space="preserve">용접교육장설치</x:t>
  </x:si>
  <x:si>
    <x:t xml:space="preserve">이론 및 실습 교육 절차</x:t>
  </x:si>
  <x:si>
    <x:t xml:space="preserve">자격인증내 실기평가보고서첨부</x:t>
  </x:si>
  <x:si>
    <x:t xml:space="preserve">▷(이론평가 / 실기평가</x:t>
  </x:si>
  <x:si>
    <x:t xml:space="preserve">▷파괴시험 합격) 수립 및 시행</x:t>
  </x:si>
  <x:si>
    <x:t xml:space="preserve">『정성품질』 활동 관련 업무분장(키맨)</x:t>
  </x:si>
  <x:si>
    <x:t xml:space="preserve">정성품질향상가이드</x:t>
  </x:si>
  <x:si>
    <x:t xml:space="preserve">『정성품질』 운영 프로세스는</x:t>
  </x:si>
  <x:si>
    <x:t xml:space="preserve">- 『정성품질』 수평전개 교육 담당/ 품질문제 발생시 개선활동 담당/ 고객사 협업 담당 등</x:t>
  </x:si>
  <x:si>
    <x:t xml:space="preserve">정성품질 조직도 (키맨선정)</x:t>
  </x:si>
  <x:si>
    <x:t xml:space="preserve">마련되어 있고, 점검 및</x:t>
  </x:si>
  <x:si>
    <x:t xml:space="preserve">제조현장 『정성품질』관련 예방/개선 프로세스 수립(제조현장 반영내역 확인)</x:t>
  </x:si>
  <x:si>
    <x:t xml:space="preserve">정성품질 체크시트</x:t>
  </x:si>
  <x:si>
    <x:t xml:space="preserve">포상활동은 실시되는가?</x:t>
  </x:si>
  <x:si>
    <x:t xml:space="preserve">- 예방활동 : 휴먼에러 발생 예방을 위한 작업자/공정/설비 등 예방점검 개선 이력</x:t>
  </x:si>
  <x:si>
    <x:t xml:space="preserve">정성품질 개선추진보고서</x:t>
  </x:si>
  <x:si>
    <x:t xml:space="preserve">경영자승인본</x:t>
  </x:si>
  <x:si>
    <x:t xml:space="preserve">→ 발생 원인에 대한 세부적인 원인 분류 및 근본적인 시정조치 활동 실시</x:t>
  </x:si>
  <x:si>
    <x:t xml:space="preserve">정성품질 포상제도 시행안 보고서</x:t>
  </x:si>
  <x:si>
    <x:t xml:space="preserve">3정5행연계</x:t>
  </x:si>
  <x:si>
    <x:t xml:space="preserve">『정성품질』 유지 및 관리실태 점검 활동 실시이력(현황 및 개선대책 경영진 보고)</x:t>
  </x:si>
  <x:si>
    <x:t xml:space="preserve">정성품질 포상실행 품의서</x:t>
  </x:si>
  <x:si>
    <x:t xml:space="preserve">ex) 제조현장 확인시 수작업 조립어려움, 작업 공수 불명확, 역조립/오조립 가능성, 신규/임시 작업자 표준준수등</x:t>
  </x:si>
  <x:si>
    <x:t xml:space="preserve">『정성품질』 개선 필요항목 확인</x:t>
  </x:si>
  <x:si>
    <x:t xml:space="preserve">『정성품질』 정착화 및 붐업 조성을 위한 포상제도 운영관리</x:t>
  </x:si>
  <x:si>
    <x:t xml:space="preserve">『정성품질』관련 사전 예방활동 및 개선 우수사례에 대한 포상제도 운영기준 수립 및 실적</x:t>
  </x:si>
  <x:si>
    <x:t xml:space="preserve">합     계</x:t>
  </x:si>
  <x:si>
    <x:t xml:space="preserve">15. 원본 진척·배점 스냅샷 / 검증 이슈</x:t>
  </x:si>
  <x:si>
    <x:t xml:space="preserve">원본의 점수·진척률은 2026-09-07 작성된 추진자료의 기록값이지, 2026-10-26 현재 심사 객관적 증빙이 확인된 실적이 아닙니다. 수치 불일치와 중복 코드는 삭제/임의 수정하지 않고 검증사항으로 표시합니다.</x:t>
  </x:si>
  <x:si>
    <x:t xml:space="preserve">분야(상세 원문)</x:t>
  </x:si>
  <x:si>
    <x:t xml:space="preserve">관리도 표기</x:t>
  </x:si>
  <x:si>
    <x:t xml:space="preserve">코드행</x:t>
  </x:si>
  <x:si>
    <x:t xml:space="preserve">배점그룹</x:t>
  </x:si>
  <x:si>
    <x:t xml:space="preserve">배점(계산)</x:t>
  </x:si>
  <x:si>
    <x:t xml:space="preserve">관리도 현재점수</x:t>
  </x:si>
  <x:si>
    <x:t xml:space="preserve">관리도 목표점수</x:t>
  </x:si>
  <x:si>
    <x:t xml:space="preserve">관리도 개선예상점수</x:t>
  </x:si>
  <x:si>
    <x:t xml:space="preserve">품질경영</x:t>
  </x:si>
  <x:si>
    <x:t xml:space="preserve">합계</x:t>
  </x:si>
  <x:si>
    <x:t xml:space="preserve">원본 관리도 값</x:t>
  </x:si>
  <x:si>
    <x:t xml:space="preserve">기재수치</x:t>
  </x:si>
  <x:si>
    <x:t xml:space="preserve">검토결과</x:t>
  </x:si>
  <x:si>
    <x:t xml:space="preserve">주의사항</x:t>
  </x:si>
  <x:si>
    <x:t xml:space="preserve">총 진척관리 건수</x:t>
  </x:si>
  <x:si>
    <x:t xml:space="preserve">집계기준 미명시</x:t>
  </x:si>
  <x:si>
    <x:t xml:space="preserve">평가코드 43개 기재행/세부요구사항 행과 구분</x:t>
  </x:si>
  <x:si>
    <x:t xml:space="preserve">상단 완료건수</x:t>
  </x:si>
  <x:si>
    <x:t xml:space="preserve">기재값 보존</x:t>
  </x:si>
  <x:si>
    <x:t xml:space="preserve">상단 진행중 90건과 합산 시 총건수 초과</x:t>
  </x:si>
  <x:si>
    <x:t xml:space="preserve">상단 진행중</x:t>
  </x:si>
  <x:si>
    <x:t xml:space="preserve">완료 190 + 진행 90 = 280 &gt; 229</x:t>
  </x:si>
  <x:si>
    <x:t xml:space="preserve">분야별 완료건수 합계</x:t>
  </x:si>
  <x:si>
    <x:t xml:space="preserve">상단과 불일치</x:t>
  </x:si>
  <x:si>
    <x:t xml:space="preserve">분야별 완료(25+50+28+10+10+50)</x:t>
  </x:si>
  <x:si>
    <x:t xml:space="preserve">분야별 진행중 합계</x:t>
  </x:si>
  <x:si>
    <x:t xml:space="preserve">분야별 진행(4+6+0+9+5+20)</x:t>
  </x:si>
  <x:si>
    <x:t xml:space="preserve">분야별 미착수 합계</x:t>
  </x:si>
  <x:si>
    <x:t xml:space="preserve">분야별 계산</x:t>
  </x:si>
  <x:si>
    <x:t xml:space="preserve">229 - 173 - 44 = 12</x:t>
  </x:si>
  <x:si>
    <x:t xml:space="preserve">원문 배점 합계</x:t>
  </x:si>
  <x:si>
    <x:t xml:space="preserve">원본과 일치</x:t>
  </x:si>
  <x:si>
    <x:t xml:space="preserve">43개 코드 기재행 중 배점 42개</x:t>
  </x:si>
  <x:si>
    <x:t xml:space="preserve">원문 코드 6-12 중복</x:t>
  </x:si>
  <x:si>
    <x:t xml:space="preserve">재확인 필요</x:t>
  </x:si>
  <x:si>
    <x:t xml:space="preserve">원본 271행은 배점 공란, 277행은 배점 10</x:t>
  </x:si>
  <x:si>
    <x:t xml:space="preserve">자격인증평가·용접기 사진</x:t>
  </x:si>
  <x:si>
    <x:t xml:space="preserve">이미지/사진 시트</x:t>
  </x:si>
  <x:si>
    <x:t xml:space="preserve">원본 보존 필수</x:t>
  </x:si>
  <x:si>
    <x:t xml:space="preserve">엑셀 수치에 나타나지 않는 그림·객체 가능성, 원본 유지</x:t>
  </x:si>
  <x:si>
    <x:t xml:space="preserve">공식 배포·최신 Rev</x:t>
  </x:si>
  <x:si>
    <x:t xml:space="preserve">조건부 적용</x:t>
  </x:si>
  <x:si>
    <x:t xml:space="preserve">파일명에 한온시스템 포함 / 원문 작성일 2026-09-07. 공식 배포 및 이후 개정본은 별도 확인</x:t>
  </x:si>
  <x:si>
    <x:t xml:space="preserve">현재 객관적 증빙 준비율은 별도 산정: 13_원문평가코드의 현장 실증 상태와 14_원문상세행 실제 파일 확인 뒤 판정합니다. 원본의 510점/630점/790점과 이 통합본의 준비율을 합산하지 않습니다.</x:t>
  </x:si>
  <x:si>
    <x:t xml:space="preserve">실제 증빙 점수 검증</x:t>
  </x:si>
  <x:si>
    <x:t xml:space="preserve">배점 상한</x:t>
  </x:si>
  <x:si>
    <x:t xml:space="preserve">진행률(확인된 점수 기준)</x:t>
  </x:si>
  <x:si>
    <x:t xml:space="preserve">16. 기존 22개 점검과 원문 평가코드 연결(실무 연계안)</x:t>
  </x:si>
  <x:si>
    <x:t xml:space="preserve">왼쪽의 22개 점검항목은 기존 사전미팅의 통합 관리구분입니다. 오른쪽 원문 코드는 주제별 연결 제안이며, 실제 적용 및 제외는 한온 SQ 공식 평가기준의 최신성 확인 후 확정해야 합니다.</x:t>
  </x:si>
  <x:si>
    <x:t xml:space="preserve">기존 No</x:t>
  </x:si>
  <x:si>
    <x:t xml:space="preserve">기존 점검 구분</x:t>
  </x:si>
  <x:si>
    <x:t xml:space="preserve">원본 SQ 평가코드 연계안</x:t>
  </x:si>
  <x:si>
    <x:t xml:space="preserve">검토 대상 / 사유</x:t>
  </x:si>
  <x:si>
    <x:t xml:space="preserve">원문 적용 검증</x:t>
  </x:si>
  <x:si>
    <x:t xml:space="preserve">추가 적용코드/제외근거</x:t>
  </x:si>
  <x:si>
    <x:t xml:space="preserve">확인자·일자</x:t>
  </x:si>
  <x:si>
    <x:t xml:space="preserve">(신청관련 별도 확인)</x:t>
  </x:si>
  <x:si>
    <x:t xml:space="preserve">평가표·개정/대상공정과 원문 체계 최신성</x:t>
  </x:si>
  <x:si>
    <x:t xml:space="preserve">1-1, 1-2</x:t>
  </x:si>
  <x:si>
    <x:t xml:space="preserve">표준류와 공정 일치, 재가동 관리</x:t>
  </x:si>
  <x:si>
    <x:t xml:space="preserve">1-1, 6-2</x:t>
  </x:si>
  <x:si>
    <x:t xml:space="preserve">PFMEA 주요품질문서 연계, 변경관리</x:t>
  </x:si>
  <x:si>
    <x:t xml:space="preserve">1-1, 2-7, 2-8</x:t>
  </x:si>
  <x:si>
    <x:t xml:space="preserve">관리계획서/자주·최종검사 연계</x:t>
  </x:si>
  <x:si>
    <x:t xml:space="preserve">1-1, 1-3, 1-4</x:t>
  </x:si>
  <x:si>
    <x:t xml:space="preserve">표준 최신본, 현지어, 취약시간대</x:t>
  </x:si>
  <x:si>
    <x:t xml:space="preserve">2-3, 2-7, 2-8, 2-9</x:t>
  </x:si>
  <x:si>
    <x:t xml:space="preserve">외관/자주/완제품/용접 파괴검사</x:t>
  </x:si>
  <x:si>
    <x:t xml:space="preserve">2-7, 2-8, 6-7</x:t>
  </x:si>
  <x:si>
    <x:t xml:space="preserve">실제 검사실적 및 검사원 기준</x:t>
  </x:si>
  <x:si>
    <x:t xml:space="preserve">용접/브레이징 조건</x:t>
  </x:si>
  <x:si>
    <x:t xml:space="preserve">1-5, 2-9</x:t>
  </x:si>
  <x:si>
    <x:t xml:space="preserve">조건검증, 용접 품질검사</x:t>
  </x:si>
  <x:si>
    <x:t xml:space="preserve">3-1~3-6, 4-1</x:t>
  </x:si>
  <x:si>
    <x:t xml:space="preserve">설비/JIG 점검·예방보전</x:t>
  </x:si>
  <x:si>
    <x:t xml:space="preserve">2-5, 2-6, 6-9</x:t>
  </x:si>
  <x:si>
    <x:t xml:space="preserve">계측 신뢰성, MSA, 조도</x:t>
  </x:si>
  <x:si>
    <x:t xml:space="preserve">6-7, 6-12(중복)</x:t>
  </x:si>
  <x:si>
    <x:t xml:space="preserve">검사/재작업 절차 및 중복코드 확인</x:t>
  </x:si>
  <x:si>
    <x:t xml:space="preserve">1-3, 6-5, 6-6, 6-12(교육)</x:t>
  </x:si>
  <x:si>
    <x:t xml:space="preserve">작업자 자격·정기교육 및 원문 중복</x:t>
  </x:si>
  <x:si>
    <x:t xml:space="preserve">도면/4M 변경</x:t>
  </x:si>
  <x:si>
    <x:t xml:space="preserve">6-8, 6-11</x:t>
  </x:si>
  <x:si>
    <x:t xml:space="preserve">품질실적·수평전개</x:t>
  </x:si>
  <x:si>
    <x:t xml:space="preserve">1-1~6-13</x:t>
  </x:si>
  <x:si>
    <x:t xml:space="preserve">전 평가 분야 자체점검</x:t>
  </x:si>
  <x:si>
    <x:t xml:space="preserve">측정 신뢰성 MSA</x:t>
  </x:si>
  <x:si>
    <x:t xml:space="preserve">Gauge R&amp;R</x:t>
  </x:si>
  <x:si>
    <x:t xml:space="preserve">공정능력/SPC</x:t>
  </x:si>
  <x:si>
    <x:t xml:space="preserve">1-5, 2-7, 6-8</x:t>
  </x:si>
  <x:si>
    <x:t xml:space="preserve">원문에 상세 SPC 적용항목 존재 여부 별도 확인</x:t>
  </x:si>
  <x:si>
    <x:t xml:space="preserve">LOT 추적/재작업</x:t>
  </x:si>
  <x:si>
    <x:t xml:space="preserve">5-1, 5-3, 6-12</x:t>
  </x:si>
  <x:si>
    <x:t xml:space="preserve">재공/출하품 관리·식별·재작업</x:t>
  </x:si>
  <x:si>
    <x:t xml:space="preserve">초품/재가동</x:t>
  </x:si>
  <x:si>
    <x:t xml:space="preserve">1-2, 1-4</x:t>
  </x:si>
  <x:si>
    <x:t xml:space="preserve">설비정지 후 재가동·초종품</x:t>
  </x:si>
  <x:si>
    <x:t xml:space="preserve">2-1, 2-2, 5-2, 5-3</x:t>
  </x:si>
  <x:si>
    <x:t xml:space="preserve">수입검사·외주·보관·식별</x:t>
  </x:si>
  <x:si>
    <x:t xml:space="preserve">중요특성/용접</x:t>
  </x:si>
  <x:si>
    <x:t xml:space="preserve">1-1, 1-5, 2-9</x:t>
  </x:si>
  <x:si>
    <x:t xml:space="preserve">품질특성/용접조건·파괴검사</x:t>
  </x:si>
  <x:si>
    <x:t xml:space="preserve">비상대응/오류방지</x:t>
  </x:si>
  <x:si>
    <x:t xml:space="preserve">1-2, 3-5, 6-1</x:t>
  </x:si>
  <x:si>
    <x:t xml:space="preserve">설비 중단·오류방지·안전</x:t>
  </x:si>
  <x:si>
    <x:t xml:space="preserve">17. 사용자 직접 확정·부서 제출 지시서</x:t>
  </x:si>
  <x:si>
    <x:t xml:space="preserve">직접 처리·요청할 것</x:t>
  </x:si>
  <x:si>
    <x:t xml:space="preserve">기존 확인된 내용</x:t>
  </x:si>
  <x:si>
    <x:t xml:space="preserve">반드시 받아야 할 실제 값·파일</x:t>
  </x:si>
  <x:si>
    <x:t xml:space="preserve">담당/요청대상</x:t>
  </x:si>
  <x:si>
    <x:t xml:space="preserve">요청 기한(권고)</x:t>
  </x:si>
  <x:si>
    <x:t xml:space="preserve">준비상태</x:t>
  </x:si>
  <x:si>
    <x:t xml:space="preserve">실제값/경로(입력)</x:t>
  </x:si>
  <x:si>
    <x:t xml:space="preserve">확인/비고(입력)</x:t>
  </x:si>
  <x:si>
    <x:t xml:space="preserve">사용자 확정</x:t>
  </x:si>
  <x:si>
    <x:t xml:space="preserve">RG3 HEV 대상 품번 2종 범위 확정</x:t>
  </x:si>
  <x:si>
    <x:t xml:space="preserve">FA1A8HRAAC/AD (사용자 제공)</x:t>
  </x:si>
  <x:si>
    <x:t xml:space="preserve">2개 품번으로 관리. FA1A8HRAAD 전개표기는 도면/ERP로 철자 확인, 품명·Rev는 6번에서 확보</x:t>
  </x:si>
  <x:si>
    <x:t xml:space="preserve">차종 RG3 HEV / 품번 FA1A8HRAAC/AD</x:t>
  </x:si>
  <x:si>
    <x:t xml:space="preserve">사용자/생산</x:t>
  </x:si>
  <x:si>
    <x:t xml:space="preserve">영업/한온 확인</x:t>
  </x:si>
  <x:si>
    <x:t xml:space="preserve">이번에 업로드한 평가자료의 공식배포/최신 개정 여부</x:t>
  </x:si>
  <x:si>
    <x:t xml:space="preserve">작성일 2026-09-07, 파일명 260921, 42개 유효배점그룹·1000점</x:t>
  </x:si>
  <x:si>
    <x:t xml:space="preserve">한온 배포 메일/공지, 공식 평가표 Rev/발행일, 최신본 존재 여부</x:t>
  </x:si>
  <x:si>
    <x:t xml:space="preserve">신성호 부장/한온 담당</x:t>
  </x:si>
  <x:si>
    <x:t xml:space="preserve">기준자료 확보·최신성 미확인</x:t>
  </x:si>
  <x:si>
    <x:t xml:space="preserve">품질확인</x:t>
  </x:si>
  <x:si>
    <x:t xml:space="preserve">229건 진척관리 산정 정의·원본 완료/진행 숫자 재대사</x:t>
  </x:si>
  <x:si>
    <x:t xml:space="preserve">상단 190+90&gt;229, 분야별 완료 합계 173</x:t>
  </x:si>
  <x:si>
    <x:t xml:space="preserve">229건의 실목록/집계기준, 최신 완료/진행/미착수 실제값</x:t>
  </x:si>
  <x:si>
    <x:t xml:space="preserve">이광재 부장/품질</x:t>
  </x:si>
  <x:si>
    <x:t xml:space="preserve">불일치 확인</x:t>
  </x:si>
  <x:si>
    <x:t xml:space="preserve">원문 평가코드 6-12 중복 처리</x:t>
  </x:si>
  <x:si>
    <x:t xml:space="preserve">원본 271행 무배점, 277행 10점</x:t>
  </x:si>
  <x:si>
    <x:t xml:space="preserve">최신 한온 평가표 또는 개정/정오표로 코드 확정</x:t>
  </x:si>
  <x:si>
    <x:t xml:space="preserve">이광재 부장/영업</x:t>
  </x:si>
  <x:si>
    <x:t xml:space="preserve">중복 확인</x:t>
  </x:si>
  <x:si>
    <x:t xml:space="preserve">부서 제출</x:t>
  </x:si>
  <x:si>
    <x:t xml:space="preserve">두 품번별 최신 도면·Flow·PFMEA·Control Plan 확보</x:t>
  </x:si>
  <x:si>
    <x:t xml:space="preserve">용접방식별 표준조건표/검증 기록</x:t>
  </x:si>
  <x:si>
    <x:t xml:space="preserve">브레이징 실제 적용 여부 및 승인조건</x:t>
  </x:si>
  <x:si>
    <x:t xml:space="preserve">작업표준·검사기준·현장 게시본</x:t>
  </x:si>
  <x:si>
    <x:t xml:space="preserve">QMS Rev.03 작성 체계 존재</x:t>
  </x:si>
  <x:si>
    <x:t xml:space="preserve">최신 승인본, 배포·구본회수, 현장 사진</x:t>
  </x:si>
  <x:si>
    <x:t xml:space="preserve">생산 지성규/품질</x:t>
  </x:si>
  <x:si>
    <x:t xml:space="preserve">용접 파괴검사 기준·실적</x:t>
  </x:si>
  <x:si>
    <x:t xml:space="preserve">계측기/게이지 R&amp;R·조도 등 검사시험</x:t>
  </x:si>
  <x:si>
    <x:t xml:space="preserve">원문 2-5,2-6,6-9</x:t>
  </x:si>
  <x:si>
    <x:t xml:space="preserve">장비별 교정성적서, 실제 MSA, 검사/조도 조건</x:t>
  </x:si>
  <x:si>
    <x:t xml:space="preserve">설비·지그·금형 일상/정기 점검 실적</x:t>
  </x:si>
  <x:si>
    <x:t xml:space="preserve">원문 3-1~3-6, 4-1~4-5</x:t>
  </x:si>
  <x:si>
    <x:t xml:space="preserve">최근 실제 점검표·PM 계획대실적·고장 및 수리 기록</x:t>
  </x:si>
  <x:si>
    <x:t xml:space="preserve">생산기술/생산</x:t>
  </x:si>
  <x:si>
    <x:t xml:space="preserve">자재·재공·완제품 식별/보관·LOT</x:t>
  </x:si>
  <x:si>
    <x:t xml:space="preserve">실증 수행</x:t>
  </x:si>
  <x:si>
    <x:t xml:space="preserve">실제 생산 LOT 정/역 모의추적</x:t>
  </x:si>
  <x:si>
    <x:t xml:space="preserve">기존 25분 데이터는 예시행</x:t>
  </x:si>
  <x:si>
    <x:t xml:space="preserve">실제 LOT 1건, 원소재→검사→출하, 수량대사, 60분 기준 결과</x:t>
  </x:si>
  <x:si>
    <x:t xml:space="preserve">품질 자격인증·교육·취약시간대 관리</x:t>
  </x:si>
  <x:si>
    <x:t xml:space="preserve">원문 1-3,1-4,6-5,6-6,6-12</x:t>
  </x:si>
  <x:si>
    <x:t xml:space="preserve">실제 작업자/검사원 자격·교육, 교대/외국어 표준 대응</x:t>
  </x:si>
  <x:si>
    <x:t xml:space="preserve">경영관리/생산/품질</x:t>
  </x:si>
  <x:si>
    <x:t xml:space="preserve">부적합/재작업/4M 변경 실제 사례</x:t>
  </x:si>
  <x:si>
    <x:t xml:space="preserve">원문 6-2,6-7,6-12</x:t>
  </x:si>
  <x:si>
    <x:t xml:space="preserve">최근 사례별 부적합 봉쇄→판정→재검사, 변경 승인→검증</x:t>
  </x:si>
  <x:si>
    <x:t xml:space="preserve">품질/개발/생산</x:t>
  </x:si>
  <x:si>
    <x:t xml:space="preserve">사용자 확인</x:t>
  </x:si>
  <x:si>
    <x:t xml:space="preserve">자동화 전후 성과 수치 실제/예시 구분</x:t>
  </x:si>
  <x:si>
    <x:t xml:space="preserve">사전미팅 수치 존재하나 원자료 미검증</x:t>
  </x:si>
  <x:si>
    <x:t xml:space="preserve">동일 품번·기간 생산실적/불량/재작업/비가동 원자료</x:t>
  </x:si>
  <x:si>
    <x:t xml:space="preserve">사용자/생산관리</x:t>
  </x:si>
  <x:si>
    <x:t xml:space="preserve">QMS Rev.03 승인·배포·구본 회수</x:t>
  </x:si>
  <x:si>
    <x:t xml:space="preserve">문서관리대장에 배포 확인 대기 표시</x:t>
  </x:si>
  <x:si>
    <x:t xml:space="preserve">작성·검토·승인 증빙, 실제 배포일/수령자/구본회수</x:t>
  </x:si>
  <x:si>
    <x:t xml:space="preserve">품질/문서관리</x:t>
  </x:si>
  <x:si>
    <x:t xml:space="preserve">원본 42개 유효 배점그룹별 증빙·현장 확인</x:t>
  </x:si>
  <x:si>
    <x:t xml:space="preserve">원문 코드 43행 중 배점 있는 42행</x:t>
  </x:si>
  <x:si>
    <x:t xml:space="preserve">13·14시트 증빙경로/현장결과/확인자</x:t>
  </x:si>
  <x:si>
    <x:t xml:space="preserve">전 부서/품질 총괄</x:t>
  </x:si>
  <x:si>
    <x:t xml:space="preserve">모의심사 전</x:t>
  </x:si>
  <x:si>
    <x:t xml:space="preserve">최종 20문항 현장 인터뷰·기준/실적 대조</x:t>
  </x:si>
  <x:si>
    <x:t xml:space="preserve">모의심사 체크시트 작성됨</x:t>
  </x:si>
  <x:si>
    <x:t xml:space="preserve">실제 점검·조치·재확인·승인 결과</x:t>
  </x:si>
  <x:si>
    <x:t xml:space="preserve">품질 주관/전 부서</x:t>
  </x:si>
  <x:si>
    <x:t xml:space="preserve">신청 전</x:t>
  </x:si>
  <x:si>
    <x:t xml:space="preserve">18. 입력·삭제·버전관리 안내</x:t>
  </x:si>
  <x:si>
    <x:t xml:space="preserve">기존 FINAL MASTER의 공통 22항목은 계속 이용하고, 이번에 추가한 13~17시트의 원문 평가코드·세부행·진척 이슈를 SQ 평가 전용 기준으로 사용합니다.</x:t>
  </x:si>
  <x:si>
    <x:t xml:space="preserve">대상 파일·항목</x:t>
  </x:si>
  <x:si>
    <x:t xml:space="preserve">처리</x:t>
  </x:si>
  <x:si>
    <x:t xml:space="preserve">판단 근거/조치</x:t>
  </x:si>
  <x:si>
    <x:t xml:space="preserve">① 기준자료</x:t>
  </x:si>
  <x:si>
    <x:t xml:space="preserve">원본 별도 보존</x:t>
  </x:si>
  <x:si>
    <x:t xml:space="preserve">원본 사진·서식·수식 보존이 필요. 재작성 통합본이 원본을 대체하지 않음</x:t>
  </x:si>
  <x:si>
    <x:t xml:space="preserve">② 구버전</x:t>
  </x:si>
  <x:si>
    <x:t xml:space="preserve">SHINHWA_한온SQ_심사준비_FINAL_MASTER_20261026.xlsx</x:t>
  </x:si>
  <x:si>
    <x:t xml:space="preserve">이전 실행본으로 보관</x:t>
  </x:si>
  <x:si>
    <x:t xml:space="preserve">이번 최종본 검증·회사 승인 후 작업용 사본은 정리 가능</x:t>
  </x:si>
  <x:si>
    <x:t xml:space="preserve">③ 새 통합본</x:t>
  </x:si>
  <x:si>
    <x:t xml:space="preserve">최신 운영본 후보</x:t>
  </x:si>
  <x:si>
    <x:t xml:space="preserve">고객 최신성/승인/현장 확인 전 심사 적합 완료로 표기 금지</x:t>
  </x:si>
  <x:si>
    <x:t xml:space="preserve">④ 입력순서</x:t>
  </x:si>
  <x:si>
    <x:t xml:space="preserve">19(범위) → 17(미확인자료) → 20(2품번 증빙) → 13·14(평가코드) → 07~12(모의/종결)</x:t>
  </x:si>
  <x:si>
    <x:t xml:space="preserve">RG3 HEV / FA1A8HRAAC·AD / 6동 FT-ASY-A/C JUMPER를 기본범위로 하고 품번별 증빙 확인</x:t>
  </x:si>
  <x:si>
    <x:t xml:space="preserve">⑤ 평가번호</x:t>
  </x:si>
  <x:si>
    <x:t xml:space="preserve">원문 43개 코드기재행/42개 배점그룹</x:t>
  </x:si>
  <x:si>
    <x:t xml:space="preserve">그대로 유지</x:t>
  </x:si>
  <x:si>
    <x:t xml:space="preserve">6-12 중복은 원본 검증 전 임의 통합/삭제하지 않음</x:t>
  </x:si>
  <x:si>
    <x:t xml:space="preserve">⑥ 진척총건수</x:t>
  </x:si>
  <x:si>
    <x:t xml:space="preserve">229건(원본 관리도)</x:t>
  </x:si>
  <x:si>
    <x:t xml:space="preserve">별도 지표</x:t>
  </x:si>
  <x:si>
    <x:t xml:space="preserve">진척집계 229와 배점그룹 42/원문상세행 수는 다른 단위</x:t>
  </x:si>
  <x:si>
    <x:t xml:space="preserve">⑦ 배점</x:t>
  </x:si>
  <x:si>
    <x:t xml:space="preserve">원본 6개 분야 합계 1,000점</x:t>
  </x:si>
  <x:si>
    <x:t xml:space="preserve">확정 원본 기재</x:t>
  </x:si>
  <x:si>
    <x:t xml:space="preserve">실적을 뜻하지 않음. 확인 증빙 없는 점수는 빈칸으로 유지</x:t>
  </x:si>
  <x:si>
    <x:t xml:space="preserve">⑧ 실제 근거</x:t>
  </x:si>
  <x:si>
    <x:t xml:space="preserve">공정 승인 조건/LOT/검사/설비/MSA/SPC</x:t>
  </x:si>
  <x:si>
    <x:t xml:space="preserve">현장 제출 필수</x:t>
  </x:si>
  <x:si>
    <x:t xml:space="preserve">예시·샘플 자료를 실제 기록으로 전환/대체했다고 표시하지 않음</x:t>
  </x:si>
  <x:si>
    <x:t xml:space="preserve">⑨ 문서통제</x:t>
  </x:si>
  <x:si>
    <x:t xml:space="preserve">SH-QM/QP/WI/FM Rev.03</x:t>
  </x:si>
  <x:si>
    <x:t xml:space="preserve">승인 확인 후 배포</x:t>
  </x:si>
  <x:si>
    <x:t xml:space="preserve">승인 서명/일자, 관리본 배포/회수 일치 대조</x:t>
  </x:si>
  <x:si>
    <x:t xml:space="preserve">고객사</x:t>
  </x:si>
  <x:si>
    <x:t xml:space="preserve">차종</x:t>
  </x:si>
  <x:si>
    <x:t xml:space="preserve">사용자 원문 품번</x:t>
  </x:si>
  <x:si>
    <x:t xml:space="preserve">관리용 품번</x:t>
  </x:si>
  <x:si>
    <x:t xml:space="preserve">원문 범위 확인</x:t>
  </x:si>
  <x:si>
    <x:t xml:space="preserve">도면/ERP 철자</x:t>
  </x:si>
  <x:si>
    <x:t xml:space="preserve">품명/도면 Rev</x:t>
  </x:si>
  <x:si>
    <x:t xml:space="preserve">실제 용접방식</x:t>
  </x:si>
  <x:si>
    <x:t xml:space="preserve">한온시스템</x:t>
  </x:si>
  <x:si>
    <x:t xml:space="preserve">RG3 HEV</x:t>
  </x:si>
  <x:si>
    <x:t xml:space="preserve">FA1A8HRAAC/AD</x:t>
  </x:si>
  <x:si>
    <x:t xml:space="preserve">FA1A8HRAAC</x:t>
  </x:si>
  <x:si>
    <x:t xml:space="preserve">확인</x:t>
  </x:si>
  <x:si>
    <x:t xml:space="preserve">확인 필요</x:t>
  </x:si>
  <x:si>
    <x:t xml:space="preserve">FA1A8HRAAD</x:t>
  </x:si>
  <x:si>
    <x:t xml:space="preserve">AD 전개 확인 필요</x:t>
  </x:si>
  <x:si>
    <x:t xml:space="preserve">추가 확정값</x:t>
  </x:si>
  <x:si>
    <x:t xml:space="preserve">확인 방법</x:t>
  </x:si>
  <x:si>
    <x:t xml:space="preserve">차종/적용 프로젝트</x:t>
  </x:si>
  <x:si>
    <x:t xml:space="preserve">사용자 제공</x:t>
  </x:si>
  <x:si>
    <x:t xml:space="preserve">설비대장/현장 확인</x:t>
  </x:si>
  <x:si>
    <x:t xml:space="preserve">RG3 HEV 대상 2품번별 실제 증빙대조 — 공용문서도 품번별 적용근거 필수</x:t>
  </x:si>
  <x:si>
    <x:t xml:space="preserve">현재 '미확인'은 문서가 없다는 의미가 아닙니다. 2품번 각각의 도면/기록/특성 적용을 확인한 뒤 '검증완료' 또는 근거가 있는 '해당없음'을 선택하십시오. 공용문서를 사용할 경우 공용 적용범위를 기록해야 합니다.</x:t>
  </x:si>
  <x:si>
    <x:t xml:space="preserve">대상 품번</x:t>
  </x:si>
  <x:si>
    <x:t xml:space="preserve">공정/라인</x:t>
  </x:si>
  <x:si>
    <x:t xml:space="preserve">증빙 분야</x:t>
  </x:si>
  <x:si>
    <x:t xml:space="preserve">필요한 실제 문서</x:t>
  </x:si>
  <x:si>
    <x:t xml:space="preserve">문서/Rev/경로 입력</x:t>
  </x:si>
  <x:si>
    <x:t xml:space="preserve">품번별 적용검증</x:t>
  </x:si>
  <x:si>
    <x:t xml:space="preserve">미흡/확인내용</x:t>
  </x:si>
  <x:si>
    <x:t xml:space="preserve">도면·고객특성</x:t>
  </x:si>
  <x:si>
    <x:t xml:space="preserve">점프 튜브 및 용접 공정 Flow·전후 공정</x:t>
  </x:si>
  <x:si>
    <x:t xml:space="preserve">[파일/문서번호·Rev]</x:t>
  </x:si>
  <x:si>
    <x:t xml:space="preserve">실제 자료 및 공용문서 적용근거 확인 필요</x:t>
  </x:si>
  <x:si>
    <x:t xml:space="preserve">실제 품번 공정 위험·예방/검출·변경반영</x:t>
  </x:si>
  <x:si>
    <x:t xml:space="preserve">중요특성·검사항목·빈도·반응계획</x:t>
  </x:si>
  <x:si>
    <x:t xml:space="preserve">WI·작업조건</x:t>
  </x:si>
  <x:si>
    <x:t xml:space="preserve">현장 게시 WI·해당 용접방식 승인조건</x:t>
  </x:si>
  <x:si>
    <x:t xml:space="preserve">실제 해당 품번 검사규격/판정·시험법</x:t>
  </x:si>
  <x:si>
    <x:t xml:space="preserve">초품·공정·최종검사</x:t>
  </x:si>
  <x:si>
    <x:t xml:space="preserve">실제 품번/LOT/측정값/판정·검사원</x:t>
  </x:si>
  <x:si>
    <x:t xml:space="preserve">계측기·MSA</x:t>
  </x:si>
  <x:si>
    <x:t xml:space="preserve">해당 제품 특성의 측정기 및 MSA 결과</x:t>
  </x:si>
  <x:si>
    <x:t xml:space="preserve">SPC·공정능력</x:t>
  </x:si>
  <x:si>
    <x:t xml:space="preserve">실측값/관리도/Cpk 적용 여부</x:t>
  </x:si>
  <x:si>
    <x:t xml:space="preserve">LOT 정·역추적</x:t>
  </x:si>
  <x:si>
    <x:t xml:space="preserve">실제 원자재→가공·용접→검사→출하 원본</x:t>
  </x:si>
  <x:si>
    <x:t xml:space="preserve">설비·JIG·보전</x:t>
  </x:si>
  <x:si>
    <x:t xml:space="preserve">6동 관련 설비번호/JIG·PM·고장 기록</x:t>
  </x:si>
  <x:si>
    <x:t xml:space="preserve">4M·부적합·교육</x:t>
  </x:si>
  <x:si>
    <x:t xml:space="preserve">관련 변경·부적합·작업자 적격 기록</x:t>
  </x:si>
  <x:si>
    <x:t xml:space="preserve">품질/생산/개발</x:t>
  </x:si>
  <x:si>
    <x:t xml:space="preserve">검증 진행 현황</x:t>
  </x:si>
  <x:si>
    <x:t xml:space="preserve">검증완료</x:t>
  </x:si>
  <x:si>
    <x:t xml:space="preserve">총 24 항목</x:t>
  </x:si>
</x:sst>
</file>

<file path=xl/styles.xml><?xml version="1.0" encoding="utf-8"?>
<x:styleSheet xmlns:x="http://schemas.openxmlformats.org/spreadsheetml/2006/main">
  <x:numFmts count="2">
    <x:numFmt numFmtId="176" formatCode="0.0%"/>
    <x:numFmt numFmtId="200" formatCode="0"/>
  </x:numFmts>
  <x:fonts count="20">
    <x:font>
      <x:sz val="11"/>
      <x:name val="Carlito"/>
    </x:font>
    <x:font>
      <x:b/>
      <x:sz val="16"/>
      <x:color rgb="FFFFFFFF"/>
      <x:name val="Carlito"/>
    </x:font>
    <x:font>
      <x:sz val="10"/>
      <x:name val="Carlito"/>
    </x:font>
    <x:font>
      <x:b/>
      <x:sz val="10"/>
      <x:name val="Carlito"/>
    </x:font>
    <x:font>
      <x:b/>
      <x:sz val="18"/>
      <x:name val="Carlito"/>
    </x:font>
    <x:font>
      <x:b/>
      <x:sz val="11"/>
      <x:color rgb="FFFFFFFF"/>
      <x:name val="Carlito"/>
    </x:font>
    <x:font>
      <x:b/>
      <x:sz val="11"/>
      <x:color rgb="FF000000"/>
      <x:name val="Carlito"/>
    </x:font>
    <x:font>
      <x:b/>
      <x:sz val="11"/>
      <x:name val="Carlito"/>
    </x:font>
    <x:font>
      <x:b/>
      <x:sz val="10"/>
      <x:color rgb="FFFFFFFF"/>
      <x:name val="Carlito"/>
    </x:font>
    <x:font>
      <x:b/>
      <x:sz val="18"/>
      <x:color rgb="FFFFFFFF"/>
      <x:name val="Carlito"/>
    </x:font>
    <x:font>
      <x:b/>
      <x:sz val="12"/>
      <x:name val="Carlito"/>
    </x:font>
    <x:font>
      <x:b/>
      <x:sz val="20"/>
      <x:name val="Carlito"/>
    </x:font>
    <x:font>
      <x:b/>
      <x:sz val="20"/>
      <x:color rgb="FF9C0006"/>
      <x:name val="Carlito"/>
    </x:font>
    <x:font>
      <x:sz val="11"/>
      <x:name val="Carlito"/>
    </x:font>
    <x:font>
      <x:sz val="8"/>
      <x:name val="돋움"/>
    </x:font>
    <x:font>
      <x:b/>
      <x:sz val="13"/>
      <x:name val="Carlito"/>
    </x:font>
    <x:font>
      <x:b/>
      <x:sz val="18"/>
      <x:color rgb="FF9C0006"/>
      <x:name val="Carlito"/>
    </x:font>
    <x:font>
      <x:b/>
      <x:sz val="17"/>
      <x:color rgb="FFFFFFFF"/>
      <x:name val="Carlito"/>
    </x:font>
    <x:font>
      <x:b/>
      <x:sz val="15"/>
      <x:name val="Carlito"/>
    </x:font>
    <x:font>
      <x:b/>
      <x:sz val="12"/>
      <x:color rgb="FFFFFFFF"/>
      <x:name val="Carlito"/>
    </x:font>
  </x:fonts>
  <x:fills count="59">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D9EAF7"/>
      </x:patternFill>
    </x:fill>
    <x:fill>
      <x:patternFill patternType="solid">
        <x:fgColor rgb="FFFFFFFF"/>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E2F0D9"/>
      </x:patternFill>
    </x:fill>
    <x:fill>
      <x:patternFill patternType="solid">
        <x:fgColor rgb="FFFCE4D6"/>
      </x:patternFill>
    </x:fill>
    <x:fill>
      <x:patternFill patternType="solid">
        <x:fgColor rgb="FFFFF2CC"/>
      </x:patternFill>
    </x:fill>
    <x:fill>
      <x:patternFill patternType="solid">
        <x:fgColor rgb="FF1F4E78"/>
      </x:patternFill>
    </x:fill>
    <x:fill>
      <x:patternFill patternType="solid">
        <x:fgColor rgb="FFFFF2CC"/>
      </x:patternFill>
    </x:fill>
    <x:fill>
      <x:patternFill patternType="solid">
        <x:fgColor rgb="FFD9EAF7"/>
      </x:patternFill>
    </x:fill>
    <x:fill>
      <x:patternFill patternType="solid">
        <x:fgColor rgb="FFC00000"/>
      </x:patternFill>
    </x:fill>
    <x:fill>
      <x:patternFill patternType="solid">
        <x:fgColor rgb="FFE7E6E6"/>
      </x:patternFill>
    </x:fill>
    <x:fill>
      <x:patternFill patternType="solid">
        <x:fgColor rgb="FFE2F0D9"/>
      </x:patternFill>
    </x:fill>
    <x:fill>
      <x:patternFill patternType="solid">
        <x:fgColor rgb="FFFCE4D6"/>
      </x:patternFill>
    </x:fill>
    <x:fill>
      <x:patternFill patternType="solid">
        <x:fgColor rgb="FFFFC7CE"/>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1F4E78"/>
      </x:patternFill>
    </x:fill>
    <x:fill>
      <x:patternFill patternType="solid">
        <x:fgColor rgb="FFFFF2CC"/>
      </x:patternFill>
    </x:fill>
    <x:fill>
      <x:patternFill patternType="solid">
        <x:fgColor rgb="FFE2F0D9"/>
      </x:patternFill>
    </x:fill>
    <x:fill>
      <x:patternFill patternType="solid">
        <x:fgColor rgb="FFFFF2CC"/>
      </x:patternFill>
    </x:fill>
    <x:fill>
      <x:patternFill patternType="solid">
        <x:fgColor rgb="FF1F4E78"/>
      </x:patternFill>
    </x:fill>
    <x:fill>
      <x:patternFill patternType="solid">
        <x:fgColor rgb="FFD9EAF7"/>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F2F6FC"/>
      </x:patternFill>
    </x:fill>
    <x:fill>
      <x:patternFill patternType="solid">
        <x:fgColor rgb="FFFCE4D6"/>
      </x:patternFill>
    </x:fill>
    <x:fill>
      <x:patternFill patternType="solid">
        <x:fgColor rgb="FFD9EAF7"/>
      </x:patternFill>
    </x:fill>
    <x:fill>
      <x:patternFill patternType="solid">
        <x:fgColor rgb="FFE2F0D9"/>
      </x:patternFill>
    </x:fill>
    <x:fill>
      <x:patternFill patternType="solid">
        <x:fgColor rgb="FFFFF2CC"/>
      </x:patternFill>
    </x:fill>
    <x:fill>
      <x:patternFill patternType="solid">
        <x:fgColor rgb="FFEDF2F7"/>
      </x:patternFill>
    </x:fill>
    <x:fill>
      <x:patternFill patternType="solid">
        <x:fgColor rgb="FF1F4E78"/>
      </x:patternFill>
    </x:fill>
    <x:fill>
      <x:patternFill patternType="solid">
        <x:fgColor rgb="FFD9EAF7"/>
      </x:patternFill>
    </x:fill>
    <x:fill>
      <x:patternFill patternType="solid">
        <x:fgColor rgb="FFFFFFFF"/>
      </x:patternFill>
    </x:fill>
    <x:fill>
      <x:patternFill patternType="solid">
        <x:fgColor rgb="FF17365D"/>
      </x:patternFill>
    </x:fill>
    <x:fill>
      <x:patternFill patternType="solid">
        <x:fgColor rgb="FFD9EAF7"/>
      </x:patternFill>
    </x:fill>
    <x:fill>
      <x:patternFill patternType="solid">
        <x:fgColor rgb="FF275D84"/>
      </x:patternFill>
    </x:fill>
    <x:fill>
      <x:patternFill patternType="solid">
        <x:fgColor rgb="FFFFF2CC"/>
      </x:patternFill>
    </x:fill>
    <x:fill>
      <x:patternFill patternType="solid">
        <x:fgColor rgb="FFEEF3F8"/>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FFF2CC"/>
      </x:patternFill>
    </x:fill>
    <x:fill>
      <x:patternFill patternType="solid">
        <x:fgColor rgb="FFEEF3F8"/>
      </x:patternFill>
    </x:fill>
    <x:fill>
      <x:patternFill patternType="solid">
        <x:fgColor rgb="FF17365D"/>
      </x:patternFill>
    </x:fill>
    <x:fill>
      <x:patternFill patternType="solid">
        <x:fgColor rgb="FFD9EAF7"/>
      </x:patternFill>
    </x:fill>
    <x:fill>
      <x:patternFill patternType="solid">
        <x:fgColor rgb="FFFFF2CC"/>
      </x:patternFill>
    </x:fill>
    <x:fill>
      <x:patternFill patternType="solid">
        <x:fgColor rgb="FFFFF2CC"/>
      </x:patternFill>
    </x:fill>
    <x:fill>
      <x:patternFill patternType="solid">
        <x:fgColor rgb="FF17365D"/>
      </x:patternFill>
    </x:fill>
    <x:fill>
      <x:patternFill patternType="solid">
        <x:fgColor rgb="FFD9EAF7"/>
      </x:patternFill>
    </x:fill>
    <x:fill>
      <x:patternFill patternType="solid">
        <x:fgColor rgb="FF1F4E78"/>
      </x:patternFill>
    </x:fill>
    <x:fill>
      <x:patternFill patternType="solid">
        <x:fgColor rgb="FFEDF2F7"/>
      </x:patternFill>
    </x:fill>
  </x:fills>
  <x:borders count="130">
    <x:border/>
    <x:border>
      <x:left style="thin">
        <x:color rgb="FF808080"/>
      </x:left>
      <x:top style="thin">
        <x:color rgb="FF808080"/>
      </x:top>
      <x:bottom style="thin">
        <x:color rgb="FF808080"/>
      </x:bottom>
    </x:border>
    <x:border>
      <x:top style="thin">
        <x:color rgb="FF808080"/>
      </x:top>
      <x:bottom style="thin">
        <x:color rgb="FF808080"/>
      </x:bottom>
    </x:border>
    <x:border>
      <x:right style="thin">
        <x:color rgb="FF808080"/>
      </x:right>
      <x:top style="thin">
        <x:color rgb="FF808080"/>
      </x:top>
      <x:bottom style="thin">
        <x:color rgb="FF808080"/>
      </x:bottom>
    </x:border>
    <x:border>
      <x:left style="thin">
        <x:color rgb="FF808080"/>
      </x:left>
      <x:top style="thin">
        <x:color rgb="FF808080"/>
      </x:top>
    </x:border>
    <x:border>
      <x:right style="thin">
        <x:color rgb="FF808080"/>
      </x:right>
      <x:top style="thin">
        <x:color rgb="FF808080"/>
      </x:top>
    </x:border>
    <x:border>
      <x:left style="thin">
        <x:color rgb="FF808080"/>
      </x:left>
      <x:bottom style="thin">
        <x:color rgb="FF808080"/>
      </x:bottom>
    </x:border>
    <x:border>
      <x:right style="thin">
        <x:color rgb="FF808080"/>
      </x:right>
      <x:bottom style="thin">
        <x:color rgb="FF808080"/>
      </x:bottom>
    </x:border>
    <x:border>
      <x:top style="thin">
        <x:color rgb="FF808080"/>
      </x:top>
    </x:border>
    <x:border>
      <x:left style="thin">
        <x:color rgb="FF808080"/>
      </x:left>
    </x:border>
    <x:border>
      <x:right style="thin">
        <x:color rgb="FF808080"/>
      </x:right>
    </x:border>
    <x:border>
      <x:bottom style="thin">
        <x:color rgb="FF808080"/>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top style="thin">
        <x:color rgb="FFA6A6A6"/>
      </x:top>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rder>
    <x:border>
      <x:right style="thin">
        <x:color rgb="FFA6A6A6"/>
      </x:right>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border>
    <x:border>
      <x:right style="thin">
        <x:color rgb="FFCBD5E1"/>
      </x:right>
    </x:border>
    <x:border>
      <x:left style="thin">
        <x:color rgb="FFADB5BD"/>
      </x:left>
      <x:top style="thin">
        <x:color rgb="FFADB5BD"/>
      </x:top>
    </x:border>
    <x:border>
      <x:top style="thin">
        <x:color rgb="FFADB5BD"/>
      </x:top>
    </x:border>
    <x:border>
      <x:right style="thin">
        <x:color rgb="FFADB5BD"/>
      </x:right>
      <x:top style="thin">
        <x:color rgb="FFADB5BD"/>
      </x:top>
    </x:border>
    <x:border>
      <x:left style="thin">
        <x:color rgb="FFADB5BD"/>
      </x:left>
      <x:bottom style="thin">
        <x:color rgb="FFADB5BD"/>
      </x:bottom>
    </x:border>
    <x:border>
      <x:bottom style="thin">
        <x:color rgb="FFADB5BD"/>
      </x:bottom>
    </x:border>
    <x:border>
      <x:right style="thin">
        <x:color rgb="FFADB5BD"/>
      </x:right>
      <x:bottom style="thin">
        <x:color rgb="FFADB5BD"/>
      </x:bottom>
    </x:border>
    <x:border>
      <x:left style="thin">
        <x:color rgb="FFADB5BD"/>
      </x:left>
      <x:top style="thin">
        <x:color rgb="FFADB5BD"/>
      </x:top>
      <x:bottom style="thin">
        <x:color rgb="FFADB5BD"/>
      </x:bottom>
    </x:border>
    <x:border>
      <x:top style="thin">
        <x:color rgb="FFADB5BD"/>
      </x:top>
      <x:bottom style="thin">
        <x:color rgb="FFADB5BD"/>
      </x:bottom>
    </x:border>
    <x:border>
      <x:right style="thin">
        <x:color rgb="FFADB5BD"/>
      </x:right>
      <x:top style="thin">
        <x:color rgb="FFADB5BD"/>
      </x:top>
      <x:bottom style="thin">
        <x:color rgb="FFADB5BD"/>
      </x:bottom>
    </x:border>
    <x:border>
      <x:left style="thin">
        <x:color rgb="FFADB5BD"/>
      </x:left>
    </x:border>
    <x:border>
      <x:right style="thin">
        <x:color rgb="FFADB5BD"/>
      </x:right>
    </x:border>
    <x:border>
      <x:left style="thin">
        <x:color indexed="64"/>
      </x:left>
      <x:right style="thin">
        <x:color indexed="64"/>
      </x:right>
      <x:top style="thin">
        <x:color indexed="64"/>
      </x:top>
      <x:bottom style="thin">
        <x:color indexed="64"/>
      </x:bottom>
    </x:border>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top style="thin">
        <x:color rgb="FFA6A6A6"/>
      </x:top>
      <x:bottom style="thin">
        <x:color rgb="FFA6A6A6"/>
      </x:bottom>
    </x:border>
    <x:border>
      <x:left style="thin">
        <x:color rgb="FFCBD5E1"/>
      </x:left>
      <x:top style="thin">
        <x:color rgb="FFCBD5E1"/>
      </x:top>
      <x:bottom style="thin">
        <x:color rgb="FFCBD5E1"/>
      </x:bottom>
    </x:border>
    <x:border>
      <x:top style="thin">
        <x:color rgb="FFCBD5E1"/>
      </x:top>
      <x:bottom style="thin">
        <x:color rgb="FFCBD5E1"/>
      </x:bottom>
    </x:border>
    <x:border>
      <x:right style="thin">
        <x:color rgb="FFCBD5E1"/>
      </x:right>
      <x:top style="thin">
        <x:color rgb="FFCBD5E1"/>
      </x:top>
      <x:bottom style="thin">
        <x:color rgb="FFCBD5E1"/>
      </x:bottom>
    </x:border>
    <x:border>
      <x:left style="thin">
        <x:color rgb="FFCBD5E1"/>
      </x:left>
      <x:top style="thin">
        <x:color rgb="FFCBD5E1"/>
      </x:top>
    </x:border>
    <x:border>
      <x:top style="thin">
        <x:color rgb="FFCBD5E1"/>
      </x:top>
    </x:border>
    <x:border>
      <x:right style="thin">
        <x:color rgb="FFCBD5E1"/>
      </x:right>
      <x:top style="thin">
        <x:color rgb="FFCBD5E1"/>
      </x:top>
    </x:border>
    <x:border>
      <x:left style="thin">
        <x:color rgb="FFCBD5E1"/>
      </x:left>
    </x:border>
    <x:border>
      <x:right style="thin">
        <x:color rgb="FFCBD5E1"/>
      </x:right>
    </x:border>
    <x:border>
      <x:left style="thin">
        <x:color rgb="FFCBD5E1"/>
      </x:left>
      <x:bottom style="thin">
        <x:color rgb="FFCBD5E1"/>
      </x:bottom>
    </x:border>
    <x:border>
      <x:bottom style="thin">
        <x:color rgb="FFCBD5E1"/>
      </x:bottom>
    </x:border>
    <x:border>
      <x:right style="thin">
        <x:color rgb="FFCBD5E1"/>
      </x:right>
      <x:bottom style="thin">
        <x:color rgb="FFCBD5E1"/>
      </x:bottom>
    </x:border>
    <x:border>
      <x:left style="thin">
        <x:color rgb="FFADB5BD"/>
      </x:left>
      <x:top style="thin">
        <x:color rgb="FFADB5BD"/>
      </x:top>
      <x:bottom style="thin">
        <x:color rgb="FFADB5BD"/>
      </x:bottom>
    </x:border>
    <x:border>
      <x:top style="thin">
        <x:color rgb="FFADB5BD"/>
      </x:top>
      <x:bottom style="thin">
        <x:color rgb="FFADB5BD"/>
      </x:bottom>
    </x:border>
    <x:border>
      <x:right style="thin">
        <x:color rgb="FFADB5BD"/>
      </x:right>
      <x:top style="thin">
        <x:color rgb="FFADB5BD"/>
      </x:top>
      <x:bottom style="thin">
        <x:color rgb="FFADB5BD"/>
      </x:bottom>
    </x:border>
    <x:border>
      <x:left style="thin">
        <x:color rgb="FFADB5BD"/>
      </x:left>
      <x:top style="thin">
        <x:color rgb="FFADB5BD"/>
      </x:top>
    </x:border>
    <x:border>
      <x:top style="thin">
        <x:color rgb="FFADB5BD"/>
      </x:top>
    </x:border>
    <x:border>
      <x:right style="thin">
        <x:color rgb="FFADB5BD"/>
      </x:right>
      <x:top style="thin">
        <x:color rgb="FFADB5BD"/>
      </x:top>
    </x:border>
    <x:border>
      <x:left style="thin">
        <x:color rgb="FFADB5BD"/>
      </x:left>
      <x:bottom style="thin">
        <x:color rgb="FFADB5BD"/>
      </x:bottom>
    </x:border>
    <x:border>
      <x:bottom style="thin">
        <x:color rgb="FFADB5BD"/>
      </x:bottom>
    </x:border>
    <x:border>
      <x:right style="thin">
        <x:color rgb="FFADB5BD"/>
      </x:right>
      <x:bottom style="thin">
        <x:color rgb="FFADB5BD"/>
      </x:bottom>
    </x:border>
    <x:border>
      <x:left style="thin">
        <x:color rgb="FFADB5BD"/>
      </x:left>
    </x:border>
    <x:border>
      <x:right style="thin">
        <x:color rgb="FFADB5BD"/>
      </x:right>
    </x:border>
    <x:border>
      <x:left style="thin">
        <x:color rgb="FF808080"/>
      </x:left>
      <x:top style="thin">
        <x:color rgb="FF808080"/>
      </x:top>
      <x:bottom style="thin">
        <x:color rgb="FF808080"/>
      </x:bottom>
    </x:border>
    <x:border>
      <x:right style="thin">
        <x:color rgb="FF808080"/>
      </x:right>
      <x:top style="thin">
        <x:color rgb="FF808080"/>
      </x:top>
      <x:bottom style="thin">
        <x:color rgb="FF808080"/>
      </x:bottom>
    </x:border>
    <x:border>
      <x:left style="thin">
        <x:color rgb="FF808080"/>
      </x:left>
      <x:top style="thin">
        <x:color rgb="FF808080"/>
      </x:top>
    </x:border>
    <x:border>
      <x:right style="thin">
        <x:color rgb="FF808080"/>
      </x:right>
      <x:top style="thin">
        <x:color rgb="FF808080"/>
      </x:top>
    </x:border>
    <x:border>
      <x:left style="thin">
        <x:color rgb="FF808080"/>
      </x:left>
      <x:bottom style="thin">
        <x:color rgb="FF808080"/>
      </x:bottom>
    </x:border>
    <x:border>
      <x:right style="thin">
        <x:color rgb="FF808080"/>
      </x:right>
      <x:bottom style="thin">
        <x:color rgb="FF808080"/>
      </x:bottom>
    </x:border>
    <x:border>
      <x:top style="thin">
        <x:color rgb="FF808080"/>
      </x:top>
      <x:bottom style="thin">
        <x:color rgb="FF808080"/>
      </x:bottom>
    </x:border>
    <x:border>
      <x:left style="thin">
        <x:color rgb="FFA6A6A6"/>
      </x:left>
      <x:top style="thin">
        <x:color rgb="FFA6A6A6"/>
      </x:top>
    </x:border>
    <x:border>
      <x:right style="thin">
        <x:color rgb="FFA6A6A6"/>
      </x:right>
      <x:top style="thin">
        <x:color rgb="FFA6A6A6"/>
      </x:top>
    </x:border>
    <x:border>
      <x:left style="thin">
        <x:color rgb="FFA6A6A6"/>
      </x:left>
      <x:bottom style="thin">
        <x:color rgb="FFA6A6A6"/>
      </x:bottom>
    </x:border>
    <x:border>
      <x:right style="thin">
        <x:color rgb="FFA6A6A6"/>
      </x:right>
      <x:bottom style="thin">
        <x:color rgb="FFA6A6A6"/>
      </x:bottom>
    </x:border>
    <x:border>
      <x:top style="thin">
        <x:color rgb="FFA6A6A6"/>
      </x:top>
    </x:border>
    <x:border>
      <x:bottom style="thin">
        <x:color rgb="FFA6A6A6"/>
      </x:bottom>
    </x:border>
    <x:border>
      <x:left style="thin">
        <x:color indexed="64"/>
      </x:left>
      <x:right style="thin">
        <x:color indexed="64"/>
      </x:right>
      <x:top style="thin">
        <x:color indexed="64"/>
      </x:top>
      <x:bottom style="thin">
        <x:color indexed="64"/>
      </x:bottom>
    </x:border>
    <x:border>
      <x:top style="thin">
        <x:color rgb="FF808080"/>
      </x:top>
    </x:border>
    <x:border>
      <x:left style="thin">
        <x:color rgb="FF808080"/>
      </x:left>
    </x:border>
    <x:border>
      <x:right style="thin">
        <x:color rgb="FF808080"/>
      </x:right>
    </x:border>
    <x:border>
      <x:bottom style="thin">
        <x:color rgb="FF808080"/>
      </x:bottom>
    </x:border>
    <x:border>
      <x:left style="thin">
        <x:color rgb="FFA6A6A6"/>
      </x:left>
    </x:border>
    <x:border>
      <x:right style="thin">
        <x:color rgb="FFA6A6A6"/>
      </x:right>
    </x:border>
    <x:border>
      <x:left style="thin">
        <x:color rgb="FF808080"/>
      </x:left>
      <x:right style="thin">
        <x:color rgb="FF808080"/>
      </x:right>
      <x:top style="thin">
        <x:color rgb="FF808080"/>
      </x:top>
    </x:border>
    <x:border>
      <x:left style="thin">
        <x:color rgb="FF808080"/>
      </x:left>
      <x:right style="thin">
        <x:color rgb="FF808080"/>
      </x:right>
    </x:border>
    <x:border>
      <x:left style="thin">
        <x:color rgb="FF808080"/>
      </x:left>
      <x:right style="thin">
        <x:color rgb="FF808080"/>
      </x:right>
      <x:bottom style="thin">
        <x:color rgb="FF808080"/>
      </x:bottom>
    </x:border>
    <x:border>
      <x:left style="thin">
        <x:color rgb="FF808080"/>
      </x:left>
      <x:right style="thin">
        <x:color rgb="FF808080"/>
      </x:right>
      <x:top style="thin">
        <x:color rgb="FF808080"/>
      </x:top>
    </x:border>
    <x:border>
      <x:left style="thin">
        <x:color rgb="FF808080"/>
      </x:left>
      <x:right style="thin">
        <x:color rgb="FF808080"/>
      </x:right>
    </x:border>
    <x:border>
      <x:left style="thin">
        <x:color rgb="FF808080"/>
      </x:left>
      <x:right style="thin">
        <x:color rgb="FF808080"/>
      </x:right>
      <x:bottom style="thin">
        <x:color rgb="FF808080"/>
      </x:bottom>
    </x:border>
    <x:border>
      <x:left style="thin">
        <x:color rgb="FF808080"/>
      </x:left>
      <x:top style="thin">
        <x:color rgb="FF808080"/>
      </x:top>
      <x:bottom style="thin">
        <x:color rgb="FFADB5BD"/>
      </x:bottom>
    </x:border>
    <x:border>
      <x:top style="thin">
        <x:color rgb="FF808080"/>
      </x:top>
      <x:bottom style="thin">
        <x:color rgb="FFADB5BD"/>
      </x:bottom>
    </x:border>
    <x:border>
      <x:right style="thin">
        <x:color rgb="FF808080"/>
      </x:right>
      <x:top style="thin">
        <x:color rgb="FF808080"/>
      </x:top>
      <x:bottom style="thin">
        <x:color rgb="FFADB5BD"/>
      </x:bottom>
    </x:border>
    <x:border>
      <x:left style="thin">
        <x:color rgb="FF808080"/>
      </x:left>
      <x:top style="thin">
        <x:color rgb="FF808080"/>
      </x:top>
      <x:bottom style="thin">
        <x:color rgb="FFADB5BD"/>
      </x:bottom>
    </x:border>
    <x:border>
      <x:top style="thin">
        <x:color rgb="FF808080"/>
      </x:top>
      <x:bottom style="thin">
        <x:color rgb="FFADB5BD"/>
      </x:bottom>
    </x:border>
    <x:border>
      <x:right style="thin">
        <x:color rgb="FF808080"/>
      </x:right>
      <x:top style="thin">
        <x:color rgb="FF808080"/>
      </x:top>
      <x:bottom style="thin">
        <x:color rgb="FFADB5BD"/>
      </x:bottom>
    </x:border>
    <x:border>
      <x:left style="thin">
        <x:color rgb="FFADB5BD"/>
      </x:left>
      <x:bottom style="thin">
        <x:color rgb="FF808080"/>
      </x:bottom>
    </x:border>
    <x:border>
      <x:right style="thin">
        <x:color rgb="FFADB5BD"/>
      </x:right>
      <x:bottom style="thin">
        <x:color rgb="FF808080"/>
      </x:bottom>
    </x:border>
    <x:border>
      <x:left style="thin">
        <x:color rgb="FFADB5BD"/>
      </x:left>
      <x:top style="thin">
        <x:color rgb="FF808080"/>
      </x:top>
      <x:bottom style="thin">
        <x:color rgb="FFADB5BD"/>
      </x:bottom>
    </x:border>
    <x:border>
      <x:right style="thin">
        <x:color rgb="FFADB5BD"/>
      </x:right>
      <x:top style="thin">
        <x:color rgb="FF808080"/>
      </x:top>
      <x:bottom style="thin">
        <x:color rgb="FFADB5BD"/>
      </x:bottom>
    </x:border>
    <x:border>
      <x:left style="thin">
        <x:color rgb="FFB7C3D0"/>
      </x:left>
      <x:top style="thin">
        <x:color rgb="FFB7C3D0"/>
      </x:top>
    </x:border>
    <x:border>
      <x:top style="thin">
        <x:color rgb="FFB7C3D0"/>
      </x:top>
    </x:border>
    <x:border>
      <x:right style="thin">
        <x:color rgb="FFB7C3D0"/>
      </x:right>
      <x:top style="thin">
        <x:color rgb="FFB7C3D0"/>
      </x:top>
    </x:border>
    <x:border>
      <x:left style="thin">
        <x:color rgb="FFB7C3D0"/>
      </x:left>
      <x:bottom style="thin">
        <x:color rgb="FFB7C3D0"/>
      </x:bottom>
    </x:border>
    <x:border>
      <x:bottom style="thin">
        <x:color rgb="FFB7C3D0"/>
      </x:bottom>
    </x:border>
    <x:border>
      <x:right style="thin">
        <x:color rgb="FFB7C3D0"/>
      </x:right>
      <x:bottom style="thin">
        <x:color rgb="FFB7C3D0"/>
      </x:bottom>
    </x:border>
    <x:border>
      <x:left style="thin">
        <x:color rgb="FFB7C3D0"/>
      </x:left>
      <x:top style="thin">
        <x:color rgb="FFB7C3D0"/>
      </x:top>
      <x:bottom style="thin">
        <x:color rgb="FFB7C3D0"/>
      </x:bottom>
    </x:border>
    <x:border>
      <x:top style="thin">
        <x:color rgb="FFB7C3D0"/>
      </x:top>
      <x:bottom style="thin">
        <x:color rgb="FFB7C3D0"/>
      </x:bottom>
    </x:border>
    <x:border>
      <x:right style="thin">
        <x:color rgb="FFB7C3D0"/>
      </x:right>
      <x:top style="thin">
        <x:color rgb="FFB7C3D0"/>
      </x:top>
      <x:bottom style="thin">
        <x:color rgb="FFB7C3D0"/>
      </x:bottom>
    </x:border>
    <x:border>
      <x:left style="thin">
        <x:color rgb="FFB7C3D0"/>
      </x:left>
    </x:border>
    <x:border>
      <x:right style="thin">
        <x:color rgb="FFB7C3D0"/>
      </x:right>
    </x:border>
    <x:border>
      <x:left style="thin">
        <x:color rgb="FFAEBCC8"/>
      </x:left>
      <x:top style="thin">
        <x:color rgb="FFAEBCC8"/>
      </x:top>
    </x:border>
    <x:border>
      <x:top style="thin">
        <x:color rgb="FFAEBCC8"/>
      </x:top>
    </x:border>
    <x:border>
      <x:right style="thin">
        <x:color rgb="FFAEBCC8"/>
      </x:right>
      <x:top style="thin">
        <x:color rgb="FFAEBCC8"/>
      </x:top>
    </x:border>
    <x:border>
      <x:left style="thin">
        <x:color rgb="FFAEBCC8"/>
      </x:left>
      <x:bottom style="thin">
        <x:color rgb="FFAEBCC8"/>
      </x:bottom>
    </x:border>
    <x:border>
      <x:bottom style="thin">
        <x:color rgb="FFAEBCC8"/>
      </x:bottom>
    </x:border>
    <x:border>
      <x:right style="thin">
        <x:color rgb="FFAEBCC8"/>
      </x:right>
      <x:bottom style="thin">
        <x:color rgb="FFAEBCC8"/>
      </x:bottom>
    </x:border>
    <x:border>
      <x:left style="thin">
        <x:color rgb="FFAEBCC8"/>
      </x:left>
      <x:top style="thin">
        <x:color rgb="FFAEBCC8"/>
      </x:top>
      <x:bottom style="thin">
        <x:color rgb="FFAEBCC8"/>
      </x:bottom>
    </x:border>
    <x:border>
      <x:top style="thin">
        <x:color rgb="FFAEBCC8"/>
      </x:top>
      <x:bottom style="thin">
        <x:color rgb="FFAEBCC8"/>
      </x:bottom>
    </x:border>
    <x:border>
      <x:right style="thin">
        <x:color rgb="FFAEBCC8"/>
      </x:right>
      <x:top style="thin">
        <x:color rgb="FFAEBCC8"/>
      </x:top>
      <x:bottom style="thin">
        <x:color rgb="FFAEBCC8"/>
      </x:bottom>
    </x:border>
    <x:border>
      <x:left style="thin">
        <x:color rgb="FFAEBCC8"/>
      </x:left>
    </x:border>
    <x:border>
      <x:right style="thin">
        <x:color rgb="FFAEBCC8"/>
      </x:right>
    </x:border>
  </x:borders>
  <x:cellStyleXfs count="2">
    <x:xf numFmtId="0" fontId="0" fillId="0" borderId="0"/>
    <x:xf numFmtId="0" fontId="13" fillId="0" borderId="0"/>
  </x:cellStyleXfs>
  <x:cellXfs count="2175">
    <x:xf numFmtId="0" fontId="0" fillId="0" borderId="0" xfId="0"/>
    <x:xf numFmtId="0" fontId="2" fillId="0" borderId="0" xfId="1" applyFont="1" applyAlignment="1">
      <x:alignment vertical="top" wrapText="1"/>
    </x:xf>
    <x:xf numFmtId="0" fontId="8" fillId="12" borderId="12" xfId="1" applyFont="1" applyFill="1" applyBorder="1" applyAlignment="1">
      <x:alignment horizontal="center" vertical="center" wrapText="1"/>
    </x:xf>
    <x:xf numFmtId="0" fontId="8" fillId="12" borderId="13" xfId="1" applyFont="1" applyFill="1" applyBorder="1" applyAlignment="1">
      <x:alignment horizontal="center" vertical="center" wrapText="1"/>
    </x:xf>
    <x:xf numFmtId="0" fontId="8" fillId="12" borderId="14" xfId="1" applyFont="1" applyFill="1" applyBorder="1" applyAlignment="1">
      <x:alignment horizontal="center" vertical="center" wrapText="1"/>
    </x:xf>
    <x:xf numFmtId="0" fontId="8" fillId="20" borderId="29" xfId="1" applyFont="1" applyFill="1" applyBorder="1" applyAlignment="1">
      <x:alignment horizontal="center" vertical="center" wrapText="1"/>
    </x:xf>
    <x:xf numFmtId="0" fontId="8" fillId="20" borderId="30" xfId="1" applyFont="1" applyFill="1" applyBorder="1" applyAlignment="1">
      <x:alignment horizontal="center" vertical="center" wrapText="1"/>
    </x:xf>
    <x:xf numFmtId="0" fontId="8" fillId="20" borderId="31" xfId="1" applyFont="1" applyFill="1" applyBorder="1" applyAlignment="1">
      <x:alignment horizontal="center" vertical="center" wrapText="1"/>
    </x:xf>
    <x:xf numFmtId="0" fontId="2" fillId="0" borderId="23" xfId="1" applyFont="1" applyBorder="1" applyAlignment="1">
      <x:alignment vertical="top" wrapText="1"/>
    </x:xf>
    <x:xf numFmtId="0" fontId="2" fillId="0" borderId="24" xfId="1" applyFont="1" applyBorder="1" applyAlignment="1">
      <x:alignment vertical="top" wrapText="1"/>
    </x:xf>
    <x:xf numFmtId="0" fontId="2" fillId="0" borderId="25" xfId="1" applyFont="1" applyBorder="1" applyAlignment="1">
      <x:alignment vertical="top" wrapText="1"/>
    </x:xf>
    <x:xf numFmtId="0" fontId="2" fillId="0" borderId="32" xfId="1" applyFont="1" applyBorder="1" applyAlignment="1">
      <x:alignment vertical="top" wrapText="1"/>
    </x:xf>
    <x:xf numFmtId="0" fontId="2" fillId="0" borderId="33" xfId="1" applyFont="1" applyBorder="1" applyAlignment="1">
      <x:alignment vertical="top" wrapText="1"/>
    </x:xf>
    <x:xf numFmtId="0" fontId="2" fillId="0" borderId="26" xfId="1" applyFont="1" applyBorder="1" applyAlignment="1">
      <x:alignment vertical="top" wrapText="1"/>
    </x:xf>
    <x:xf numFmtId="0" fontId="2" fillId="0" borderId="27" xfId="1" applyFont="1" applyBorder="1" applyAlignment="1">
      <x:alignment vertical="top" wrapText="1"/>
    </x:xf>
    <x:xf numFmtId="0" fontId="2" fillId="0" borderId="28" xfId="1" applyFont="1" applyBorder="1" applyAlignment="1">
      <x:alignment vertical="top" wrapText="1"/>
    </x:xf>
    <x:xf numFmtId="0" fontId="2" fillId="22" borderId="24" xfId="1" applyFont="1" applyFill="1" applyBorder="1" applyAlignment="1">
      <x:alignment vertical="top" wrapText="1"/>
    </x:xf>
    <x:xf numFmtId="0" fontId="2" fillId="22" borderId="0" xfId="1" applyFont="1" applyFill="1" applyAlignment="1">
      <x:alignment vertical="top" wrapText="1"/>
    </x:xf>
    <x:xf numFmtId="0" fontId="2" fillId="22" borderId="27" xfId="1" applyFont="1" applyFill="1" applyBorder="1" applyAlignment="1">
      <x:alignment vertical="top" wrapText="1"/>
    </x:xf>
    <x:xf numFmtId="0" fontId="2" fillId="22" borderId="23" xfId="1" applyFont="1" applyFill="1" applyBorder="1" applyAlignment="1">
      <x:alignment vertical="top" wrapText="1"/>
    </x:xf>
    <x:xf numFmtId="0" fontId="2" fillId="22" borderId="25" xfId="1" applyFont="1" applyFill="1" applyBorder="1" applyAlignment="1">
      <x:alignment vertical="top" wrapText="1"/>
    </x:xf>
    <x:xf numFmtId="0" fontId="2" fillId="22" borderId="32" xfId="1" applyFont="1" applyFill="1" applyBorder="1" applyAlignment="1">
      <x:alignment vertical="top" wrapText="1"/>
    </x:xf>
    <x:xf numFmtId="0" fontId="2" fillId="22" borderId="33" xfId="1" applyFont="1" applyFill="1" applyBorder="1" applyAlignment="1">
      <x:alignment vertical="top" wrapText="1"/>
    </x:xf>
    <x:xf numFmtId="0" fontId="2" fillId="22" borderId="26" xfId="1" applyFont="1" applyFill="1" applyBorder="1" applyAlignment="1">
      <x:alignment vertical="top" wrapText="1"/>
    </x:xf>
    <x:xf numFmtId="0" fontId="2" fillId="22" borderId="28" xfId="1" applyFont="1" applyFill="1" applyBorder="1" applyAlignment="1">
      <x:alignment vertical="top" wrapText="1"/>
    </x:xf>
    <x:xf numFmtId="3" fontId="2" fillId="22" borderId="25" xfId="1" applyNumberFormat="1" applyFont="1" applyFill="1" applyBorder="1" applyAlignment="1">
      <x:alignment vertical="top" wrapText="1"/>
    </x:xf>
    <x:xf numFmtId="3" fontId="2" fillId="22" borderId="33" xfId="1" applyNumberFormat="1" applyFont="1" applyFill="1" applyBorder="1" applyAlignment="1">
      <x:alignment vertical="top" wrapText="1"/>
    </x:xf>
    <x:xf numFmtId="3" fontId="2" fillId="22" borderId="28" xfId="1" applyNumberFormat="1" applyFont="1" applyFill="1" applyBorder="1" applyAlignment="1">
      <x:alignment vertical="top" wrapText="1"/>
    </x:xf>
    <x:xf numFmtId="0" fontId="2" fillId="0" borderId="23" xfId="1" applyFont="1" applyBorder="1" applyAlignment="1">
      <x:alignment vertical="center" wrapText="1"/>
    </x:xf>
    <x:xf numFmtId="0" fontId="2" fillId="0" borderId="24" xfId="1" applyFont="1" applyBorder="1" applyAlignment="1">
      <x:alignment vertical="center" wrapText="1"/>
    </x:xf>
    <x:xf numFmtId="0" fontId="2" fillId="0" borderId="32" xfId="1" applyFont="1" applyBorder="1" applyAlignment="1">
      <x:alignment vertical="center" wrapText="1"/>
    </x:xf>
    <x:xf numFmtId="0" fontId="2" fillId="0" borderId="0" xfId="1" applyFont="1" applyAlignment="1">
      <x:alignment vertical="center" wrapText="1"/>
    </x:xf>
    <x:xf numFmtId="0" fontId="2" fillId="0" borderId="26" xfId="1" applyFont="1" applyBorder="1" applyAlignment="1">
      <x:alignment vertical="center" wrapText="1"/>
    </x:xf>
    <x:xf numFmtId="0" fontId="2" fillId="0" borderId="27" xfId="1" applyFont="1" applyBorder="1" applyAlignment="1">
      <x:alignment vertical="center" wrapText="1"/>
    </x:xf>
    <x:xf numFmtId="0" fontId="7" fillId="21" borderId="29" xfId="1" applyFont="1" applyFill="1" applyBorder="1"/>
    <x:xf numFmtId="0" fontId="7" fillId="21" borderId="30" xfId="1" applyFont="1" applyFill="1" applyBorder="1"/>
    <x:xf numFmtId="0" fontId="7" fillId="21" borderId="31" xfId="1" applyFont="1" applyFill="1" applyBorder="1"/>
    <x:xf numFmtId="0" fontId="5" fillId="23" borderId="0" xfId="1" applyFont="1" applyFill="1" applyAlignment="1">
      <x:alignment wrapText="1"/>
    </x:xf>
    <x:xf numFmtId="176" fontId="0" fillId="0" borderId="0" xfId="1" applyNumberFormat="1" applyFont="1"/>
    <x:xf numFmtId="0" fontId="2" fillId="25" borderId="23" xfId="1" applyFont="1" applyFill="1" applyBorder="1" applyAlignment="1">
      <x:alignment vertical="top" wrapText="1"/>
    </x:xf>
    <x:xf numFmtId="0" fontId="2" fillId="25" borderId="32" xfId="1" applyFont="1" applyFill="1" applyBorder="1" applyAlignment="1">
      <x:alignment vertical="top" wrapText="1"/>
    </x:xf>
    <x:xf numFmtId="0" fontId="2" fillId="26" borderId="25" xfId="1" applyFont="1" applyFill="1" applyBorder="1" applyAlignment="1">
      <x:alignment vertical="top" wrapText="1"/>
    </x:xf>
    <x:xf numFmtId="0" fontId="2" fillId="26" borderId="33" xfId="1" applyFont="1" applyFill="1" applyBorder="1" applyAlignment="1">
      <x:alignment vertical="top" wrapText="1"/>
    </x:xf>
    <x:xf numFmtId="0" fontId="8" fillId="27" borderId="40" xfId="1" applyFont="1" applyFill="1" applyBorder="1" applyAlignment="1">
      <x:alignment horizontal="center" vertical="center" wrapText="1"/>
    </x:xf>
    <x:xf numFmtId="0" fontId="8" fillId="27" borderId="41" xfId="1" applyFont="1" applyFill="1" applyBorder="1" applyAlignment="1">
      <x:alignment horizontal="center" vertical="center" wrapText="1"/>
    </x:xf>
    <x:xf numFmtId="0" fontId="8" fillId="27" borderId="42" xfId="1" applyFont="1" applyFill="1" applyBorder="1" applyAlignment="1">
      <x:alignment horizontal="center" vertical="center" wrapText="1"/>
    </x:xf>
    <x:xf numFmtId="0" fontId="2" fillId="0" borderId="34" xfId="1" applyFont="1" applyBorder="1" applyAlignment="1">
      <x:alignment vertical="top" wrapText="1"/>
    </x:xf>
    <x:xf numFmtId="0" fontId="2" fillId="0" borderId="35" xfId="1" applyFont="1" applyBorder="1" applyAlignment="1">
      <x:alignment vertical="top" wrapText="1"/>
    </x:xf>
    <x:xf numFmtId="0" fontId="2" fillId="0" borderId="36" xfId="1" applyFont="1" applyBorder="1" applyAlignment="1">
      <x:alignment vertical="top" wrapText="1"/>
    </x:xf>
    <x:xf numFmtId="0" fontId="2" fillId="0" borderId="37" xfId="1" applyFont="1" applyBorder="1" applyAlignment="1">
      <x:alignment vertical="top" wrapText="1"/>
    </x:xf>
    <x:xf numFmtId="0" fontId="2" fillId="0" borderId="38" xfId="1" applyFont="1" applyBorder="1" applyAlignment="1">
      <x:alignment vertical="top" wrapText="1"/>
    </x:xf>
    <x:xf numFmtId="0" fontId="2" fillId="0" borderId="39" xfId="1" applyFont="1" applyBorder="1" applyAlignment="1">
      <x:alignment vertical="top" wrapText="1"/>
    </x:xf>
    <x:xf numFmtId="0" fontId="2" fillId="26" borderId="35" xfId="1" applyFont="1" applyFill="1" applyBorder="1" applyAlignment="1">
      <x:alignment vertical="top" wrapText="1"/>
    </x:xf>
    <x:xf numFmtId="0" fontId="2" fillId="26" borderId="36" xfId="1" applyFont="1" applyFill="1" applyBorder="1" applyAlignment="1">
      <x:alignment vertical="top" wrapText="1"/>
    </x:xf>
    <x:xf numFmtId="0" fontId="2" fillId="26" borderId="38" xfId="1" applyFont="1" applyFill="1" applyBorder="1" applyAlignment="1">
      <x:alignment vertical="top" wrapText="1"/>
    </x:xf>
    <x:xf numFmtId="0" fontId="2" fillId="26" borderId="39" xfId="1" applyFont="1" applyFill="1" applyBorder="1" applyAlignment="1">
      <x:alignment vertical="top" wrapText="1"/>
    </x:xf>
    <x:xf numFmtId="0" fontId="2" fillId="26" borderId="34" xfId="1" applyFont="1" applyFill="1" applyBorder="1" applyAlignment="1">
      <x:alignment vertical="top" wrapText="1"/>
    </x:xf>
    <x:xf numFmtId="0" fontId="2" fillId="26" borderId="37" xfId="1" applyFont="1" applyFill="1" applyBorder="1" applyAlignment="1">
      <x:alignment vertical="top" wrapText="1"/>
    </x:xf>
    <x:xf numFmtId="0" fontId="2" fillId="25" borderId="35" xfId="1" applyFont="1" applyFill="1" applyBorder="1" applyAlignment="1">
      <x:alignment vertical="top" wrapText="1"/>
    </x:xf>
    <x:xf numFmtId="0" fontId="2" fillId="25" borderId="38" xfId="1" applyFont="1" applyFill="1" applyBorder="1" applyAlignment="1">
      <x:alignment vertical="top" wrapText="1"/>
    </x:xf>
    <x:xf numFmtId="0" fontId="2" fillId="0" borderId="43" xfId="1" applyFont="1" applyBorder="1" applyAlignment="1">
      <x:alignment vertical="top" wrapText="1"/>
    </x:xf>
    <x:xf numFmtId="0" fontId="2" fillId="0" borderId="44" xfId="1" applyFont="1" applyBorder="1" applyAlignment="1">
      <x:alignment vertical="top" wrapText="1"/>
    </x:xf>
    <x:xf numFmtId="0" fontId="2" fillId="26" borderId="0" xfId="1" applyFont="1" applyFill="1" applyAlignment="1">
      <x:alignment vertical="top" wrapText="1"/>
    </x:xf>
    <x:xf numFmtId="0" fontId="2" fillId="26" borderId="43" xfId="1" applyFont="1" applyFill="1" applyBorder="1" applyAlignment="1">
      <x:alignment vertical="top" wrapText="1"/>
    </x:xf>
    <x:xf numFmtId="0" fontId="2" fillId="26" borderId="44" xfId="1" applyFont="1" applyFill="1" applyBorder="1" applyAlignment="1">
      <x:alignment vertical="top" wrapText="1"/>
    </x:xf>
    <x:xf numFmtId="0" fontId="3" fillId="28" borderId="40" xfId="1" applyFont="1" applyFill="1" applyBorder="1"/>
    <x:xf numFmtId="0" fontId="3" fillId="28" borderId="41" xfId="1" applyFont="1" applyFill="1" applyBorder="1"/>
    <x:xf numFmtId="176" fontId="3" fillId="28" borderId="41" xfId="1" applyNumberFormat="1" applyFont="1" applyFill="1" applyBorder="1"/>
    <x:xf numFmtId="0" fontId="3" fillId="28" borderId="42" xfId="1" applyFont="1" applyFill="1" applyBorder="1"/>
    <x:xf numFmtId="0" fontId="3" fillId="4" borderId="1" xfId="1" applyFont="1" applyFill="1" applyBorder="1" applyAlignment="1">
      <x:alignment horizontal="center"/>
    </x:xf>
    <x:xf numFmtId="0" fontId="3" fillId="4" borderId="3" xfId="1" applyFont="1" applyFill="1" applyBorder="1" applyAlignment="1">
      <x:alignment horizontal="center"/>
    </x:xf>
    <x:xf numFmtId="0" fontId="4" fillId="5" borderId="4" xfId="1" applyFont="1" applyFill="1" applyBorder="1" applyAlignment="1">
      <x:alignment horizontal="center" vertical="center"/>
    </x:xf>
    <x:xf numFmtId="0" fontId="4" fillId="5" borderId="5" xfId="1" applyFont="1" applyFill="1" applyBorder="1" applyAlignment="1">
      <x:alignment horizontal="center" vertical="center"/>
    </x:xf>
    <x:xf numFmtId="0" fontId="4" fillId="5" borderId="6" xfId="1" applyFont="1" applyFill="1" applyBorder="1" applyAlignment="1">
      <x:alignment horizontal="center" vertical="center"/>
    </x:xf>
    <x:xf numFmtId="0" fontId="4" fillId="5" borderId="7" xfId="1" applyFont="1" applyFill="1" applyBorder="1" applyAlignment="1">
      <x:alignment horizontal="center" vertical="center"/>
    </x:xf>
    <x:xf numFmtId="0" fontId="6" fillId="4" borderId="1" xfId="1" applyFont="1" applyFill="1" applyBorder="1" applyAlignment="1">
      <x:alignment vertical="center"/>
    </x:xf>
    <x:xf numFmtId="0" fontId="6" fillId="4" borderId="2" xfId="1" applyFont="1" applyFill="1" applyBorder="1" applyAlignment="1">
      <x:alignment vertical="center"/>
    </x:xf>
    <x:xf numFmtId="0" fontId="6" fillId="4" borderId="3" xfId="1" applyFont="1" applyFill="1" applyBorder="1" applyAlignment="1">
      <x:alignment vertical="center"/>
    </x:xf>
    <x:xf numFmtId="0" fontId="2" fillId="8" borderId="0" xfId="1" applyFont="1" applyFill="1" applyAlignment="1">
      <x:alignment wrapText="1"/>
    </x:xf>
    <x:xf numFmtId="0" fontId="7" fillId="8" borderId="1" xfId="1" applyFont="1" applyFill="1" applyBorder="1" applyAlignment="1">
      <x:alignment horizontal="center"/>
    </x:xf>
    <x:xf numFmtId="0" fontId="7" fillId="8" borderId="3" xfId="1" applyFont="1" applyFill="1" applyBorder="1" applyAlignment="1">
      <x:alignment horizontal="center"/>
    </x:xf>
    <x:xf numFmtId="0" fontId="4" fillId="9" borderId="4" xfId="1" applyFont="1" applyFill="1" applyBorder="1" applyAlignment="1">
      <x:alignment horizontal="center" vertical="center"/>
    </x:xf>
    <x:xf numFmtId="0" fontId="4" fillId="9" borderId="5" xfId="1" applyFont="1" applyFill="1" applyBorder="1" applyAlignment="1">
      <x:alignment horizontal="center" vertical="center"/>
    </x:xf>
    <x:xf numFmtId="0" fontId="4" fillId="9" borderId="6" xfId="1" applyFont="1" applyFill="1" applyBorder="1" applyAlignment="1">
      <x:alignment horizontal="center" vertical="center"/>
    </x:xf>
    <x:xf numFmtId="0" fontId="4" fillId="9" borderId="7" xfId="1" applyFont="1" applyFill="1" applyBorder="1" applyAlignment="1">
      <x:alignment horizontal="center" vertical="center"/>
    </x:xf>
    <x:xf numFmtId="0" fontId="4" fillId="10" borderId="4" xfId="1" applyFont="1" applyFill="1" applyBorder="1" applyAlignment="1">
      <x:alignment horizontal="center" vertical="center"/>
    </x:xf>
    <x:xf numFmtId="0" fontId="4" fillId="10" borderId="5" xfId="1" applyFont="1" applyFill="1" applyBorder="1" applyAlignment="1">
      <x:alignment horizontal="center" vertical="center"/>
    </x:xf>
    <x:xf numFmtId="0" fontId="4" fillId="10" borderId="6" xfId="1" applyFont="1" applyFill="1" applyBorder="1" applyAlignment="1">
      <x:alignment horizontal="center" vertical="center"/>
    </x:xf>
    <x:xf numFmtId="0" fontId="4" fillId="10" borderId="7" xfId="1" applyFont="1" applyFill="1" applyBorder="1" applyAlignment="1">
      <x:alignment horizontal="center" vertical="center"/>
    </x:xf>
    <x:xf numFmtId="0" fontId="4" fillId="11" borderId="4" xfId="1" applyFont="1" applyFill="1" applyBorder="1" applyAlignment="1">
      <x:alignment horizontal="center" vertical="center"/>
    </x:xf>
    <x:xf numFmtId="0" fontId="4" fillId="11" borderId="5" xfId="1" applyFont="1" applyFill="1" applyBorder="1" applyAlignment="1">
      <x:alignment horizontal="center" vertical="center"/>
    </x:xf>
    <x:xf numFmtId="0" fontId="4" fillId="11" borderId="6" xfId="1" applyFont="1" applyFill="1" applyBorder="1" applyAlignment="1">
      <x:alignment horizontal="center" vertical="center"/>
    </x:xf>
    <x:xf numFmtId="0" fontId="4" fillId="11" borderId="7" xfId="1" applyFont="1" applyFill="1" applyBorder="1" applyAlignment="1">
      <x:alignment horizontal="center" vertical="center"/>
    </x:xf>
    <x:xf numFmtId="0" fontId="4" fillId="0" borderId="4" xfId="1" applyFont="1" applyBorder="1" applyAlignment="1">
      <x:alignment horizontal="center" vertical="center"/>
    </x:xf>
    <x:xf numFmtId="0" fontId="4" fillId="0" borderId="5" xfId="1" applyFont="1" applyBorder="1" applyAlignment="1">
      <x:alignment horizontal="center" vertical="center"/>
    </x:xf>
    <x:xf numFmtId="0" fontId="4" fillId="0" borderId="6" xfId="1" applyFont="1" applyBorder="1" applyAlignment="1">
      <x:alignment horizontal="center" vertical="center"/>
    </x:xf>
    <x:xf numFmtId="0" fontId="4" fillId="0" borderId="7" xfId="1" applyFont="1" applyBorder="1" applyAlignment="1">
      <x:alignment horizontal="center" vertical="center"/>
    </x:xf>
    <x:xf numFmtId="0" fontId="1" fillId="12" borderId="0" xfId="1" applyFont="1" applyFill="1" applyAlignment="1">
      <x:alignment vertical="center"/>
    </x:xf>
    <x:xf numFmtId="0" fontId="9" fillId="12" borderId="0" xfId="1" applyFont="1" applyFill="1" applyAlignment="1">
      <x:alignment vertical="center"/>
    </x:xf>
    <x:xf numFmtId="0" fontId="2" fillId="14" borderId="12" xfId="1" applyFont="1" applyFill="1" applyBorder="1" applyAlignment="1">
      <x:alignment wrapText="1"/>
    </x:xf>
    <x:xf numFmtId="0" fontId="2" fillId="14" borderId="14" xfId="1" applyFont="1" applyFill="1" applyBorder="1" applyAlignment="1">
      <x:alignment wrapText="1"/>
    </x:xf>
    <x:xf numFmtId="0" fontId="2" fillId="14" borderId="13" xfId="1" applyFont="1" applyFill="1" applyBorder="1" applyAlignment="1">
      <x:alignment wrapText="1"/>
    </x:xf>
    <x:xf numFmtId="0" fontId="7" fillId="14" borderId="12" xfId="1" applyFont="1" applyFill="1" applyBorder="1" applyAlignment="1">
      <x:alignment horizontal="center"/>
    </x:xf>
    <x:xf numFmtId="0" fontId="7" fillId="14" borderId="13" xfId="1" applyFont="1" applyFill="1" applyBorder="1" applyAlignment="1">
      <x:alignment horizontal="center"/>
    </x:xf>
    <x:xf numFmtId="0" fontId="4" fillId="16" borderId="15" xfId="1" applyFont="1" applyFill="1" applyBorder="1" applyAlignment="1">
      <x:alignment horizontal="center" vertical="center"/>
    </x:xf>
    <x:xf numFmtId="0" fontId="4" fillId="16" borderId="17" xfId="1" applyFont="1" applyFill="1" applyBorder="1" applyAlignment="1">
      <x:alignment horizontal="center" vertical="center"/>
    </x:xf>
    <x:xf numFmtId="0" fontId="4" fillId="16" borderId="20" xfId="1" applyFont="1" applyFill="1" applyBorder="1" applyAlignment="1">
      <x:alignment horizontal="center" vertical="center"/>
    </x:xf>
    <x:xf numFmtId="0" fontId="4" fillId="16" borderId="22" xfId="1" applyFont="1" applyFill="1" applyBorder="1" applyAlignment="1">
      <x:alignment horizontal="center" vertical="center"/>
    </x:xf>
    <x:xf numFmtId="0" fontId="4" fillId="17" borderId="15" xfId="1" applyFont="1" applyFill="1" applyBorder="1" applyAlignment="1">
      <x:alignment horizontal="center" vertical="center"/>
    </x:xf>
    <x:xf numFmtId="0" fontId="4" fillId="17" borderId="17" xfId="1" applyFont="1" applyFill="1" applyBorder="1" applyAlignment="1">
      <x:alignment horizontal="center" vertical="center"/>
    </x:xf>
    <x:xf numFmtId="0" fontId="4" fillId="17" borderId="20" xfId="1" applyFont="1" applyFill="1" applyBorder="1" applyAlignment="1">
      <x:alignment horizontal="center" vertical="center"/>
    </x:xf>
    <x:xf numFmtId="0" fontId="4" fillId="17" borderId="22" xfId="1" applyFont="1" applyFill="1" applyBorder="1" applyAlignment="1">
      <x:alignment horizontal="center" vertical="center"/>
    </x:xf>
    <x:xf numFmtId="0" fontId="4" fillId="18" borderId="15" xfId="1" applyFont="1" applyFill="1" applyBorder="1" applyAlignment="1">
      <x:alignment horizontal="center" vertical="center"/>
    </x:xf>
    <x:xf numFmtId="0" fontId="4" fillId="18" borderId="17" xfId="1" applyFont="1" applyFill="1" applyBorder="1" applyAlignment="1">
      <x:alignment horizontal="center" vertical="center"/>
    </x:xf>
    <x:xf numFmtId="0" fontId="4" fillId="18" borderId="20" xfId="1" applyFont="1" applyFill="1" applyBorder="1" applyAlignment="1">
      <x:alignment horizontal="center" vertical="center"/>
    </x:xf>
    <x:xf numFmtId="0" fontId="4" fillId="18" borderId="22" xfId="1" applyFont="1" applyFill="1" applyBorder="1" applyAlignment="1">
      <x:alignment horizontal="center" vertical="center"/>
    </x:xf>
    <x:xf numFmtId="0" fontId="4" fillId="13" borderId="15" xfId="1" applyFont="1" applyFill="1" applyBorder="1" applyAlignment="1">
      <x:alignment horizontal="center" vertical="center"/>
    </x:xf>
    <x:xf numFmtId="0" fontId="4" fillId="13" borderId="17" xfId="1" applyFont="1" applyFill="1" applyBorder="1" applyAlignment="1">
      <x:alignment horizontal="center" vertical="center"/>
    </x:xf>
    <x:xf numFmtId="0" fontId="4" fillId="13" borderId="20" xfId="1" applyFont="1" applyFill="1" applyBorder="1" applyAlignment="1">
      <x:alignment horizontal="center" vertical="center"/>
    </x:xf>
    <x:xf numFmtId="0" fontId="4" fillId="13" borderId="22" xfId="1" applyFont="1" applyFill="1" applyBorder="1" applyAlignment="1">
      <x:alignment horizontal="center" vertical="center"/>
    </x:xf>
    <x:xf numFmtId="0" fontId="4" fillId="14" borderId="15" xfId="1" applyFont="1" applyFill="1" applyBorder="1" applyAlignment="1">
      <x:alignment horizontal="center" vertical="center"/>
    </x:xf>
    <x:xf numFmtId="0" fontId="4" fillId="14" borderId="17" xfId="1" applyFont="1" applyFill="1" applyBorder="1" applyAlignment="1">
      <x:alignment horizontal="center" vertical="center"/>
    </x:xf>
    <x:xf numFmtId="0" fontId="4" fillId="14" borderId="20" xfId="1" applyFont="1" applyFill="1" applyBorder="1" applyAlignment="1">
      <x:alignment horizontal="center" vertical="center"/>
    </x:xf>
    <x:xf numFmtId="0" fontId="4" fillId="14" borderId="22" xfId="1" applyFont="1" applyFill="1" applyBorder="1" applyAlignment="1">
      <x:alignment horizontal="center" vertical="center"/>
    </x:xf>
    <x:xf numFmtId="0" fontId="10" fillId="14" borderId="15" xfId="1" applyFont="1" applyFill="1" applyBorder="1" applyAlignment="1">
      <x:alignment horizontal="center" vertical="center"/>
    </x:xf>
    <x:xf numFmtId="0" fontId="10" fillId="14" borderId="16" xfId="1" applyFont="1" applyFill="1" applyBorder="1" applyAlignment="1">
      <x:alignment horizontal="center" vertical="center"/>
    </x:xf>
    <x:xf numFmtId="0" fontId="10" fillId="14" borderId="17" xfId="1" applyFont="1" applyFill="1" applyBorder="1" applyAlignment="1">
      <x:alignment horizontal="center" vertical="center"/>
    </x:xf>
    <x:xf numFmtId="0" fontId="10" fillId="14" borderId="20" xfId="1" applyFont="1" applyFill="1" applyBorder="1" applyAlignment="1">
      <x:alignment horizontal="center" vertical="center"/>
    </x:xf>
    <x:xf numFmtId="0" fontId="10" fillId="14" borderId="21" xfId="1" applyFont="1" applyFill="1" applyBorder="1" applyAlignment="1">
      <x:alignment horizontal="center" vertical="center"/>
    </x:xf>
    <x:xf numFmtId="0" fontId="10" fillId="14" borderId="22" xfId="1" applyFont="1" applyFill="1" applyBorder="1" applyAlignment="1">
      <x:alignment horizontal="center" vertical="center"/>
    </x:xf>
    <x:xf numFmtId="9" fontId="11" fillId="17" borderId="15" xfId="1" applyNumberFormat="1" applyFont="1" applyFill="1" applyBorder="1" applyAlignment="1">
      <x:alignment horizontal="center" vertical="center"/>
    </x:xf>
    <x:xf numFmtId="9" fontId="11" fillId="17" borderId="16" xfId="1" applyNumberFormat="1" applyFont="1" applyFill="1" applyBorder="1" applyAlignment="1">
      <x:alignment horizontal="center" vertical="center"/>
    </x:xf>
    <x:xf numFmtId="9" fontId="11" fillId="17" borderId="17" xfId="1" applyNumberFormat="1" applyFont="1" applyFill="1" applyBorder="1" applyAlignment="1">
      <x:alignment horizontal="center" vertical="center"/>
    </x:xf>
    <x:xf numFmtId="9" fontId="11" fillId="17" borderId="20" xfId="1" applyNumberFormat="1" applyFont="1" applyFill="1" applyBorder="1" applyAlignment="1">
      <x:alignment horizontal="center" vertical="center"/>
    </x:xf>
    <x:xf numFmtId="9" fontId="11" fillId="17" borderId="21" xfId="1" applyNumberFormat="1" applyFont="1" applyFill="1" applyBorder="1" applyAlignment="1">
      <x:alignment horizontal="center" vertical="center"/>
    </x:xf>
    <x:xf numFmtId="9" fontId="11" fillId="17" borderId="22" xfId="1" applyNumberFormat="1" applyFont="1" applyFill="1" applyBorder="1" applyAlignment="1">
      <x:alignment horizontal="center" vertical="center"/>
    </x:xf>
    <x:xf numFmtId="0" fontId="12" fillId="19" borderId="15" xfId="1" applyFont="1" applyFill="1" applyBorder="1" applyAlignment="1">
      <x:alignment horizontal="center" vertical="center"/>
    </x:xf>
    <x:xf numFmtId="0" fontId="12" fillId="19" borderId="16" xfId="1" applyFont="1" applyFill="1" applyBorder="1" applyAlignment="1">
      <x:alignment horizontal="center" vertical="center"/>
    </x:xf>
    <x:xf numFmtId="0" fontId="12" fillId="19" borderId="17" xfId="1" applyFont="1" applyFill="1" applyBorder="1" applyAlignment="1">
      <x:alignment horizontal="center" vertical="center"/>
    </x:xf>
    <x:xf numFmtId="0" fontId="12" fillId="19" borderId="20" xfId="1" applyFont="1" applyFill="1" applyBorder="1" applyAlignment="1">
      <x:alignment horizontal="center" vertical="center"/>
    </x:xf>
    <x:xf numFmtId="0" fontId="12" fillId="19" borderId="21" xfId="1" applyFont="1" applyFill="1" applyBorder="1" applyAlignment="1">
      <x:alignment horizontal="center" vertical="center"/>
    </x:xf>
    <x:xf numFmtId="0" fontId="12" fillId="19" borderId="22" xfId="1" applyFont="1" applyFill="1" applyBorder="1" applyAlignment="1">
      <x:alignment horizontal="center" vertical="center"/>
    </x:xf>
    <x:xf numFmtId="0" fontId="5" fillId="12" borderId="12" xfId="1" applyFont="1" applyFill="1" applyBorder="1"/>
    <x:xf numFmtId="0" fontId="5" fillId="12" borderId="14" xfId="1" applyFont="1" applyFill="1" applyBorder="1"/>
    <x:xf numFmtId="0" fontId="5" fillId="12" borderId="13" xfId="1" applyFont="1" applyFill="1" applyBorder="1"/>
    <x:xf numFmtId="0" fontId="3" fillId="22" borderId="23" xfId="1" applyFont="1" applyFill="1" applyBorder="1" applyAlignment="1">
      <x:alignment wrapText="1"/>
    </x:xf>
    <x:xf numFmtId="0" fontId="3" fillId="22" borderId="24" xfId="1" applyFont="1" applyFill="1" applyBorder="1" applyAlignment="1">
      <x:alignment wrapText="1"/>
    </x:xf>
    <x:xf numFmtId="0" fontId="3" fillId="22" borderId="25" xfId="1" applyFont="1" applyFill="1" applyBorder="1" applyAlignment="1">
      <x:alignment wrapText="1"/>
    </x:xf>
    <x:xf numFmtId="0" fontId="3" fillId="22" borderId="32" xfId="1" applyFont="1" applyFill="1" applyBorder="1" applyAlignment="1">
      <x:alignment wrapText="1"/>
    </x:xf>
    <x:xf numFmtId="0" fontId="3" fillId="22" borderId="0" xfId="1" applyFont="1" applyFill="1" applyAlignment="1">
      <x:alignment wrapText="1"/>
    </x:xf>
    <x:xf numFmtId="0" fontId="3" fillId="22" borderId="33" xfId="1" applyFont="1" applyFill="1" applyBorder="1" applyAlignment="1">
      <x:alignment wrapText="1"/>
    </x:xf>
    <x:xf numFmtId="0" fontId="3" fillId="22" borderId="26" xfId="1" applyFont="1" applyFill="1" applyBorder="1" applyAlignment="1">
      <x:alignment wrapText="1"/>
    </x:xf>
    <x:xf numFmtId="0" fontId="3" fillId="22" borderId="27" xfId="1" applyFont="1" applyFill="1" applyBorder="1" applyAlignment="1">
      <x:alignment wrapText="1"/>
    </x:xf>
    <x:xf numFmtId="0" fontId="3" fillId="22" borderId="28" xfId="1" applyFont="1" applyFill="1" applyBorder="1" applyAlignment="1">
      <x:alignment wrapText="1"/>
    </x:xf>
    <x:xf numFmtId="0" fontId="1" fillId="20" borderId="0" xfId="1" applyFont="1" applyFill="1" applyAlignment="1">
      <x:alignment vertical="center"/>
    </x:xf>
    <x:xf numFmtId="0" fontId="2" fillId="21" borderId="23" xfId="1" applyFont="1" applyFill="1" applyBorder="1" applyAlignment="1">
      <x:alignment vertical="center" wrapText="1"/>
    </x:xf>
    <x:xf numFmtId="0" fontId="2" fillId="21" borderId="24" xfId="1" applyFont="1" applyFill="1" applyBorder="1" applyAlignment="1">
      <x:alignment vertical="center" wrapText="1"/>
    </x:xf>
    <x:xf numFmtId="0" fontId="2" fillId="21" borderId="25" xfId="1" applyFont="1" applyFill="1" applyBorder="1" applyAlignment="1">
      <x:alignment vertical="center" wrapText="1"/>
    </x:xf>
    <x:xf numFmtId="0" fontId="2" fillId="21" borderId="26" xfId="1" applyFont="1" applyFill="1" applyBorder="1" applyAlignment="1">
      <x:alignment vertical="center" wrapText="1"/>
    </x:xf>
    <x:xf numFmtId="0" fontId="2" fillId="21" borderId="27" xfId="1" applyFont="1" applyFill="1" applyBorder="1" applyAlignment="1">
      <x:alignment vertical="center" wrapText="1"/>
    </x:xf>
    <x:xf numFmtId="0" fontId="2" fillId="21" borderId="28" xfId="1" applyFont="1" applyFill="1" applyBorder="1" applyAlignment="1">
      <x:alignment vertical="center" wrapText="1"/>
    </x:xf>
    <x:xf numFmtId="0" fontId="3" fillId="24" borderId="0" xfId="1" applyFont="1" applyFill="1" applyAlignment="1">
      <x:alignment wrapText="1"/>
    </x:xf>
    <x:xf numFmtId="0" fontId="1" fillId="27" borderId="0" xfId="1" applyFont="1" applyFill="1" applyAlignment="1">
      <x:alignment vertical="center"/>
    </x:xf>
    <x:xf numFmtId="0" fontId="2" fillId="28" borderId="34" xfId="1" applyFont="1" applyFill="1" applyBorder="1" applyAlignment="1">
      <x:alignment vertical="center" wrapText="1"/>
    </x:xf>
    <x:xf numFmtId="0" fontId="2" fillId="28" borderId="35" xfId="1" applyFont="1" applyFill="1" applyBorder="1" applyAlignment="1">
      <x:alignment vertical="center" wrapText="1"/>
    </x:xf>
    <x:xf numFmtId="0" fontId="2" fillId="28" borderId="36" xfId="1" applyFont="1" applyFill="1" applyBorder="1" applyAlignment="1">
      <x:alignment vertical="center" wrapText="1"/>
    </x:xf>
    <x:xf numFmtId="0" fontId="2" fillId="28" borderId="37" xfId="1" applyFont="1" applyFill="1" applyBorder="1" applyAlignment="1">
      <x:alignment vertical="center" wrapText="1"/>
    </x:xf>
    <x:xf numFmtId="0" fontId="2" fillId="28" borderId="38" xfId="1" applyFont="1" applyFill="1" applyBorder="1" applyAlignment="1">
      <x:alignment vertical="center" wrapText="1"/>
    </x:xf>
    <x:xf numFmtId="0" fontId="2" fillId="28" borderId="39" xfId="1" applyFont="1" applyFill="1" applyBorder="1" applyAlignment="1">
      <x:alignment vertical="center" wrapText="1"/>
    </x:xf>
    <x:xf numFmtId="0" fontId="7" fillId="26" borderId="34" xfId="1" applyFont="1" applyFill="1" applyBorder="1" applyAlignment="1">
      <x:alignment wrapText="1"/>
    </x:xf>
    <x:xf numFmtId="0" fontId="7" fillId="26" borderId="35" xfId="1" applyFont="1" applyFill="1" applyBorder="1" applyAlignment="1">
      <x:alignment wrapText="1"/>
    </x:xf>
    <x:xf numFmtId="0" fontId="7" fillId="26" borderId="36" xfId="1" applyFont="1" applyFill="1" applyBorder="1" applyAlignment="1">
      <x:alignment wrapText="1"/>
    </x:xf>
    <x:xf numFmtId="0" fontId="7" fillId="26" borderId="37" xfId="1" applyFont="1" applyFill="1" applyBorder="1" applyAlignment="1">
      <x:alignment wrapText="1"/>
    </x:xf>
    <x:xf numFmtId="0" fontId="7" fillId="26" borderId="38" xfId="1" applyFont="1" applyFill="1" applyBorder="1" applyAlignment="1">
      <x:alignment wrapText="1"/>
    </x:xf>
    <x:xf numFmtId="0" fontId="7" fillId="26" borderId="39" xfId="1" applyFont="1" applyFill="1" applyBorder="1" applyAlignment="1">
      <x:alignment wrapText="1"/>
    </x:xf>
    <x:xf numFmtId="0" fontId="2" fillId="28" borderId="34" xfId="1" applyFont="1" applyFill="1" applyBorder="1" applyAlignment="1">
      <x:alignment wrapText="1"/>
    </x:xf>
    <x:xf numFmtId="0" fontId="2" fillId="28" borderId="35" xfId="1" applyFont="1" applyFill="1" applyBorder="1" applyAlignment="1">
      <x:alignment wrapText="1"/>
    </x:xf>
    <x:xf numFmtId="0" fontId="2" fillId="28" borderId="36" xfId="1" applyFont="1" applyFill="1" applyBorder="1" applyAlignment="1">
      <x:alignment wrapText="1"/>
    </x:xf>
    <x:xf numFmtId="0" fontId="2" fillId="28" borderId="37" xfId="1" applyFont="1" applyFill="1" applyBorder="1" applyAlignment="1">
      <x:alignment wrapText="1"/>
    </x:xf>
    <x:xf numFmtId="0" fontId="2" fillId="28" borderId="38" xfId="1" applyFont="1" applyFill="1" applyBorder="1" applyAlignment="1">
      <x:alignment wrapText="1"/>
    </x:xf>
    <x:xf numFmtId="0" fontId="2" fillId="28" borderId="39" xfId="1" applyFont="1" applyFill="1" applyBorder="1" applyAlignment="1">
      <x:alignment wrapText="1"/>
    </x:xf>
    <x:xf numFmtId="0" fontId="1" fillId="2" borderId="0" xfId="1" applyFont="1" applyFill="1" applyAlignment="1">
      <x:alignment horizontal="center" vertical="center"/>
    </x:xf>
    <x:xf numFmtId="0" fontId="2" fillId="3" borderId="1" xfId="1" applyFont="1" applyFill="1" applyBorder="1" applyAlignment="1">
      <x:alignment vertical="center" wrapText="1"/>
    </x:xf>
    <x:xf numFmtId="0" fontId="2" fillId="3" borderId="2" xfId="1" applyFont="1" applyFill="1" applyBorder="1" applyAlignment="1">
      <x:alignment vertical="center" wrapText="1"/>
    </x:xf>
    <x:xf numFmtId="0" fontId="2" fillId="3" borderId="3" xfId="1" applyFont="1" applyFill="1" applyBorder="1" applyAlignment="1">
      <x:alignment vertical="center" wrapText="1"/>
    </x:xf>
    <x:xf numFmtId="0" fontId="5" fillId="2" borderId="45" xfId="1" applyFont="1" applyFill="1" applyBorder="1" applyAlignment="1">
      <x:alignment horizontal="center" vertical="center" wrapText="1"/>
    </x:xf>
    <x:xf numFmtId="0" fontId="2" fillId="0" borderId="45" xfId="1" applyFont="1" applyBorder="1" applyAlignment="1">
      <x:alignment horizontal="center" vertical="center" wrapText="1"/>
    </x:xf>
    <x:xf numFmtId="0" fontId="0" fillId="5" borderId="4" xfId="1" applyFont="1" applyFill="1" applyBorder="1" applyAlignment="1">
      <x:alignment vertical="center" wrapText="1"/>
    </x:xf>
    <x:xf numFmtId="0" fontId="0" fillId="5" borderId="8" xfId="1" applyFont="1" applyFill="1" applyBorder="1" applyAlignment="1">
      <x:alignment vertical="center" wrapText="1"/>
    </x:xf>
    <x:xf numFmtId="0" fontId="0" fillId="5" borderId="5" xfId="1" applyFont="1" applyFill="1" applyBorder="1" applyAlignment="1">
      <x:alignment vertical="center" wrapText="1"/>
    </x:xf>
    <x:xf numFmtId="0" fontId="0" fillId="5" borderId="9" xfId="1" applyFont="1" applyFill="1" applyBorder="1" applyAlignment="1">
      <x:alignment vertical="center" wrapText="1"/>
    </x:xf>
    <x:xf numFmtId="0" fontId="0" fillId="5" borderId="0" xfId="1" applyFont="1" applyFill="1" applyAlignment="1">
      <x:alignment vertical="center" wrapText="1"/>
    </x:xf>
    <x:xf numFmtId="0" fontId="0" fillId="5" borderId="10" xfId="1" applyFont="1" applyFill="1" applyBorder="1" applyAlignment="1">
      <x:alignment vertical="center" wrapText="1"/>
    </x:xf>
    <x:xf numFmtId="0" fontId="0" fillId="5" borderId="6" xfId="1" applyFont="1" applyFill="1" applyBorder="1" applyAlignment="1">
      <x:alignment vertical="center" wrapText="1"/>
    </x:xf>
    <x:xf numFmtId="0" fontId="0" fillId="5" borderId="11" xfId="1" applyFont="1" applyFill="1" applyBorder="1" applyAlignment="1">
      <x:alignment vertical="center" wrapText="1"/>
    </x:xf>
    <x:xf numFmtId="0" fontId="0" fillId="5" borderId="7" xfId="1" applyFont="1" applyFill="1" applyBorder="1" applyAlignment="1">
      <x:alignment vertical="center" wrapText="1"/>
    </x:xf>
    <x:xf numFmtId="0" fontId="3" fillId="6" borderId="4" xfId="1" applyFont="1" applyFill="1" applyBorder="1" applyAlignment="1">
      <x:alignment vertical="center" wrapText="1"/>
    </x:xf>
    <x:xf numFmtId="0" fontId="3" fillId="6" borderId="8" xfId="1" applyFont="1" applyFill="1" applyBorder="1" applyAlignment="1">
      <x:alignment vertical="center" wrapText="1"/>
    </x:xf>
    <x:xf numFmtId="0" fontId="3" fillId="6" borderId="5" xfId="1" applyFont="1" applyFill="1" applyBorder="1" applyAlignment="1">
      <x:alignment vertical="center" wrapText="1"/>
    </x:xf>
    <x:xf numFmtId="0" fontId="3" fillId="6" borderId="6" xfId="1" applyFont="1" applyFill="1" applyBorder="1" applyAlignment="1">
      <x:alignment vertical="center" wrapText="1"/>
    </x:xf>
    <x:xf numFmtId="0" fontId="3" fillId="6" borderId="11" xfId="1" applyFont="1" applyFill="1" applyBorder="1" applyAlignment="1">
      <x:alignment vertical="center" wrapText="1"/>
    </x:xf>
    <x:xf numFmtId="0" fontId="3" fillId="6" borderId="7" xfId="1" applyFont="1" applyFill="1" applyBorder="1" applyAlignment="1">
      <x:alignment vertical="center" wrapText="1"/>
    </x:xf>
    <x:xf numFmtId="0" fontId="3" fillId="9" borderId="4" xfId="1" applyFont="1" applyFill="1" applyBorder="1" applyAlignment="1">
      <x:alignment vertical="center" wrapText="1"/>
    </x:xf>
    <x:xf numFmtId="0" fontId="3" fillId="9" borderId="8" xfId="1" applyFont="1" applyFill="1" applyBorder="1" applyAlignment="1">
      <x:alignment vertical="center" wrapText="1"/>
    </x:xf>
    <x:xf numFmtId="0" fontId="3" fillId="9" borderId="5" xfId="1" applyFont="1" applyFill="1" applyBorder="1" applyAlignment="1">
      <x:alignment vertical="center" wrapText="1"/>
    </x:xf>
    <x:xf numFmtId="0" fontId="3" fillId="9" borderId="6" xfId="1" applyFont="1" applyFill="1" applyBorder="1" applyAlignment="1">
      <x:alignment vertical="center" wrapText="1"/>
    </x:xf>
    <x:xf numFmtId="0" fontId="3" fillId="9" borderId="11" xfId="1" applyFont="1" applyFill="1" applyBorder="1" applyAlignment="1">
      <x:alignment vertical="center" wrapText="1"/>
    </x:xf>
    <x:xf numFmtId="0" fontId="3" fillId="9" borderId="7" xfId="1" applyFont="1" applyFill="1" applyBorder="1" applyAlignment="1">
      <x:alignment vertical="center" wrapText="1"/>
    </x:xf>
    <x:xf numFmtId="0" fontId="3" fillId="14" borderId="15" xfId="1" applyFont="1" applyFill="1" applyBorder="1" applyAlignment="1">
      <x:alignment vertical="center" wrapText="1"/>
    </x:xf>
    <x:xf numFmtId="0" fontId="3" fillId="14" borderId="16" xfId="1" applyFont="1" applyFill="1" applyBorder="1" applyAlignment="1">
      <x:alignment vertical="center" wrapText="1"/>
    </x:xf>
    <x:xf numFmtId="0" fontId="3" fillId="14" borderId="17" xfId="1" applyFont="1" applyFill="1" applyBorder="1" applyAlignment="1">
      <x:alignment vertical="center" wrapText="1"/>
    </x:xf>
    <x:xf numFmtId="0" fontId="3" fillId="14" borderId="18" xfId="1" applyFont="1" applyFill="1" applyBorder="1" applyAlignment="1">
      <x:alignment vertical="center" wrapText="1"/>
    </x:xf>
    <x:xf numFmtId="0" fontId="3" fillId="14" borderId="0" xfId="1" applyFont="1" applyFill="1" applyAlignment="1">
      <x:alignment vertical="center" wrapText="1"/>
    </x:xf>
    <x:xf numFmtId="0" fontId="3" fillId="14" borderId="19" xfId="1" applyFont="1" applyFill="1" applyBorder="1" applyAlignment="1">
      <x:alignment vertical="center" wrapText="1"/>
    </x:xf>
    <x:xf numFmtId="0" fontId="3" fillId="14" borderId="20" xfId="1" applyFont="1" applyFill="1" applyBorder="1" applyAlignment="1">
      <x:alignment vertical="center" wrapText="1"/>
    </x:xf>
    <x:xf numFmtId="0" fontId="3" fillId="14" borderId="21" xfId="1" applyFont="1" applyFill="1" applyBorder="1" applyAlignment="1">
      <x:alignment vertical="center" wrapText="1"/>
    </x:xf>
    <x:xf numFmtId="0" fontId="3" fillId="14" borderId="22" xfId="1" applyFont="1" applyFill="1" applyBorder="1" applyAlignment="1">
      <x:alignment vertical="center" wrapText="1"/>
    </x:xf>
    <x:xf numFmtId="0" fontId="3" fillId="21" borderId="23" xfId="1" applyFont="1" applyFill="1" applyBorder="1" applyAlignment="1">
      <x:alignment vertical="center" wrapText="1"/>
    </x:xf>
    <x:xf numFmtId="0" fontId="3" fillId="21" borderId="24" xfId="1" applyFont="1" applyFill="1" applyBorder="1" applyAlignment="1">
      <x:alignment vertical="center" wrapText="1"/>
    </x:xf>
    <x:xf numFmtId="0" fontId="3" fillId="21" borderId="25" xfId="1" applyFont="1" applyFill="1" applyBorder="1" applyAlignment="1">
      <x:alignment vertical="center" wrapText="1"/>
    </x:xf>
    <x:xf numFmtId="0" fontId="3" fillId="21" borderId="32" xfId="1" applyFont="1" applyFill="1" applyBorder="1" applyAlignment="1">
      <x:alignment vertical="center" wrapText="1"/>
    </x:xf>
    <x:xf numFmtId="0" fontId="3" fillId="21" borderId="0" xfId="1" applyFont="1" applyFill="1" applyAlignment="1">
      <x:alignment vertical="center" wrapText="1"/>
    </x:xf>
    <x:xf numFmtId="0" fontId="3" fillId="21" borderId="33" xfId="1" applyFont="1" applyFill="1" applyBorder="1" applyAlignment="1">
      <x:alignment vertical="center" wrapText="1"/>
    </x:xf>
    <x:xf numFmtId="0" fontId="3" fillId="21" borderId="26" xfId="1" applyFont="1" applyFill="1" applyBorder="1" applyAlignment="1">
      <x:alignment vertical="center" wrapText="1"/>
    </x:xf>
    <x:xf numFmtId="0" fontId="3" fillId="21" borderId="27" xfId="1" applyFont="1" applyFill="1" applyBorder="1" applyAlignment="1">
      <x:alignment vertical="center" wrapText="1"/>
    </x:xf>
    <x:xf numFmtId="0" fontId="3" fillId="21" borderId="28" xfId="1" applyFont="1" applyFill="1" applyBorder="1" applyAlignment="1">
      <x:alignment vertical="center" wrapText="1"/>
    </x:xf>
    <x:xf numFmtId="0" fontId="7" fillId="28" borderId="34" xfId="1" applyFont="1" applyFill="1" applyBorder="1" applyAlignment="1">
      <x:alignment vertical="center" wrapText="1"/>
    </x:xf>
    <x:xf numFmtId="0" fontId="7" fillId="28" borderId="35" xfId="1" applyFont="1" applyFill="1" applyBorder="1" applyAlignment="1">
      <x:alignment vertical="center" wrapText="1"/>
    </x:xf>
    <x:xf numFmtId="0" fontId="7" fillId="28" borderId="36" xfId="1" applyFont="1" applyFill="1" applyBorder="1" applyAlignment="1">
      <x:alignment vertical="center" wrapText="1"/>
    </x:xf>
    <x:xf numFmtId="0" fontId="7" fillId="28" borderId="43" xfId="1" applyFont="1" applyFill="1" applyBorder="1" applyAlignment="1">
      <x:alignment vertical="center" wrapText="1"/>
    </x:xf>
    <x:xf numFmtId="0" fontId="7" fillId="28" borderId="0" xfId="1" applyFont="1" applyFill="1" applyAlignment="1">
      <x:alignment vertical="center" wrapText="1"/>
    </x:xf>
    <x:xf numFmtId="0" fontId="7" fillId="28" borderId="44" xfId="1" applyFont="1" applyFill="1" applyBorder="1" applyAlignment="1">
      <x:alignment vertical="center" wrapText="1"/>
    </x:xf>
    <x:xf numFmtId="0" fontId="7" fillId="28" borderId="37" xfId="1" applyFont="1" applyFill="1" applyBorder="1" applyAlignment="1">
      <x:alignment vertical="center" wrapText="1"/>
    </x:xf>
    <x:xf numFmtId="0" fontId="7" fillId="28" borderId="38" xfId="1" applyFont="1" applyFill="1" applyBorder="1" applyAlignment="1">
      <x:alignment vertical="center" wrapText="1"/>
    </x:xf>
    <x:xf numFmtId="0" fontId="7" fillId="28" borderId="39" xfId="1" applyFont="1" applyFill="1" applyBorder="1" applyAlignment="1">
      <x:alignment vertical="center" wrapText="1"/>
    </x:xf>
    <x:xf numFmtId="0" fontId="2" fillId="0" borderId="0" xfId="1" applyFont="1" applyAlignment="1">
      <x:alignment horizontal="center" vertical="center" wrapText="1"/>
    </x:xf>
    <x:xf numFmtId="0" fontId="5" fillId="7" borderId="45" xfId="1" applyFont="1" applyFill="1" applyBorder="1" applyAlignment="1">
      <x:alignment horizontal="center" vertical="center" wrapText="1"/>
    </x:xf>
    <x:xf numFmtId="0" fontId="1" fillId="7" borderId="0" xfId="1" applyFont="1" applyFill="1" applyAlignment="1">
      <x:alignment horizontal="center" vertical="center"/>
    </x:xf>
    <x:xf numFmtId="0" fontId="7" fillId="8" borderId="45" xfId="1" applyFont="1" applyFill="1" applyBorder="1" applyAlignment="1">
      <x:alignment vertical="center"/>
    </x:xf>
    <x:xf numFmtId="0" fontId="0" fillId="0" borderId="45" xfId="1" applyFont="1" applyBorder="1" applyAlignment="1">
      <x:alignment vertical="center" wrapText="1"/>
    </x:xf>
    <x:xf numFmtId="0" fontId="8" fillId="12" borderId="45" xfId="1" applyFont="1" applyFill="1" applyBorder="1" applyAlignment="1">
      <x:alignment horizontal="center" vertical="center" wrapText="1"/>
    </x:xf>
    <x:xf numFmtId="0" fontId="3" fillId="25" borderId="45" xfId="1" applyFont="1" applyFill="1" applyBorder="1" applyAlignment="1">
      <x:alignment horizontal="center" vertical="center" wrapText="1"/>
    </x:xf>
    <x:xf numFmtId="0" fontId="3" fillId="26" borderId="45" xfId="1" applyFont="1" applyFill="1" applyBorder="1" applyAlignment="1">
      <x:alignment horizontal="center" vertical="center" wrapText="1"/>
    </x:xf>
    <x:xf numFmtId="0" fontId="2" fillId="0" borderId="15" xfId="1" applyFont="1" applyBorder="1" applyAlignment="1">
      <x:alignment horizontal="center" vertical="center" wrapText="1"/>
    </x:xf>
    <x:xf numFmtId="0" fontId="2" fillId="0" borderId="16" xfId="1" applyFont="1" applyBorder="1" applyAlignment="1">
      <x:alignment horizontal="center" vertical="center" wrapText="1"/>
    </x:xf>
    <x:xf numFmtId="0" fontId="2" fillId="0" borderId="17" xfId="1" applyFont="1" applyBorder="1" applyAlignment="1">
      <x:alignment horizontal="center" vertical="center" wrapText="1"/>
    </x:xf>
    <x:xf numFmtId="0" fontId="2" fillId="0" borderId="18" xfId="1" applyFont="1" applyBorder="1" applyAlignment="1">
      <x:alignment horizontal="center" vertical="center" wrapText="1"/>
    </x:xf>
    <x:xf numFmtId="0" fontId="2" fillId="0" borderId="19" xfId="1" applyFont="1" applyBorder="1" applyAlignment="1">
      <x:alignment horizontal="center" vertical="center" wrapText="1"/>
    </x:xf>
    <x:xf numFmtId="0" fontId="2" fillId="0" borderId="20" xfId="1" applyFont="1" applyBorder="1" applyAlignment="1">
      <x:alignment horizontal="center" vertical="center" wrapText="1"/>
    </x:xf>
    <x:xf numFmtId="0" fontId="2" fillId="0" borderId="21" xfId="1" applyFont="1" applyBorder="1" applyAlignment="1">
      <x:alignment horizontal="center" vertical="center" wrapText="1"/>
    </x:xf>
    <x:xf numFmtId="0" fontId="2" fillId="0" borderId="22" xfId="1" applyFont="1" applyBorder="1" applyAlignment="1">
      <x:alignment horizontal="center" vertical="center" wrapText="1"/>
    </x:xf>
    <x:xf numFmtId="0" fontId="3" fillId="13" borderId="45" xfId="1" applyFont="1" applyFill="1" applyBorder="1" applyAlignment="1">
      <x:alignment horizontal="center" vertical="center" wrapText="1"/>
    </x:xf>
    <x:xf numFmtId="0" fontId="1" fillId="12" borderId="0" xfId="1" applyFont="1" applyFill="1" applyAlignment="1">
      <x:alignment horizontal="center" vertical="center"/>
    </x:xf>
    <x:xf numFmtId="0" fontId="2" fillId="14" borderId="15" xfId="1" applyFont="1" applyFill="1" applyBorder="1" applyAlignment="1">
      <x:alignment vertical="center" wrapText="1"/>
    </x:xf>
    <x:xf numFmtId="0" fontId="2" fillId="14" borderId="16" xfId="1" applyFont="1" applyFill="1" applyBorder="1" applyAlignment="1">
      <x:alignment vertical="center" wrapText="1"/>
    </x:xf>
    <x:xf numFmtId="0" fontId="2" fillId="14" borderId="17" xfId="1" applyFont="1" applyFill="1" applyBorder="1" applyAlignment="1">
      <x:alignment vertical="center" wrapText="1"/>
    </x:xf>
    <x:xf numFmtId="0" fontId="2" fillId="14" borderId="20" xfId="1" applyFont="1" applyFill="1" applyBorder="1" applyAlignment="1">
      <x:alignment vertical="center" wrapText="1"/>
    </x:xf>
    <x:xf numFmtId="0" fontId="2" fillId="14" borderId="21" xfId="1" applyFont="1" applyFill="1" applyBorder="1" applyAlignment="1">
      <x:alignment vertical="center" wrapText="1"/>
    </x:xf>
    <x:xf numFmtId="0" fontId="2" fillId="14" borderId="22" xfId="1" applyFont="1" applyFill="1" applyBorder="1" applyAlignment="1">
      <x:alignment vertical="center" wrapText="1"/>
    </x:xf>
    <x:xf numFmtId="0" fontId="1" fillId="15" borderId="0" xfId="1" applyFont="1" applyFill="1" applyAlignment="1">
      <x:alignment horizontal="center" vertical="center"/>
    </x:xf>
    <x:xf numFmtId="0" fontId="3" fillId="13" borderId="15" xfId="1" applyFont="1" applyFill="1" applyBorder="1" applyAlignment="1">
      <x:alignment vertical="center" wrapText="1"/>
    </x:xf>
    <x:xf numFmtId="0" fontId="3" fillId="13" borderId="16" xfId="1" applyFont="1" applyFill="1" applyBorder="1" applyAlignment="1">
      <x:alignment vertical="center" wrapText="1"/>
    </x:xf>
    <x:xf numFmtId="0" fontId="3" fillId="13" borderId="17" xfId="1" applyFont="1" applyFill="1" applyBorder="1" applyAlignment="1">
      <x:alignment vertical="center" wrapText="1"/>
    </x:xf>
    <x:xf numFmtId="0" fontId="3" fillId="13" borderId="20" xfId="1" applyFont="1" applyFill="1" applyBorder="1" applyAlignment="1">
      <x:alignment vertical="center" wrapText="1"/>
    </x:xf>
    <x:xf numFmtId="0" fontId="3" fillId="13" borderId="21" xfId="1" applyFont="1" applyFill="1" applyBorder="1" applyAlignment="1">
      <x:alignment vertical="center" wrapText="1"/>
    </x:xf>
    <x:xf numFmtId="0" fontId="3" fillId="13" borderId="22" xfId="1" applyFont="1" applyFill="1" applyBorder="1" applyAlignment="1">
      <x:alignment vertical="center" wrapText="1"/>
    </x:xf>
    <x:xf numFmtId="0" fontId="2" fillId="25" borderId="45" xfId="1" applyFont="1" applyFill="1" applyBorder="1" applyAlignment="1">
      <x:alignment horizontal="center" vertical="center" wrapText="1"/>
    </x:xf>
    <x:xf numFmtId="0" fontId="7" fillId="13" borderId="15" xfId="1" applyFont="1" applyFill="1" applyBorder="1" applyAlignment="1">
      <x:alignment vertical="center" wrapText="1"/>
    </x:xf>
    <x:xf numFmtId="0" fontId="7" fillId="13" borderId="16" xfId="1" applyFont="1" applyFill="1" applyBorder="1" applyAlignment="1">
      <x:alignment vertical="center" wrapText="1"/>
    </x:xf>
    <x:xf numFmtId="0" fontId="7" fillId="13" borderId="17" xfId="1" applyFont="1" applyFill="1" applyBorder="1" applyAlignment="1">
      <x:alignment vertical="center" wrapText="1"/>
    </x:xf>
    <x:xf numFmtId="0" fontId="7" fillId="13" borderId="18" xfId="1" applyFont="1" applyFill="1" applyBorder="1" applyAlignment="1">
      <x:alignment vertical="center" wrapText="1"/>
    </x:xf>
    <x:xf numFmtId="0" fontId="7" fillId="13" borderId="0" xfId="1" applyFont="1" applyFill="1" applyAlignment="1">
      <x:alignment vertical="center" wrapText="1"/>
    </x:xf>
    <x:xf numFmtId="0" fontId="7" fillId="13" borderId="19" xfId="1" applyFont="1" applyFill="1" applyBorder="1" applyAlignment="1">
      <x:alignment vertical="center" wrapText="1"/>
    </x:xf>
    <x:xf numFmtId="0" fontId="7" fillId="13" borderId="20" xfId="1" applyFont="1" applyFill="1" applyBorder="1" applyAlignment="1">
      <x:alignment vertical="center" wrapText="1"/>
    </x:xf>
    <x:xf numFmtId="0" fontId="7" fillId="13" borderId="21" xfId="1" applyFont="1" applyFill="1" applyBorder="1" applyAlignment="1">
      <x:alignment vertical="center" wrapText="1"/>
    </x:xf>
    <x:xf numFmtId="0" fontId="7" fillId="13" borderId="22" xfId="1" applyFont="1" applyFill="1" applyBorder="1" applyAlignment="1">
      <x:alignment vertical="center" wrapText="1"/>
    </x:xf>
    <x:xf numFmtId="0" fontId="0" fillId="0" borderId="46" xfId="0" applyNumberFormat="1" applyFont="1" applyFill="1" applyBorder="1"/>
    <x:xf numFmtId="0" fontId="2" fillId="0" borderId="46" xfId="0" applyNumberFormat="1" applyFont="1" applyFill="1" applyBorder="1" applyAlignment="1">
      <x:alignment vertical="top" wrapText="1"/>
    </x:xf>
    <x:xf numFmtId="0" fontId="8" fillId="2" borderId="47" xfId="0" applyNumberFormat="1" applyFont="1" applyFill="1" applyBorder="1" applyAlignment="1">
      <x:alignment horizontal="center" vertical="center" wrapText="1"/>
    </x:xf>
    <x:xf numFmtId="0" fontId="8" fillId="2" borderId="48" xfId="0" applyNumberFormat="1" applyFont="1" applyFill="1" applyBorder="1" applyAlignment="1">
      <x:alignment horizontal="center" vertical="center" wrapText="1"/>
    </x:xf>
    <x:xf numFmtId="0" fontId="8" fillId="2" borderId="49" xfId="0" applyNumberFormat="1" applyFont="1" applyFill="1" applyBorder="1" applyAlignment="1">
      <x:alignment horizontal="center" vertical="center" wrapText="1"/>
    </x:xf>
    <x:xf numFmtId="0" fontId="8" fillId="2" borderId="50" xfId="0" applyNumberFormat="1" applyFont="1" applyFill="1" applyBorder="1" applyAlignment="1">
      <x:alignment horizontal="center" vertical="center" wrapText="1"/>
    </x:xf>
    <x:xf numFmtId="0" fontId="8" fillId="2" borderId="51" xfId="0" applyNumberFormat="1" applyFont="1" applyFill="1" applyBorder="1" applyAlignment="1">
      <x:alignment horizontal="center" vertical="center" wrapText="1"/>
    </x:xf>
    <x:xf numFmtId="0" fontId="8" fillId="2" borderId="52" xfId="0" applyNumberFormat="1" applyFont="1" applyFill="1" applyBorder="1" applyAlignment="1">
      <x:alignment horizontal="center" vertical="center" wrapText="1"/>
    </x:xf>
    <x:xf numFmtId="0" fontId="2" fillId="0" borderId="53" xfId="0" applyNumberFormat="1" applyFont="1" applyFill="1" applyBorder="1" applyAlignment="1">
      <x:alignment vertical="top" wrapText="1"/>
    </x:xf>
    <x:xf numFmtId="0" fontId="2" fillId="0" borderId="54" xfId="0" applyNumberFormat="1" applyFont="1" applyFill="1" applyBorder="1" applyAlignment="1">
      <x:alignment vertical="top" wrapText="1"/>
    </x:xf>
    <x:xf numFmtId="0" fontId="2" fillId="0" borderId="55" xfId="0" applyNumberFormat="1" applyFont="1" applyFill="1" applyBorder="1" applyAlignment="1">
      <x:alignment vertical="top" wrapText="1"/>
    </x:xf>
    <x:xf numFmtId="0" fontId="2" fillId="0" borderId="56" xfId="0" applyNumberFormat="1" applyFont="1" applyFill="1" applyBorder="1" applyAlignment="1">
      <x:alignment vertical="top" wrapText="1"/>
    </x:xf>
    <x:xf numFmtId="0" fontId="2" fillId="0" borderId="57" xfId="0" applyNumberFormat="1" applyFont="1" applyFill="1" applyBorder="1" applyAlignment="1">
      <x:alignment vertical="top" wrapText="1"/>
    </x:xf>
    <x:xf numFmtId="0" fontId="2" fillId="0" borderId="58" xfId="0" applyNumberFormat="1" applyFont="1" applyFill="1" applyBorder="1" applyAlignment="1">
      <x:alignment vertical="top" wrapText="1"/>
    </x:xf>
    <x:xf numFmtId="0" fontId="2" fillId="0" borderId="59" xfId="0" applyNumberFormat="1" applyFont="1" applyFill="1" applyBorder="1" applyAlignment="1">
      <x:alignment vertical="top" wrapText="1"/>
    </x:xf>
    <x:xf numFmtId="0" fontId="2" fillId="0" borderId="60" xfId="0" applyNumberFormat="1" applyFont="1" applyFill="1" applyBorder="1" applyAlignment="1">
      <x:alignment vertical="top" wrapText="1"/>
    </x:xf>
    <x:xf numFmtId="0" fontId="2" fillId="6" borderId="54" xfId="0" applyNumberFormat="1" applyFont="1" applyFill="1" applyBorder="1" applyAlignment="1">
      <x:alignment vertical="top" wrapText="1"/>
    </x:xf>
    <x:xf numFmtId="0" fontId="2" fillId="6" borderId="46" xfId="0" applyNumberFormat="1" applyFont="1" applyFill="1" applyBorder="1" applyAlignment="1">
      <x:alignment vertical="top" wrapText="1"/>
    </x:xf>
    <x:xf numFmtId="0" fontId="2" fillId="6" borderId="59" xfId="0" applyNumberFormat="1" applyFont="1" applyFill="1" applyBorder="1" applyAlignment="1">
      <x:alignment vertical="top" wrapText="1"/>
    </x:xf>
    <x:xf numFmtId="0" fontId="2" fillId="6" borderId="53" xfId="0" applyNumberFormat="1" applyFont="1" applyFill="1" applyBorder="1" applyAlignment="1">
      <x:alignment vertical="top" wrapText="1"/>
    </x:xf>
    <x:xf numFmtId="0" fontId="2" fillId="6" borderId="55" xfId="0" applyNumberFormat="1" applyFont="1" applyFill="1" applyBorder="1" applyAlignment="1">
      <x:alignment vertical="top" wrapText="1"/>
    </x:xf>
    <x:xf numFmtId="0" fontId="2" fillId="6" borderId="56" xfId="0" applyNumberFormat="1" applyFont="1" applyFill="1" applyBorder="1" applyAlignment="1">
      <x:alignment vertical="top" wrapText="1"/>
    </x:xf>
    <x:xf numFmtId="0" fontId="2" fillId="6" borderId="57" xfId="0" applyNumberFormat="1" applyFont="1" applyFill="1" applyBorder="1" applyAlignment="1">
      <x:alignment vertical="top" wrapText="1"/>
    </x:xf>
    <x:xf numFmtId="0" fontId="2" fillId="6" borderId="58" xfId="0" applyNumberFormat="1" applyFont="1" applyFill="1" applyBorder="1" applyAlignment="1">
      <x:alignment vertical="top" wrapText="1"/>
    </x:xf>
    <x:xf numFmtId="0" fontId="2" fillId="6" borderId="60" xfId="0" applyNumberFormat="1" applyFont="1" applyFill="1" applyBorder="1" applyAlignment="1">
      <x:alignment vertical="top" wrapText="1"/>
    </x:xf>
    <x:xf numFmtId="3" fontId="2" fillId="6" borderId="55" xfId="0" applyNumberFormat="1" applyFont="1" applyFill="1" applyBorder="1" applyAlignment="1">
      <x:alignment vertical="top" wrapText="1"/>
    </x:xf>
    <x:xf numFmtId="3" fontId="2" fillId="6" borderId="57" xfId="0" applyNumberFormat="1" applyFont="1" applyFill="1" applyBorder="1" applyAlignment="1">
      <x:alignment vertical="top" wrapText="1"/>
    </x:xf>
    <x:xf numFmtId="3" fontId="2" fillId="6" borderId="60" xfId="0" applyNumberFormat="1" applyFont="1" applyFill="1" applyBorder="1" applyAlignment="1">
      <x:alignment vertical="top" wrapText="1"/>
    </x:xf>
    <x:xf numFmtId="0" fontId="2" fillId="0" borderId="53" xfId="0" applyNumberFormat="1" applyFont="1" applyFill="1" applyBorder="1" applyAlignment="1">
      <x:alignment vertical="center" wrapText="1"/>
    </x:xf>
    <x:xf numFmtId="0" fontId="2" fillId="0" borderId="54" xfId="0" applyNumberFormat="1" applyFont="1" applyFill="1" applyBorder="1" applyAlignment="1">
      <x:alignment vertical="center" wrapText="1"/>
    </x:xf>
    <x:xf numFmtId="0" fontId="2" fillId="0" borderId="56" xfId="0" applyNumberFormat="1" applyFont="1" applyFill="1" applyBorder="1" applyAlignment="1">
      <x:alignment vertical="center" wrapText="1"/>
    </x:xf>
    <x:xf numFmtId="0" fontId="2" fillId="0" borderId="46" xfId="0" applyNumberFormat="1" applyFont="1" applyFill="1" applyBorder="1" applyAlignment="1">
      <x:alignment vertical="center" wrapText="1"/>
    </x:xf>
    <x:xf numFmtId="0" fontId="2" fillId="0" borderId="58" xfId="0" applyNumberFormat="1" applyFont="1" applyFill="1" applyBorder="1" applyAlignment="1">
      <x:alignment vertical="center" wrapText="1"/>
    </x:xf>
    <x:xf numFmtId="0" fontId="2" fillId="0" borderId="59" xfId="0" applyNumberFormat="1" applyFont="1" applyFill="1" applyBorder="1" applyAlignment="1">
      <x:alignment vertical="center" wrapText="1"/>
    </x:xf>
    <x:xf numFmtId="0" fontId="7" fillId="4" borderId="50" xfId="0" applyNumberFormat="1" applyFont="1" applyFill="1" applyBorder="1"/>
    <x:xf numFmtId="0" fontId="7" fillId="4" borderId="51" xfId="0" applyNumberFormat="1" applyFont="1" applyFill="1" applyBorder="1"/>
    <x:xf numFmtId="0" fontId="7" fillId="4" borderId="52" xfId="0" applyNumberFormat="1" applyFont="1" applyFill="1" applyBorder="1"/>
    <x:xf numFmtId="0" fontId="5" fillId="2" borderId="46" xfId="0" applyNumberFormat="1" applyFont="1" applyFill="1" applyBorder="1" applyAlignment="1">
      <x:alignment wrapText="1"/>
    </x:xf>
    <x:xf numFmtId="176" fontId="0" fillId="0" borderId="46" xfId="0" applyNumberFormat="1" applyFont="1" applyFill="1" applyBorder="1"/>
    <x:xf numFmtId="0" fontId="2" fillId="9" borderId="53" xfId="0" applyNumberFormat="1" applyFont="1" applyFill="1" applyBorder="1" applyAlignment="1">
      <x:alignment vertical="top" wrapText="1"/>
    </x:xf>
    <x:xf numFmtId="0" fontId="2" fillId="9" borderId="56" xfId="0" applyNumberFormat="1" applyFont="1" applyFill="1" applyBorder="1" applyAlignment="1">
      <x:alignment vertical="top" wrapText="1"/>
    </x:xf>
    <x:xf numFmtId="0" fontId="8" fillId="2" borderId="61" xfId="0" applyNumberFormat="1" applyFont="1" applyFill="1" applyBorder="1" applyAlignment="1">
      <x:alignment horizontal="center" vertical="center" wrapText="1"/>
    </x:xf>
    <x:xf numFmtId="0" fontId="8" fillId="2" borderId="62" xfId="0" applyNumberFormat="1" applyFont="1" applyFill="1" applyBorder="1" applyAlignment="1">
      <x:alignment horizontal="center" vertical="center" wrapText="1"/>
    </x:xf>
    <x:xf numFmtId="0" fontId="8" fillId="2" borderId="63" xfId="0" applyNumberFormat="1" applyFont="1" applyFill="1" applyBorder="1" applyAlignment="1">
      <x:alignment horizontal="center" vertical="center" wrapText="1"/>
    </x:xf>
    <x:xf numFmtId="0" fontId="2" fillId="0" borderId="64" xfId="0" applyNumberFormat="1" applyFont="1" applyFill="1" applyBorder="1" applyAlignment="1">
      <x:alignment vertical="top" wrapText="1"/>
    </x:xf>
    <x:xf numFmtId="0" fontId="2" fillId="0" borderId="65" xfId="0" applyNumberFormat="1" applyFont="1" applyFill="1" applyBorder="1" applyAlignment="1">
      <x:alignment vertical="top" wrapText="1"/>
    </x:xf>
    <x:xf numFmtId="0" fontId="2" fillId="0" borderId="66" xfId="0" applyNumberFormat="1" applyFont="1" applyFill="1" applyBorder="1" applyAlignment="1">
      <x:alignment vertical="top" wrapText="1"/>
    </x:xf>
    <x:xf numFmtId="0" fontId="2" fillId="0" borderId="67" xfId="0" applyNumberFormat="1" applyFont="1" applyFill="1" applyBorder="1" applyAlignment="1">
      <x:alignment vertical="top" wrapText="1"/>
    </x:xf>
    <x:xf numFmtId="0" fontId="2" fillId="0" borderId="68" xfId="0" applyNumberFormat="1" applyFont="1" applyFill="1" applyBorder="1" applyAlignment="1">
      <x:alignment vertical="top" wrapText="1"/>
    </x:xf>
    <x:xf numFmtId="0" fontId="2" fillId="0" borderId="69" xfId="0" applyNumberFormat="1" applyFont="1" applyFill="1" applyBorder="1" applyAlignment="1">
      <x:alignment vertical="top" wrapText="1"/>
    </x:xf>
    <x:xf numFmtId="0" fontId="2" fillId="6" borderId="65" xfId="0" applyNumberFormat="1" applyFont="1" applyFill="1" applyBorder="1" applyAlignment="1">
      <x:alignment vertical="top" wrapText="1"/>
    </x:xf>
    <x:xf numFmtId="0" fontId="2" fillId="6" borderId="66" xfId="0" applyNumberFormat="1" applyFont="1" applyFill="1" applyBorder="1" applyAlignment="1">
      <x:alignment vertical="top" wrapText="1"/>
    </x:xf>
    <x:xf numFmtId="0" fontId="2" fillId="6" borderId="68" xfId="0" applyNumberFormat="1" applyFont="1" applyFill="1" applyBorder="1" applyAlignment="1">
      <x:alignment vertical="top" wrapText="1"/>
    </x:xf>
    <x:xf numFmtId="0" fontId="2" fillId="6" borderId="69" xfId="0" applyNumberFormat="1" applyFont="1" applyFill="1" applyBorder="1" applyAlignment="1">
      <x:alignment vertical="top" wrapText="1"/>
    </x:xf>
    <x:xf numFmtId="0" fontId="2" fillId="6" borderId="64" xfId="0" applyNumberFormat="1" applyFont="1" applyFill="1" applyBorder="1" applyAlignment="1">
      <x:alignment vertical="top" wrapText="1"/>
    </x:xf>
    <x:xf numFmtId="0" fontId="2" fillId="6" borderId="67" xfId="0" applyNumberFormat="1" applyFont="1" applyFill="1" applyBorder="1" applyAlignment="1">
      <x:alignment vertical="top" wrapText="1"/>
    </x:xf>
    <x:xf numFmtId="0" fontId="2" fillId="9" borderId="65" xfId="0" applyNumberFormat="1" applyFont="1" applyFill="1" applyBorder="1" applyAlignment="1">
      <x:alignment vertical="top" wrapText="1"/>
    </x:xf>
    <x:xf numFmtId="0" fontId="2" fillId="9" borderId="68" xfId="0" applyNumberFormat="1" applyFont="1" applyFill="1" applyBorder="1" applyAlignment="1">
      <x:alignment vertical="top" wrapText="1"/>
    </x:xf>
    <x:xf numFmtId="0" fontId="2" fillId="0" borderId="70" xfId="0" applyNumberFormat="1" applyFont="1" applyFill="1" applyBorder="1" applyAlignment="1">
      <x:alignment vertical="top" wrapText="1"/>
    </x:xf>
    <x:xf numFmtId="0" fontId="2" fillId="0" borderId="71" xfId="0" applyNumberFormat="1" applyFont="1" applyFill="1" applyBorder="1" applyAlignment="1">
      <x:alignment vertical="top" wrapText="1"/>
    </x:xf>
    <x:xf numFmtId="0" fontId="2" fillId="6" borderId="70" xfId="0" applyNumberFormat="1" applyFont="1" applyFill="1" applyBorder="1" applyAlignment="1">
      <x:alignment vertical="top" wrapText="1"/>
    </x:xf>
    <x:xf numFmtId="0" fontId="2" fillId="6" borderId="71" xfId="0" applyNumberFormat="1" applyFont="1" applyFill="1" applyBorder="1" applyAlignment="1">
      <x:alignment vertical="top" wrapText="1"/>
    </x:xf>
    <x:xf numFmtId="0" fontId="3" fillId="4" borderId="61" xfId="0" applyNumberFormat="1" applyFont="1" applyFill="1" applyBorder="1"/>
    <x:xf numFmtId="0" fontId="3" fillId="4" borderId="62" xfId="0" applyNumberFormat="1" applyFont="1" applyFill="1" applyBorder="1"/>
    <x:xf numFmtId="176" fontId="3" fillId="4" borderId="62" xfId="0" applyNumberFormat="1" applyFont="1" applyFill="1" applyBorder="1"/>
    <x:xf numFmtId="0" fontId="3" fillId="4" borderId="63" xfId="0" applyNumberFormat="1" applyFont="1" applyFill="1" applyBorder="1"/>
    <x:xf numFmtId="0" fontId="3" fillId="4" borderId="72" xfId="0" applyNumberFormat="1" applyFont="1" applyFill="1" applyBorder="1" applyAlignment="1">
      <x:alignment horizontal="center"/>
    </x:xf>
    <x:xf numFmtId="0" fontId="3" fillId="4" borderId="73" xfId="0" applyNumberFormat="1" applyFont="1" applyFill="1" applyBorder="1" applyAlignment="1">
      <x:alignment horizontal="center"/>
    </x:xf>
    <x:xf numFmtId="0" fontId="4" fillId="5" borderId="74" xfId="0" applyNumberFormat="1" applyFont="1" applyFill="1" applyBorder="1" applyAlignment="1">
      <x:alignment horizontal="center" vertical="center"/>
    </x:xf>
    <x:xf numFmtId="0" fontId="4" fillId="5" borderId="75" xfId="0" applyNumberFormat="1" applyFont="1" applyFill="1" applyBorder="1" applyAlignment="1">
      <x:alignment horizontal="center" vertical="center"/>
    </x:xf>
    <x:xf numFmtId="0" fontId="4" fillId="5" borderId="76" xfId="0" applyNumberFormat="1" applyFont="1" applyFill="1" applyBorder="1" applyAlignment="1">
      <x:alignment horizontal="center" vertical="center"/>
    </x:xf>
    <x:xf numFmtId="0" fontId="4" fillId="5" borderId="77" xfId="0" applyNumberFormat="1" applyFont="1" applyFill="1" applyBorder="1" applyAlignment="1">
      <x:alignment horizontal="center" vertical="center"/>
    </x:xf>
    <x:xf numFmtId="0" fontId="6" fillId="4" borderId="72" xfId="0" applyNumberFormat="1" applyFont="1" applyFill="1" applyBorder="1" applyAlignment="1">
      <x:alignment vertical="center"/>
    </x:xf>
    <x:xf numFmtId="0" fontId="6" fillId="4" borderId="78" xfId="0" applyNumberFormat="1" applyFont="1" applyFill="1" applyBorder="1" applyAlignment="1">
      <x:alignment vertical="center"/>
    </x:xf>
    <x:xf numFmtId="0" fontId="6" fillId="4" borderId="73" xfId="0" applyNumberFormat="1" applyFont="1" applyFill="1" applyBorder="1" applyAlignment="1">
      <x:alignment vertical="center"/>
    </x:xf>
    <x:xf numFmtId="0" fontId="2" fillId="4" borderId="46" xfId="0" applyNumberFormat="1" applyFont="1" applyFill="1" applyBorder="1" applyAlignment="1">
      <x:alignment wrapText="1"/>
    </x:xf>
    <x:xf numFmtId="0" fontId="7" fillId="4" borderId="72" xfId="0" applyNumberFormat="1" applyFont="1" applyFill="1" applyBorder="1" applyAlignment="1">
      <x:alignment horizontal="center"/>
    </x:xf>
    <x:xf numFmtId="0" fontId="7" fillId="4" borderId="73" xfId="0" applyNumberFormat="1" applyFont="1" applyFill="1" applyBorder="1" applyAlignment="1">
      <x:alignment horizontal="center"/>
    </x:xf>
    <x:xf numFmtId="0" fontId="4" fillId="9" borderId="74" xfId="0" applyNumberFormat="1" applyFont="1" applyFill="1" applyBorder="1" applyAlignment="1">
      <x:alignment horizontal="center" vertical="center"/>
    </x:xf>
    <x:xf numFmtId="0" fontId="4" fillId="9" borderId="75" xfId="0" applyNumberFormat="1" applyFont="1" applyFill="1" applyBorder="1" applyAlignment="1">
      <x:alignment horizontal="center" vertical="center"/>
    </x:xf>
    <x:xf numFmtId="0" fontId="4" fillId="9" borderId="76" xfId="0" applyNumberFormat="1" applyFont="1" applyFill="1" applyBorder="1" applyAlignment="1">
      <x:alignment horizontal="center" vertical="center"/>
    </x:xf>
    <x:xf numFmtId="0" fontId="4" fillId="9" borderId="77" xfId="0" applyNumberFormat="1" applyFont="1" applyFill="1" applyBorder="1" applyAlignment="1">
      <x:alignment horizontal="center" vertical="center"/>
    </x:xf>
    <x:xf numFmtId="0" fontId="4" fillId="10" borderId="74" xfId="0" applyNumberFormat="1" applyFont="1" applyFill="1" applyBorder="1" applyAlignment="1">
      <x:alignment horizontal="center" vertical="center"/>
    </x:xf>
    <x:xf numFmtId="0" fontId="4" fillId="10" borderId="75" xfId="0" applyNumberFormat="1" applyFont="1" applyFill="1" applyBorder="1" applyAlignment="1">
      <x:alignment horizontal="center" vertical="center"/>
    </x:xf>
    <x:xf numFmtId="0" fontId="4" fillId="10" borderId="76" xfId="0" applyNumberFormat="1" applyFont="1" applyFill="1" applyBorder="1" applyAlignment="1">
      <x:alignment horizontal="center" vertical="center"/>
    </x:xf>
    <x:xf numFmtId="0" fontId="4" fillId="10" borderId="77" xfId="0" applyNumberFormat="1" applyFont="1" applyFill="1" applyBorder="1" applyAlignment="1">
      <x:alignment horizontal="center" vertical="center"/>
    </x:xf>
    <x:xf numFmtId="0" fontId="4" fillId="6" borderId="74" xfId="0" applyNumberFormat="1" applyFont="1" applyFill="1" applyBorder="1" applyAlignment="1">
      <x:alignment horizontal="center" vertical="center"/>
    </x:xf>
    <x:xf numFmtId="0" fontId="4" fillId="6" borderId="75" xfId="0" applyNumberFormat="1" applyFont="1" applyFill="1" applyBorder="1" applyAlignment="1">
      <x:alignment horizontal="center" vertical="center"/>
    </x:xf>
    <x:xf numFmtId="0" fontId="4" fillId="6" borderId="76" xfId="0" applyNumberFormat="1" applyFont="1" applyFill="1" applyBorder="1" applyAlignment="1">
      <x:alignment horizontal="center" vertical="center"/>
    </x:xf>
    <x:xf numFmtId="0" fontId="4" fillId="6" borderId="77" xfId="0" applyNumberFormat="1" applyFont="1" applyFill="1" applyBorder="1" applyAlignment="1">
      <x:alignment horizontal="center" vertical="center"/>
    </x:xf>
    <x:xf numFmtId="0" fontId="4" fillId="0" borderId="74" xfId="0" applyNumberFormat="1" applyFont="1" applyFill="1" applyBorder="1" applyAlignment="1">
      <x:alignment horizontal="center" vertical="center"/>
    </x:xf>
    <x:xf numFmtId="0" fontId="4" fillId="0" borderId="75" xfId="0" applyNumberFormat="1" applyFont="1" applyFill="1" applyBorder="1" applyAlignment="1">
      <x:alignment horizontal="center" vertical="center"/>
    </x:xf>
    <x:xf numFmtId="0" fontId="4" fillId="0" borderId="76" xfId="0" applyNumberFormat="1" applyFont="1" applyFill="1" applyBorder="1" applyAlignment="1">
      <x:alignment horizontal="center" vertical="center"/>
    </x:xf>
    <x:xf numFmtId="0" fontId="4" fillId="0" borderId="77" xfId="0" applyNumberFormat="1" applyFont="1" applyFill="1" applyBorder="1" applyAlignment="1">
      <x:alignment horizontal="center" vertical="center"/>
    </x:xf>
    <x:xf numFmtId="0" fontId="1" fillId="2" borderId="46" xfId="0" applyNumberFormat="1" applyFont="1" applyFill="1" applyBorder="1" applyAlignment="1">
      <x:alignment vertical="center"/>
    </x:xf>
    <x:xf numFmtId="0" fontId="9" fillId="2" borderId="46" xfId="0" applyNumberFormat="1" applyFont="1" applyFill="1" applyBorder="1" applyAlignment="1">
      <x:alignment vertical="center"/>
    </x:xf>
    <x:xf numFmtId="0" fontId="2" fillId="4" borderId="47" xfId="0" applyNumberFormat="1" applyFont="1" applyFill="1" applyBorder="1" applyAlignment="1">
      <x:alignment wrapText="1"/>
    </x:xf>
    <x:xf numFmtId="0" fontId="2" fillId="4" borderId="49" xfId="0" applyNumberFormat="1" applyFont="1" applyFill="1" applyBorder="1" applyAlignment="1">
      <x:alignment wrapText="1"/>
    </x:xf>
    <x:xf numFmtId="0" fontId="2" fillId="4" borderId="48" xfId="0" applyNumberFormat="1" applyFont="1" applyFill="1" applyBorder="1" applyAlignment="1">
      <x:alignment wrapText="1"/>
    </x:xf>
    <x:xf numFmtId="0" fontId="7" fillId="4" borderId="47" xfId="0" applyNumberFormat="1" applyFont="1" applyFill="1" applyBorder="1" applyAlignment="1">
      <x:alignment horizontal="center"/>
    </x:xf>
    <x:xf numFmtId="0" fontId="7" fillId="4" borderId="48" xfId="0" applyNumberFormat="1" applyFont="1" applyFill="1" applyBorder="1" applyAlignment="1">
      <x:alignment horizontal="center"/>
    </x:xf>
    <x:xf numFmtId="0" fontId="4" fillId="16" borderId="79" xfId="0" applyNumberFormat="1" applyFont="1" applyFill="1" applyBorder="1" applyAlignment="1">
      <x:alignment horizontal="center" vertical="center"/>
    </x:xf>
    <x:xf numFmtId="0" fontId="4" fillId="16" borderId="80" xfId="0" applyNumberFormat="1" applyFont="1" applyFill="1" applyBorder="1" applyAlignment="1">
      <x:alignment horizontal="center" vertical="center"/>
    </x:xf>
    <x:xf numFmtId="0" fontId="4" fillId="16" borderId="81" xfId="0" applyNumberFormat="1" applyFont="1" applyFill="1" applyBorder="1" applyAlignment="1">
      <x:alignment horizontal="center" vertical="center"/>
    </x:xf>
    <x:xf numFmtId="0" fontId="4" fillId="16" borderId="82" xfId="0" applyNumberFormat="1" applyFont="1" applyFill="1" applyBorder="1" applyAlignment="1">
      <x:alignment horizontal="center" vertical="center"/>
    </x:xf>
    <x:xf numFmtId="0" fontId="4" fillId="9" borderId="79" xfId="0" applyNumberFormat="1" applyFont="1" applyFill="1" applyBorder="1" applyAlignment="1">
      <x:alignment horizontal="center" vertical="center"/>
    </x:xf>
    <x:xf numFmtId="0" fontId="4" fillId="9" borderId="80" xfId="0" applyNumberFormat="1" applyFont="1" applyFill="1" applyBorder="1" applyAlignment="1">
      <x:alignment horizontal="center" vertical="center"/>
    </x:xf>
    <x:xf numFmtId="0" fontId="4" fillId="9" borderId="81" xfId="0" applyNumberFormat="1" applyFont="1" applyFill="1" applyBorder="1" applyAlignment="1">
      <x:alignment horizontal="center" vertical="center"/>
    </x:xf>
    <x:xf numFmtId="0" fontId="4" fillId="9" borderId="82" xfId="0" applyNumberFormat="1" applyFont="1" applyFill="1" applyBorder="1" applyAlignment="1">
      <x:alignment horizontal="center" vertical="center"/>
    </x:xf>
    <x:xf numFmtId="0" fontId="4" fillId="10" borderId="79" xfId="0" applyNumberFormat="1" applyFont="1" applyFill="1" applyBorder="1" applyAlignment="1">
      <x:alignment horizontal="center" vertical="center"/>
    </x:xf>
    <x:xf numFmtId="0" fontId="4" fillId="10" borderId="80" xfId="0" applyNumberFormat="1" applyFont="1" applyFill="1" applyBorder="1" applyAlignment="1">
      <x:alignment horizontal="center" vertical="center"/>
    </x:xf>
    <x:xf numFmtId="0" fontId="4" fillId="10" borderId="81" xfId="0" applyNumberFormat="1" applyFont="1" applyFill="1" applyBorder="1" applyAlignment="1">
      <x:alignment horizontal="center" vertical="center"/>
    </x:xf>
    <x:xf numFmtId="0" fontId="4" fillId="10" borderId="82" xfId="0" applyNumberFormat="1" applyFont="1" applyFill="1" applyBorder="1" applyAlignment="1">
      <x:alignment horizontal="center" vertical="center"/>
    </x:xf>
    <x:xf numFmtId="0" fontId="4" fillId="6" borderId="79" xfId="0" applyNumberFormat="1" applyFont="1" applyFill="1" applyBorder="1" applyAlignment="1">
      <x:alignment horizontal="center" vertical="center"/>
    </x:xf>
    <x:xf numFmtId="0" fontId="4" fillId="6" borderId="80" xfId="0" applyNumberFormat="1" applyFont="1" applyFill="1" applyBorder="1" applyAlignment="1">
      <x:alignment horizontal="center" vertical="center"/>
    </x:xf>
    <x:xf numFmtId="0" fontId="4" fillId="6" borderId="81" xfId="0" applyNumberFormat="1" applyFont="1" applyFill="1" applyBorder="1" applyAlignment="1">
      <x:alignment horizontal="center" vertical="center"/>
    </x:xf>
    <x:xf numFmtId="0" fontId="4" fillId="6" borderId="82" xfId="0" applyNumberFormat="1" applyFont="1" applyFill="1" applyBorder="1" applyAlignment="1">
      <x:alignment horizontal="center" vertical="center"/>
    </x:xf>
    <x:xf numFmtId="0" fontId="4" fillId="4" borderId="79" xfId="0" applyNumberFormat="1" applyFont="1" applyFill="1" applyBorder="1" applyAlignment="1">
      <x:alignment horizontal="center" vertical="center"/>
    </x:xf>
    <x:xf numFmtId="0" fontId="4" fillId="4" borderId="80" xfId="0" applyNumberFormat="1" applyFont="1" applyFill="1" applyBorder="1" applyAlignment="1">
      <x:alignment horizontal="center" vertical="center"/>
    </x:xf>
    <x:xf numFmtId="0" fontId="4" fillId="4" borderId="81" xfId="0" applyNumberFormat="1" applyFont="1" applyFill="1" applyBorder="1" applyAlignment="1">
      <x:alignment horizontal="center" vertical="center"/>
    </x:xf>
    <x:xf numFmtId="0" fontId="4" fillId="4" borderId="82" xfId="0" applyNumberFormat="1" applyFont="1" applyFill="1" applyBorder="1" applyAlignment="1">
      <x:alignment horizontal="center" vertical="center"/>
    </x:xf>
    <x:xf numFmtId="0" fontId="10" fillId="4" borderId="79" xfId="0" applyNumberFormat="1" applyFont="1" applyFill="1" applyBorder="1" applyAlignment="1">
      <x:alignment horizontal="center" vertical="center"/>
    </x:xf>
    <x:xf numFmtId="0" fontId="10" fillId="4" borderId="83" xfId="0" applyNumberFormat="1" applyFont="1" applyFill="1" applyBorder="1" applyAlignment="1">
      <x:alignment horizontal="center" vertical="center"/>
    </x:xf>
    <x:xf numFmtId="0" fontId="10" fillId="4" borderId="80" xfId="0" applyNumberFormat="1" applyFont="1" applyFill="1" applyBorder="1" applyAlignment="1">
      <x:alignment horizontal="center" vertical="center"/>
    </x:xf>
    <x:xf numFmtId="0" fontId="10" fillId="4" borderId="81" xfId="0" applyNumberFormat="1" applyFont="1" applyFill="1" applyBorder="1" applyAlignment="1">
      <x:alignment horizontal="center" vertical="center"/>
    </x:xf>
    <x:xf numFmtId="0" fontId="10" fillId="4" borderId="84" xfId="0" applyNumberFormat="1" applyFont="1" applyFill="1" applyBorder="1" applyAlignment="1">
      <x:alignment horizontal="center" vertical="center"/>
    </x:xf>
    <x:xf numFmtId="0" fontId="10" fillId="4" borderId="82" xfId="0" applyNumberFormat="1" applyFont="1" applyFill="1" applyBorder="1" applyAlignment="1">
      <x:alignment horizontal="center" vertical="center"/>
    </x:xf>
    <x:xf numFmtId="9" fontId="11" fillId="9" borderId="79" xfId="0" applyNumberFormat="1" applyFont="1" applyFill="1" applyBorder="1" applyAlignment="1">
      <x:alignment horizontal="center" vertical="center"/>
    </x:xf>
    <x:xf numFmtId="9" fontId="11" fillId="9" borderId="83" xfId="0" applyNumberFormat="1" applyFont="1" applyFill="1" applyBorder="1" applyAlignment="1">
      <x:alignment horizontal="center" vertical="center"/>
    </x:xf>
    <x:xf numFmtId="9" fontId="11" fillId="9" borderId="80" xfId="0" applyNumberFormat="1" applyFont="1" applyFill="1" applyBorder="1" applyAlignment="1">
      <x:alignment horizontal="center" vertical="center"/>
    </x:xf>
    <x:xf numFmtId="9" fontId="11" fillId="9" borderId="81" xfId="0" applyNumberFormat="1" applyFont="1" applyFill="1" applyBorder="1" applyAlignment="1">
      <x:alignment horizontal="center" vertical="center"/>
    </x:xf>
    <x:xf numFmtId="9" fontId="11" fillId="9" borderId="84" xfId="0" applyNumberFormat="1" applyFont="1" applyFill="1" applyBorder="1" applyAlignment="1">
      <x:alignment horizontal="center" vertical="center"/>
    </x:xf>
    <x:xf numFmtId="9" fontId="11" fillId="9" borderId="82" xfId="0" applyNumberFormat="1" applyFont="1" applyFill="1" applyBorder="1" applyAlignment="1">
      <x:alignment horizontal="center" vertical="center"/>
    </x:xf>
    <x:xf numFmtId="0" fontId="12" fillId="19" borderId="79" xfId="0" applyNumberFormat="1" applyFont="1" applyFill="1" applyBorder="1" applyAlignment="1">
      <x:alignment horizontal="center" vertical="center"/>
    </x:xf>
    <x:xf numFmtId="0" fontId="12" fillId="19" borderId="83" xfId="0" applyNumberFormat="1" applyFont="1" applyFill="1" applyBorder="1" applyAlignment="1">
      <x:alignment horizontal="center" vertical="center"/>
    </x:xf>
    <x:xf numFmtId="0" fontId="12" fillId="19" borderId="80" xfId="0" applyNumberFormat="1" applyFont="1" applyFill="1" applyBorder="1" applyAlignment="1">
      <x:alignment horizontal="center" vertical="center"/>
    </x:xf>
    <x:xf numFmtId="0" fontId="12" fillId="19" borderId="81" xfId="0" applyNumberFormat="1" applyFont="1" applyFill="1" applyBorder="1" applyAlignment="1">
      <x:alignment horizontal="center" vertical="center"/>
    </x:xf>
    <x:xf numFmtId="0" fontId="12" fillId="19" borderId="84" xfId="0" applyNumberFormat="1" applyFont="1" applyFill="1" applyBorder="1" applyAlignment="1">
      <x:alignment horizontal="center" vertical="center"/>
    </x:xf>
    <x:xf numFmtId="0" fontId="12" fillId="19" borderId="82" xfId="0" applyNumberFormat="1" applyFont="1" applyFill="1" applyBorder="1" applyAlignment="1">
      <x:alignment horizontal="center" vertical="center"/>
    </x:xf>
    <x:xf numFmtId="0" fontId="5" fillId="2" borderId="47" xfId="0" applyNumberFormat="1" applyFont="1" applyFill="1" applyBorder="1"/>
    <x:xf numFmtId="0" fontId="5" fillId="2" borderId="49" xfId="0" applyNumberFormat="1" applyFont="1" applyFill="1" applyBorder="1"/>
    <x:xf numFmtId="0" fontId="5" fillId="2" borderId="48" xfId="0" applyNumberFormat="1" applyFont="1" applyFill="1" applyBorder="1"/>
    <x:xf numFmtId="0" fontId="3" fillId="6" borderId="53" xfId="0" applyNumberFormat="1" applyFont="1" applyFill="1" applyBorder="1" applyAlignment="1">
      <x:alignment wrapText="1"/>
    </x:xf>
    <x:xf numFmtId="0" fontId="3" fillId="6" borderId="54" xfId="0" applyNumberFormat="1" applyFont="1" applyFill="1" applyBorder="1" applyAlignment="1">
      <x:alignment wrapText="1"/>
    </x:xf>
    <x:xf numFmtId="0" fontId="3" fillId="6" borderId="55" xfId="0" applyNumberFormat="1" applyFont="1" applyFill="1" applyBorder="1" applyAlignment="1">
      <x:alignment wrapText="1"/>
    </x:xf>
    <x:xf numFmtId="0" fontId="3" fillId="6" borderId="56" xfId="0" applyNumberFormat="1" applyFont="1" applyFill="1" applyBorder="1" applyAlignment="1">
      <x:alignment wrapText="1"/>
    </x:xf>
    <x:xf numFmtId="0" fontId="3" fillId="6" borderId="46" xfId="0" applyNumberFormat="1" applyFont="1" applyFill="1" applyBorder="1" applyAlignment="1">
      <x:alignment wrapText="1"/>
    </x:xf>
    <x:xf numFmtId="0" fontId="3" fillId="6" borderId="57" xfId="0" applyNumberFormat="1" applyFont="1" applyFill="1" applyBorder="1" applyAlignment="1">
      <x:alignment wrapText="1"/>
    </x:xf>
    <x:xf numFmtId="0" fontId="3" fillId="6" borderId="58" xfId="0" applyNumberFormat="1" applyFont="1" applyFill="1" applyBorder="1" applyAlignment="1">
      <x:alignment wrapText="1"/>
    </x:xf>
    <x:xf numFmtId="0" fontId="3" fillId="6" borderId="59" xfId="0" applyNumberFormat="1" applyFont="1" applyFill="1" applyBorder="1" applyAlignment="1">
      <x:alignment wrapText="1"/>
    </x:xf>
    <x:xf numFmtId="0" fontId="3" fillId="6" borderId="60" xfId="0" applyNumberFormat="1" applyFont="1" applyFill="1" applyBorder="1" applyAlignment="1">
      <x:alignment wrapText="1"/>
    </x:xf>
    <x:xf numFmtId="0" fontId="2" fillId="4" borderId="53" xfId="0" applyNumberFormat="1" applyFont="1" applyFill="1" applyBorder="1" applyAlignment="1">
      <x:alignment vertical="center" wrapText="1"/>
    </x:xf>
    <x:xf numFmtId="0" fontId="2" fillId="4" borderId="54" xfId="0" applyNumberFormat="1" applyFont="1" applyFill="1" applyBorder="1" applyAlignment="1">
      <x:alignment vertical="center" wrapText="1"/>
    </x:xf>
    <x:xf numFmtId="0" fontId="2" fillId="4" borderId="55" xfId="0" applyNumberFormat="1" applyFont="1" applyFill="1" applyBorder="1" applyAlignment="1">
      <x:alignment vertical="center" wrapText="1"/>
    </x:xf>
    <x:xf numFmtId="0" fontId="2" fillId="4" borderId="58" xfId="0" applyNumberFormat="1" applyFont="1" applyFill="1" applyBorder="1" applyAlignment="1">
      <x:alignment vertical="center" wrapText="1"/>
    </x:xf>
    <x:xf numFmtId="0" fontId="2" fillId="4" borderId="59" xfId="0" applyNumberFormat="1" applyFont="1" applyFill="1" applyBorder="1" applyAlignment="1">
      <x:alignment vertical="center" wrapText="1"/>
    </x:xf>
    <x:xf numFmtId="0" fontId="2" fillId="4" borderId="60" xfId="0" applyNumberFormat="1" applyFont="1" applyFill="1" applyBorder="1" applyAlignment="1">
      <x:alignment vertical="center" wrapText="1"/>
    </x:xf>
    <x:xf numFmtId="0" fontId="2" fillId="4" borderId="64" xfId="0" applyNumberFormat="1" applyFont="1" applyFill="1" applyBorder="1" applyAlignment="1">
      <x:alignment vertical="center" wrapText="1"/>
    </x:xf>
    <x:xf numFmtId="0" fontId="2" fillId="4" borderId="65" xfId="0" applyNumberFormat="1" applyFont="1" applyFill="1" applyBorder="1" applyAlignment="1">
      <x:alignment vertical="center" wrapText="1"/>
    </x:xf>
    <x:xf numFmtId="0" fontId="2" fillId="4" borderId="66" xfId="0" applyNumberFormat="1" applyFont="1" applyFill="1" applyBorder="1" applyAlignment="1">
      <x:alignment vertical="center" wrapText="1"/>
    </x:xf>
    <x:xf numFmtId="0" fontId="2" fillId="4" borderId="67" xfId="0" applyNumberFormat="1" applyFont="1" applyFill="1" applyBorder="1" applyAlignment="1">
      <x:alignment vertical="center" wrapText="1"/>
    </x:xf>
    <x:xf numFmtId="0" fontId="2" fillId="4" borderId="68" xfId="0" applyNumberFormat="1" applyFont="1" applyFill="1" applyBorder="1" applyAlignment="1">
      <x:alignment vertical="center" wrapText="1"/>
    </x:xf>
    <x:xf numFmtId="0" fontId="2" fillId="4" borderId="69" xfId="0" applyNumberFormat="1" applyFont="1" applyFill="1" applyBorder="1" applyAlignment="1">
      <x:alignment vertical="center" wrapText="1"/>
    </x:xf>
    <x:xf numFmtId="0" fontId="7" fillId="6" borderId="64" xfId="0" applyNumberFormat="1" applyFont="1" applyFill="1" applyBorder="1" applyAlignment="1">
      <x:alignment wrapText="1"/>
    </x:xf>
    <x:xf numFmtId="0" fontId="7" fillId="6" borderId="65" xfId="0" applyNumberFormat="1" applyFont="1" applyFill="1" applyBorder="1" applyAlignment="1">
      <x:alignment wrapText="1"/>
    </x:xf>
    <x:xf numFmtId="0" fontId="7" fillId="6" borderId="66" xfId="0" applyNumberFormat="1" applyFont="1" applyFill="1" applyBorder="1" applyAlignment="1">
      <x:alignment wrapText="1"/>
    </x:xf>
    <x:xf numFmtId="0" fontId="7" fillId="6" borderId="67" xfId="0" applyNumberFormat="1" applyFont="1" applyFill="1" applyBorder="1" applyAlignment="1">
      <x:alignment wrapText="1"/>
    </x:xf>
    <x:xf numFmtId="0" fontId="7" fillId="6" borderId="68" xfId="0" applyNumberFormat="1" applyFont="1" applyFill="1" applyBorder="1" applyAlignment="1">
      <x:alignment wrapText="1"/>
    </x:xf>
    <x:xf numFmtId="0" fontId="7" fillId="6" borderId="69" xfId="0" applyNumberFormat="1" applyFont="1" applyFill="1" applyBorder="1" applyAlignment="1">
      <x:alignment wrapText="1"/>
    </x:xf>
    <x:xf numFmtId="0" fontId="2" fillId="4" borderId="64" xfId="0" applyNumberFormat="1" applyFont="1" applyFill="1" applyBorder="1" applyAlignment="1">
      <x:alignment wrapText="1"/>
    </x:xf>
    <x:xf numFmtId="0" fontId="2" fillId="4" borderId="65" xfId="0" applyNumberFormat="1" applyFont="1" applyFill="1" applyBorder="1" applyAlignment="1">
      <x:alignment wrapText="1"/>
    </x:xf>
    <x:xf numFmtId="0" fontId="2" fillId="4" borderId="66" xfId="0" applyNumberFormat="1" applyFont="1" applyFill="1" applyBorder="1" applyAlignment="1">
      <x:alignment wrapText="1"/>
    </x:xf>
    <x:xf numFmtId="0" fontId="2" fillId="4" borderId="67" xfId="0" applyNumberFormat="1" applyFont="1" applyFill="1" applyBorder="1" applyAlignment="1">
      <x:alignment wrapText="1"/>
    </x:xf>
    <x:xf numFmtId="0" fontId="2" fillId="4" borderId="68" xfId="0" applyNumberFormat="1" applyFont="1" applyFill="1" applyBorder="1" applyAlignment="1">
      <x:alignment wrapText="1"/>
    </x:xf>
    <x:xf numFmtId="0" fontId="2" fillId="4" borderId="69" xfId="0" applyNumberFormat="1" applyFont="1" applyFill="1" applyBorder="1" applyAlignment="1">
      <x:alignment wrapText="1"/>
    </x:xf>
    <x:xf numFmtId="0" fontId="1" fillId="2" borderId="46" xfId="0" applyNumberFormat="1" applyFont="1" applyFill="1" applyBorder="1" applyAlignment="1">
      <x:alignment horizontal="center" vertical="center"/>
    </x:xf>
    <x:xf numFmtId="0" fontId="2" fillId="3" borderId="72" xfId="0" applyNumberFormat="1" applyFont="1" applyFill="1" applyBorder="1" applyAlignment="1">
      <x:alignment vertical="center" wrapText="1"/>
    </x:xf>
    <x:xf numFmtId="0" fontId="2" fillId="3" borderId="78" xfId="0" applyNumberFormat="1" applyFont="1" applyFill="1" applyBorder="1" applyAlignment="1">
      <x:alignment vertical="center" wrapText="1"/>
    </x:xf>
    <x:xf numFmtId="0" fontId="2" fillId="3" borderId="73" xfId="0" applyNumberFormat="1" applyFont="1" applyFill="1" applyBorder="1" applyAlignment="1">
      <x:alignment vertical="center" wrapText="1"/>
    </x:xf>
    <x:xf numFmtId="0" fontId="5" fillId="2" borderId="85" xfId="0" applyNumberFormat="1" applyFont="1" applyFill="1" applyBorder="1" applyAlignment="1">
      <x:alignment horizontal="center" vertical="center" wrapText="1"/>
    </x:xf>
    <x:xf numFmtId="0" fontId="2" fillId="0" borderId="85" xfId="0" applyNumberFormat="1" applyFont="1" applyFill="1" applyBorder="1" applyAlignment="1">
      <x:alignment horizontal="center" vertical="center" wrapText="1"/>
    </x:xf>
    <x:xf numFmtId="0" fontId="0" fillId="5" borderId="74" xfId="0" applyNumberFormat="1" applyFont="1" applyFill="1" applyBorder="1" applyAlignment="1">
      <x:alignment vertical="center" wrapText="1"/>
    </x:xf>
    <x:xf numFmtId="0" fontId="0" fillId="5" borderId="86" xfId="0" applyNumberFormat="1" applyFont="1" applyFill="1" applyBorder="1" applyAlignment="1">
      <x:alignment vertical="center" wrapText="1"/>
    </x:xf>
    <x:xf numFmtId="0" fontId="0" fillId="5" borderId="75" xfId="0" applyNumberFormat="1" applyFont="1" applyFill="1" applyBorder="1" applyAlignment="1">
      <x:alignment vertical="center" wrapText="1"/>
    </x:xf>
    <x:xf numFmtId="0" fontId="0" fillId="5" borderId="87" xfId="0" applyNumberFormat="1" applyFont="1" applyFill="1" applyBorder="1" applyAlignment="1">
      <x:alignment vertical="center" wrapText="1"/>
    </x:xf>
    <x:xf numFmtId="0" fontId="0" fillId="5" borderId="46" xfId="0" applyNumberFormat="1" applyFont="1" applyFill="1" applyBorder="1" applyAlignment="1">
      <x:alignment vertical="center" wrapText="1"/>
    </x:xf>
    <x:xf numFmtId="0" fontId="0" fillId="5" borderId="88" xfId="0" applyNumberFormat="1" applyFont="1" applyFill="1" applyBorder="1" applyAlignment="1">
      <x:alignment vertical="center" wrapText="1"/>
    </x:xf>
    <x:xf numFmtId="0" fontId="0" fillId="5" borderId="76" xfId="0" applyNumberFormat="1" applyFont="1" applyFill="1" applyBorder="1" applyAlignment="1">
      <x:alignment vertical="center" wrapText="1"/>
    </x:xf>
    <x:xf numFmtId="0" fontId="0" fillId="5" borderId="89" xfId="0" applyNumberFormat="1" applyFont="1" applyFill="1" applyBorder="1" applyAlignment="1">
      <x:alignment vertical="center" wrapText="1"/>
    </x:xf>
    <x:xf numFmtId="0" fontId="0" fillId="5" borderId="77" xfId="0" applyNumberFormat="1" applyFont="1" applyFill="1" applyBorder="1" applyAlignment="1">
      <x:alignment vertical="center" wrapText="1"/>
    </x:xf>
    <x:xf numFmtId="0" fontId="3" fillId="6" borderId="74" xfId="0" applyNumberFormat="1" applyFont="1" applyFill="1" applyBorder="1" applyAlignment="1">
      <x:alignment vertical="center" wrapText="1"/>
    </x:xf>
    <x:xf numFmtId="0" fontId="3" fillId="6" borderId="86" xfId="0" applyNumberFormat="1" applyFont="1" applyFill="1" applyBorder="1" applyAlignment="1">
      <x:alignment vertical="center" wrapText="1"/>
    </x:xf>
    <x:xf numFmtId="0" fontId="3" fillId="6" borderId="75" xfId="0" applyNumberFormat="1" applyFont="1" applyFill="1" applyBorder="1" applyAlignment="1">
      <x:alignment vertical="center" wrapText="1"/>
    </x:xf>
    <x:xf numFmtId="0" fontId="3" fillId="6" borderId="76" xfId="0" applyNumberFormat="1" applyFont="1" applyFill="1" applyBorder="1" applyAlignment="1">
      <x:alignment vertical="center" wrapText="1"/>
    </x:xf>
    <x:xf numFmtId="0" fontId="3" fillId="6" borderId="89" xfId="0" applyNumberFormat="1" applyFont="1" applyFill="1" applyBorder="1" applyAlignment="1">
      <x:alignment vertical="center" wrapText="1"/>
    </x:xf>
    <x:xf numFmtId="0" fontId="3" fillId="6" borderId="77" xfId="0" applyNumberFormat="1" applyFont="1" applyFill="1" applyBorder="1" applyAlignment="1">
      <x:alignment vertical="center" wrapText="1"/>
    </x:xf>
    <x:xf numFmtId="0" fontId="3" fillId="9" borderId="74" xfId="0" applyNumberFormat="1" applyFont="1" applyFill="1" applyBorder="1" applyAlignment="1">
      <x:alignment vertical="center" wrapText="1"/>
    </x:xf>
    <x:xf numFmtId="0" fontId="3" fillId="9" borderId="86" xfId="0" applyNumberFormat="1" applyFont="1" applyFill="1" applyBorder="1" applyAlignment="1">
      <x:alignment vertical="center" wrapText="1"/>
    </x:xf>
    <x:xf numFmtId="0" fontId="3" fillId="9" borderId="75" xfId="0" applyNumberFormat="1" applyFont="1" applyFill="1" applyBorder="1" applyAlignment="1">
      <x:alignment vertical="center" wrapText="1"/>
    </x:xf>
    <x:xf numFmtId="0" fontId="3" fillId="9" borderId="76" xfId="0" applyNumberFormat="1" applyFont="1" applyFill="1" applyBorder="1" applyAlignment="1">
      <x:alignment vertical="center" wrapText="1"/>
    </x:xf>
    <x:xf numFmtId="0" fontId="3" fillId="9" borderId="89" xfId="0" applyNumberFormat="1" applyFont="1" applyFill="1" applyBorder="1" applyAlignment="1">
      <x:alignment vertical="center" wrapText="1"/>
    </x:xf>
    <x:xf numFmtId="0" fontId="3" fillId="9" borderId="77" xfId="0" applyNumberFormat="1" applyFont="1" applyFill="1" applyBorder="1" applyAlignment="1">
      <x:alignment vertical="center" wrapText="1"/>
    </x:xf>
    <x:xf numFmtId="0" fontId="3" fillId="4" borderId="79" xfId="0" applyNumberFormat="1" applyFont="1" applyFill="1" applyBorder="1" applyAlignment="1">
      <x:alignment vertical="center" wrapText="1"/>
    </x:xf>
    <x:xf numFmtId="0" fontId="3" fillId="4" borderId="83" xfId="0" applyNumberFormat="1" applyFont="1" applyFill="1" applyBorder="1" applyAlignment="1">
      <x:alignment vertical="center" wrapText="1"/>
    </x:xf>
    <x:xf numFmtId="0" fontId="3" fillId="4" borderId="80" xfId="0" applyNumberFormat="1" applyFont="1" applyFill="1" applyBorder="1" applyAlignment="1">
      <x:alignment vertical="center" wrapText="1"/>
    </x:xf>
    <x:xf numFmtId="0" fontId="3" fillId="4" borderId="90" xfId="0" applyNumberFormat="1" applyFont="1" applyFill="1" applyBorder="1" applyAlignment="1">
      <x:alignment vertical="center" wrapText="1"/>
    </x:xf>
    <x:xf numFmtId="0" fontId="3" fillId="4" borderId="46" xfId="0" applyNumberFormat="1" applyFont="1" applyFill="1" applyBorder="1" applyAlignment="1">
      <x:alignment vertical="center" wrapText="1"/>
    </x:xf>
    <x:xf numFmtId="0" fontId="3" fillId="4" borderId="91" xfId="0" applyNumberFormat="1" applyFont="1" applyFill="1" applyBorder="1" applyAlignment="1">
      <x:alignment vertical="center" wrapText="1"/>
    </x:xf>
    <x:xf numFmtId="0" fontId="3" fillId="4" borderId="81" xfId="0" applyNumberFormat="1" applyFont="1" applyFill="1" applyBorder="1" applyAlignment="1">
      <x:alignment vertical="center" wrapText="1"/>
    </x:xf>
    <x:xf numFmtId="0" fontId="3" fillId="4" borderId="84" xfId="0" applyNumberFormat="1" applyFont="1" applyFill="1" applyBorder="1" applyAlignment="1">
      <x:alignment vertical="center" wrapText="1"/>
    </x:xf>
    <x:xf numFmtId="0" fontId="3" fillId="4" borderId="82" xfId="0" applyNumberFormat="1" applyFont="1" applyFill="1" applyBorder="1" applyAlignment="1">
      <x:alignment vertical="center" wrapText="1"/>
    </x:xf>
    <x:xf numFmtId="0" fontId="3" fillId="4" borderId="53" xfId="0" applyNumberFormat="1" applyFont="1" applyFill="1" applyBorder="1" applyAlignment="1">
      <x:alignment vertical="center" wrapText="1"/>
    </x:xf>
    <x:xf numFmtId="0" fontId="3" fillId="4" borderId="54" xfId="0" applyNumberFormat="1" applyFont="1" applyFill="1" applyBorder="1" applyAlignment="1">
      <x:alignment vertical="center" wrapText="1"/>
    </x:xf>
    <x:xf numFmtId="0" fontId="3" fillId="4" borderId="55" xfId="0" applyNumberFormat="1" applyFont="1" applyFill="1" applyBorder="1" applyAlignment="1">
      <x:alignment vertical="center" wrapText="1"/>
    </x:xf>
    <x:xf numFmtId="0" fontId="3" fillId="4" borderId="56" xfId="0" applyNumberFormat="1" applyFont="1" applyFill="1" applyBorder="1" applyAlignment="1">
      <x:alignment vertical="center" wrapText="1"/>
    </x:xf>
    <x:xf numFmtId="0" fontId="3" fillId="4" borderId="57" xfId="0" applyNumberFormat="1" applyFont="1" applyFill="1" applyBorder="1" applyAlignment="1">
      <x:alignment vertical="center" wrapText="1"/>
    </x:xf>
    <x:xf numFmtId="0" fontId="3" fillId="4" borderId="58" xfId="0" applyNumberFormat="1" applyFont="1" applyFill="1" applyBorder="1" applyAlignment="1">
      <x:alignment vertical="center" wrapText="1"/>
    </x:xf>
    <x:xf numFmtId="0" fontId="3" fillId="4" borderId="59" xfId="0" applyNumberFormat="1" applyFont="1" applyFill="1" applyBorder="1" applyAlignment="1">
      <x:alignment vertical="center" wrapText="1"/>
    </x:xf>
    <x:xf numFmtId="0" fontId="3" fillId="4" borderId="60" xfId="0" applyNumberFormat="1" applyFont="1" applyFill="1" applyBorder="1" applyAlignment="1">
      <x:alignment vertical="center" wrapText="1"/>
    </x:xf>
    <x:xf numFmtId="0" fontId="7" fillId="4" borderId="64" xfId="0" applyNumberFormat="1" applyFont="1" applyFill="1" applyBorder="1" applyAlignment="1">
      <x:alignment vertical="center" wrapText="1"/>
    </x:xf>
    <x:xf numFmtId="0" fontId="7" fillId="4" borderId="65" xfId="0" applyNumberFormat="1" applyFont="1" applyFill="1" applyBorder="1" applyAlignment="1">
      <x:alignment vertical="center" wrapText="1"/>
    </x:xf>
    <x:xf numFmtId="0" fontId="7" fillId="4" borderId="66" xfId="0" applyNumberFormat="1" applyFont="1" applyFill="1" applyBorder="1" applyAlignment="1">
      <x:alignment vertical="center" wrapText="1"/>
    </x:xf>
    <x:xf numFmtId="0" fontId="7" fillId="4" borderId="70" xfId="0" applyNumberFormat="1" applyFont="1" applyFill="1" applyBorder="1" applyAlignment="1">
      <x:alignment vertical="center" wrapText="1"/>
    </x:xf>
    <x:xf numFmtId="0" fontId="7" fillId="4" borderId="46" xfId="0" applyNumberFormat="1" applyFont="1" applyFill="1" applyBorder="1" applyAlignment="1">
      <x:alignment vertical="center" wrapText="1"/>
    </x:xf>
    <x:xf numFmtId="0" fontId="7" fillId="4" borderId="71" xfId="0" applyNumberFormat="1" applyFont="1" applyFill="1" applyBorder="1" applyAlignment="1">
      <x:alignment vertical="center" wrapText="1"/>
    </x:xf>
    <x:xf numFmtId="0" fontId="7" fillId="4" borderId="67" xfId="0" applyNumberFormat="1" applyFont="1" applyFill="1" applyBorder="1" applyAlignment="1">
      <x:alignment vertical="center" wrapText="1"/>
    </x:xf>
    <x:xf numFmtId="0" fontId="7" fillId="4" borderId="68" xfId="0" applyNumberFormat="1" applyFont="1" applyFill="1" applyBorder="1" applyAlignment="1">
      <x:alignment vertical="center" wrapText="1"/>
    </x:xf>
    <x:xf numFmtId="0" fontId="7" fillId="4" borderId="69" xfId="0" applyNumberFormat="1" applyFont="1" applyFill="1" applyBorder="1" applyAlignment="1">
      <x:alignment vertical="center" wrapText="1"/>
    </x:xf>
    <x:xf numFmtId="0" fontId="2" fillId="0" borderId="46" xfId="0" applyNumberFormat="1" applyFont="1" applyFill="1" applyBorder="1" applyAlignment="1">
      <x:alignment horizontal="center" vertical="center" wrapText="1"/>
    </x:xf>
    <x:xf numFmtId="0" fontId="7" fillId="4" borderId="85" xfId="0" applyNumberFormat="1" applyFont="1" applyFill="1" applyBorder="1" applyAlignment="1">
      <x:alignment vertical="center"/>
    </x:xf>
    <x:xf numFmtId="0" fontId="0" fillId="0" borderId="85" xfId="0" applyNumberFormat="1" applyFont="1" applyFill="1" applyBorder="1" applyAlignment="1">
      <x:alignment vertical="center" wrapText="1"/>
    </x:xf>
    <x:xf numFmtId="0" fontId="8" fillId="2" borderId="85" xfId="0" applyNumberFormat="1" applyFont="1" applyFill="1" applyBorder="1" applyAlignment="1">
      <x:alignment horizontal="center" vertical="center" wrapText="1"/>
    </x:xf>
    <x:xf numFmtId="0" fontId="3" fillId="9" borderId="85" xfId="0" applyNumberFormat="1" applyFont="1" applyFill="1" applyBorder="1" applyAlignment="1">
      <x:alignment horizontal="center" vertical="center" wrapText="1"/>
    </x:xf>
    <x:xf numFmtId="0" fontId="3" fillId="6" borderId="85" xfId="0" applyNumberFormat="1" applyFont="1" applyFill="1" applyBorder="1" applyAlignment="1">
      <x:alignment horizontal="center" vertical="center" wrapText="1"/>
    </x:xf>
    <x:xf numFmtId="0" fontId="2" fillId="0" borderId="79" xfId="0" applyNumberFormat="1" applyFont="1" applyFill="1" applyBorder="1" applyAlignment="1">
      <x:alignment horizontal="center" vertical="center" wrapText="1"/>
    </x:xf>
    <x:xf numFmtId="0" fontId="2" fillId="0" borderId="83" xfId="0" applyNumberFormat="1" applyFont="1" applyFill="1" applyBorder="1" applyAlignment="1">
      <x:alignment horizontal="center" vertical="center" wrapText="1"/>
    </x:xf>
    <x:xf numFmtId="0" fontId="2" fillId="0" borderId="80" xfId="0" applyNumberFormat="1" applyFont="1" applyFill="1" applyBorder="1" applyAlignment="1">
      <x:alignment horizontal="center" vertical="center" wrapText="1"/>
    </x:xf>
    <x:xf numFmtId="0" fontId="2" fillId="0" borderId="90" xfId="0" applyNumberFormat="1" applyFont="1" applyFill="1" applyBorder="1" applyAlignment="1">
      <x:alignment horizontal="center" vertical="center" wrapText="1"/>
    </x:xf>
    <x:xf numFmtId="0" fontId="2" fillId="0" borderId="91" xfId="0" applyNumberFormat="1" applyFont="1" applyFill="1" applyBorder="1" applyAlignment="1">
      <x:alignment horizontal="center" vertical="center" wrapText="1"/>
    </x:xf>
    <x:xf numFmtId="0" fontId="2" fillId="0" borderId="81" xfId="0" applyNumberFormat="1" applyFont="1" applyFill="1" applyBorder="1" applyAlignment="1">
      <x:alignment horizontal="center" vertical="center" wrapText="1"/>
    </x:xf>
    <x:xf numFmtId="0" fontId="2" fillId="0" borderId="84" xfId="0" applyNumberFormat="1" applyFont="1" applyFill="1" applyBorder="1" applyAlignment="1">
      <x:alignment horizontal="center" vertical="center" wrapText="1"/>
    </x:xf>
    <x:xf numFmtId="0" fontId="2" fillId="0" borderId="82" xfId="0" applyNumberFormat="1" applyFont="1" applyFill="1" applyBorder="1" applyAlignment="1">
      <x:alignment horizontal="center" vertical="center" wrapText="1"/>
    </x:xf>
    <x:xf numFmtId="0" fontId="2" fillId="4" borderId="79" xfId="0" applyNumberFormat="1" applyFont="1" applyFill="1" applyBorder="1" applyAlignment="1">
      <x:alignment vertical="center" wrapText="1"/>
    </x:xf>
    <x:xf numFmtId="0" fontId="2" fillId="4" borderId="83" xfId="0" applyNumberFormat="1" applyFont="1" applyFill="1" applyBorder="1" applyAlignment="1">
      <x:alignment vertical="center" wrapText="1"/>
    </x:xf>
    <x:xf numFmtId="0" fontId="2" fillId="4" borderId="80" xfId="0" applyNumberFormat="1" applyFont="1" applyFill="1" applyBorder="1" applyAlignment="1">
      <x:alignment vertical="center" wrapText="1"/>
    </x:xf>
    <x:xf numFmtId="0" fontId="2" fillId="4" borderId="81" xfId="0" applyNumberFormat="1" applyFont="1" applyFill="1" applyBorder="1" applyAlignment="1">
      <x:alignment vertical="center" wrapText="1"/>
    </x:xf>
    <x:xf numFmtId="0" fontId="2" fillId="4" borderId="84" xfId="0" applyNumberFormat="1" applyFont="1" applyFill="1" applyBorder="1" applyAlignment="1">
      <x:alignment vertical="center" wrapText="1"/>
    </x:xf>
    <x:xf numFmtId="0" fontId="2" fillId="4" borderId="82" xfId="0" applyNumberFormat="1" applyFont="1" applyFill="1" applyBorder="1" applyAlignment="1">
      <x:alignment vertical="center" wrapText="1"/>
    </x:xf>
    <x:xf numFmtId="0" fontId="1" fillId="15" borderId="46" xfId="0" applyNumberFormat="1" applyFont="1" applyFill="1" applyBorder="1" applyAlignment="1">
      <x:alignment horizontal="center" vertical="center"/>
    </x:xf>
    <x:xf numFmtId="0" fontId="3" fillId="6" borderId="79" xfId="0" applyNumberFormat="1" applyFont="1" applyFill="1" applyBorder="1" applyAlignment="1">
      <x:alignment vertical="center" wrapText="1"/>
    </x:xf>
    <x:xf numFmtId="0" fontId="3" fillId="6" borderId="83" xfId="0" applyNumberFormat="1" applyFont="1" applyFill="1" applyBorder="1" applyAlignment="1">
      <x:alignment vertical="center" wrapText="1"/>
    </x:xf>
    <x:xf numFmtId="0" fontId="3" fillId="6" borderId="80" xfId="0" applyNumberFormat="1" applyFont="1" applyFill="1" applyBorder="1" applyAlignment="1">
      <x:alignment vertical="center" wrapText="1"/>
    </x:xf>
    <x:xf numFmtId="0" fontId="3" fillId="6" borderId="81" xfId="0" applyNumberFormat="1" applyFont="1" applyFill="1" applyBorder="1" applyAlignment="1">
      <x:alignment vertical="center" wrapText="1"/>
    </x:xf>
    <x:xf numFmtId="0" fontId="3" fillId="6" borderId="84" xfId="0" applyNumberFormat="1" applyFont="1" applyFill="1" applyBorder="1" applyAlignment="1">
      <x:alignment vertical="center" wrapText="1"/>
    </x:xf>
    <x:xf numFmtId="0" fontId="3" fillId="6" borderId="82" xfId="0" applyNumberFormat="1" applyFont="1" applyFill="1" applyBorder="1" applyAlignment="1">
      <x:alignment vertical="center" wrapText="1"/>
    </x:xf>
    <x:xf numFmtId="0" fontId="2" fillId="9" borderId="85" xfId="0" applyNumberFormat="1" applyFont="1" applyFill="1" applyBorder="1" applyAlignment="1">
      <x:alignment horizontal="center" vertical="center" wrapText="1"/>
    </x:xf>
    <x:xf numFmtId="0" fontId="7" fillId="6" borderId="79" xfId="0" applyNumberFormat="1" applyFont="1" applyFill="1" applyBorder="1" applyAlignment="1">
      <x:alignment vertical="center" wrapText="1"/>
    </x:xf>
    <x:xf numFmtId="0" fontId="7" fillId="6" borderId="83" xfId="0" applyNumberFormat="1" applyFont="1" applyFill="1" applyBorder="1" applyAlignment="1">
      <x:alignment vertical="center" wrapText="1"/>
    </x:xf>
    <x:xf numFmtId="0" fontId="7" fillId="6" borderId="80" xfId="0" applyNumberFormat="1" applyFont="1" applyFill="1" applyBorder="1" applyAlignment="1">
      <x:alignment vertical="center" wrapText="1"/>
    </x:xf>
    <x:xf numFmtId="0" fontId="7" fillId="6" borderId="90" xfId="0" applyNumberFormat="1" applyFont="1" applyFill="1" applyBorder="1" applyAlignment="1">
      <x:alignment vertical="center" wrapText="1"/>
    </x:xf>
    <x:xf numFmtId="0" fontId="7" fillId="6" borderId="46" xfId="0" applyNumberFormat="1" applyFont="1" applyFill="1" applyBorder="1" applyAlignment="1">
      <x:alignment vertical="center" wrapText="1"/>
    </x:xf>
    <x:xf numFmtId="0" fontId="7" fillId="6" borderId="91" xfId="0" applyNumberFormat="1" applyFont="1" applyFill="1" applyBorder="1" applyAlignment="1">
      <x:alignment vertical="center" wrapText="1"/>
    </x:xf>
    <x:xf numFmtId="0" fontId="7" fillId="6" borderId="81" xfId="0" applyNumberFormat="1" applyFont="1" applyFill="1" applyBorder="1" applyAlignment="1">
      <x:alignment vertical="center" wrapText="1"/>
    </x:xf>
    <x:xf numFmtId="0" fontId="7" fillId="6" borderId="84" xfId="0" applyNumberFormat="1" applyFont="1" applyFill="1" applyBorder="1" applyAlignment="1">
      <x:alignment vertical="center" wrapText="1"/>
    </x:xf>
    <x:xf numFmtId="0" fontId="7" fillId="6" borderId="82" xfId="0" applyNumberFormat="1" applyFont="1" applyFill="1" applyBorder="1" applyAlignment="1">
      <x:alignment vertical="center" wrapText="1"/>
    </x:xf>
    <x:xf numFmtId="0" fontId="0" fillId="29" borderId="0" xfId="0" applyNumberFormat="1" applyFont="1" applyFill="1" applyBorder="1"/>
    <x:xf numFmtId="0" fontId="1" fillId="29" borderId="0" xfId="0" applyNumberFormat="1" applyFont="1" applyFill="1" applyBorder="1"/>
    <x:xf numFmtId="0" fontId="1" fillId="29" borderId="0" xfId="0" applyNumberFormat="1" applyFont="1" applyFill="1" applyBorder="1" applyAlignment="1">
      <x:alignment vertical="center"/>
    </x:xf>
    <x:xf numFmtId="0" fontId="0" fillId="29" borderId="46" xfId="0" applyNumberFormat="1" applyFont="1" applyFill="1" applyBorder="1"/>
    <x:xf numFmtId="0" fontId="1" fillId="29" borderId="46" xfId="0" applyNumberFormat="1" applyFont="1" applyFill="1" applyBorder="1"/>
    <x:xf numFmtId="0" fontId="1" fillId="29" borderId="46" xfId="0" applyNumberFormat="1" applyFont="1" applyFill="1" applyBorder="1" applyAlignment="1">
      <x:alignment vertical="center"/>
    </x:xf>
    <x:xf numFmtId="0" fontId="0" fillId="30" borderId="0" xfId="0" applyNumberFormat="1" applyFont="1" applyFill="1" applyBorder="1"/>
    <x:xf numFmtId="0" fontId="2" fillId="30" borderId="0" xfId="0" applyNumberFormat="1" applyFont="1" applyFill="1" applyBorder="1"/>
    <x:xf numFmtId="0" fontId="2" fillId="30" borderId="4" xfId="0" applyNumberFormat="1" applyFont="1" applyFill="1" applyBorder="1"/>
    <x:xf numFmtId="0" fontId="2" fillId="30" borderId="8" xfId="0" applyNumberFormat="1" applyFont="1" applyFill="1" applyBorder="1"/>
    <x:xf numFmtId="0" fontId="2" fillId="30" borderId="5" xfId="0" applyNumberFormat="1" applyFont="1" applyFill="1" applyBorder="1"/>
    <x:xf numFmtId="0" fontId="2" fillId="30" borderId="6" xfId="0" applyNumberFormat="1" applyFont="1" applyFill="1" applyBorder="1"/>
    <x:xf numFmtId="0" fontId="2" fillId="30" borderId="11" xfId="0" applyNumberFormat="1" applyFont="1" applyFill="1" applyBorder="1"/>
    <x:xf numFmtId="0" fontId="2" fillId="30" borderId="7" xfId="0" applyNumberFormat="1" applyFont="1" applyFill="1" applyBorder="1"/>
    <x:xf numFmtId="0" fontId="2" fillId="30" borderId="4" xfId="0" applyNumberFormat="1" applyFont="1" applyFill="1" applyBorder="1" applyAlignment="1">
      <x:alignment wrapText="1"/>
    </x:xf>
    <x:xf numFmtId="0" fontId="2" fillId="30" borderId="8" xfId="0" applyNumberFormat="1" applyFont="1" applyFill="1" applyBorder="1" applyAlignment="1">
      <x:alignment wrapText="1"/>
    </x:xf>
    <x:xf numFmtId="0" fontId="2" fillId="30" borderId="5" xfId="0" applyNumberFormat="1" applyFont="1" applyFill="1" applyBorder="1" applyAlignment="1">
      <x:alignment wrapText="1"/>
    </x:xf>
    <x:xf numFmtId="0" fontId="2" fillId="30" borderId="6" xfId="0" applyNumberFormat="1" applyFont="1" applyFill="1" applyBorder="1" applyAlignment="1">
      <x:alignment wrapText="1"/>
    </x:xf>
    <x:xf numFmtId="0" fontId="2" fillId="30" borderId="11" xfId="0" applyNumberFormat="1" applyFont="1" applyFill="1" applyBorder="1" applyAlignment="1">
      <x:alignment wrapText="1"/>
    </x:xf>
    <x:xf numFmtId="0" fontId="2" fillId="30" borderId="7" xfId="0" applyNumberFormat="1" applyFont="1" applyFill="1" applyBorder="1" applyAlignment="1">
      <x:alignment wrapText="1"/>
    </x:xf>
    <x:xf numFmtId="0" fontId="2" fillId="30" borderId="4" xfId="0" applyNumberFormat="1" applyFont="1" applyFill="1" applyBorder="1" applyAlignment="1">
      <x:alignment vertical="center" wrapText="1"/>
    </x:xf>
    <x:xf numFmtId="0" fontId="2" fillId="30" borderId="8" xfId="0" applyNumberFormat="1" applyFont="1" applyFill="1" applyBorder="1" applyAlignment="1">
      <x:alignment vertical="center" wrapText="1"/>
    </x:xf>
    <x:xf numFmtId="0" fontId="2" fillId="30" borderId="5" xfId="0" applyNumberFormat="1" applyFont="1" applyFill="1" applyBorder="1" applyAlignment="1">
      <x:alignment vertical="center" wrapText="1"/>
    </x:xf>
    <x:xf numFmtId="0" fontId="2" fillId="30" borderId="6" xfId="0" applyNumberFormat="1" applyFont="1" applyFill="1" applyBorder="1" applyAlignment="1">
      <x:alignment vertical="center" wrapText="1"/>
    </x:xf>
    <x:xf numFmtId="0" fontId="2" fillId="30" borderId="11" xfId="0" applyNumberFormat="1" applyFont="1" applyFill="1" applyBorder="1" applyAlignment="1">
      <x:alignment vertical="center" wrapText="1"/>
    </x:xf>
    <x:xf numFmtId="0" fontId="2" fillId="30" borderId="7" xfId="0" applyNumberFormat="1" applyFont="1" applyFill="1" applyBorder="1" applyAlignment="1">
      <x:alignment vertical="center" wrapText="1"/>
    </x:xf>
    <x:xf numFmtId="0" fontId="0" fillId="30" borderId="46" xfId="0" applyNumberFormat="1" applyFont="1" applyFill="1" applyBorder="1"/>
    <x:xf numFmtId="0" fontId="2" fillId="30" borderId="46" xfId="0" applyNumberFormat="1" applyFont="1" applyFill="1" applyBorder="1"/>
    <x:xf numFmtId="0" fontId="2" fillId="30" borderId="74" xfId="0" applyNumberFormat="1" applyFont="1" applyFill="1" applyBorder="1"/>
    <x:xf numFmtId="0" fontId="2" fillId="30" borderId="86" xfId="0" applyNumberFormat="1" applyFont="1" applyFill="1" applyBorder="1"/>
    <x:xf numFmtId="0" fontId="2" fillId="30" borderId="75" xfId="0" applyNumberFormat="1" applyFont="1" applyFill="1" applyBorder="1"/>
    <x:xf numFmtId="0" fontId="2" fillId="30" borderId="76" xfId="0" applyNumberFormat="1" applyFont="1" applyFill="1" applyBorder="1"/>
    <x:xf numFmtId="0" fontId="2" fillId="30" borderId="89" xfId="0" applyNumberFormat="1" applyFont="1" applyFill="1" applyBorder="1"/>
    <x:xf numFmtId="0" fontId="2" fillId="30" borderId="77" xfId="0" applyNumberFormat="1" applyFont="1" applyFill="1" applyBorder="1"/>
    <x:xf numFmtId="0" fontId="2" fillId="30" borderId="74" xfId="0" applyNumberFormat="1" applyFont="1" applyFill="1" applyBorder="1" applyAlignment="1">
      <x:alignment wrapText="1"/>
    </x:xf>
    <x:xf numFmtId="0" fontId="2" fillId="30" borderId="86" xfId="0" applyNumberFormat="1" applyFont="1" applyFill="1" applyBorder="1" applyAlignment="1">
      <x:alignment wrapText="1"/>
    </x:xf>
    <x:xf numFmtId="0" fontId="2" fillId="30" borderId="75" xfId="0" applyNumberFormat="1" applyFont="1" applyFill="1" applyBorder="1" applyAlignment="1">
      <x:alignment wrapText="1"/>
    </x:xf>
    <x:xf numFmtId="0" fontId="2" fillId="30" borderId="76" xfId="0" applyNumberFormat="1" applyFont="1" applyFill="1" applyBorder="1" applyAlignment="1">
      <x:alignment wrapText="1"/>
    </x:xf>
    <x:xf numFmtId="0" fontId="2" fillId="30" borderId="89" xfId="0" applyNumberFormat="1" applyFont="1" applyFill="1" applyBorder="1" applyAlignment="1">
      <x:alignment wrapText="1"/>
    </x:xf>
    <x:xf numFmtId="0" fontId="2" fillId="30" borderId="77" xfId="0" applyNumberFormat="1" applyFont="1" applyFill="1" applyBorder="1" applyAlignment="1">
      <x:alignment wrapText="1"/>
    </x:xf>
    <x:xf numFmtId="0" fontId="2" fillId="30" borderId="74" xfId="0" applyNumberFormat="1" applyFont="1" applyFill="1" applyBorder="1" applyAlignment="1">
      <x:alignment vertical="center" wrapText="1"/>
    </x:xf>
    <x:xf numFmtId="0" fontId="2" fillId="30" borderId="86" xfId="0" applyNumberFormat="1" applyFont="1" applyFill="1" applyBorder="1" applyAlignment="1">
      <x:alignment vertical="center" wrapText="1"/>
    </x:xf>
    <x:xf numFmtId="0" fontId="2" fillId="30" borderId="75" xfId="0" applyNumberFormat="1" applyFont="1" applyFill="1" applyBorder="1" applyAlignment="1">
      <x:alignment vertical="center" wrapText="1"/>
    </x:xf>
    <x:xf numFmtId="0" fontId="2" fillId="30" borderId="76" xfId="0" applyNumberFormat="1" applyFont="1" applyFill="1" applyBorder="1" applyAlignment="1">
      <x:alignment vertical="center" wrapText="1"/>
    </x:xf>
    <x:xf numFmtId="0" fontId="2" fillId="30" borderId="89" xfId="0" applyNumberFormat="1" applyFont="1" applyFill="1" applyBorder="1" applyAlignment="1">
      <x:alignment vertical="center" wrapText="1"/>
    </x:xf>
    <x:xf numFmtId="0" fontId="2" fillId="30" borderId="77" xfId="0" applyNumberFormat="1" applyFont="1" applyFill="1" applyBorder="1" applyAlignment="1">
      <x:alignment vertical="center" wrapText="1"/>
    </x:xf>
    <x:xf numFmtId="0" fontId="8" fillId="29" borderId="0" xfId="0" applyNumberFormat="1" applyFont="1" applyFill="1" applyBorder="1"/>
    <x:xf numFmtId="0" fontId="8" fillId="29" borderId="1" xfId="0" applyNumberFormat="1" applyFont="1" applyFill="1" applyBorder="1"/>
    <x:xf numFmtId="0" fontId="8" fillId="29" borderId="2" xfId="0" applyNumberFormat="1" applyFont="1" applyFill="1" applyBorder="1"/>
    <x:xf numFmtId="0" fontId="8" fillId="29" borderId="3" xfId="0" applyNumberFormat="1" applyFont="1" applyFill="1" applyBorder="1"/>
    <x:xf numFmtId="0" fontId="8" fillId="29" borderId="1" xfId="0" applyNumberFormat="1" applyFont="1" applyFill="1" applyBorder="1" applyAlignment="1">
      <x:alignment wrapText="1"/>
    </x:xf>
    <x:xf numFmtId="0" fontId="8" fillId="29" borderId="2" xfId="0" applyNumberFormat="1" applyFont="1" applyFill="1" applyBorder="1" applyAlignment="1">
      <x:alignment wrapText="1"/>
    </x:xf>
    <x:xf numFmtId="0" fontId="8" fillId="29" borderId="3" xfId="0" applyNumberFormat="1" applyFont="1" applyFill="1" applyBorder="1" applyAlignment="1">
      <x:alignment wrapText="1"/>
    </x:xf>
    <x:xf numFmtId="0" fontId="8" fillId="29" borderId="1" xfId="0" applyNumberFormat="1" applyFont="1" applyFill="1" applyBorder="1" applyAlignment="1">
      <x:alignment horizontal="center" wrapText="1"/>
    </x:xf>
    <x:xf numFmtId="0" fontId="8" fillId="29" borderId="2" xfId="0" applyNumberFormat="1" applyFont="1" applyFill="1" applyBorder="1" applyAlignment="1">
      <x:alignment horizontal="center" wrapText="1"/>
    </x:xf>
    <x:xf numFmtId="0" fontId="8" fillId="29" borderId="3" xfId="0" applyNumberFormat="1" applyFont="1" applyFill="1" applyBorder="1" applyAlignment="1">
      <x:alignment horizontal="center" wrapText="1"/>
    </x:xf>
    <x:xf numFmtId="0" fontId="8" fillId="29" borderId="1" xfId="0" applyNumberFormat="1" applyFont="1" applyFill="1" applyBorder="1" applyAlignment="1">
      <x:alignment horizontal="center" vertical="center" wrapText="1"/>
    </x:xf>
    <x:xf numFmtId="0" fontId="8" fillId="29" borderId="2" xfId="0" applyNumberFormat="1" applyFont="1" applyFill="1" applyBorder="1" applyAlignment="1">
      <x:alignment horizontal="center" vertical="center" wrapText="1"/>
    </x:xf>
    <x:xf numFmtId="0" fontId="8" fillId="29" borderId="3" xfId="0" applyNumberFormat="1" applyFont="1" applyFill="1" applyBorder="1" applyAlignment="1">
      <x:alignment horizontal="center" vertical="center" wrapText="1"/>
    </x:xf>
    <x:xf numFmtId="0" fontId="8" fillId="29" borderId="46" xfId="0" applyNumberFormat="1" applyFont="1" applyFill="1" applyBorder="1"/>
    <x:xf numFmtId="0" fontId="8" fillId="29" borderId="72" xfId="0" applyNumberFormat="1" applyFont="1" applyFill="1" applyBorder="1"/>
    <x:xf numFmtId="0" fontId="8" fillId="29" borderId="78" xfId="0" applyNumberFormat="1" applyFont="1" applyFill="1" applyBorder="1"/>
    <x:xf numFmtId="0" fontId="8" fillId="29" borderId="73" xfId="0" applyNumberFormat="1" applyFont="1" applyFill="1" applyBorder="1"/>
    <x:xf numFmtId="0" fontId="8" fillId="29" borderId="72" xfId="0" applyNumberFormat="1" applyFont="1" applyFill="1" applyBorder="1" applyAlignment="1">
      <x:alignment wrapText="1"/>
    </x:xf>
    <x:xf numFmtId="0" fontId="8" fillId="29" borderId="78" xfId="0" applyNumberFormat="1" applyFont="1" applyFill="1" applyBorder="1" applyAlignment="1">
      <x:alignment wrapText="1"/>
    </x:xf>
    <x:xf numFmtId="0" fontId="8" fillId="29" borderId="73" xfId="0" applyNumberFormat="1" applyFont="1" applyFill="1" applyBorder="1" applyAlignment="1">
      <x:alignment wrapText="1"/>
    </x:xf>
    <x:xf numFmtId="0" fontId="8" fillId="29" borderId="72" xfId="0" applyNumberFormat="1" applyFont="1" applyFill="1" applyBorder="1" applyAlignment="1">
      <x:alignment horizontal="center" wrapText="1"/>
    </x:xf>
    <x:xf numFmtId="0" fontId="8" fillId="29" borderId="78" xfId="0" applyNumberFormat="1" applyFont="1" applyFill="1" applyBorder="1" applyAlignment="1">
      <x:alignment horizontal="center" wrapText="1"/>
    </x:xf>
    <x:xf numFmtId="0" fontId="8" fillId="29" borderId="73" xfId="0" applyNumberFormat="1" applyFont="1" applyFill="1" applyBorder="1" applyAlignment="1">
      <x:alignment horizontal="center" wrapText="1"/>
    </x:xf>
    <x:xf numFmtId="0" fontId="8" fillId="29" borderId="72" xfId="0" applyNumberFormat="1" applyFont="1" applyFill="1" applyBorder="1" applyAlignment="1">
      <x:alignment horizontal="center" vertical="center" wrapText="1"/>
    </x:xf>
    <x:xf numFmtId="0" fontId="8" fillId="29" borderId="78" xfId="0" applyNumberFormat="1" applyFont="1" applyFill="1" applyBorder="1" applyAlignment="1">
      <x:alignment horizontal="center" vertical="center" wrapText="1"/>
    </x:xf>
    <x:xf numFmtId="0" fontId="8" fillId="29" borderId="73" xfId="0" applyNumberFormat="1" applyFont="1" applyFill="1" applyBorder="1" applyAlignment="1">
      <x:alignment horizontal="center" vertical="center" wrapText="1"/>
    </x:xf>
    <x:xf numFmtId="0" fontId="2" fillId="0" borderId="0" xfId="0" applyNumberFormat="1" applyFont="1" applyFill="1" applyBorder="1"/>
    <x:xf numFmtId="0" fontId="2" fillId="0" borderId="4" xfId="0" applyNumberFormat="1" applyFont="1" applyFill="1" applyBorder="1"/>
    <x:xf numFmtId="0" fontId="2" fillId="0" borderId="8" xfId="0" applyNumberFormat="1" applyFont="1" applyFill="1" applyBorder="1"/>
    <x:xf numFmtId="0" fontId="2" fillId="0" borderId="5" xfId="0" applyNumberFormat="1" applyFont="1" applyFill="1" applyBorder="1"/>
    <x:xf numFmtId="0" fontId="2" fillId="0" borderId="9" xfId="0" applyNumberFormat="1" applyFont="1" applyFill="1" applyBorder="1"/>
    <x:xf numFmtId="0" fontId="2" fillId="0" borderId="10" xfId="0" applyNumberFormat="1" applyFont="1" applyFill="1" applyBorder="1"/>
    <x:xf numFmtId="0" fontId="2" fillId="0" borderId="6" xfId="0" applyNumberFormat="1" applyFont="1" applyFill="1" applyBorder="1"/>
    <x:xf numFmtId="0" fontId="2" fillId="0" borderId="11" xfId="0" applyNumberFormat="1" applyFont="1" applyFill="1" applyBorder="1"/>
    <x:xf numFmtId="0" fontId="2" fillId="0" borderId="7" xfId="0" applyNumberFormat="1" applyFont="1" applyFill="1" applyBorder="1"/>
    <x:xf numFmtId="0" fontId="2" fillId="0" borderId="4" xfId="0" applyNumberFormat="1" applyFont="1" applyFill="1" applyBorder="1" applyAlignment="1">
      <x:alignment wrapText="1"/>
    </x:xf>
    <x:xf numFmtId="0" fontId="2" fillId="0" borderId="8" xfId="0" applyNumberFormat="1" applyFont="1" applyFill="1" applyBorder="1" applyAlignment="1">
      <x:alignment wrapText="1"/>
    </x:xf>
    <x:xf numFmtId="0" fontId="2" fillId="0" borderId="5" xfId="0" applyNumberFormat="1" applyFont="1" applyFill="1" applyBorder="1" applyAlignment="1">
      <x:alignment wrapText="1"/>
    </x:xf>
    <x:xf numFmtId="0" fontId="2" fillId="0" borderId="9" xfId="0" applyNumberFormat="1" applyFont="1" applyFill="1" applyBorder="1" applyAlignment="1">
      <x:alignment wrapText="1"/>
    </x:xf>
    <x:xf numFmtId="0" fontId="2" fillId="0" borderId="0" xfId="0" applyNumberFormat="1" applyFont="1" applyFill="1" applyBorder="1" applyAlignment="1">
      <x:alignment wrapText="1"/>
    </x:xf>
    <x:xf numFmtId="0" fontId="2" fillId="0" borderId="10" xfId="0" applyNumberFormat="1" applyFont="1" applyFill="1" applyBorder="1" applyAlignment="1">
      <x:alignment wrapText="1"/>
    </x:xf>
    <x:xf numFmtId="0" fontId="2" fillId="0" borderId="6" xfId="0" applyNumberFormat="1" applyFont="1" applyFill="1" applyBorder="1" applyAlignment="1">
      <x:alignment wrapText="1"/>
    </x:xf>
    <x:xf numFmtId="0" fontId="2" fillId="0" borderId="11" xfId="0" applyNumberFormat="1" applyFont="1" applyFill="1" applyBorder="1" applyAlignment="1">
      <x:alignment wrapText="1"/>
    </x:xf>
    <x:xf numFmtId="0" fontId="2" fillId="0" borderId="7" xfId="0" applyNumberFormat="1" applyFont="1" applyFill="1" applyBorder="1" applyAlignment="1">
      <x:alignment wrapText="1"/>
    </x:xf>
    <x:xf numFmtId="0" fontId="2" fillId="0" borderId="4"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0" borderId="0" xfId="0" applyNumberFormat="1" applyFont="1" applyFill="1" applyBorder="1" applyAlignment="1">
      <x:alignment vertical="top" wrapText="1"/>
    </x:xf>
    <x:xf numFmtId="0" fontId="2" fillId="0" borderId="10"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11"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46" xfId="0" applyNumberFormat="1" applyFont="1" applyFill="1" applyBorder="1"/>
    <x:xf numFmtId="0" fontId="2" fillId="0" borderId="74" xfId="0" applyNumberFormat="1" applyFont="1" applyFill="1" applyBorder="1"/>
    <x:xf numFmtId="0" fontId="2" fillId="0" borderId="86" xfId="0" applyNumberFormat="1" applyFont="1" applyFill="1" applyBorder="1"/>
    <x:xf numFmtId="0" fontId="2" fillId="0" borderId="75" xfId="0" applyNumberFormat="1" applyFont="1" applyFill="1" applyBorder="1"/>
    <x:xf numFmtId="0" fontId="2" fillId="0" borderId="87" xfId="0" applyNumberFormat="1" applyFont="1" applyFill="1" applyBorder="1"/>
    <x:xf numFmtId="0" fontId="2" fillId="0" borderId="88" xfId="0" applyNumberFormat="1" applyFont="1" applyFill="1" applyBorder="1"/>
    <x:xf numFmtId="0" fontId="2" fillId="0" borderId="76" xfId="0" applyNumberFormat="1" applyFont="1" applyFill="1" applyBorder="1"/>
    <x:xf numFmtId="0" fontId="2" fillId="0" borderId="89" xfId="0" applyNumberFormat="1" applyFont="1" applyFill="1" applyBorder="1"/>
    <x:xf numFmtId="0" fontId="2" fillId="0" borderId="77" xfId="0" applyNumberFormat="1" applyFont="1" applyFill="1" applyBorder="1"/>
    <x:xf numFmtId="0" fontId="2" fillId="0" borderId="74" xfId="0" applyNumberFormat="1" applyFont="1" applyFill="1" applyBorder="1" applyAlignment="1">
      <x:alignment wrapText="1"/>
    </x:xf>
    <x:xf numFmtId="0" fontId="2" fillId="0" borderId="86" xfId="0" applyNumberFormat="1" applyFont="1" applyFill="1" applyBorder="1" applyAlignment="1">
      <x:alignment wrapText="1"/>
    </x:xf>
    <x:xf numFmtId="0" fontId="2" fillId="0" borderId="75" xfId="0" applyNumberFormat="1" applyFont="1" applyFill="1" applyBorder="1" applyAlignment="1">
      <x:alignment wrapText="1"/>
    </x:xf>
    <x:xf numFmtId="0" fontId="2" fillId="0" borderId="87" xfId="0" applyNumberFormat="1" applyFont="1" applyFill="1" applyBorder="1" applyAlignment="1">
      <x:alignment wrapText="1"/>
    </x:xf>
    <x:xf numFmtId="0" fontId="2" fillId="0" borderId="46" xfId="0" applyNumberFormat="1" applyFont="1" applyFill="1" applyBorder="1" applyAlignment="1">
      <x:alignment wrapText="1"/>
    </x:xf>
    <x:xf numFmtId="0" fontId="2" fillId="0" borderId="88" xfId="0" applyNumberFormat="1" applyFont="1" applyFill="1" applyBorder="1" applyAlignment="1">
      <x:alignment wrapText="1"/>
    </x:xf>
    <x:xf numFmtId="0" fontId="2" fillId="0" borderId="76" xfId="0" applyNumberFormat="1" applyFont="1" applyFill="1" applyBorder="1" applyAlignment="1">
      <x:alignment wrapText="1"/>
    </x:xf>
    <x:xf numFmtId="0" fontId="2" fillId="0" borderId="89" xfId="0" applyNumberFormat="1" applyFont="1" applyFill="1" applyBorder="1" applyAlignment="1">
      <x:alignment wrapText="1"/>
    </x:xf>
    <x:xf numFmtId="0" fontId="2" fillId="0" borderId="77" xfId="0" applyNumberFormat="1" applyFont="1" applyFill="1" applyBorder="1" applyAlignment="1">
      <x:alignment wrapText="1"/>
    </x:xf>
    <x:xf numFmtId="0" fontId="2" fillId="0" borderId="74" xfId="0" applyNumberFormat="1" applyFont="1" applyFill="1" applyBorder="1" applyAlignment="1">
      <x:alignment vertical="top" wrapText="1"/>
    </x:xf>
    <x:xf numFmtId="0" fontId="2" fillId="0" borderId="86" xfId="0" applyNumberFormat="1" applyFont="1" applyFill="1" applyBorder="1" applyAlignment="1">
      <x:alignment vertical="top" wrapText="1"/>
    </x:xf>
    <x:xf numFmtId="0" fontId="2" fillId="0" borderId="75" xfId="0" applyNumberFormat="1" applyFont="1" applyFill="1" applyBorder="1" applyAlignment="1">
      <x:alignment vertical="top" wrapText="1"/>
    </x:xf>
    <x:xf numFmtId="0" fontId="2" fillId="0" borderId="87" xfId="0" applyNumberFormat="1" applyFont="1" applyFill="1" applyBorder="1" applyAlignment="1">
      <x:alignment vertical="top" wrapText="1"/>
    </x:xf>
    <x:xf numFmtId="0" fontId="2" fillId="0" borderId="88" xfId="0" applyNumberFormat="1" applyFont="1" applyFill="1" applyBorder="1" applyAlignment="1">
      <x:alignment vertical="top" wrapText="1"/>
    </x:xf>
    <x:xf numFmtId="0" fontId="2" fillId="0" borderId="76" xfId="0" applyNumberFormat="1" applyFont="1" applyFill="1" applyBorder="1" applyAlignment="1">
      <x:alignment vertical="top" wrapText="1"/>
    </x:xf>
    <x:xf numFmtId="0" fontId="2" fillId="0" borderId="89" xfId="0" applyNumberFormat="1" applyFont="1" applyFill="1" applyBorder="1" applyAlignment="1">
      <x:alignment vertical="top" wrapText="1"/>
    </x:xf>
    <x:xf numFmtId="0" fontId="2" fillId="0" borderId="77" xfId="0" applyNumberFormat="1" applyFont="1" applyFill="1" applyBorder="1" applyAlignment="1">
      <x:alignment vertical="top" wrapText="1"/>
    </x:xf>
    <x:xf numFmtId="0" fontId="2" fillId="31" borderId="8" xfId="0" applyNumberFormat="1" applyFont="1" applyFill="1" applyBorder="1" applyAlignment="1">
      <x:alignment vertical="top" wrapText="1"/>
    </x:xf>
    <x:xf numFmtId="0" fontId="2" fillId="31" borderId="0" xfId="0" applyNumberFormat="1" applyFont="1" applyFill="1" applyBorder="1" applyAlignment="1">
      <x:alignment vertical="top" wrapText="1"/>
    </x:xf>
    <x:xf numFmtId="0" fontId="2" fillId="31" borderId="11" xfId="0" applyNumberFormat="1" applyFont="1" applyFill="1" applyBorder="1" applyAlignment="1">
      <x:alignment vertical="top" wrapText="1"/>
    </x:xf>
    <x:xf numFmtId="0" fontId="2" fillId="31" borderId="92" xfId="0" applyNumberFormat="1" applyFont="1" applyFill="1" applyBorder="1" applyAlignment="1">
      <x:alignment vertical="top" wrapText="1"/>
    </x:xf>
    <x:xf numFmtId="0" fontId="2" fillId="31" borderId="93" xfId="0" applyNumberFormat="1" applyFont="1" applyFill="1" applyBorder="1" applyAlignment="1">
      <x:alignment vertical="top" wrapText="1"/>
    </x:xf>
    <x:xf numFmtId="0" fontId="2" fillId="31" borderId="94" xfId="0" applyNumberFormat="1" applyFont="1" applyFill="1" applyBorder="1" applyAlignment="1">
      <x:alignment vertical="top" wrapText="1"/>
    </x:xf>
    <x:xf numFmtId="0" fontId="2" fillId="31" borderId="86" xfId="0" applyNumberFormat="1" applyFont="1" applyFill="1" applyBorder="1" applyAlignment="1">
      <x:alignment vertical="top" wrapText="1"/>
    </x:xf>
    <x:xf numFmtId="0" fontId="2" fillId="31" borderId="46" xfId="0" applyNumberFormat="1" applyFont="1" applyFill="1" applyBorder="1" applyAlignment="1">
      <x:alignment vertical="top" wrapText="1"/>
    </x:xf>
    <x:xf numFmtId="0" fontId="2" fillId="31" borderId="89" xfId="0" applyNumberFormat="1" applyFont="1" applyFill="1" applyBorder="1" applyAlignment="1">
      <x:alignment vertical="top" wrapText="1"/>
    </x:xf>
    <x:xf numFmtId="0" fontId="2" fillId="31" borderId="95" xfId="0" applyNumberFormat="1" applyFont="1" applyFill="1" applyBorder="1" applyAlignment="1">
      <x:alignment vertical="top" wrapText="1"/>
    </x:xf>
    <x:xf numFmtId="0" fontId="2" fillId="31" borderId="96" xfId="0" applyNumberFormat="1" applyFont="1" applyFill="1" applyBorder="1" applyAlignment="1">
      <x:alignment vertical="top" wrapText="1"/>
    </x:xf>
    <x:xf numFmtId="0" fontId="2" fillId="31" borderId="97" xfId="0" applyNumberFormat="1" applyFont="1" applyFill="1" applyBorder="1" applyAlignment="1">
      <x:alignment vertical="top" wrapText="1"/>
    </x:xf>
    <x:xf numFmtId="0" fontId="2" fillId="31" borderId="4" xfId="0" applyNumberFormat="1" applyFont="1" applyFill="1" applyBorder="1" applyAlignment="1">
      <x:alignment vertical="top" wrapText="1"/>
    </x:xf>
    <x:xf numFmtId="0" fontId="2" fillId="31" borderId="5" xfId="0" applyNumberFormat="1" applyFont="1" applyFill="1" applyBorder="1" applyAlignment="1">
      <x:alignment vertical="top" wrapText="1"/>
    </x:xf>
    <x:xf numFmtId="0" fontId="2" fillId="31" borderId="9" xfId="0" applyNumberFormat="1" applyFont="1" applyFill="1" applyBorder="1" applyAlignment="1">
      <x:alignment vertical="top" wrapText="1"/>
    </x:xf>
    <x:xf numFmtId="0" fontId="2" fillId="31" borderId="10" xfId="0" applyNumberFormat="1" applyFont="1" applyFill="1" applyBorder="1" applyAlignment="1">
      <x:alignment vertical="top" wrapText="1"/>
    </x:xf>
    <x:xf numFmtId="0" fontId="2" fillId="31" borderId="6" xfId="0" applyNumberFormat="1" applyFont="1" applyFill="1" applyBorder="1" applyAlignment="1">
      <x:alignment vertical="top" wrapText="1"/>
    </x:xf>
    <x:xf numFmtId="0" fontId="2" fillId="31" borderId="7" xfId="0" applyNumberFormat="1" applyFont="1" applyFill="1" applyBorder="1" applyAlignment="1">
      <x:alignment vertical="top" wrapText="1"/>
    </x:xf>
    <x:xf numFmtId="0" fontId="2" fillId="31" borderId="74" xfId="0" applyNumberFormat="1" applyFont="1" applyFill="1" applyBorder="1" applyAlignment="1">
      <x:alignment vertical="top" wrapText="1"/>
    </x:xf>
    <x:xf numFmtId="0" fontId="2" fillId="31" borderId="75" xfId="0" applyNumberFormat="1" applyFont="1" applyFill="1" applyBorder="1" applyAlignment="1">
      <x:alignment vertical="top" wrapText="1"/>
    </x:xf>
    <x:xf numFmtId="0" fontId="2" fillId="31" borderId="87" xfId="0" applyNumberFormat="1" applyFont="1" applyFill="1" applyBorder="1" applyAlignment="1">
      <x:alignment vertical="top" wrapText="1"/>
    </x:xf>
    <x:xf numFmtId="0" fontId="2" fillId="31" borderId="88" xfId="0" applyNumberFormat="1" applyFont="1" applyFill="1" applyBorder="1" applyAlignment="1">
      <x:alignment vertical="top" wrapText="1"/>
    </x:xf>
    <x:xf numFmtId="0" fontId="2" fillId="31" borderId="76" xfId="0" applyNumberFormat="1" applyFont="1" applyFill="1" applyBorder="1" applyAlignment="1">
      <x:alignment vertical="top" wrapText="1"/>
    </x:xf>
    <x:xf numFmtId="0" fontId="2" fillId="31" borderId="77" xfId="0" applyNumberFormat="1" applyFont="1" applyFill="1" applyBorder="1" applyAlignment="1">
      <x:alignment vertical="top" wrapText="1"/>
    </x:xf>
    <x:xf numFmtId="0" fontId="0" fillId="32" borderId="0" xfId="0" applyNumberFormat="1" applyFont="1" applyFill="1" applyBorder="1"/>
    <x:xf numFmtId="0" fontId="15" fillId="32" borderId="0" xfId="0" applyNumberFormat="1" applyFont="1" applyFill="1" applyBorder="1"/>
    <x:xf numFmtId="0" fontId="15" fillId="32" borderId="1" xfId="0" applyNumberFormat="1" applyFont="1" applyFill="1" applyBorder="1"/>
    <x:xf numFmtId="0" fontId="15" fillId="32" borderId="2" xfId="0" applyNumberFormat="1" applyFont="1" applyFill="1" applyBorder="1"/>
    <x:xf numFmtId="0" fontId="15" fillId="32" borderId="3" xfId="0" applyNumberFormat="1" applyFont="1" applyFill="1" applyBorder="1"/>
    <x:xf numFmtId="0" fontId="15" fillId="32" borderId="1" xfId="0" applyNumberFormat="1" applyFont="1" applyFill="1" applyBorder="1" applyAlignment="1">
      <x:alignment horizontal="center"/>
    </x:xf>
    <x:xf numFmtId="0" fontId="15" fillId="32" borderId="2" xfId="0" applyNumberFormat="1" applyFont="1" applyFill="1" applyBorder="1" applyAlignment="1">
      <x:alignment horizontal="center"/>
    </x:xf>
    <x:xf numFmtId="0" fontId="15" fillId="32" borderId="3" xfId="0" applyNumberFormat="1" applyFont="1" applyFill="1" applyBorder="1" applyAlignment="1">
      <x:alignment horizontal="center"/>
    </x:xf>
    <x:xf numFmtId="0" fontId="15" fillId="32" borderId="1" xfId="0" applyNumberFormat="1" applyFont="1" applyFill="1" applyBorder="1" applyAlignment="1">
      <x:alignment horizontal="center" vertical="center"/>
    </x:xf>
    <x:xf numFmtId="0" fontId="15" fillId="32" borderId="2" xfId="0" applyNumberFormat="1" applyFont="1" applyFill="1" applyBorder="1" applyAlignment="1">
      <x:alignment horizontal="center" vertical="center"/>
    </x:xf>
    <x:xf numFmtId="0" fontId="15" fillId="32" borderId="3" xfId="0" applyNumberFormat="1" applyFont="1" applyFill="1" applyBorder="1" applyAlignment="1">
      <x:alignment horizontal="center" vertical="center"/>
    </x:xf>
    <x:xf numFmtId="0" fontId="0" fillId="32" borderId="46" xfId="0" applyNumberFormat="1" applyFont="1" applyFill="1" applyBorder="1"/>
    <x:xf numFmtId="0" fontId="15" fillId="32" borderId="46" xfId="0" applyNumberFormat="1" applyFont="1" applyFill="1" applyBorder="1"/>
    <x:xf numFmtId="0" fontId="15" fillId="32" borderId="72" xfId="0" applyNumberFormat="1" applyFont="1" applyFill="1" applyBorder="1"/>
    <x:xf numFmtId="0" fontId="15" fillId="32" borderId="78" xfId="0" applyNumberFormat="1" applyFont="1" applyFill="1" applyBorder="1"/>
    <x:xf numFmtId="0" fontId="15" fillId="32" borderId="73" xfId="0" applyNumberFormat="1" applyFont="1" applyFill="1" applyBorder="1"/>
    <x:xf numFmtId="0" fontId="15" fillId="32" borderId="72" xfId="0" applyNumberFormat="1" applyFont="1" applyFill="1" applyBorder="1" applyAlignment="1">
      <x:alignment horizontal="center"/>
    </x:xf>
    <x:xf numFmtId="0" fontId="15" fillId="32" borderId="78" xfId="0" applyNumberFormat="1" applyFont="1" applyFill="1" applyBorder="1" applyAlignment="1">
      <x:alignment horizontal="center"/>
    </x:xf>
    <x:xf numFmtId="0" fontId="15" fillId="32" borderId="73" xfId="0" applyNumberFormat="1" applyFont="1" applyFill="1" applyBorder="1" applyAlignment="1">
      <x:alignment horizontal="center"/>
    </x:xf>
    <x:xf numFmtId="0" fontId="15" fillId="32" borderId="72" xfId="0" applyNumberFormat="1" applyFont="1" applyFill="1" applyBorder="1" applyAlignment="1">
      <x:alignment horizontal="center" vertical="center"/>
    </x:xf>
    <x:xf numFmtId="0" fontId="15" fillId="32" borderId="78" xfId="0" applyNumberFormat="1" applyFont="1" applyFill="1" applyBorder="1" applyAlignment="1">
      <x:alignment horizontal="center" vertical="center"/>
    </x:xf>
    <x:xf numFmtId="0" fontId="15" fillId="32" borderId="73" xfId="0" applyNumberFormat="1" applyFont="1" applyFill="1" applyBorder="1" applyAlignment="1">
      <x:alignment horizontal="center" vertical="center"/>
    </x:xf>
    <x:xf numFmtId="176" fontId="15" fillId="32" borderId="3" xfId="0" applyNumberFormat="1" applyFont="1" applyFill="1" applyBorder="1" applyAlignment="1">
      <x:alignment horizontal="center" vertical="center"/>
    </x:xf>
    <x:xf numFmtId="176" fontId="15" fillId="32" borderId="73" xfId="0" applyNumberFormat="1" applyFont="1" applyFill="1" applyBorder="1" applyAlignment="1">
      <x:alignment horizontal="center" vertical="center"/>
    </x:xf>
    <x:xf numFmtId="176" fontId="2" fillId="0" borderId="8" xfId="0" applyNumberFormat="1" applyFont="1" applyFill="1" applyBorder="1" applyAlignment="1">
      <x:alignment vertical="top" wrapText="1"/>
    </x:xf>
    <x:xf numFmtId="176" fontId="2" fillId="0" borderId="0" xfId="0" applyNumberFormat="1" applyFont="1" applyFill="1" applyBorder="1" applyAlignment="1">
      <x:alignment vertical="top" wrapText="1"/>
    </x:xf>
    <x:xf numFmtId="176" fontId="2" fillId="0" borderId="11" xfId="0" applyNumberFormat="1" applyFont="1" applyFill="1" applyBorder="1" applyAlignment="1">
      <x:alignment vertical="top" wrapText="1"/>
    </x:xf>
    <x:xf numFmtId="176" fontId="2" fillId="0" borderId="86" xfId="0" applyNumberFormat="1" applyFont="1" applyFill="1" applyBorder="1" applyAlignment="1">
      <x:alignment vertical="top" wrapText="1"/>
    </x:xf>
    <x:xf numFmtId="176" fontId="2" fillId="0" borderId="46" xfId="0" applyNumberFormat="1" applyFont="1" applyFill="1" applyBorder="1" applyAlignment="1">
      <x:alignment vertical="top" wrapText="1"/>
    </x:xf>
    <x:xf numFmtId="176" fontId="2" fillId="0" borderId="89" xfId="0" applyNumberFormat="1" applyFont="1" applyFill="1" applyBorder="1" applyAlignment="1">
      <x:alignment vertical="top" wrapText="1"/>
    </x:xf>
    <x:xf numFmtId="176" fontId="0" fillId="0" borderId="0" xfId="0" applyNumberFormat="1" applyFont="1" applyFill="1" applyBorder="1"/>
    <x:xf numFmtId="176" fontId="0" fillId="30" borderId="0" xfId="0" applyNumberFormat="1" applyFont="1" applyFill="1" applyBorder="1"/>
    <x:xf numFmtId="0" fontId="7" fillId="30" borderId="0" xfId="0" applyNumberFormat="1" applyFont="1" applyFill="1" applyBorder="1"/>
    <x:xf numFmtId="176" fontId="7" fillId="30" borderId="0" xfId="0" applyNumberFormat="1" applyFont="1" applyFill="1" applyBorder="1"/>
    <x:xf numFmtId="0" fontId="7" fillId="30" borderId="1" xfId="0" applyNumberFormat="1" applyFont="1" applyFill="1" applyBorder="1"/>
    <x:xf numFmtId="0" fontId="7" fillId="30" borderId="2" xfId="0" applyNumberFormat="1" applyFont="1" applyFill="1" applyBorder="1"/>
    <x:xf numFmtId="176" fontId="7" fillId="30" borderId="2" xfId="0" applyNumberFormat="1" applyFont="1" applyFill="1" applyBorder="1"/>
    <x:xf numFmtId="0" fontId="7" fillId="30" borderId="3" xfId="0" applyNumberFormat="1" applyFont="1" applyFill="1" applyBorder="1"/>
    <x:xf numFmtId="176" fontId="0" fillId="30" borderId="46" xfId="0" applyNumberFormat="1" applyFont="1" applyFill="1" applyBorder="1"/>
    <x:xf numFmtId="0" fontId="7" fillId="30" borderId="46" xfId="0" applyNumberFormat="1" applyFont="1" applyFill="1" applyBorder="1"/>
    <x:xf numFmtId="176" fontId="7" fillId="30" borderId="46" xfId="0" applyNumberFormat="1" applyFont="1" applyFill="1" applyBorder="1"/>
    <x:xf numFmtId="0" fontId="7" fillId="30" borderId="72" xfId="0" applyNumberFormat="1" applyFont="1" applyFill="1" applyBorder="1"/>
    <x:xf numFmtId="0" fontId="7" fillId="30" borderId="78" xfId="0" applyNumberFormat="1" applyFont="1" applyFill="1" applyBorder="1"/>
    <x:xf numFmtId="176" fontId="7" fillId="30" borderId="78" xfId="0" applyNumberFormat="1" applyFont="1" applyFill="1" applyBorder="1"/>
    <x:xf numFmtId="0" fontId="7" fillId="30" borderId="73" xfId="0" applyNumberFormat="1" applyFont="1" applyFill="1" applyBorder="1"/>
    <x:xf numFmtId="0" fontId="0" fillId="33" borderId="0" xfId="0" applyNumberFormat="1" applyFont="1" applyFill="1" applyBorder="1"/>
    <x:xf numFmtId="0" fontId="16" fillId="33" borderId="0" xfId="0" applyNumberFormat="1" applyFont="1" applyFill="1" applyBorder="1"/>
    <x:xf numFmtId="0" fontId="16" fillId="33" borderId="4" xfId="0" applyNumberFormat="1" applyFont="1" applyFill="1" applyBorder="1"/>
    <x:xf numFmtId="0" fontId="16" fillId="33" borderId="8" xfId="0" applyNumberFormat="1" applyFont="1" applyFill="1" applyBorder="1"/>
    <x:xf numFmtId="0" fontId="16" fillId="33" borderId="5" xfId="0" applyNumberFormat="1" applyFont="1" applyFill="1" applyBorder="1"/>
    <x:xf numFmtId="0" fontId="16" fillId="33" borderId="9" xfId="0" applyNumberFormat="1" applyFont="1" applyFill="1" applyBorder="1"/>
    <x:xf numFmtId="0" fontId="16" fillId="33" borderId="10" xfId="0" applyNumberFormat="1" applyFont="1" applyFill="1" applyBorder="1"/>
    <x:xf numFmtId="0" fontId="16" fillId="33" borderId="6" xfId="0" applyNumberFormat="1" applyFont="1" applyFill="1" applyBorder="1"/>
    <x:xf numFmtId="0" fontId="16" fillId="33" borderId="11" xfId="0" applyNumberFormat="1" applyFont="1" applyFill="1" applyBorder="1"/>
    <x:xf numFmtId="0" fontId="16" fillId="33" borderId="7" xfId="0" applyNumberFormat="1" applyFont="1" applyFill="1" applyBorder="1"/>
    <x:xf numFmtId="0" fontId="16" fillId="33" borderId="4" xfId="0" applyNumberFormat="1" applyFont="1" applyFill="1" applyBorder="1" applyAlignment="1">
      <x:alignment horizontal="center"/>
    </x:xf>
    <x:xf numFmtId="0" fontId="16" fillId="33" borderId="8" xfId="0" applyNumberFormat="1" applyFont="1" applyFill="1" applyBorder="1" applyAlignment="1">
      <x:alignment horizontal="center"/>
    </x:xf>
    <x:xf numFmtId="0" fontId="16" fillId="33" borderId="5" xfId="0" applyNumberFormat="1" applyFont="1" applyFill="1" applyBorder="1" applyAlignment="1">
      <x:alignment horizontal="center"/>
    </x:xf>
    <x:xf numFmtId="0" fontId="16" fillId="33" borderId="9" xfId="0" applyNumberFormat="1" applyFont="1" applyFill="1" applyBorder="1" applyAlignment="1">
      <x:alignment horizontal="center"/>
    </x:xf>
    <x:xf numFmtId="0" fontId="16" fillId="33" borderId="0" xfId="0" applyNumberFormat="1" applyFont="1" applyFill="1" applyBorder="1" applyAlignment="1">
      <x:alignment horizontal="center"/>
    </x:xf>
    <x:xf numFmtId="0" fontId="16" fillId="33" borderId="10" xfId="0" applyNumberFormat="1" applyFont="1" applyFill="1" applyBorder="1" applyAlignment="1">
      <x:alignment horizontal="center"/>
    </x:xf>
    <x:xf numFmtId="0" fontId="16" fillId="33" borderId="6" xfId="0" applyNumberFormat="1" applyFont="1" applyFill="1" applyBorder="1" applyAlignment="1">
      <x:alignment horizontal="center"/>
    </x:xf>
    <x:xf numFmtId="0" fontId="16" fillId="33" borderId="11" xfId="0" applyNumberFormat="1" applyFont="1" applyFill="1" applyBorder="1" applyAlignment="1">
      <x:alignment horizontal="center"/>
    </x:xf>
    <x:xf numFmtId="0" fontId="16" fillId="33" borderId="7" xfId="0" applyNumberFormat="1" applyFont="1" applyFill="1" applyBorder="1" applyAlignment="1">
      <x:alignment horizontal="center"/>
    </x:xf>
    <x:xf numFmtId="0" fontId="16" fillId="33" borderId="4" xfId="0" applyNumberFormat="1" applyFont="1" applyFill="1" applyBorder="1" applyAlignment="1">
      <x:alignment horizontal="center" vertical="center"/>
    </x:xf>
    <x:xf numFmtId="0" fontId="16" fillId="33" borderId="8" xfId="0" applyNumberFormat="1" applyFont="1" applyFill="1" applyBorder="1" applyAlignment="1">
      <x:alignment horizontal="center" vertical="center"/>
    </x:xf>
    <x:xf numFmtId="0" fontId="16" fillId="33" borderId="5" xfId="0" applyNumberFormat="1" applyFont="1" applyFill="1" applyBorder="1" applyAlignment="1">
      <x:alignment horizontal="center" vertical="center"/>
    </x:xf>
    <x:xf numFmtId="0" fontId="16" fillId="33" borderId="9" xfId="0" applyNumberFormat="1" applyFont="1" applyFill="1" applyBorder="1" applyAlignment="1">
      <x:alignment horizontal="center" vertical="center"/>
    </x:xf>
    <x:xf numFmtId="0" fontId="16" fillId="33" borderId="0" xfId="0" applyNumberFormat="1" applyFont="1" applyFill="1" applyBorder="1" applyAlignment="1">
      <x:alignment horizontal="center" vertical="center"/>
    </x:xf>
    <x:xf numFmtId="0" fontId="16" fillId="33" borderId="10" xfId="0" applyNumberFormat="1" applyFont="1" applyFill="1" applyBorder="1" applyAlignment="1">
      <x:alignment horizontal="center" vertical="center"/>
    </x:xf>
    <x:xf numFmtId="0" fontId="16" fillId="33" borderId="6" xfId="0" applyNumberFormat="1" applyFont="1" applyFill="1" applyBorder="1" applyAlignment="1">
      <x:alignment horizontal="center" vertical="center"/>
    </x:xf>
    <x:xf numFmtId="0" fontId="16" fillId="33" borderId="11" xfId="0" applyNumberFormat="1" applyFont="1" applyFill="1" applyBorder="1" applyAlignment="1">
      <x:alignment horizontal="center" vertical="center"/>
    </x:xf>
    <x:xf numFmtId="0" fontId="16" fillId="33" borderId="7" xfId="0" applyNumberFormat="1" applyFont="1" applyFill="1" applyBorder="1" applyAlignment="1">
      <x:alignment horizontal="center" vertical="center"/>
    </x:xf>
    <x:xf numFmtId="0" fontId="0" fillId="33" borderId="46" xfId="0" applyNumberFormat="1" applyFont="1" applyFill="1" applyBorder="1"/>
    <x:xf numFmtId="0" fontId="16" fillId="33" borderId="46" xfId="0" applyNumberFormat="1" applyFont="1" applyFill="1" applyBorder="1"/>
    <x:xf numFmtId="0" fontId="16" fillId="33" borderId="74" xfId="0" applyNumberFormat="1" applyFont="1" applyFill="1" applyBorder="1"/>
    <x:xf numFmtId="0" fontId="16" fillId="33" borderId="86" xfId="0" applyNumberFormat="1" applyFont="1" applyFill="1" applyBorder="1"/>
    <x:xf numFmtId="0" fontId="16" fillId="33" borderId="75" xfId="0" applyNumberFormat="1" applyFont="1" applyFill="1" applyBorder="1"/>
    <x:xf numFmtId="0" fontId="16" fillId="33" borderId="87" xfId="0" applyNumberFormat="1" applyFont="1" applyFill="1" applyBorder="1"/>
    <x:xf numFmtId="0" fontId="16" fillId="33" borderId="88" xfId="0" applyNumberFormat="1" applyFont="1" applyFill="1" applyBorder="1"/>
    <x:xf numFmtId="0" fontId="16" fillId="33" borderId="76" xfId="0" applyNumberFormat="1" applyFont="1" applyFill="1" applyBorder="1"/>
    <x:xf numFmtId="0" fontId="16" fillId="33" borderId="89" xfId="0" applyNumberFormat="1" applyFont="1" applyFill="1" applyBorder="1"/>
    <x:xf numFmtId="0" fontId="16" fillId="33" borderId="77" xfId="0" applyNumberFormat="1" applyFont="1" applyFill="1" applyBorder="1"/>
    <x:xf numFmtId="0" fontId="16" fillId="33" borderId="74" xfId="0" applyNumberFormat="1" applyFont="1" applyFill="1" applyBorder="1" applyAlignment="1">
      <x:alignment horizontal="center"/>
    </x:xf>
    <x:xf numFmtId="0" fontId="16" fillId="33" borderId="86" xfId="0" applyNumberFormat="1" applyFont="1" applyFill="1" applyBorder="1" applyAlignment="1">
      <x:alignment horizontal="center"/>
    </x:xf>
    <x:xf numFmtId="0" fontId="16" fillId="33" borderId="75" xfId="0" applyNumberFormat="1" applyFont="1" applyFill="1" applyBorder="1" applyAlignment="1">
      <x:alignment horizontal="center"/>
    </x:xf>
    <x:xf numFmtId="0" fontId="16" fillId="33" borderId="87" xfId="0" applyNumberFormat="1" applyFont="1" applyFill="1" applyBorder="1" applyAlignment="1">
      <x:alignment horizontal="center"/>
    </x:xf>
    <x:xf numFmtId="0" fontId="16" fillId="33" borderId="46" xfId="0" applyNumberFormat="1" applyFont="1" applyFill="1" applyBorder="1" applyAlignment="1">
      <x:alignment horizontal="center"/>
    </x:xf>
    <x:xf numFmtId="0" fontId="16" fillId="33" borderId="88" xfId="0" applyNumberFormat="1" applyFont="1" applyFill="1" applyBorder="1" applyAlignment="1">
      <x:alignment horizontal="center"/>
    </x:xf>
    <x:xf numFmtId="0" fontId="16" fillId="33" borderId="76" xfId="0" applyNumberFormat="1" applyFont="1" applyFill="1" applyBorder="1" applyAlignment="1">
      <x:alignment horizontal="center"/>
    </x:xf>
    <x:xf numFmtId="0" fontId="16" fillId="33" borderId="89" xfId="0" applyNumberFormat="1" applyFont="1" applyFill="1" applyBorder="1" applyAlignment="1">
      <x:alignment horizontal="center"/>
    </x:xf>
    <x:xf numFmtId="0" fontId="16" fillId="33" borderId="77" xfId="0" applyNumberFormat="1" applyFont="1" applyFill="1" applyBorder="1" applyAlignment="1">
      <x:alignment horizontal="center"/>
    </x:xf>
    <x:xf numFmtId="0" fontId="16" fillId="33" borderId="74" xfId="0" applyNumberFormat="1" applyFont="1" applyFill="1" applyBorder="1" applyAlignment="1">
      <x:alignment horizontal="center" vertical="center"/>
    </x:xf>
    <x:xf numFmtId="0" fontId="16" fillId="33" borderId="86" xfId="0" applyNumberFormat="1" applyFont="1" applyFill="1" applyBorder="1" applyAlignment="1">
      <x:alignment horizontal="center" vertical="center"/>
    </x:xf>
    <x:xf numFmtId="0" fontId="16" fillId="33" borderId="75" xfId="0" applyNumberFormat="1" applyFont="1" applyFill="1" applyBorder="1" applyAlignment="1">
      <x:alignment horizontal="center" vertical="center"/>
    </x:xf>
    <x:xf numFmtId="0" fontId="16" fillId="33" borderId="87" xfId="0" applyNumberFormat="1" applyFont="1" applyFill="1" applyBorder="1" applyAlignment="1">
      <x:alignment horizontal="center" vertical="center"/>
    </x:xf>
    <x:xf numFmtId="0" fontId="16" fillId="33" borderId="46" xfId="0" applyNumberFormat="1" applyFont="1" applyFill="1" applyBorder="1" applyAlignment="1">
      <x:alignment horizontal="center" vertical="center"/>
    </x:xf>
    <x:xf numFmtId="0" fontId="16" fillId="33" borderId="88" xfId="0" applyNumberFormat="1" applyFont="1" applyFill="1" applyBorder="1" applyAlignment="1">
      <x:alignment horizontal="center" vertical="center"/>
    </x:xf>
    <x:xf numFmtId="0" fontId="16" fillId="33" borderId="76" xfId="0" applyNumberFormat="1" applyFont="1" applyFill="1" applyBorder="1" applyAlignment="1">
      <x:alignment horizontal="center" vertical="center"/>
    </x:xf>
    <x:xf numFmtId="0" fontId="16" fillId="33" borderId="89" xfId="0" applyNumberFormat="1" applyFont="1" applyFill="1" applyBorder="1" applyAlignment="1">
      <x:alignment horizontal="center" vertical="center"/>
    </x:xf>
    <x:xf numFmtId="0" fontId="16" fillId="33" borderId="77" xfId="0" applyNumberFormat="1" applyFont="1" applyFill="1" applyBorder="1" applyAlignment="1">
      <x:alignment horizontal="center" vertical="center"/>
    </x:xf>
    <x:xf numFmtId="0" fontId="0" fillId="31" borderId="0" xfId="0" applyNumberFormat="1" applyFont="1" applyFill="1" applyBorder="1"/>
    <x:xf numFmtId="0" fontId="0" fillId="31" borderId="4" xfId="0" applyNumberFormat="1" applyFont="1" applyFill="1" applyBorder="1"/>
    <x:xf numFmtId="0" fontId="0" fillId="31" borderId="8" xfId="0" applyNumberFormat="1" applyFont="1" applyFill="1" applyBorder="1"/>
    <x:xf numFmtId="0" fontId="0" fillId="31" borderId="5" xfId="0" applyNumberFormat="1" applyFont="1" applyFill="1" applyBorder="1"/>
    <x:xf numFmtId="0" fontId="0" fillId="31" borderId="9" xfId="0" applyNumberFormat="1" applyFont="1" applyFill="1" applyBorder="1"/>
    <x:xf numFmtId="0" fontId="0" fillId="31" borderId="10" xfId="0" applyNumberFormat="1" applyFont="1" applyFill="1" applyBorder="1"/>
    <x:xf numFmtId="0" fontId="0" fillId="31" borderId="6" xfId="0" applyNumberFormat="1" applyFont="1" applyFill="1" applyBorder="1"/>
    <x:xf numFmtId="0" fontId="0" fillId="31" borderId="11" xfId="0" applyNumberFormat="1" applyFont="1" applyFill="1" applyBorder="1"/>
    <x:xf numFmtId="0" fontId="0" fillId="31" borderId="7" xfId="0" applyNumberFormat="1" applyFont="1" applyFill="1" applyBorder="1"/>
    <x:xf numFmtId="0" fontId="0" fillId="31" borderId="4" xfId="0" applyNumberFormat="1" applyFont="1" applyFill="1" applyBorder="1" applyAlignment="1">
      <x:alignment wrapText="1"/>
    </x:xf>
    <x:xf numFmtId="0" fontId="0" fillId="31" borderId="8" xfId="0" applyNumberFormat="1" applyFont="1" applyFill="1" applyBorder="1" applyAlignment="1">
      <x:alignment wrapText="1"/>
    </x:xf>
    <x:xf numFmtId="0" fontId="0" fillId="31" borderId="5" xfId="0" applyNumberFormat="1" applyFont="1" applyFill="1" applyBorder="1" applyAlignment="1">
      <x:alignment wrapText="1"/>
    </x:xf>
    <x:xf numFmtId="0" fontId="0" fillId="31" borderId="9" xfId="0" applyNumberFormat="1" applyFont="1" applyFill="1" applyBorder="1" applyAlignment="1">
      <x:alignment wrapText="1"/>
    </x:xf>
    <x:xf numFmtId="0" fontId="0" fillId="31" borderId="0" xfId="0" applyNumberFormat="1" applyFont="1" applyFill="1" applyBorder="1" applyAlignment="1">
      <x:alignment wrapText="1"/>
    </x:xf>
    <x:xf numFmtId="0" fontId="0" fillId="31" borderId="10" xfId="0" applyNumberFormat="1" applyFont="1" applyFill="1" applyBorder="1" applyAlignment="1">
      <x:alignment wrapText="1"/>
    </x:xf>
    <x:xf numFmtId="0" fontId="0" fillId="31" borderId="6" xfId="0" applyNumberFormat="1" applyFont="1" applyFill="1" applyBorder="1" applyAlignment="1">
      <x:alignment wrapText="1"/>
    </x:xf>
    <x:xf numFmtId="0" fontId="0" fillId="31" borderId="11" xfId="0" applyNumberFormat="1" applyFont="1" applyFill="1" applyBorder="1" applyAlignment="1">
      <x:alignment wrapText="1"/>
    </x:xf>
    <x:xf numFmtId="0" fontId="0" fillId="31" borderId="7" xfId="0" applyNumberFormat="1" applyFont="1" applyFill="1" applyBorder="1" applyAlignment="1">
      <x:alignment wrapText="1"/>
    </x:xf>
    <x:xf numFmtId="0" fontId="0" fillId="31" borderId="4" xfId="0" applyNumberFormat="1" applyFont="1" applyFill="1" applyBorder="1" applyAlignment="1">
      <x:alignment vertical="top" wrapText="1"/>
    </x:xf>
    <x:xf numFmtId="0" fontId="0" fillId="31" borderId="8" xfId="0" applyNumberFormat="1" applyFont="1" applyFill="1" applyBorder="1" applyAlignment="1">
      <x:alignment vertical="top" wrapText="1"/>
    </x:xf>
    <x:xf numFmtId="0" fontId="0" fillId="31" borderId="5" xfId="0" applyNumberFormat="1" applyFont="1" applyFill="1" applyBorder="1" applyAlignment="1">
      <x:alignment vertical="top" wrapText="1"/>
    </x:xf>
    <x:xf numFmtId="0" fontId="0" fillId="31" borderId="9" xfId="0" applyNumberFormat="1" applyFont="1" applyFill="1" applyBorder="1" applyAlignment="1">
      <x:alignment vertical="top" wrapText="1"/>
    </x:xf>
    <x:xf numFmtId="0" fontId="0" fillId="31" borderId="0" xfId="0" applyNumberFormat="1" applyFont="1" applyFill="1" applyBorder="1" applyAlignment="1">
      <x:alignment vertical="top" wrapText="1"/>
    </x:xf>
    <x:xf numFmtId="0" fontId="0" fillId="31" borderId="10" xfId="0" applyNumberFormat="1" applyFont="1" applyFill="1" applyBorder="1" applyAlignment="1">
      <x:alignment vertical="top" wrapText="1"/>
    </x:xf>
    <x:xf numFmtId="0" fontId="0" fillId="31" borderId="6" xfId="0" applyNumberFormat="1" applyFont="1" applyFill="1" applyBorder="1" applyAlignment="1">
      <x:alignment vertical="top" wrapText="1"/>
    </x:xf>
    <x:xf numFmtId="0" fontId="0" fillId="31" borderId="11" xfId="0" applyNumberFormat="1" applyFont="1" applyFill="1" applyBorder="1" applyAlignment="1">
      <x:alignment vertical="top" wrapText="1"/>
    </x:xf>
    <x:xf numFmtId="0" fontId="0" fillId="31" borderId="7" xfId="0" applyNumberFormat="1" applyFont="1" applyFill="1" applyBorder="1" applyAlignment="1">
      <x:alignment vertical="top" wrapText="1"/>
    </x:xf>
    <x:xf numFmtId="0" fontId="0" fillId="31" borderId="46" xfId="0" applyNumberFormat="1" applyFont="1" applyFill="1" applyBorder="1"/>
    <x:xf numFmtId="0" fontId="0" fillId="31" borderId="74" xfId="0" applyNumberFormat="1" applyFont="1" applyFill="1" applyBorder="1"/>
    <x:xf numFmtId="0" fontId="0" fillId="31" borderId="86" xfId="0" applyNumberFormat="1" applyFont="1" applyFill="1" applyBorder="1"/>
    <x:xf numFmtId="0" fontId="0" fillId="31" borderId="75" xfId="0" applyNumberFormat="1" applyFont="1" applyFill="1" applyBorder="1"/>
    <x:xf numFmtId="0" fontId="0" fillId="31" borderId="87" xfId="0" applyNumberFormat="1" applyFont="1" applyFill="1" applyBorder="1"/>
    <x:xf numFmtId="0" fontId="0" fillId="31" borderId="88" xfId="0" applyNumberFormat="1" applyFont="1" applyFill="1" applyBorder="1"/>
    <x:xf numFmtId="0" fontId="0" fillId="31" borderId="76" xfId="0" applyNumberFormat="1" applyFont="1" applyFill="1" applyBorder="1"/>
    <x:xf numFmtId="0" fontId="0" fillId="31" borderId="89" xfId="0" applyNumberFormat="1" applyFont="1" applyFill="1" applyBorder="1"/>
    <x:xf numFmtId="0" fontId="0" fillId="31" borderId="77" xfId="0" applyNumberFormat="1" applyFont="1" applyFill="1" applyBorder="1"/>
    <x:xf numFmtId="0" fontId="0" fillId="31" borderId="74" xfId="0" applyNumberFormat="1" applyFont="1" applyFill="1" applyBorder="1" applyAlignment="1">
      <x:alignment wrapText="1"/>
    </x:xf>
    <x:xf numFmtId="0" fontId="0" fillId="31" borderId="86" xfId="0" applyNumberFormat="1" applyFont="1" applyFill="1" applyBorder="1" applyAlignment="1">
      <x:alignment wrapText="1"/>
    </x:xf>
    <x:xf numFmtId="0" fontId="0" fillId="31" borderId="75" xfId="0" applyNumberFormat="1" applyFont="1" applyFill="1" applyBorder="1" applyAlignment="1">
      <x:alignment wrapText="1"/>
    </x:xf>
    <x:xf numFmtId="0" fontId="0" fillId="31" borderId="87" xfId="0" applyNumberFormat="1" applyFont="1" applyFill="1" applyBorder="1" applyAlignment="1">
      <x:alignment wrapText="1"/>
    </x:xf>
    <x:xf numFmtId="0" fontId="0" fillId="31" borderId="46" xfId="0" applyNumberFormat="1" applyFont="1" applyFill="1" applyBorder="1" applyAlignment="1">
      <x:alignment wrapText="1"/>
    </x:xf>
    <x:xf numFmtId="0" fontId="0" fillId="31" borderId="88" xfId="0" applyNumberFormat="1" applyFont="1" applyFill="1" applyBorder="1" applyAlignment="1">
      <x:alignment wrapText="1"/>
    </x:xf>
    <x:xf numFmtId="0" fontId="0" fillId="31" borderId="76" xfId="0" applyNumberFormat="1" applyFont="1" applyFill="1" applyBorder="1" applyAlignment="1">
      <x:alignment wrapText="1"/>
    </x:xf>
    <x:xf numFmtId="0" fontId="0" fillId="31" borderId="89" xfId="0" applyNumberFormat="1" applyFont="1" applyFill="1" applyBorder="1" applyAlignment="1">
      <x:alignment wrapText="1"/>
    </x:xf>
    <x:xf numFmtId="0" fontId="0" fillId="31" borderId="77" xfId="0" applyNumberFormat="1" applyFont="1" applyFill="1" applyBorder="1" applyAlignment="1">
      <x:alignment wrapText="1"/>
    </x:xf>
    <x:xf numFmtId="0" fontId="0" fillId="31" borderId="74" xfId="0" applyNumberFormat="1" applyFont="1" applyFill="1" applyBorder="1" applyAlignment="1">
      <x:alignment vertical="top" wrapText="1"/>
    </x:xf>
    <x:xf numFmtId="0" fontId="0" fillId="31" borderId="86" xfId="0" applyNumberFormat="1" applyFont="1" applyFill="1" applyBorder="1" applyAlignment="1">
      <x:alignment vertical="top" wrapText="1"/>
    </x:xf>
    <x:xf numFmtId="0" fontId="0" fillId="31" borderId="75" xfId="0" applyNumberFormat="1" applyFont="1" applyFill="1" applyBorder="1" applyAlignment="1">
      <x:alignment vertical="top" wrapText="1"/>
    </x:xf>
    <x:xf numFmtId="0" fontId="0" fillId="31" borderId="87" xfId="0" applyNumberFormat="1" applyFont="1" applyFill="1" applyBorder="1" applyAlignment="1">
      <x:alignment vertical="top" wrapText="1"/>
    </x:xf>
    <x:xf numFmtId="0" fontId="0" fillId="31" borderId="46" xfId="0" applyNumberFormat="1" applyFont="1" applyFill="1" applyBorder="1" applyAlignment="1">
      <x:alignment vertical="top" wrapText="1"/>
    </x:xf>
    <x:xf numFmtId="0" fontId="0" fillId="31" borderId="88" xfId="0" applyNumberFormat="1" applyFont="1" applyFill="1" applyBorder="1" applyAlignment="1">
      <x:alignment vertical="top" wrapText="1"/>
    </x:xf>
    <x:xf numFmtId="0" fontId="0" fillId="31" borderId="76" xfId="0" applyNumberFormat="1" applyFont="1" applyFill="1" applyBorder="1" applyAlignment="1">
      <x:alignment vertical="top" wrapText="1"/>
    </x:xf>
    <x:xf numFmtId="0" fontId="0" fillId="31" borderId="89" xfId="0" applyNumberFormat="1" applyFont="1" applyFill="1" applyBorder="1" applyAlignment="1">
      <x:alignment vertical="top" wrapText="1"/>
    </x:xf>
    <x:xf numFmtId="0" fontId="0" fillId="31" borderId="77" xfId="0" applyNumberFormat="1" applyFont="1" applyFill="1" applyBorder="1" applyAlignment="1">
      <x:alignment vertical="top" wrapText="1"/>
    </x:xf>
    <x:xf numFmtId="0" fontId="2" fillId="0" borderId="1" xfId="0" applyNumberFormat="1" applyFont="1" applyFill="1" applyBorder="1"/>
    <x:xf numFmtId="0" fontId="2" fillId="0" borderId="2" xfId="0" applyNumberFormat="1" applyFont="1" applyFill="1" applyBorder="1"/>
    <x:xf numFmtId="0" fontId="2" fillId="0" borderId="3" xfId="0" applyNumberFormat="1" applyFont="1" applyFill="1" applyBorder="1"/>
    <x:xf numFmtId="0" fontId="2" fillId="0" borderId="1" xfId="0" applyNumberFormat="1" applyFont="1" applyFill="1" applyBorder="1" applyAlignment="1">
      <x:alignment wrapText="1"/>
    </x:xf>
    <x:xf numFmtId="0" fontId="2" fillId="0" borderId="2" xfId="0" applyNumberFormat="1" applyFont="1" applyFill="1" applyBorder="1" applyAlignment="1">
      <x:alignment wrapText="1"/>
    </x:xf>
    <x:xf numFmtId="0" fontId="2" fillId="0" borderId="3" xfId="0" applyNumberFormat="1" applyFont="1" applyFill="1" applyBorder="1" applyAlignment="1">
      <x:alignment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72" xfId="0" applyNumberFormat="1" applyFont="1" applyFill="1" applyBorder="1"/>
    <x:xf numFmtId="0" fontId="2" fillId="0" borderId="78" xfId="0" applyNumberFormat="1" applyFont="1" applyFill="1" applyBorder="1"/>
    <x:xf numFmtId="0" fontId="2" fillId="0" borderId="73" xfId="0" applyNumberFormat="1" applyFont="1" applyFill="1" applyBorder="1"/>
    <x:xf numFmtId="0" fontId="2" fillId="0" borderId="72" xfId="0" applyNumberFormat="1" applyFont="1" applyFill="1" applyBorder="1" applyAlignment="1">
      <x:alignment wrapText="1"/>
    </x:xf>
    <x:xf numFmtId="0" fontId="2" fillId="0" borderId="78" xfId="0" applyNumberFormat="1" applyFont="1" applyFill="1" applyBorder="1" applyAlignment="1">
      <x:alignment wrapText="1"/>
    </x:xf>
    <x:xf numFmtId="0" fontId="2" fillId="0" borderId="73" xfId="0" applyNumberFormat="1" applyFont="1" applyFill="1" applyBorder="1" applyAlignment="1">
      <x:alignment wrapText="1"/>
    </x:xf>
    <x:xf numFmtId="0" fontId="2" fillId="0" borderId="72" xfId="0" applyNumberFormat="1" applyFont="1" applyFill="1" applyBorder="1" applyAlignment="1">
      <x:alignment vertical="top" wrapText="1"/>
    </x:xf>
    <x:xf numFmtId="0" fontId="2" fillId="0" borderId="78" xfId="0" applyNumberFormat="1" applyFont="1" applyFill="1" applyBorder="1" applyAlignment="1">
      <x:alignment vertical="top" wrapText="1"/>
    </x:xf>
    <x:xf numFmtId="0" fontId="2" fillId="0" borderId="73" xfId="0" applyNumberFormat="1" applyFont="1" applyFill="1" applyBorder="1" applyAlignment="1">
      <x:alignment vertical="top" wrapText="1"/>
    </x:xf>
    <x:xf numFmtId="0" fontId="7" fillId="30" borderId="37" xfId="0" applyNumberFormat="1" applyFont="1" applyFill="1" applyBorder="1" applyAlignment="1">
      <x:alignment vertical="center" wrapText="1"/>
    </x:xf>
    <x:xf numFmtId="0" fontId="7" fillId="30" borderId="38" xfId="0" applyNumberFormat="1" applyFont="1" applyFill="1" applyBorder="1" applyAlignment="1">
      <x:alignment vertical="center" wrapText="1"/>
    </x:xf>
    <x:xf numFmtId="0" fontId="7" fillId="30" borderId="39" xfId="0" applyNumberFormat="1" applyFont="1" applyFill="1" applyBorder="1" applyAlignment="1">
      <x:alignment vertical="center" wrapText="1"/>
    </x:xf>
    <x:xf numFmtId="0" fontId="3" fillId="30" borderId="37" xfId="0" applyNumberFormat="1" applyFont="1" applyFill="1" applyBorder="1" applyAlignment="1">
      <x:alignment vertical="center" wrapText="1"/>
    </x:xf>
    <x:xf numFmtId="0" fontId="3" fillId="30" borderId="38" xfId="0" applyNumberFormat="1" applyFont="1" applyFill="1" applyBorder="1" applyAlignment="1">
      <x:alignment vertical="center" wrapText="1"/>
    </x:xf>
    <x:xf numFmtId="0" fontId="3" fillId="30" borderId="39" xfId="0" applyNumberFormat="1" applyFont="1" applyFill="1" applyBorder="1" applyAlignment="1">
      <x:alignment vertical="center" wrapText="1"/>
    </x:xf>
    <x:xf numFmtId="0" fontId="3" fillId="30" borderId="0" xfId="0" applyNumberFormat="1" applyFont="1" applyFill="1" applyBorder="1"/>
    <x:xf numFmtId="0" fontId="3" fillId="30" borderId="98" xfId="0" applyNumberFormat="1" applyFont="1" applyFill="1" applyBorder="1" applyAlignment="1">
      <x:alignment vertical="center" wrapText="1"/>
    </x:xf>
    <x:xf numFmtId="0" fontId="3" fillId="30" borderId="99" xfId="0" applyNumberFormat="1" applyFont="1" applyFill="1" applyBorder="1" applyAlignment="1">
      <x:alignment vertical="center" wrapText="1"/>
    </x:xf>
    <x:xf numFmtId="0" fontId="3" fillId="30" borderId="100" xfId="0" applyNumberFormat="1" applyFont="1" applyFill="1" applyBorder="1" applyAlignment="1">
      <x:alignment vertical="center" wrapText="1"/>
    </x:xf>
    <x:xf numFmtId="0" fontId="3" fillId="30" borderId="9" xfId="0" applyNumberFormat="1" applyFont="1" applyFill="1" applyBorder="1"/>
    <x:xf numFmtId="0" fontId="3" fillId="30" borderId="10" xfId="0" applyNumberFormat="1" applyFont="1" applyFill="1" applyBorder="1"/>
    <x:xf numFmtId="0" fontId="3" fillId="30" borderId="6" xfId="0" applyNumberFormat="1" applyFont="1" applyFill="1" applyBorder="1"/>
    <x:xf numFmtId="0" fontId="3" fillId="30" borderId="11" xfId="0" applyNumberFormat="1" applyFont="1" applyFill="1" applyBorder="1"/>
    <x:xf numFmtId="0" fontId="3" fillId="30" borderId="7" xfId="0" applyNumberFormat="1" applyFont="1" applyFill="1" applyBorder="1"/>
    <x:xf numFmtId="0" fontId="3" fillId="30" borderId="9" xfId="0" applyNumberFormat="1" applyFont="1" applyFill="1" applyBorder="1" applyAlignment="1">
      <x:alignment wrapText="1"/>
    </x:xf>
    <x:xf numFmtId="0" fontId="3" fillId="30" borderId="0" xfId="0" applyNumberFormat="1" applyFont="1" applyFill="1" applyBorder="1" applyAlignment="1">
      <x:alignment wrapText="1"/>
    </x:xf>
    <x:xf numFmtId="0" fontId="3" fillId="30" borderId="10" xfId="0" applyNumberFormat="1" applyFont="1" applyFill="1" applyBorder="1" applyAlignment="1">
      <x:alignment wrapText="1"/>
    </x:xf>
    <x:xf numFmtId="0" fontId="3" fillId="30" borderId="6" xfId="0" applyNumberFormat="1" applyFont="1" applyFill="1" applyBorder="1" applyAlignment="1">
      <x:alignment wrapText="1"/>
    </x:xf>
    <x:xf numFmtId="0" fontId="3" fillId="30" borderId="11" xfId="0" applyNumberFormat="1" applyFont="1" applyFill="1" applyBorder="1" applyAlignment="1">
      <x:alignment wrapText="1"/>
    </x:xf>
    <x:xf numFmtId="0" fontId="3" fillId="30" borderId="7" xfId="0" applyNumberFormat="1" applyFont="1" applyFill="1" applyBorder="1" applyAlignment="1">
      <x:alignment wrapText="1"/>
    </x:xf>
    <x:xf numFmtId="0" fontId="3" fillId="30" borderId="9" xfId="0" applyNumberFormat="1" applyFont="1" applyFill="1" applyBorder="1" applyAlignment="1">
      <x:alignment vertical="center" wrapText="1"/>
    </x:xf>
    <x:xf numFmtId="0" fontId="3" fillId="30" borderId="0" xfId="0" applyNumberFormat="1" applyFont="1" applyFill="1" applyBorder="1" applyAlignment="1">
      <x:alignment vertical="center" wrapText="1"/>
    </x:xf>
    <x:xf numFmtId="0" fontId="3" fillId="30" borderId="10" xfId="0" applyNumberFormat="1" applyFont="1" applyFill="1" applyBorder="1" applyAlignment="1">
      <x:alignment vertical="center" wrapText="1"/>
    </x:xf>
    <x:xf numFmtId="0" fontId="3" fillId="30" borderId="6" xfId="0" applyNumberFormat="1" applyFont="1" applyFill="1" applyBorder="1" applyAlignment="1">
      <x:alignment vertical="center" wrapText="1"/>
    </x:xf>
    <x:xf numFmtId="0" fontId="3" fillId="30" borderId="11" xfId="0" applyNumberFormat="1" applyFont="1" applyFill="1" applyBorder="1" applyAlignment="1">
      <x:alignment vertical="center" wrapText="1"/>
    </x:xf>
    <x:xf numFmtId="0" fontId="3" fillId="30" borderId="7" xfId="0" applyNumberFormat="1" applyFont="1" applyFill="1" applyBorder="1" applyAlignment="1">
      <x:alignment vertical="center" wrapText="1"/>
    </x:xf>
    <x:xf numFmtId="0" fontId="7" fillId="30" borderId="67" xfId="0" applyNumberFormat="1" applyFont="1" applyFill="1" applyBorder="1" applyAlignment="1">
      <x:alignment vertical="center" wrapText="1"/>
    </x:xf>
    <x:xf numFmtId="0" fontId="7" fillId="30" borderId="68" xfId="0" applyNumberFormat="1" applyFont="1" applyFill="1" applyBorder="1" applyAlignment="1">
      <x:alignment vertical="center" wrapText="1"/>
    </x:xf>
    <x:xf numFmtId="0" fontId="7" fillId="30" borderId="69" xfId="0" applyNumberFormat="1" applyFont="1" applyFill="1" applyBorder="1" applyAlignment="1">
      <x:alignment vertical="center" wrapText="1"/>
    </x:xf>
    <x:xf numFmtId="0" fontId="3" fillId="30" borderId="67" xfId="0" applyNumberFormat="1" applyFont="1" applyFill="1" applyBorder="1" applyAlignment="1">
      <x:alignment vertical="center" wrapText="1"/>
    </x:xf>
    <x:xf numFmtId="0" fontId="3" fillId="30" borderId="68" xfId="0" applyNumberFormat="1" applyFont="1" applyFill="1" applyBorder="1" applyAlignment="1">
      <x:alignment vertical="center" wrapText="1"/>
    </x:xf>
    <x:xf numFmtId="0" fontId="3" fillId="30" borderId="69" xfId="0" applyNumberFormat="1" applyFont="1" applyFill="1" applyBorder="1" applyAlignment="1">
      <x:alignment vertical="center" wrapText="1"/>
    </x:xf>
    <x:xf numFmtId="0" fontId="3" fillId="30" borderId="46" xfId="0" applyNumberFormat="1" applyFont="1" applyFill="1" applyBorder="1"/>
    <x:xf numFmtId="0" fontId="3" fillId="30" borderId="101" xfId="0" applyNumberFormat="1" applyFont="1" applyFill="1" applyBorder="1" applyAlignment="1">
      <x:alignment vertical="center" wrapText="1"/>
    </x:xf>
    <x:xf numFmtId="0" fontId="3" fillId="30" borderId="102" xfId="0" applyNumberFormat="1" applyFont="1" applyFill="1" applyBorder="1" applyAlignment="1">
      <x:alignment vertical="center" wrapText="1"/>
    </x:xf>
    <x:xf numFmtId="0" fontId="3" fillId="30" borderId="103" xfId="0" applyNumberFormat="1" applyFont="1" applyFill="1" applyBorder="1" applyAlignment="1">
      <x:alignment vertical="center" wrapText="1"/>
    </x:xf>
    <x:xf numFmtId="0" fontId="3" fillId="30" borderId="87" xfId="0" applyNumberFormat="1" applyFont="1" applyFill="1" applyBorder="1"/>
    <x:xf numFmtId="0" fontId="3" fillId="30" borderId="88" xfId="0" applyNumberFormat="1" applyFont="1" applyFill="1" applyBorder="1"/>
    <x:xf numFmtId="0" fontId="3" fillId="30" borderId="76" xfId="0" applyNumberFormat="1" applyFont="1" applyFill="1" applyBorder="1"/>
    <x:xf numFmtId="0" fontId="3" fillId="30" borderId="89" xfId="0" applyNumberFormat="1" applyFont="1" applyFill="1" applyBorder="1"/>
    <x:xf numFmtId="0" fontId="3" fillId="30" borderId="77" xfId="0" applyNumberFormat="1" applyFont="1" applyFill="1" applyBorder="1"/>
    <x:xf numFmtId="0" fontId="3" fillId="30" borderId="87" xfId="0" applyNumberFormat="1" applyFont="1" applyFill="1" applyBorder="1" applyAlignment="1">
      <x:alignment wrapText="1"/>
    </x:xf>
    <x:xf numFmtId="0" fontId="3" fillId="30" borderId="46" xfId="0" applyNumberFormat="1" applyFont="1" applyFill="1" applyBorder="1" applyAlignment="1">
      <x:alignment wrapText="1"/>
    </x:xf>
    <x:xf numFmtId="0" fontId="3" fillId="30" borderId="88" xfId="0" applyNumberFormat="1" applyFont="1" applyFill="1" applyBorder="1" applyAlignment="1">
      <x:alignment wrapText="1"/>
    </x:xf>
    <x:xf numFmtId="0" fontId="3" fillId="30" borderId="76" xfId="0" applyNumberFormat="1" applyFont="1" applyFill="1" applyBorder="1" applyAlignment="1">
      <x:alignment wrapText="1"/>
    </x:xf>
    <x:xf numFmtId="0" fontId="3" fillId="30" borderId="89" xfId="0" applyNumberFormat="1" applyFont="1" applyFill="1" applyBorder="1" applyAlignment="1">
      <x:alignment wrapText="1"/>
    </x:xf>
    <x:xf numFmtId="0" fontId="3" fillId="30" borderId="77" xfId="0" applyNumberFormat="1" applyFont="1" applyFill="1" applyBorder="1" applyAlignment="1">
      <x:alignment wrapText="1"/>
    </x:xf>
    <x:xf numFmtId="0" fontId="3" fillId="30" borderId="87" xfId="0" applyNumberFormat="1" applyFont="1" applyFill="1" applyBorder="1" applyAlignment="1">
      <x:alignment vertical="center" wrapText="1"/>
    </x:xf>
    <x:xf numFmtId="0" fontId="3" fillId="30" borderId="46" xfId="0" applyNumberFormat="1" applyFont="1" applyFill="1" applyBorder="1" applyAlignment="1">
      <x:alignment vertical="center" wrapText="1"/>
    </x:xf>
    <x:xf numFmtId="0" fontId="3" fillId="30" borderId="88" xfId="0" applyNumberFormat="1" applyFont="1" applyFill="1" applyBorder="1" applyAlignment="1">
      <x:alignment vertical="center" wrapText="1"/>
    </x:xf>
    <x:xf numFmtId="0" fontId="3" fillId="30" borderId="76" xfId="0" applyNumberFormat="1" applyFont="1" applyFill="1" applyBorder="1" applyAlignment="1">
      <x:alignment vertical="center" wrapText="1"/>
    </x:xf>
    <x:xf numFmtId="0" fontId="3" fillId="30" borderId="89" xfId="0" applyNumberFormat="1" applyFont="1" applyFill="1" applyBorder="1" applyAlignment="1">
      <x:alignment vertical="center" wrapText="1"/>
    </x:xf>
    <x:xf numFmtId="0" fontId="3" fillId="30" borderId="77" xfId="0" applyNumberFormat="1" applyFont="1" applyFill="1" applyBorder="1" applyAlignment="1">
      <x:alignment vertical="center" wrapText="1"/>
    </x:xf>
    <x:xf numFmtId="0" fontId="0" fillId="0" borderId="0" xfId="0" applyNumberFormat="1" applyFont="1" applyFill="1" applyBorder="1"/>
    <x:xf numFmtId="0" fontId="8" fillId="2" borderId="12" xfId="0" applyNumberFormat="1" applyFont="1" applyFill="1" applyBorder="1" applyAlignment="1">
      <x:alignment horizontal="center" vertical="center" wrapText="1"/>
    </x:xf>
    <x:xf numFmtId="0" fontId="8" fillId="2" borderId="13" xfId="0" applyNumberFormat="1" applyFont="1" applyFill="1" applyBorder="1" applyAlignment="1">
      <x:alignment horizontal="center" vertical="center" wrapText="1"/>
    </x:xf>
    <x:xf numFmtId="0" fontId="8" fillId="2" borderId="14" xfId="0" applyNumberFormat="1" applyFont="1" applyFill="1" applyBorder="1" applyAlignment="1">
      <x:alignment horizontal="center" vertical="center" wrapText="1"/>
    </x:xf>
    <x:xf numFmtId="0" fontId="8" fillId="2" borderId="29" xfId="0" applyNumberFormat="1" applyFont="1" applyFill="1" applyBorder="1" applyAlignment="1">
      <x:alignment horizontal="center" vertical="center" wrapText="1"/>
    </x:xf>
    <x:xf numFmtId="0" fontId="8" fillId="2" borderId="30" xfId="0" applyNumberFormat="1" applyFont="1" applyFill="1" applyBorder="1" applyAlignment="1">
      <x:alignment horizontal="center" vertical="center" wrapText="1"/>
    </x:xf>
    <x:xf numFmtId="0" fontId="8" fillId="2" borderId="31" xfId="0" applyNumberFormat="1" applyFont="1" applyFill="1" applyBorder="1" applyAlignment="1">
      <x:alignment horizontal="center" vertical="center" wrapText="1"/>
    </x:xf>
    <x:xf numFmtId="0" fontId="2" fillId="0" borderId="23" xfId="0" applyNumberFormat="1" applyFont="1" applyFill="1" applyBorder="1" applyAlignment="1">
      <x:alignment vertical="top" wrapText="1"/>
    </x:xf>
    <x:xf numFmtId="0" fontId="2" fillId="0" borderId="24" xfId="0" applyNumberFormat="1" applyFont="1" applyFill="1" applyBorder="1" applyAlignment="1">
      <x:alignment vertical="top" wrapText="1"/>
    </x:xf>
    <x:xf numFmtId="0" fontId="2" fillId="0" borderId="25" xfId="0" applyNumberFormat="1" applyFont="1" applyFill="1" applyBorder="1" applyAlignment="1">
      <x:alignment vertical="top" wrapText="1"/>
    </x:xf>
    <x:xf numFmtId="0" fontId="2" fillId="0" borderId="32" xfId="0" applyNumberFormat="1" applyFont="1" applyFill="1" applyBorder="1" applyAlignment="1">
      <x:alignment vertical="top" wrapText="1"/>
    </x:xf>
    <x:xf numFmtId="0" fontId="2" fillId="0" borderId="33" xfId="0" applyNumberFormat="1" applyFont="1" applyFill="1" applyBorder="1" applyAlignment="1">
      <x:alignment vertical="top" wrapText="1"/>
    </x:xf>
    <x:xf numFmtId="0" fontId="2" fillId="0" borderId="26" xfId="0" applyNumberFormat="1" applyFont="1" applyFill="1" applyBorder="1" applyAlignment="1">
      <x:alignment vertical="top" wrapText="1"/>
    </x:xf>
    <x:xf numFmtId="0" fontId="2" fillId="0" borderId="27" xfId="0" applyNumberFormat="1" applyFont="1" applyFill="1" applyBorder="1" applyAlignment="1">
      <x:alignment vertical="top" wrapText="1"/>
    </x:xf>
    <x:xf numFmtId="0" fontId="2" fillId="0" borderId="28" xfId="0" applyNumberFormat="1" applyFont="1" applyFill="1" applyBorder="1" applyAlignment="1">
      <x:alignment vertical="top" wrapText="1"/>
    </x:xf>
    <x:xf numFmtId="0" fontId="2" fillId="6" borderId="24" xfId="0" applyNumberFormat="1" applyFont="1" applyFill="1" applyBorder="1" applyAlignment="1">
      <x:alignment vertical="top" wrapText="1"/>
    </x:xf>
    <x:xf numFmtId="0" fontId="2" fillId="6" borderId="0" xfId="0" applyNumberFormat="1" applyFont="1" applyFill="1" applyBorder="1" applyAlignment="1">
      <x:alignment vertical="top" wrapText="1"/>
    </x:xf>
    <x:xf numFmtId="0" fontId="2" fillId="6" borderId="27" xfId="0" applyNumberFormat="1" applyFont="1" applyFill="1" applyBorder="1" applyAlignment="1">
      <x:alignment vertical="top" wrapText="1"/>
    </x:xf>
    <x:xf numFmtId="0" fontId="2" fillId="6" borderId="23" xfId="0" applyNumberFormat="1" applyFont="1" applyFill="1" applyBorder="1" applyAlignment="1">
      <x:alignment vertical="top" wrapText="1"/>
    </x:xf>
    <x:xf numFmtId="0" fontId="2" fillId="6" borderId="25" xfId="0" applyNumberFormat="1" applyFont="1" applyFill="1" applyBorder="1" applyAlignment="1">
      <x:alignment vertical="top" wrapText="1"/>
    </x:xf>
    <x:xf numFmtId="0" fontId="2" fillId="6" borderId="32" xfId="0" applyNumberFormat="1" applyFont="1" applyFill="1" applyBorder="1" applyAlignment="1">
      <x:alignment vertical="top" wrapText="1"/>
    </x:xf>
    <x:xf numFmtId="0" fontId="2" fillId="6" borderId="33" xfId="0" applyNumberFormat="1" applyFont="1" applyFill="1" applyBorder="1" applyAlignment="1">
      <x:alignment vertical="top" wrapText="1"/>
    </x:xf>
    <x:xf numFmtId="0" fontId="2" fillId="6" borderId="26" xfId="0" applyNumberFormat="1" applyFont="1" applyFill="1" applyBorder="1" applyAlignment="1">
      <x:alignment vertical="top" wrapText="1"/>
    </x:xf>
    <x:xf numFmtId="0" fontId="2" fillId="6" borderId="28" xfId="0" applyNumberFormat="1" applyFont="1" applyFill="1" applyBorder="1" applyAlignment="1">
      <x:alignment vertical="top" wrapText="1"/>
    </x:xf>
    <x:xf numFmtId="3" fontId="2" fillId="6" borderId="25" xfId="0" applyNumberFormat="1" applyFont="1" applyFill="1" applyBorder="1" applyAlignment="1">
      <x:alignment vertical="top" wrapText="1"/>
    </x:xf>
    <x:xf numFmtId="3" fontId="2" fillId="6" borderId="33" xfId="0" applyNumberFormat="1" applyFont="1" applyFill="1" applyBorder="1" applyAlignment="1">
      <x:alignment vertical="top" wrapText="1"/>
    </x:xf>
    <x:xf numFmtId="3" fontId="2" fillId="6" borderId="28" xfId="0" applyNumberFormat="1" applyFont="1" applyFill="1" applyBorder="1" applyAlignment="1">
      <x:alignment vertical="top" wrapText="1"/>
    </x:xf>
    <x:xf numFmtId="0" fontId="2" fillId="0" borderId="23" xfId="0" applyNumberFormat="1" applyFont="1" applyFill="1" applyBorder="1" applyAlignment="1">
      <x:alignment vertical="center" wrapText="1"/>
    </x:xf>
    <x:xf numFmtId="0" fontId="2" fillId="0" borderId="24" xfId="0" applyNumberFormat="1" applyFont="1" applyFill="1" applyBorder="1" applyAlignment="1">
      <x:alignment vertical="center" wrapText="1"/>
    </x:xf>
    <x:xf numFmtId="0" fontId="2" fillId="0" borderId="32"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26" xfId="0" applyNumberFormat="1" applyFont="1" applyFill="1" applyBorder="1" applyAlignment="1">
      <x:alignment vertical="center" wrapText="1"/>
    </x:xf>
    <x:xf numFmtId="0" fontId="2" fillId="0" borderId="27" xfId="0" applyNumberFormat="1" applyFont="1" applyFill="1" applyBorder="1" applyAlignment="1">
      <x:alignment vertical="center" wrapText="1"/>
    </x:xf>
    <x:xf numFmtId="0" fontId="7" fillId="4" borderId="29" xfId="0" applyNumberFormat="1" applyFont="1" applyFill="1" applyBorder="1"/>
    <x:xf numFmtId="0" fontId="7" fillId="4" borderId="30" xfId="0" applyNumberFormat="1" applyFont="1" applyFill="1" applyBorder="1"/>
    <x:xf numFmtId="0" fontId="7" fillId="4" borderId="31" xfId="0" applyNumberFormat="1" applyFont="1" applyFill="1" applyBorder="1"/>
    <x:xf numFmtId="0" fontId="5" fillId="2" borderId="0" xfId="0" applyNumberFormat="1" applyFont="1" applyFill="1" applyBorder="1" applyAlignment="1">
      <x:alignment wrapText="1"/>
    </x:xf>
    <x:xf numFmtId="0" fontId="2" fillId="9" borderId="23" xfId="0" applyNumberFormat="1" applyFont="1" applyFill="1" applyBorder="1" applyAlignment="1">
      <x:alignment vertical="top" wrapText="1"/>
    </x:xf>
    <x:xf numFmtId="0" fontId="2" fillId="9" borderId="32" xfId="0" applyNumberFormat="1" applyFont="1" applyFill="1" applyBorder="1" applyAlignment="1">
      <x:alignment vertical="top" wrapText="1"/>
    </x:xf>
    <x:xf numFmtId="0" fontId="8" fillId="2" borderId="40" xfId="0" applyNumberFormat="1" applyFont="1" applyFill="1" applyBorder="1" applyAlignment="1">
      <x:alignment horizontal="center" vertical="center" wrapText="1"/>
    </x:xf>
    <x:xf numFmtId="0" fontId="8" fillId="2" borderId="41" xfId="0" applyNumberFormat="1" applyFont="1" applyFill="1" applyBorder="1" applyAlignment="1">
      <x:alignment horizontal="center" vertical="center" wrapText="1"/>
    </x:xf>
    <x:xf numFmtId="0" fontId="8" fillId="2" borderId="42" xfId="0" applyNumberFormat="1" applyFont="1" applyFill="1" applyBorder="1" applyAlignment="1">
      <x:alignment horizontal="center" vertical="center" wrapText="1"/>
    </x:xf>
    <x:xf numFmtId="0" fontId="2" fillId="0" borderId="34" xfId="0" applyNumberFormat="1" applyFont="1" applyFill="1" applyBorder="1" applyAlignment="1">
      <x:alignment vertical="top" wrapText="1"/>
    </x:xf>
    <x:xf numFmtId="0" fontId="2" fillId="0" borderId="35" xfId="0" applyNumberFormat="1" applyFont="1" applyFill="1" applyBorder="1" applyAlignment="1">
      <x:alignment vertical="top" wrapText="1"/>
    </x:xf>
    <x:xf numFmtId="0" fontId="2" fillId="0" borderId="36" xfId="0" applyNumberFormat="1" applyFont="1" applyFill="1" applyBorder="1" applyAlignment="1">
      <x:alignment vertical="top" wrapText="1"/>
    </x:xf>
    <x:xf numFmtId="0" fontId="2" fillId="0" borderId="37" xfId="0" applyNumberFormat="1" applyFont="1" applyFill="1" applyBorder="1" applyAlignment="1">
      <x:alignment vertical="top" wrapText="1"/>
    </x:xf>
    <x:xf numFmtId="0" fontId="2" fillId="0" borderId="38" xfId="0" applyNumberFormat="1" applyFont="1" applyFill="1" applyBorder="1" applyAlignment="1">
      <x:alignment vertical="top" wrapText="1"/>
    </x:xf>
    <x:xf numFmtId="0" fontId="2" fillId="0" borderId="39" xfId="0" applyNumberFormat="1" applyFont="1" applyFill="1" applyBorder="1" applyAlignment="1">
      <x:alignment vertical="top" wrapText="1"/>
    </x:xf>
    <x:xf numFmtId="0" fontId="2" fillId="6" borderId="35" xfId="0" applyNumberFormat="1" applyFont="1" applyFill="1" applyBorder="1" applyAlignment="1">
      <x:alignment vertical="top" wrapText="1"/>
    </x:xf>
    <x:xf numFmtId="0" fontId="2" fillId="6" borderId="36" xfId="0" applyNumberFormat="1" applyFont="1" applyFill="1" applyBorder="1" applyAlignment="1">
      <x:alignment vertical="top" wrapText="1"/>
    </x:xf>
    <x:xf numFmtId="0" fontId="2" fillId="6" borderId="38" xfId="0" applyNumberFormat="1" applyFont="1" applyFill="1" applyBorder="1" applyAlignment="1">
      <x:alignment vertical="top" wrapText="1"/>
    </x:xf>
    <x:xf numFmtId="0" fontId="2" fillId="6" borderId="39" xfId="0" applyNumberFormat="1" applyFont="1" applyFill="1" applyBorder="1" applyAlignment="1">
      <x:alignment vertical="top" wrapText="1"/>
    </x:xf>
    <x:xf numFmtId="0" fontId="2" fillId="6" borderId="34" xfId="0" applyNumberFormat="1" applyFont="1" applyFill="1" applyBorder="1" applyAlignment="1">
      <x:alignment vertical="top" wrapText="1"/>
    </x:xf>
    <x:xf numFmtId="0" fontId="2" fillId="6" borderId="37" xfId="0" applyNumberFormat="1" applyFont="1" applyFill="1" applyBorder="1" applyAlignment="1">
      <x:alignment vertical="top" wrapText="1"/>
    </x:xf>
    <x:xf numFmtId="0" fontId="2" fillId="9" borderId="35" xfId="0" applyNumberFormat="1" applyFont="1" applyFill="1" applyBorder="1" applyAlignment="1">
      <x:alignment vertical="top" wrapText="1"/>
    </x:xf>
    <x:xf numFmtId="0" fontId="2" fillId="9" borderId="38" xfId="0" applyNumberFormat="1" applyFont="1" applyFill="1" applyBorder="1" applyAlignment="1">
      <x:alignment vertical="top" wrapText="1"/>
    </x:xf>
    <x:xf numFmtId="0" fontId="2" fillId="0" borderId="43" xfId="0" applyNumberFormat="1" applyFont="1" applyFill="1" applyBorder="1" applyAlignment="1">
      <x:alignment vertical="top" wrapText="1"/>
    </x:xf>
    <x:xf numFmtId="0" fontId="2" fillId="0" borderId="44" xfId="0" applyNumberFormat="1" applyFont="1" applyFill="1" applyBorder="1" applyAlignment="1">
      <x:alignment vertical="top" wrapText="1"/>
    </x:xf>
    <x:xf numFmtId="0" fontId="2" fillId="6" borderId="43" xfId="0" applyNumberFormat="1" applyFont="1" applyFill="1" applyBorder="1" applyAlignment="1">
      <x:alignment vertical="top" wrapText="1"/>
    </x:xf>
    <x:xf numFmtId="0" fontId="2" fillId="6" borderId="44" xfId="0" applyNumberFormat="1" applyFont="1" applyFill="1" applyBorder="1" applyAlignment="1">
      <x:alignment vertical="top" wrapText="1"/>
    </x:xf>
    <x:xf numFmtId="0" fontId="3" fillId="4" borderId="40" xfId="0" applyNumberFormat="1" applyFont="1" applyFill="1" applyBorder="1"/>
    <x:xf numFmtId="0" fontId="3" fillId="4" borderId="41" xfId="0" applyNumberFormat="1" applyFont="1" applyFill="1" applyBorder="1"/>
    <x:xf numFmtId="176" fontId="3" fillId="4" borderId="41" xfId="0" applyNumberFormat="1" applyFont="1" applyFill="1" applyBorder="1"/>
    <x:xf numFmtId="0" fontId="3" fillId="4" borderId="42" xfId="0" applyNumberFormat="1" applyFont="1" applyFill="1" applyBorder="1"/>
    <x:xf numFmtId="0" fontId="3" fillId="4" borderId="1" xfId="0" applyNumberFormat="1" applyFont="1" applyFill="1" applyBorder="1" applyAlignment="1">
      <x:alignment horizontal="center"/>
    </x:xf>
    <x:xf numFmtId="0" fontId="3" fillId="4" borderId="3" xfId="0" applyNumberFormat="1" applyFont="1" applyFill="1" applyBorder="1" applyAlignment="1">
      <x:alignment horizontal="center"/>
    </x:xf>
    <x:xf numFmtId="0" fontId="4" fillId="5" borderId="4" xfId="0" applyNumberFormat="1" applyFont="1" applyFill="1" applyBorder="1" applyAlignment="1">
      <x:alignment horizontal="center" vertical="center"/>
    </x:xf>
    <x:xf numFmtId="0" fontId="4" fillId="5" borderId="5" xfId="0" applyNumberFormat="1" applyFont="1" applyFill="1" applyBorder="1" applyAlignment="1">
      <x:alignment horizontal="center" vertical="center"/>
    </x:xf>
    <x:xf numFmtId="0" fontId="4" fillId="5" borderId="6" xfId="0" applyNumberFormat="1" applyFont="1" applyFill="1" applyBorder="1" applyAlignment="1">
      <x:alignment horizontal="center" vertical="center"/>
    </x:xf>
    <x:xf numFmtId="0" fontId="4" fillId="5" borderId="7" xfId="0" applyNumberFormat="1" applyFont="1" applyFill="1" applyBorder="1" applyAlignment="1">
      <x:alignment horizontal="center" vertical="center"/>
    </x:xf>
    <x:xf numFmtId="0" fontId="6" fillId="4" borderId="1" xfId="0" applyNumberFormat="1" applyFont="1" applyFill="1" applyBorder="1" applyAlignment="1">
      <x:alignment vertical="center"/>
    </x:xf>
    <x:xf numFmtId="0" fontId="6" fillId="4" borderId="2" xfId="0" applyNumberFormat="1" applyFont="1" applyFill="1" applyBorder="1" applyAlignment="1">
      <x:alignment vertical="center"/>
    </x:xf>
    <x:xf numFmtId="0" fontId="6" fillId="4" borderId="3" xfId="0" applyNumberFormat="1" applyFont="1" applyFill="1" applyBorder="1" applyAlignment="1">
      <x:alignment vertical="center"/>
    </x:xf>
    <x:xf numFmtId="0" fontId="2" fillId="4" borderId="0" xfId="0" applyNumberFormat="1" applyFont="1" applyFill="1" applyBorder="1" applyAlignment="1">
      <x:alignment wrapText="1"/>
    </x:xf>
    <x:xf numFmtId="0" fontId="7" fillId="4" borderId="1" xfId="0" applyNumberFormat="1" applyFont="1" applyFill="1" applyBorder="1" applyAlignment="1">
      <x:alignment horizontal="center"/>
    </x:xf>
    <x:xf numFmtId="0" fontId="7" fillId="4" borderId="3" xfId="0" applyNumberFormat="1" applyFont="1" applyFill="1" applyBorder="1" applyAlignment="1">
      <x:alignment horizontal="center"/>
    </x:xf>
    <x:xf numFmtId="0" fontId="4" fillId="9" borderId="4" xfId="0" applyNumberFormat="1" applyFont="1" applyFill="1" applyBorder="1" applyAlignment="1">
      <x:alignment horizontal="center" vertical="center"/>
    </x:xf>
    <x:xf numFmtId="0" fontId="4" fillId="9" borderId="5" xfId="0" applyNumberFormat="1" applyFont="1" applyFill="1" applyBorder="1" applyAlignment="1">
      <x:alignment horizontal="center" vertical="center"/>
    </x:xf>
    <x:xf numFmtId="0" fontId="4" fillId="9" borderId="6" xfId="0" applyNumberFormat="1" applyFont="1" applyFill="1" applyBorder="1" applyAlignment="1">
      <x:alignment horizontal="center" vertical="center"/>
    </x:xf>
    <x:xf numFmtId="0" fontId="4" fillId="9" borderId="7" xfId="0" applyNumberFormat="1" applyFont="1" applyFill="1" applyBorder="1" applyAlignment="1">
      <x:alignment horizontal="center" vertical="center"/>
    </x:xf>
    <x:xf numFmtId="0" fontId="4" fillId="10" borderId="4" xfId="0" applyNumberFormat="1" applyFont="1" applyFill="1" applyBorder="1" applyAlignment="1">
      <x:alignment horizontal="center" vertical="center"/>
    </x:xf>
    <x:xf numFmtId="0" fontId="4" fillId="10" borderId="5" xfId="0" applyNumberFormat="1" applyFont="1" applyFill="1" applyBorder="1" applyAlignment="1">
      <x:alignment horizontal="center" vertical="center"/>
    </x:xf>
    <x:xf numFmtId="0" fontId="4" fillId="10" borderId="6" xfId="0" applyNumberFormat="1" applyFont="1" applyFill="1" applyBorder="1" applyAlignment="1">
      <x:alignment horizontal="center" vertical="center"/>
    </x:xf>
    <x:xf numFmtId="0" fontId="4" fillId="10" borderId="7" xfId="0" applyNumberFormat="1" applyFont="1" applyFill="1" applyBorder="1" applyAlignment="1">
      <x:alignment horizontal="center" vertical="center"/>
    </x:xf>
    <x:xf numFmtId="0" fontId="4" fillId="6" borderId="4" xfId="0" applyNumberFormat="1" applyFont="1" applyFill="1" applyBorder="1" applyAlignment="1">
      <x:alignment horizontal="center" vertical="center"/>
    </x:xf>
    <x:xf numFmtId="0" fontId="4" fillId="6" borderId="5" xfId="0" applyNumberFormat="1" applyFont="1" applyFill="1" applyBorder="1" applyAlignment="1">
      <x:alignment horizontal="center" vertical="center"/>
    </x:xf>
    <x:xf numFmtId="0" fontId="4" fillId="6" borderId="6" xfId="0" applyNumberFormat="1" applyFont="1" applyFill="1" applyBorder="1" applyAlignment="1">
      <x:alignment horizontal="center" vertical="center"/>
    </x:xf>
    <x:xf numFmtId="0" fontId="4" fillId="6" borderId="7" xfId="0" applyNumberFormat="1" applyFont="1" applyFill="1" applyBorder="1" applyAlignment="1">
      <x:alignment horizontal="center" vertical="center"/>
    </x:xf>
    <x:xf numFmtId="0" fontId="4" fillId="0" borderId="4" xfId="0" applyNumberFormat="1" applyFont="1" applyFill="1" applyBorder="1" applyAlignment="1">
      <x:alignment horizontal="center" vertical="center"/>
    </x:xf>
    <x:xf numFmtId="0" fontId="4" fillId="0" borderId="5" xfId="0" applyNumberFormat="1" applyFont="1" applyFill="1" applyBorder="1" applyAlignment="1">
      <x:alignment horizontal="center" vertical="center"/>
    </x:xf>
    <x:xf numFmtId="0" fontId="4" fillId="0" borderId="6" xfId="0" applyNumberFormat="1" applyFont="1" applyFill="1" applyBorder="1" applyAlignment="1">
      <x:alignment horizontal="center" vertical="center"/>
    </x:xf>
    <x:xf numFmtId="0" fontId="4" fillId="0" borderId="7" xfId="0" applyNumberFormat="1" applyFont="1" applyFill="1" applyBorder="1" applyAlignment="1">
      <x:alignment horizontal="center" vertical="center"/>
    </x:xf>
    <x:xf numFmtId="0" fontId="1" fillId="2" borderId="0" xfId="0" applyNumberFormat="1" applyFont="1" applyFill="1" applyBorder="1" applyAlignment="1">
      <x:alignment vertical="center"/>
    </x:xf>
    <x:xf numFmtId="0" fontId="9" fillId="2" borderId="0" xfId="0" applyNumberFormat="1" applyFont="1" applyFill="1" applyBorder="1" applyAlignment="1">
      <x:alignment vertical="center"/>
    </x:xf>
    <x:xf numFmtId="0" fontId="2" fillId="4" borderId="12" xfId="0" applyNumberFormat="1" applyFont="1" applyFill="1" applyBorder="1" applyAlignment="1">
      <x:alignment wrapText="1"/>
    </x:xf>
    <x:xf numFmtId="0" fontId="2" fillId="4" borderId="14" xfId="0" applyNumberFormat="1" applyFont="1" applyFill="1" applyBorder="1" applyAlignment="1">
      <x:alignment wrapText="1"/>
    </x:xf>
    <x:xf numFmtId="0" fontId="2" fillId="4" borderId="13" xfId="0" applyNumberFormat="1" applyFont="1" applyFill="1" applyBorder="1" applyAlignment="1">
      <x:alignment wrapText="1"/>
    </x:xf>
    <x:xf numFmtId="0" fontId="7" fillId="4" borderId="12" xfId="0" applyNumberFormat="1" applyFont="1" applyFill="1" applyBorder="1" applyAlignment="1">
      <x:alignment horizontal="center"/>
    </x:xf>
    <x:xf numFmtId="0" fontId="7" fillId="4" borderId="13" xfId="0" applyNumberFormat="1" applyFont="1" applyFill="1" applyBorder="1" applyAlignment="1">
      <x:alignment horizontal="center"/>
    </x:xf>
    <x:xf numFmtId="0" fontId="4" fillId="16" borderId="15" xfId="0" applyNumberFormat="1" applyFont="1" applyFill="1" applyBorder="1" applyAlignment="1">
      <x:alignment horizontal="center" vertical="center"/>
    </x:xf>
    <x:xf numFmtId="0" fontId="4" fillId="16" borderId="17" xfId="0" applyNumberFormat="1" applyFont="1" applyFill="1" applyBorder="1" applyAlignment="1">
      <x:alignment horizontal="center" vertical="center"/>
    </x:xf>
    <x:xf numFmtId="0" fontId="4" fillId="16" borderId="20" xfId="0" applyNumberFormat="1" applyFont="1" applyFill="1" applyBorder="1" applyAlignment="1">
      <x:alignment horizontal="center" vertical="center"/>
    </x:xf>
    <x:xf numFmtId="0" fontId="4" fillId="16" borderId="22" xfId="0" applyNumberFormat="1" applyFont="1" applyFill="1" applyBorder="1" applyAlignment="1">
      <x:alignment horizontal="center" vertical="center"/>
    </x:xf>
    <x:xf numFmtId="0" fontId="4" fillId="9" borderId="15" xfId="0" applyNumberFormat="1" applyFont="1" applyFill="1" applyBorder="1" applyAlignment="1">
      <x:alignment horizontal="center" vertical="center"/>
    </x:xf>
    <x:xf numFmtId="0" fontId="4" fillId="9" borderId="17" xfId="0" applyNumberFormat="1" applyFont="1" applyFill="1" applyBorder="1" applyAlignment="1">
      <x:alignment horizontal="center" vertical="center"/>
    </x:xf>
    <x:xf numFmtId="0" fontId="4" fillId="9" borderId="20" xfId="0" applyNumberFormat="1" applyFont="1" applyFill="1" applyBorder="1" applyAlignment="1">
      <x:alignment horizontal="center" vertical="center"/>
    </x:xf>
    <x:xf numFmtId="0" fontId="4" fillId="9" borderId="22" xfId="0" applyNumberFormat="1" applyFont="1" applyFill="1" applyBorder="1" applyAlignment="1">
      <x:alignment horizontal="center" vertical="center"/>
    </x:xf>
    <x:xf numFmtId="0" fontId="4" fillId="10" borderId="15" xfId="0" applyNumberFormat="1" applyFont="1" applyFill="1" applyBorder="1" applyAlignment="1">
      <x:alignment horizontal="center" vertical="center"/>
    </x:xf>
    <x:xf numFmtId="0" fontId="4" fillId="10" borderId="17" xfId="0" applyNumberFormat="1" applyFont="1" applyFill="1" applyBorder="1" applyAlignment="1">
      <x:alignment horizontal="center" vertical="center"/>
    </x:xf>
    <x:xf numFmtId="0" fontId="4" fillId="10" borderId="20" xfId="0" applyNumberFormat="1" applyFont="1" applyFill="1" applyBorder="1" applyAlignment="1">
      <x:alignment horizontal="center" vertical="center"/>
    </x:xf>
    <x:xf numFmtId="0" fontId="4" fillId="10" borderId="22" xfId="0" applyNumberFormat="1" applyFont="1" applyFill="1" applyBorder="1" applyAlignment="1">
      <x:alignment horizontal="center" vertical="center"/>
    </x:xf>
    <x:xf numFmtId="0" fontId="4" fillId="6" borderId="15" xfId="0" applyNumberFormat="1" applyFont="1" applyFill="1" applyBorder="1" applyAlignment="1">
      <x:alignment horizontal="center" vertical="center"/>
    </x:xf>
    <x:xf numFmtId="0" fontId="4" fillId="6" borderId="17" xfId="0" applyNumberFormat="1" applyFont="1" applyFill="1" applyBorder="1" applyAlignment="1">
      <x:alignment horizontal="center" vertical="center"/>
    </x:xf>
    <x:xf numFmtId="0" fontId="4" fillId="6" borderId="20" xfId="0" applyNumberFormat="1" applyFont="1" applyFill="1" applyBorder="1" applyAlignment="1">
      <x:alignment horizontal="center" vertical="center"/>
    </x:xf>
    <x:xf numFmtId="0" fontId="4" fillId="6" borderId="22" xfId="0" applyNumberFormat="1" applyFont="1" applyFill="1" applyBorder="1" applyAlignment="1">
      <x:alignment horizontal="center" vertical="center"/>
    </x:xf>
    <x:xf numFmtId="0" fontId="4" fillId="4" borderId="15" xfId="0" applyNumberFormat="1" applyFont="1" applyFill="1" applyBorder="1" applyAlignment="1">
      <x:alignment horizontal="center" vertical="center"/>
    </x:xf>
    <x:xf numFmtId="0" fontId="4" fillId="4" borderId="17" xfId="0" applyNumberFormat="1" applyFont="1" applyFill="1" applyBorder="1" applyAlignment="1">
      <x:alignment horizontal="center" vertical="center"/>
    </x:xf>
    <x:xf numFmtId="0" fontId="4" fillId="4" borderId="20" xfId="0" applyNumberFormat="1" applyFont="1" applyFill="1" applyBorder="1" applyAlignment="1">
      <x:alignment horizontal="center" vertical="center"/>
    </x:xf>
    <x:xf numFmtId="0" fontId="4" fillId="4" borderId="22" xfId="0" applyNumberFormat="1" applyFont="1" applyFill="1" applyBorder="1" applyAlignment="1">
      <x:alignment horizontal="center" vertical="center"/>
    </x:xf>
    <x:xf numFmtId="0" fontId="10" fillId="4" borderId="15" xfId="0" applyNumberFormat="1" applyFont="1" applyFill="1" applyBorder="1" applyAlignment="1">
      <x:alignment horizontal="center" vertical="center"/>
    </x:xf>
    <x:xf numFmtId="0" fontId="10" fillId="4" borderId="16" xfId="0" applyNumberFormat="1" applyFont="1" applyFill="1" applyBorder="1" applyAlignment="1">
      <x:alignment horizontal="center" vertical="center"/>
    </x:xf>
    <x:xf numFmtId="0" fontId="10" fillId="4" borderId="17" xfId="0" applyNumberFormat="1" applyFont="1" applyFill="1" applyBorder="1" applyAlignment="1">
      <x:alignment horizontal="center" vertical="center"/>
    </x:xf>
    <x:xf numFmtId="0" fontId="10" fillId="4" borderId="20" xfId="0" applyNumberFormat="1" applyFont="1" applyFill="1" applyBorder="1" applyAlignment="1">
      <x:alignment horizontal="center" vertical="center"/>
    </x:xf>
    <x:xf numFmtId="0" fontId="10" fillId="4" borderId="21" xfId="0" applyNumberFormat="1" applyFont="1" applyFill="1" applyBorder="1" applyAlignment="1">
      <x:alignment horizontal="center" vertical="center"/>
    </x:xf>
    <x:xf numFmtId="0" fontId="10" fillId="4" borderId="22" xfId="0" applyNumberFormat="1" applyFont="1" applyFill="1" applyBorder="1" applyAlignment="1">
      <x:alignment horizontal="center" vertical="center"/>
    </x:xf>
    <x:xf numFmtId="9" fontId="11" fillId="9" borderId="15" xfId="0" applyNumberFormat="1" applyFont="1" applyFill="1" applyBorder="1" applyAlignment="1">
      <x:alignment horizontal="center" vertical="center"/>
    </x:xf>
    <x:xf numFmtId="9" fontId="11" fillId="9" borderId="16" xfId="0" applyNumberFormat="1" applyFont="1" applyFill="1" applyBorder="1" applyAlignment="1">
      <x:alignment horizontal="center" vertical="center"/>
    </x:xf>
    <x:xf numFmtId="9" fontId="11" fillId="9" borderId="17" xfId="0" applyNumberFormat="1" applyFont="1" applyFill="1" applyBorder="1" applyAlignment="1">
      <x:alignment horizontal="center" vertical="center"/>
    </x:xf>
    <x:xf numFmtId="9" fontId="11" fillId="9" borderId="20" xfId="0" applyNumberFormat="1" applyFont="1" applyFill="1" applyBorder="1" applyAlignment="1">
      <x:alignment horizontal="center" vertical="center"/>
    </x:xf>
    <x:xf numFmtId="9" fontId="11" fillId="9" borderId="21" xfId="0" applyNumberFormat="1" applyFont="1" applyFill="1" applyBorder="1" applyAlignment="1">
      <x:alignment horizontal="center" vertical="center"/>
    </x:xf>
    <x:xf numFmtId="9" fontId="11" fillId="9" borderId="22" xfId="0" applyNumberFormat="1" applyFont="1" applyFill="1" applyBorder="1" applyAlignment="1">
      <x:alignment horizontal="center" vertical="center"/>
    </x:xf>
    <x:xf numFmtId="0" fontId="12" fillId="19" borderId="15" xfId="0" applyNumberFormat="1" applyFont="1" applyFill="1" applyBorder="1" applyAlignment="1">
      <x:alignment horizontal="center" vertical="center"/>
    </x:xf>
    <x:xf numFmtId="0" fontId="12" fillId="19" borderId="16" xfId="0" applyNumberFormat="1" applyFont="1" applyFill="1" applyBorder="1" applyAlignment="1">
      <x:alignment horizontal="center" vertical="center"/>
    </x:xf>
    <x:xf numFmtId="0" fontId="12" fillId="19" borderId="17" xfId="0" applyNumberFormat="1" applyFont="1" applyFill="1" applyBorder="1" applyAlignment="1">
      <x:alignment horizontal="center" vertical="center"/>
    </x:xf>
    <x:xf numFmtId="0" fontId="12" fillId="19" borderId="20" xfId="0" applyNumberFormat="1" applyFont="1" applyFill="1" applyBorder="1" applyAlignment="1">
      <x:alignment horizontal="center" vertical="center"/>
    </x:xf>
    <x:xf numFmtId="0" fontId="12" fillId="19" borderId="21" xfId="0" applyNumberFormat="1" applyFont="1" applyFill="1" applyBorder="1" applyAlignment="1">
      <x:alignment horizontal="center" vertical="center"/>
    </x:xf>
    <x:xf numFmtId="0" fontId="12" fillId="19" borderId="22" xfId="0" applyNumberFormat="1" applyFont="1" applyFill="1" applyBorder="1" applyAlignment="1">
      <x:alignment horizontal="center" vertical="center"/>
    </x:xf>
    <x:xf numFmtId="0" fontId="5" fillId="2" borderId="12" xfId="0" applyNumberFormat="1" applyFont="1" applyFill="1" applyBorder="1"/>
    <x:xf numFmtId="0" fontId="5" fillId="2" borderId="14" xfId="0" applyNumberFormat="1" applyFont="1" applyFill="1" applyBorder="1"/>
    <x:xf numFmtId="0" fontId="5" fillId="2" borderId="13" xfId="0" applyNumberFormat="1" applyFont="1" applyFill="1" applyBorder="1"/>
    <x:xf numFmtId="0" fontId="3" fillId="6" borderId="23" xfId="0" applyNumberFormat="1" applyFont="1" applyFill="1" applyBorder="1" applyAlignment="1">
      <x:alignment wrapText="1"/>
    </x:xf>
    <x:xf numFmtId="0" fontId="3" fillId="6" borderId="24" xfId="0" applyNumberFormat="1" applyFont="1" applyFill="1" applyBorder="1" applyAlignment="1">
      <x:alignment wrapText="1"/>
    </x:xf>
    <x:xf numFmtId="0" fontId="3" fillId="6" borderId="25" xfId="0" applyNumberFormat="1" applyFont="1" applyFill="1" applyBorder="1" applyAlignment="1">
      <x:alignment wrapText="1"/>
    </x:xf>
    <x:xf numFmtId="0" fontId="3" fillId="6" borderId="32" xfId="0" applyNumberFormat="1" applyFont="1" applyFill="1" applyBorder="1" applyAlignment="1">
      <x:alignment wrapText="1"/>
    </x:xf>
    <x:xf numFmtId="0" fontId="3" fillId="6" borderId="0" xfId="0" applyNumberFormat="1" applyFont="1" applyFill="1" applyBorder="1" applyAlignment="1">
      <x:alignment wrapText="1"/>
    </x:xf>
    <x:xf numFmtId="0" fontId="3" fillId="6" borderId="33" xfId="0" applyNumberFormat="1" applyFont="1" applyFill="1" applyBorder="1" applyAlignment="1">
      <x:alignment wrapText="1"/>
    </x:xf>
    <x:xf numFmtId="0" fontId="3" fillId="6" borderId="26" xfId="0" applyNumberFormat="1" applyFont="1" applyFill="1" applyBorder="1" applyAlignment="1">
      <x:alignment wrapText="1"/>
    </x:xf>
    <x:xf numFmtId="0" fontId="3" fillId="6" borderId="27" xfId="0" applyNumberFormat="1" applyFont="1" applyFill="1" applyBorder="1" applyAlignment="1">
      <x:alignment wrapText="1"/>
    </x:xf>
    <x:xf numFmtId="0" fontId="3" fillId="6" borderId="28" xfId="0" applyNumberFormat="1" applyFont="1" applyFill="1" applyBorder="1" applyAlignment="1">
      <x:alignment wrapText="1"/>
    </x:xf>
    <x:xf numFmtId="0" fontId="2" fillId="4" borderId="23" xfId="0" applyNumberFormat="1" applyFont="1" applyFill="1" applyBorder="1" applyAlignment="1">
      <x:alignment vertical="center" wrapText="1"/>
    </x:xf>
    <x:xf numFmtId="0" fontId="2" fillId="4" borderId="24" xfId="0" applyNumberFormat="1" applyFont="1" applyFill="1" applyBorder="1" applyAlignment="1">
      <x:alignment vertical="center" wrapText="1"/>
    </x:xf>
    <x:xf numFmtId="0" fontId="2" fillId="4" borderId="25" xfId="0" applyNumberFormat="1" applyFont="1" applyFill="1" applyBorder="1" applyAlignment="1">
      <x:alignment vertical="center" wrapText="1"/>
    </x:xf>
    <x:xf numFmtId="0" fontId="2" fillId="4" borderId="26" xfId="0" applyNumberFormat="1" applyFont="1" applyFill="1" applyBorder="1" applyAlignment="1">
      <x:alignment vertical="center" wrapText="1"/>
    </x:xf>
    <x:xf numFmtId="0" fontId="2" fillId="4" borderId="27" xfId="0" applyNumberFormat="1" applyFont="1" applyFill="1" applyBorder="1" applyAlignment="1">
      <x:alignment vertical="center" wrapText="1"/>
    </x:xf>
    <x:xf numFmtId="0" fontId="2" fillId="4" borderId="28" xfId="0" applyNumberFormat="1" applyFont="1" applyFill="1" applyBorder="1" applyAlignment="1">
      <x:alignment vertical="center" wrapText="1"/>
    </x:xf>
    <x:xf numFmtId="0" fontId="2" fillId="4" borderId="34" xfId="0" applyNumberFormat="1" applyFont="1" applyFill="1" applyBorder="1" applyAlignment="1">
      <x:alignment vertical="center" wrapText="1"/>
    </x:xf>
    <x:xf numFmtId="0" fontId="2" fillId="4" borderId="35" xfId="0" applyNumberFormat="1" applyFont="1" applyFill="1" applyBorder="1" applyAlignment="1">
      <x:alignment vertical="center" wrapText="1"/>
    </x:xf>
    <x:xf numFmtId="0" fontId="2" fillId="4" borderId="36" xfId="0" applyNumberFormat="1" applyFont="1" applyFill="1" applyBorder="1" applyAlignment="1">
      <x:alignment vertical="center" wrapText="1"/>
    </x:xf>
    <x:xf numFmtId="0" fontId="2" fillId="4" borderId="37" xfId="0" applyNumberFormat="1" applyFont="1" applyFill="1" applyBorder="1" applyAlignment="1">
      <x:alignment vertical="center" wrapText="1"/>
    </x:xf>
    <x:xf numFmtId="0" fontId="2" fillId="4" borderId="38" xfId="0" applyNumberFormat="1" applyFont="1" applyFill="1" applyBorder="1" applyAlignment="1">
      <x:alignment vertical="center" wrapText="1"/>
    </x:xf>
    <x:xf numFmtId="0" fontId="2" fillId="4" borderId="39" xfId="0" applyNumberFormat="1" applyFont="1" applyFill="1" applyBorder="1" applyAlignment="1">
      <x:alignment vertical="center" wrapText="1"/>
    </x:xf>
    <x:xf numFmtId="0" fontId="7" fillId="6" borderId="34" xfId="0" applyNumberFormat="1" applyFont="1" applyFill="1" applyBorder="1" applyAlignment="1">
      <x:alignment wrapText="1"/>
    </x:xf>
    <x:xf numFmtId="0" fontId="7" fillId="6" borderId="35" xfId="0" applyNumberFormat="1" applyFont="1" applyFill="1" applyBorder="1" applyAlignment="1">
      <x:alignment wrapText="1"/>
    </x:xf>
    <x:xf numFmtId="0" fontId="7" fillId="6" borderId="36" xfId="0" applyNumberFormat="1" applyFont="1" applyFill="1" applyBorder="1" applyAlignment="1">
      <x:alignment wrapText="1"/>
    </x:xf>
    <x:xf numFmtId="0" fontId="7" fillId="6" borderId="37" xfId="0" applyNumberFormat="1" applyFont="1" applyFill="1" applyBorder="1" applyAlignment="1">
      <x:alignment wrapText="1"/>
    </x:xf>
    <x:xf numFmtId="0" fontId="7" fillId="6" borderId="38" xfId="0" applyNumberFormat="1" applyFont="1" applyFill="1" applyBorder="1" applyAlignment="1">
      <x:alignment wrapText="1"/>
    </x:xf>
    <x:xf numFmtId="0" fontId="7" fillId="6" borderId="39" xfId="0" applyNumberFormat="1" applyFont="1" applyFill="1" applyBorder="1" applyAlignment="1">
      <x:alignment wrapText="1"/>
    </x:xf>
    <x:xf numFmtId="0" fontId="2" fillId="4" borderId="34" xfId="0" applyNumberFormat="1" applyFont="1" applyFill="1" applyBorder="1" applyAlignment="1">
      <x:alignment wrapText="1"/>
    </x:xf>
    <x:xf numFmtId="0" fontId="2" fillId="4" borderId="35" xfId="0" applyNumberFormat="1" applyFont="1" applyFill="1" applyBorder="1" applyAlignment="1">
      <x:alignment wrapText="1"/>
    </x:xf>
    <x:xf numFmtId="0" fontId="2" fillId="4" borderId="36" xfId="0" applyNumberFormat="1" applyFont="1" applyFill="1" applyBorder="1" applyAlignment="1">
      <x:alignment wrapText="1"/>
    </x:xf>
    <x:xf numFmtId="0" fontId="2" fillId="4" borderId="37" xfId="0" applyNumberFormat="1" applyFont="1" applyFill="1" applyBorder="1" applyAlignment="1">
      <x:alignment wrapText="1"/>
    </x:xf>
    <x:xf numFmtId="0" fontId="2" fillId="4" borderId="38" xfId="0" applyNumberFormat="1" applyFont="1" applyFill="1" applyBorder="1" applyAlignment="1">
      <x:alignment wrapText="1"/>
    </x:xf>
    <x:xf numFmtId="0" fontId="2" fillId="4" borderId="39" xfId="0" applyNumberFormat="1" applyFont="1" applyFill="1" applyBorder="1" applyAlignment="1">
      <x:alignment wrapText="1"/>
    </x:xf>
    <x:xf numFmtId="0" fontId="1" fillId="2" borderId="0" xfId="0" applyNumberFormat="1" applyFont="1" applyFill="1" applyBorder="1" applyAlignment="1">
      <x:alignment horizontal="center" vertical="center"/>
    </x:xf>
    <x:xf numFmtId="0" fontId="2" fillId="3" borderId="1" xfId="0" applyNumberFormat="1" applyFont="1" applyFill="1" applyBorder="1" applyAlignment="1">
      <x:alignment vertical="center" wrapText="1"/>
    </x:xf>
    <x:xf numFmtId="0" fontId="2" fillId="3" borderId="2"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5" fillId="2" borderId="45" xfId="0" applyNumberFormat="1" applyFont="1" applyFill="1" applyBorder="1" applyAlignment="1">
      <x:alignment horizontal="center" vertical="center" wrapText="1"/>
    </x:xf>
    <x:xf numFmtId="0" fontId="2" fillId="0" borderId="45" xfId="0" applyNumberFormat="1" applyFont="1" applyFill="1" applyBorder="1" applyAlignment="1">
      <x:alignment horizontal="center" vertical="center" wrapText="1"/>
    </x:xf>
    <x:xf numFmtId="0" fontId="0" fillId="5" borderId="4" xfId="0" applyNumberFormat="1" applyFont="1" applyFill="1" applyBorder="1" applyAlignment="1">
      <x:alignment vertical="center" wrapText="1"/>
    </x:xf>
    <x:xf numFmtId="0" fontId="0" fillId="5" borderId="8" xfId="0" applyNumberFormat="1" applyFont="1" applyFill="1" applyBorder="1" applyAlignment="1">
      <x:alignment vertical="center" wrapText="1"/>
    </x:xf>
    <x:xf numFmtId="0" fontId="0" fillId="5" borderId="5" xfId="0" applyNumberFormat="1" applyFont="1" applyFill="1" applyBorder="1" applyAlignment="1">
      <x:alignment vertical="center" wrapText="1"/>
    </x:xf>
    <x:xf numFmtId="0" fontId="0" fillId="5" borderId="9"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0" fillId="5" borderId="10" xfId="0" applyNumberFormat="1" applyFont="1" applyFill="1" applyBorder="1" applyAlignment="1">
      <x:alignment vertical="center" wrapText="1"/>
    </x:xf>
    <x:xf numFmtId="0" fontId="0" fillId="5" borderId="6" xfId="0" applyNumberFormat="1" applyFont="1" applyFill="1" applyBorder="1" applyAlignment="1">
      <x:alignment vertical="center" wrapText="1"/>
    </x:xf>
    <x:xf numFmtId="0" fontId="0" fillId="5" borderId="11" xfId="0" applyNumberFormat="1" applyFont="1" applyFill="1" applyBorder="1" applyAlignment="1">
      <x:alignment vertical="center" wrapText="1"/>
    </x:xf>
    <x:xf numFmtId="0" fontId="0" fillId="5" borderId="7" xfId="0" applyNumberFormat="1" applyFont="1" applyFill="1" applyBorder="1" applyAlignment="1">
      <x:alignment vertical="center" wrapText="1"/>
    </x:xf>
    <x:xf numFmtId="0" fontId="3" fillId="6" borderId="4" xfId="0" applyNumberFormat="1" applyFont="1" applyFill="1" applyBorder="1" applyAlignment="1">
      <x:alignment vertical="center" wrapText="1"/>
    </x:xf>
    <x:xf numFmtId="0" fontId="3" fillId="6" borderId="8" xfId="0" applyNumberFormat="1" applyFont="1" applyFill="1" applyBorder="1" applyAlignment="1">
      <x:alignment vertical="center" wrapText="1"/>
    </x:xf>
    <x:xf numFmtId="0" fontId="3" fillId="6" borderId="5" xfId="0" applyNumberFormat="1" applyFont="1" applyFill="1" applyBorder="1" applyAlignment="1">
      <x:alignment vertical="center" wrapText="1"/>
    </x:xf>
    <x:xf numFmtId="0" fontId="3" fillId="6" borderId="6" xfId="0" applyNumberFormat="1" applyFont="1" applyFill="1" applyBorder="1" applyAlignment="1">
      <x:alignment vertical="center" wrapText="1"/>
    </x:xf>
    <x:xf numFmtId="0" fontId="3" fillId="6" borderId="11" xfId="0" applyNumberFormat="1" applyFont="1" applyFill="1" applyBorder="1" applyAlignment="1">
      <x:alignment vertical="center" wrapText="1"/>
    </x:xf>
    <x:xf numFmtId="0" fontId="3" fillId="6" borderId="7" xfId="0" applyNumberFormat="1" applyFont="1" applyFill="1" applyBorder="1" applyAlignment="1">
      <x:alignment vertical="center" wrapText="1"/>
    </x:xf>
    <x:xf numFmtId="0" fontId="3" fillId="9" borderId="4" xfId="0" applyNumberFormat="1" applyFont="1" applyFill="1" applyBorder="1" applyAlignment="1">
      <x:alignment vertical="center" wrapText="1"/>
    </x:xf>
    <x:xf numFmtId="0" fontId="3" fillId="9" borderId="8" xfId="0" applyNumberFormat="1" applyFont="1" applyFill="1" applyBorder="1" applyAlignment="1">
      <x:alignment vertical="center" wrapText="1"/>
    </x:xf>
    <x:xf numFmtId="0" fontId="3" fillId="9" borderId="5" xfId="0" applyNumberFormat="1" applyFont="1" applyFill="1" applyBorder="1" applyAlignment="1">
      <x:alignment vertical="center" wrapText="1"/>
    </x:xf>
    <x:xf numFmtId="0" fontId="3" fillId="9" borderId="6" xfId="0" applyNumberFormat="1" applyFont="1" applyFill="1" applyBorder="1" applyAlignment="1">
      <x:alignment vertical="center" wrapText="1"/>
    </x:xf>
    <x:xf numFmtId="0" fontId="3" fillId="9" borderId="11" xfId="0" applyNumberFormat="1" applyFont="1" applyFill="1" applyBorder="1" applyAlignment="1">
      <x:alignment vertical="center" wrapText="1"/>
    </x:xf>
    <x:xf numFmtId="0" fontId="3" fillId="9" borderId="7"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3" fillId="4" borderId="18" xfId="0" applyNumberFormat="1" applyFont="1" applyFill="1" applyBorder="1" applyAlignment="1">
      <x:alignment vertical="center" wrapText="1"/>
    </x:xf>
    <x:xf numFmtId="0" fontId="3" fillId="4" borderId="0" xfId="0" applyNumberFormat="1" applyFont="1" applyFill="1" applyBorder="1" applyAlignment="1">
      <x:alignment vertical="center" wrapText="1"/>
    </x:xf>
    <x:xf numFmtId="0" fontId="3" fillId="4" borderId="19" xfId="0" applyNumberFormat="1" applyFont="1" applyFill="1" applyBorder="1" applyAlignment="1">
      <x:alignment vertical="center" wrapText="1"/>
    </x:xf>
    <x:xf numFmtId="0" fontId="3" fillId="4" borderId="20" xfId="0" applyNumberFormat="1" applyFont="1" applyFill="1" applyBorder="1" applyAlignment="1">
      <x:alignment vertical="center" wrapText="1"/>
    </x:xf>
    <x:xf numFmtId="0" fontId="3" fillId="4" borderId="21" xfId="0" applyNumberFormat="1" applyFont="1" applyFill="1" applyBorder="1" applyAlignment="1">
      <x:alignment vertical="center" wrapText="1"/>
    </x:xf>
    <x:xf numFmtId="0" fontId="3" fillId="4" borderId="22" xfId="0" applyNumberFormat="1" applyFont="1" applyFill="1" applyBorder="1" applyAlignment="1">
      <x:alignment vertical="center" wrapText="1"/>
    </x:xf>
    <x:xf numFmtId="0" fontId="3" fillId="4" borderId="23" xfId="0" applyNumberFormat="1" applyFont="1" applyFill="1" applyBorder="1" applyAlignment="1">
      <x:alignment vertical="center" wrapText="1"/>
    </x:xf>
    <x:xf numFmtId="0" fontId="3" fillId="4" borderId="24" xfId="0" applyNumberFormat="1" applyFont="1" applyFill="1" applyBorder="1" applyAlignment="1">
      <x:alignment vertical="center" wrapText="1"/>
    </x:xf>
    <x:xf numFmtId="0" fontId="3" fillId="4" borderId="25" xfId="0" applyNumberFormat="1" applyFont="1" applyFill="1" applyBorder="1" applyAlignment="1">
      <x:alignment vertical="center" wrapText="1"/>
    </x:xf>
    <x:xf numFmtId="0" fontId="3" fillId="4" borderId="32" xfId="0" applyNumberFormat="1" applyFont="1" applyFill="1" applyBorder="1" applyAlignment="1">
      <x:alignment vertical="center" wrapText="1"/>
    </x:xf>
    <x:xf numFmtId="0" fontId="3" fillId="4" borderId="33" xfId="0" applyNumberFormat="1" applyFont="1" applyFill="1" applyBorder="1" applyAlignment="1">
      <x:alignment vertical="center" wrapText="1"/>
    </x:xf>
    <x:xf numFmtId="0" fontId="3" fillId="4" borderId="26" xfId="0" applyNumberFormat="1" applyFont="1" applyFill="1" applyBorder="1" applyAlignment="1">
      <x:alignment vertical="center" wrapText="1"/>
    </x:xf>
    <x:xf numFmtId="0" fontId="3" fillId="4" borderId="27" xfId="0" applyNumberFormat="1" applyFont="1" applyFill="1" applyBorder="1" applyAlignment="1">
      <x:alignment vertical="center" wrapText="1"/>
    </x:xf>
    <x:xf numFmtId="0" fontId="3" fillId="4" borderId="28" xfId="0" applyNumberFormat="1" applyFont="1" applyFill="1" applyBorder="1" applyAlignment="1">
      <x:alignment vertical="center" wrapText="1"/>
    </x:xf>
    <x:xf numFmtId="0" fontId="7" fillId="4" borderId="34" xfId="0" applyNumberFormat="1" applyFont="1" applyFill="1" applyBorder="1" applyAlignment="1">
      <x:alignment vertical="center" wrapText="1"/>
    </x:xf>
    <x:xf numFmtId="0" fontId="7" fillId="4" borderId="35" xfId="0" applyNumberFormat="1" applyFont="1" applyFill="1" applyBorder="1" applyAlignment="1">
      <x:alignment vertical="center" wrapText="1"/>
    </x:xf>
    <x:xf numFmtId="0" fontId="7" fillId="4" borderId="36" xfId="0" applyNumberFormat="1" applyFont="1" applyFill="1" applyBorder="1" applyAlignment="1">
      <x:alignment vertical="center" wrapText="1"/>
    </x:xf>
    <x:xf numFmtId="0" fontId="7" fillId="4" borderId="43" xfId="0" applyNumberFormat="1" applyFont="1" applyFill="1" applyBorder="1" applyAlignment="1">
      <x:alignment vertical="center" wrapText="1"/>
    </x:xf>
    <x:xf numFmtId="0" fontId="7" fillId="4" borderId="0" xfId="0" applyNumberFormat="1" applyFont="1" applyFill="1" applyBorder="1" applyAlignment="1">
      <x:alignment vertical="center" wrapText="1"/>
    </x:xf>
    <x:xf numFmtId="0" fontId="7" fillId="4" borderId="44" xfId="0" applyNumberFormat="1" applyFont="1" applyFill="1" applyBorder="1" applyAlignment="1">
      <x:alignment vertical="center" wrapText="1"/>
    </x:xf>
    <x:xf numFmtId="0" fontId="7" fillId="4" borderId="37" xfId="0" applyNumberFormat="1" applyFont="1" applyFill="1" applyBorder="1" applyAlignment="1">
      <x:alignment vertical="center" wrapText="1"/>
    </x:xf>
    <x:xf numFmtId="0" fontId="7" fillId="4" borderId="38" xfId="0" applyNumberFormat="1" applyFont="1" applyFill="1" applyBorder="1" applyAlignment="1">
      <x:alignment vertical="center" wrapText="1"/>
    </x:xf>
    <x:xf numFmtId="0" fontId="7" fillId="4" borderId="39" xfId="0" applyNumberFormat="1" applyFont="1" applyFill="1" applyBorder="1" applyAlignment="1">
      <x:alignment vertical="center" wrapText="1"/>
    </x:xf>
    <x:xf numFmtId="0" fontId="2" fillId="0" borderId="0" xfId="0" applyNumberFormat="1" applyFont="1" applyFill="1" applyBorder="1" applyAlignment="1">
      <x:alignment horizontal="center" vertical="center" wrapText="1"/>
    </x:xf>
    <x:xf numFmtId="0" fontId="7" fillId="4" borderId="45" xfId="0" applyNumberFormat="1" applyFont="1" applyFill="1" applyBorder="1" applyAlignment="1">
      <x:alignment vertical="center"/>
    </x:xf>
    <x:xf numFmtId="0" fontId="0" fillId="0" borderId="45" xfId="0" applyNumberFormat="1" applyFont="1" applyFill="1" applyBorder="1" applyAlignment="1">
      <x:alignment vertical="center" wrapText="1"/>
    </x:xf>
    <x:xf numFmtId="0" fontId="8" fillId="2" borderId="45" xfId="0" applyNumberFormat="1" applyFont="1" applyFill="1" applyBorder="1" applyAlignment="1">
      <x:alignment horizontal="center" vertical="center" wrapText="1"/>
    </x:xf>
    <x:xf numFmtId="0" fontId="3" fillId="9" borderId="45" xfId="0" applyNumberFormat="1" applyFont="1" applyFill="1" applyBorder="1" applyAlignment="1">
      <x:alignment horizontal="center" vertical="center" wrapText="1"/>
    </x:xf>
    <x:xf numFmtId="0" fontId="3" fillId="6" borderId="45" xfId="0" applyNumberFormat="1" applyFont="1" applyFill="1" applyBorder="1" applyAlignment="1">
      <x:alignment horizontal="center" vertical="center" wrapText="1"/>
    </x:xf>
    <x:xf numFmtId="0" fontId="2" fillId="0" borderId="15" xfId="0" applyNumberFormat="1" applyFont="1" applyFill="1" applyBorder="1" applyAlignment="1">
      <x:alignment horizontal="center" vertical="center" wrapText="1"/>
    </x:xf>
    <x:xf numFmtId="0" fontId="2" fillId="0" borderId="16" xfId="0" applyNumberFormat="1" applyFont="1" applyFill="1" applyBorder="1" applyAlignment="1">
      <x:alignment horizontal="center" vertical="center" wrapText="1"/>
    </x:xf>
    <x:xf numFmtId="0" fontId="2" fillId="0" borderId="17" xfId="0" applyNumberFormat="1" applyFont="1" applyFill="1" applyBorder="1" applyAlignment="1">
      <x:alignment horizontal="center" vertical="center" wrapText="1"/>
    </x:xf>
    <x:xf numFmtId="0" fontId="2" fillId="0" borderId="18" xfId="0" applyNumberFormat="1" applyFont="1" applyFill="1" applyBorder="1" applyAlignment="1">
      <x:alignment horizontal="center" vertical="center" wrapText="1"/>
    </x:xf>
    <x:xf numFmtId="0" fontId="2" fillId="0" borderId="19" xfId="0" applyNumberFormat="1" applyFont="1" applyFill="1" applyBorder="1" applyAlignment="1">
      <x:alignment horizontal="center" vertical="center" wrapText="1"/>
    </x:xf>
    <x:xf numFmtId="0" fontId="2" fillId="0" borderId="20" xfId="0" applyNumberFormat="1" applyFont="1" applyFill="1" applyBorder="1" applyAlignment="1">
      <x:alignment horizontal="center" vertical="center" wrapText="1"/>
    </x:xf>
    <x:xf numFmtId="0" fontId="2" fillId="0" borderId="21" xfId="0" applyNumberFormat="1" applyFont="1" applyFill="1" applyBorder="1" applyAlignment="1">
      <x:alignment horizontal="center" vertical="center" wrapText="1"/>
    </x:xf>
    <x:xf numFmtId="0" fontId="2" fillId="0" borderId="22" xfId="0" applyNumberFormat="1" applyFont="1" applyFill="1" applyBorder="1" applyAlignment="1">
      <x:alignment horizontal="center" vertical="center" wrapText="1"/>
    </x:xf>
    <x:xf numFmtId="0" fontId="2" fillId="4" borderId="15" xfId="0" applyNumberFormat="1" applyFont="1" applyFill="1" applyBorder="1" applyAlignment="1">
      <x:alignment vertical="center" wrapText="1"/>
    </x:xf>
    <x:xf numFmtId="0" fontId="2" fillId="4" borderId="16" xfId="0" applyNumberFormat="1" applyFont="1" applyFill="1" applyBorder="1" applyAlignment="1">
      <x:alignment vertical="center" wrapText="1"/>
    </x:xf>
    <x:xf numFmtId="0" fontId="2" fillId="4" borderId="17" xfId="0" applyNumberFormat="1" applyFont="1" applyFill="1" applyBorder="1" applyAlignment="1">
      <x:alignment vertical="center" wrapText="1"/>
    </x:xf>
    <x:xf numFmtId="0" fontId="2" fillId="4" borderId="20" xfId="0" applyNumberFormat="1" applyFont="1" applyFill="1" applyBorder="1" applyAlignment="1">
      <x:alignment vertical="center" wrapText="1"/>
    </x:xf>
    <x:xf numFmtId="0" fontId="2" fillId="4" borderId="21" xfId="0" applyNumberFormat="1" applyFont="1" applyFill="1" applyBorder="1" applyAlignment="1">
      <x:alignment vertical="center" wrapText="1"/>
    </x:xf>
    <x:xf numFmtId="0" fontId="2" fillId="4" borderId="22" xfId="0" applyNumberFormat="1" applyFont="1" applyFill="1" applyBorder="1" applyAlignment="1">
      <x:alignment vertical="center" wrapText="1"/>
    </x:xf>
    <x:xf numFmtId="0" fontId="1" fillId="15" borderId="0" xfId="0" applyNumberFormat="1" applyFont="1" applyFill="1" applyBorder="1" applyAlignment="1">
      <x:alignment horizontal="center" vertical="center"/>
    </x:xf>
    <x:xf numFmtId="0" fontId="3" fillId="6" borderId="15" xfId="0" applyNumberFormat="1" applyFont="1" applyFill="1" applyBorder="1" applyAlignment="1">
      <x:alignment vertical="center" wrapText="1"/>
    </x:xf>
    <x:xf numFmtId="0" fontId="3" fillId="6" borderId="16" xfId="0" applyNumberFormat="1" applyFont="1" applyFill="1" applyBorder="1" applyAlignment="1">
      <x:alignment vertical="center" wrapText="1"/>
    </x:xf>
    <x:xf numFmtId="0" fontId="3" fillId="6" borderId="17" xfId="0" applyNumberFormat="1" applyFont="1" applyFill="1" applyBorder="1" applyAlignment="1">
      <x:alignment vertical="center" wrapText="1"/>
    </x:xf>
    <x:xf numFmtId="0" fontId="3" fillId="6" borderId="20" xfId="0" applyNumberFormat="1" applyFont="1" applyFill="1" applyBorder="1" applyAlignment="1">
      <x:alignment vertical="center" wrapText="1"/>
    </x:xf>
    <x:xf numFmtId="0" fontId="3" fillId="6" borderId="21" xfId="0" applyNumberFormat="1" applyFont="1" applyFill="1" applyBorder="1" applyAlignment="1">
      <x:alignment vertical="center" wrapText="1"/>
    </x:xf>
    <x:xf numFmtId="0" fontId="3" fillId="6" borderId="22" xfId="0" applyNumberFormat="1" applyFont="1" applyFill="1" applyBorder="1" applyAlignment="1">
      <x:alignment vertical="center" wrapText="1"/>
    </x:xf>
    <x:xf numFmtId="0" fontId="2" fillId="9" borderId="45" xfId="0" applyNumberFormat="1" applyFont="1" applyFill="1" applyBorder="1" applyAlignment="1">
      <x:alignment horizontal="center" vertical="center" wrapText="1"/>
    </x:xf>
    <x:xf numFmtId="0" fontId="7" fillId="6" borderId="15" xfId="0" applyNumberFormat="1" applyFont="1" applyFill="1" applyBorder="1" applyAlignment="1">
      <x:alignment vertical="center" wrapText="1"/>
    </x:xf>
    <x:xf numFmtId="0" fontId="7" fillId="6" borderId="16" xfId="0" applyNumberFormat="1" applyFont="1" applyFill="1" applyBorder="1" applyAlignment="1">
      <x:alignment vertical="center" wrapText="1"/>
    </x:xf>
    <x:xf numFmtId="0" fontId="7" fillId="6" borderId="17" xfId="0" applyNumberFormat="1" applyFont="1" applyFill="1" applyBorder="1" applyAlignment="1">
      <x:alignment vertical="center" wrapText="1"/>
    </x:xf>
    <x:xf numFmtId="0" fontId="7" fillId="6" borderId="18" xfId="0" applyNumberFormat="1" applyFont="1" applyFill="1" applyBorder="1" applyAlignment="1">
      <x:alignment vertical="center" wrapText="1"/>
    </x:xf>
    <x:xf numFmtId="0" fontId="7" fillId="6" borderId="0" xfId="0" applyNumberFormat="1" applyFont="1" applyFill="1" applyBorder="1" applyAlignment="1">
      <x:alignment vertical="center" wrapText="1"/>
    </x:xf>
    <x:xf numFmtId="0" fontId="7" fillId="6" borderId="19" xfId="0" applyNumberFormat="1" applyFont="1" applyFill="1" applyBorder="1" applyAlignment="1">
      <x:alignment vertical="center" wrapText="1"/>
    </x:xf>
    <x:xf numFmtId="0" fontId="7" fillId="6" borderId="20" xfId="0" applyNumberFormat="1" applyFont="1" applyFill="1" applyBorder="1" applyAlignment="1">
      <x:alignment vertical="center" wrapText="1"/>
    </x:xf>
    <x:xf numFmtId="0" fontId="7" fillId="6" borderId="21" xfId="0" applyNumberFormat="1" applyFont="1" applyFill="1" applyBorder="1" applyAlignment="1">
      <x:alignment vertical="center" wrapText="1"/>
    </x:xf>
    <x:xf numFmtId="0" fontId="7" fillId="6" borderId="22" xfId="0" applyNumberFormat="1" applyFont="1" applyFill="1" applyBorder="1" applyAlignment="1">
      <x:alignment vertical="center" wrapText="1"/>
    </x:xf>
    <x:xf numFmtId="0" fontId="0" fillId="2" borderId="0" xfId="0" applyNumberFormat="1" applyFont="1" applyFill="1" applyBorder="1"/>
    <x:xf numFmtId="0" fontId="1" fillId="2"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2" fillId="4" borderId="4" xfId="0" applyNumberFormat="1" applyFont="1" applyFill="1" applyBorder="1"/>
    <x:xf numFmtId="0" fontId="2" fillId="4" borderId="8" xfId="0" applyNumberFormat="1" applyFont="1" applyFill="1" applyBorder="1"/>
    <x:xf numFmtId="0" fontId="2" fillId="4" borderId="5" xfId="0" applyNumberFormat="1" applyFont="1" applyFill="1" applyBorder="1"/>
    <x:xf numFmtId="0" fontId="2" fillId="4" borderId="6" xfId="0" applyNumberFormat="1" applyFont="1" applyFill="1" applyBorder="1"/>
    <x:xf numFmtId="0" fontId="2" fillId="4" borderId="11" xfId="0" applyNumberFormat="1" applyFont="1" applyFill="1" applyBorder="1"/>
    <x:xf numFmtId="0" fontId="2" fillId="4" borderId="7" xfId="0" applyNumberFormat="1" applyFont="1" applyFill="1" applyBorder="1"/>
    <x:xf numFmtId="0" fontId="2" fillId="4" borderId="4" xfId="0" applyNumberFormat="1" applyFont="1" applyFill="1" applyBorder="1" applyAlignment="1">
      <x:alignment wrapText="1"/>
    </x:xf>
    <x:xf numFmtId="0" fontId="2" fillId="4" borderId="8" xfId="0" applyNumberFormat="1" applyFont="1" applyFill="1" applyBorder="1" applyAlignment="1">
      <x:alignment wrapText="1"/>
    </x:xf>
    <x:xf numFmtId="0" fontId="2" fillId="4" borderId="5" xfId="0" applyNumberFormat="1" applyFont="1" applyFill="1" applyBorder="1" applyAlignment="1">
      <x:alignment wrapText="1"/>
    </x:xf>
    <x:xf numFmtId="0" fontId="2" fillId="4" borderId="6" xfId="0" applyNumberFormat="1" applyFont="1" applyFill="1" applyBorder="1" applyAlignment="1">
      <x:alignment wrapText="1"/>
    </x:xf>
    <x:xf numFmtId="0" fontId="2" fillId="4" borderId="11" xfId="0" applyNumberFormat="1" applyFont="1" applyFill="1" applyBorder="1" applyAlignment="1">
      <x:alignment wrapText="1"/>
    </x:xf>
    <x:xf numFmtId="0" fontId="2" fillId="4" borderId="7" xfId="0" applyNumberFormat="1" applyFont="1" applyFill="1" applyBorder="1" applyAlignment="1">
      <x:alignment wrapText="1"/>
    </x:xf>
    <x:xf numFmtId="0" fontId="2" fillId="4" borderId="4" xfId="0" applyNumberFormat="1" applyFont="1" applyFill="1" applyBorder="1" applyAlignment="1">
      <x:alignment vertical="center" wrapText="1"/>
    </x:xf>
    <x:xf numFmtId="0" fontId="2" fillId="4" borderId="8" xfId="0" applyNumberFormat="1" applyFont="1" applyFill="1" applyBorder="1" applyAlignment="1">
      <x:alignment vertical="center" wrapText="1"/>
    </x:xf>
    <x:xf numFmtId="0" fontId="2" fillId="4" borderId="5" xfId="0" applyNumberFormat="1" applyFont="1" applyFill="1" applyBorder="1" applyAlignment="1">
      <x:alignment vertical="center" wrapText="1"/>
    </x:xf>
    <x:xf numFmtId="0" fontId="2" fillId="4" borderId="6" xfId="0" applyNumberFormat="1" applyFont="1" applyFill="1" applyBorder="1" applyAlignment="1">
      <x:alignment vertical="center" wrapText="1"/>
    </x:xf>
    <x:xf numFmtId="0" fontId="2" fillId="4" borderId="11" xfId="0" applyNumberFormat="1" applyFont="1" applyFill="1" applyBorder="1" applyAlignment="1">
      <x:alignment vertical="center" wrapText="1"/>
    </x:xf>
    <x:xf numFmtId="0" fontId="2" fillId="4" borderId="7" xfId="0" applyNumberFormat="1" applyFont="1" applyFill="1" applyBorder="1" applyAlignment="1">
      <x:alignment vertical="center" wrapText="1"/>
    </x:xf>
    <x:xf numFmtId="0" fontId="8" fillId="2" borderId="0" xfId="0" applyNumberFormat="1" applyFont="1" applyFill="1" applyBorder="1"/>
    <x:xf numFmtId="0" fontId="8" fillId="2" borderId="1" xfId="0" applyNumberFormat="1" applyFont="1" applyFill="1" applyBorder="1"/>
    <x:xf numFmtId="0" fontId="8" fillId="2" borderId="2" xfId="0" applyNumberFormat="1" applyFont="1" applyFill="1" applyBorder="1"/>
    <x:xf numFmtId="0" fontId="8" fillId="2" borderId="3" xfId="0" applyNumberFormat="1" applyFont="1" applyFill="1" applyBorder="1"/>
    <x:xf numFmtId="0" fontId="8" fillId="2" borderId="1" xfId="0" applyNumberFormat="1" applyFont="1" applyFill="1" applyBorder="1" applyAlignment="1">
      <x:alignment wrapText="1"/>
    </x:xf>
    <x:xf numFmtId="0" fontId="8" fillId="2" borderId="2" xfId="0" applyNumberFormat="1" applyFont="1" applyFill="1" applyBorder="1" applyAlignment="1">
      <x:alignment wrapText="1"/>
    </x:xf>
    <x:xf numFmtId="0" fontId="8" fillId="2" borderId="3" xfId="0" applyNumberFormat="1" applyFont="1" applyFill="1" applyBorder="1" applyAlignment="1">
      <x:alignment wrapText="1"/>
    </x:xf>
    <x:xf numFmtId="0" fontId="8" fillId="2" borderId="1" xfId="0" applyNumberFormat="1" applyFont="1" applyFill="1" applyBorder="1" applyAlignment="1">
      <x:alignment horizontal="center" wrapText="1"/>
    </x:xf>
    <x:xf numFmtId="0" fontId="8" fillId="2" borderId="2" xfId="0" applyNumberFormat="1" applyFont="1" applyFill="1" applyBorder="1" applyAlignment="1">
      <x:alignment horizontal="center" wrapText="1"/>
    </x:xf>
    <x:xf numFmtId="0" fontId="8" fillId="2" borderId="3" xfId="0" applyNumberFormat="1" applyFont="1" applyFill="1" applyBorder="1" applyAlignment="1">
      <x:alignment horizontal="center" wrapText="1"/>
    </x:xf>
    <x:xf numFmtId="0" fontId="8" fillId="2" borderId="1" xfId="0" applyNumberFormat="1" applyFont="1" applyFill="1" applyBorder="1" applyAlignment="1">
      <x:alignment horizontal="center" vertical="center" wrapText="1"/>
    </x:xf>
    <x:xf numFmtId="0" fontId="8" fillId="2" borderId="2" xfId="0" applyNumberFormat="1" applyFont="1" applyFill="1" applyBorder="1" applyAlignment="1">
      <x:alignment horizontal="center" vertical="center" wrapText="1"/>
    </x:xf>
    <x:xf numFmtId="0" fontId="8" fillId="2" borderId="3" xfId="0" applyNumberFormat="1" applyFont="1" applyFill="1" applyBorder="1" applyAlignment="1">
      <x:alignment horizontal="center" vertical="center" wrapText="1"/>
    </x:xf>
    <x:xf numFmtId="0" fontId="2" fillId="6" borderId="8" xfId="0" applyNumberFormat="1" applyFont="1" applyFill="1" applyBorder="1" applyAlignment="1">
      <x:alignment vertical="top" wrapText="1"/>
    </x:xf>
    <x:xf numFmtId="0" fontId="2" fillId="6" borderId="11" xfId="0" applyNumberFormat="1" applyFont="1" applyFill="1" applyBorder="1" applyAlignment="1">
      <x:alignment vertical="top" wrapText="1"/>
    </x:xf>
    <x:xf numFmtId="0" fontId="2" fillId="6" borderId="92" xfId="0" applyNumberFormat="1" applyFont="1" applyFill="1" applyBorder="1" applyAlignment="1">
      <x:alignment vertical="top" wrapText="1"/>
    </x:xf>
    <x:xf numFmtId="0" fontId="2" fillId="6" borderId="93" xfId="0" applyNumberFormat="1" applyFont="1" applyFill="1" applyBorder="1" applyAlignment="1">
      <x:alignment vertical="top" wrapText="1"/>
    </x:xf>
    <x:xf numFmtId="0" fontId="2" fillId="6" borderId="94" xfId="0" applyNumberFormat="1" applyFont="1" applyFill="1" applyBorder="1" applyAlignment="1">
      <x:alignment vertical="top" wrapText="1"/>
    </x:xf>
    <x:xf numFmtId="0" fontId="2" fillId="6" borderId="4" xfId="0" applyNumberFormat="1" applyFont="1" applyFill="1" applyBorder="1" applyAlignment="1">
      <x:alignment vertical="top" wrapText="1"/>
    </x:xf>
    <x:xf numFmtId="0" fontId="2" fillId="6" borderId="5" xfId="0" applyNumberFormat="1" applyFont="1" applyFill="1" applyBorder="1" applyAlignment="1">
      <x:alignment vertical="top" wrapText="1"/>
    </x:xf>
    <x:xf numFmtId="0" fontId="2" fillId="6" borderId="9" xfId="0" applyNumberFormat="1" applyFont="1" applyFill="1" applyBorder="1" applyAlignment="1">
      <x:alignment vertical="top" wrapText="1"/>
    </x:xf>
    <x:xf numFmtId="0" fontId="2" fillId="6" borderId="10" xfId="0" applyNumberFormat="1" applyFont="1" applyFill="1" applyBorder="1" applyAlignment="1">
      <x:alignment vertical="top" wrapText="1"/>
    </x:xf>
    <x:xf numFmtId="0" fontId="2" fillId="6" borderId="6" xfId="0" applyNumberFormat="1" applyFont="1" applyFill="1" applyBorder="1" applyAlignment="1">
      <x:alignment vertical="top" wrapText="1"/>
    </x:xf>
    <x:xf numFmtId="0" fontId="2" fillId="6" borderId="7" xfId="0" applyNumberFormat="1" applyFont="1" applyFill="1" applyBorder="1" applyAlignment="1">
      <x:alignment vertical="top" wrapText="1"/>
    </x:xf>
    <x:xf numFmtId="176" fontId="0" fillId="4" borderId="0" xfId="0" applyNumberFormat="1" applyFont="1" applyFill="1" applyBorder="1"/>
    <x:xf numFmtId="0" fontId="7" fillId="4" borderId="0" xfId="0" applyNumberFormat="1" applyFont="1" applyFill="1" applyBorder="1"/>
    <x:xf numFmtId="176" fontId="7" fillId="4" borderId="0" xfId="0" applyNumberFormat="1" applyFont="1" applyFill="1" applyBorder="1"/>
    <x:xf numFmtId="0" fontId="7" fillId="4" borderId="1" xfId="0" applyNumberFormat="1" applyFont="1" applyFill="1" applyBorder="1"/>
    <x:xf numFmtId="0" fontId="7" fillId="4" borderId="2" xfId="0" applyNumberFormat="1" applyFont="1" applyFill="1" applyBorder="1"/>
    <x:xf numFmtId="176" fontId="7" fillId="4" borderId="2" xfId="0" applyNumberFormat="1" applyFont="1" applyFill="1" applyBorder="1"/>
    <x:xf numFmtId="0" fontId="7" fillId="4" borderId="3" xfId="0" applyNumberFormat="1" applyFont="1" applyFill="1" applyBorder="1"/>
    <x:xf numFmtId="0" fontId="0" fillId="10" borderId="0" xfId="0" applyNumberFormat="1" applyFont="1" applyFill="1" applyBorder="1"/>
    <x:xf numFmtId="0" fontId="16" fillId="10" borderId="0" xfId="0" applyNumberFormat="1" applyFont="1" applyFill="1" applyBorder="1"/>
    <x:xf numFmtId="0" fontId="16" fillId="10" borderId="4" xfId="0" applyNumberFormat="1" applyFont="1" applyFill="1" applyBorder="1"/>
    <x:xf numFmtId="0" fontId="16" fillId="10" borderId="8" xfId="0" applyNumberFormat="1" applyFont="1" applyFill="1" applyBorder="1"/>
    <x:xf numFmtId="0" fontId="16" fillId="10" borderId="5" xfId="0" applyNumberFormat="1" applyFont="1" applyFill="1" applyBorder="1"/>
    <x:xf numFmtId="0" fontId="16" fillId="10" borderId="9" xfId="0" applyNumberFormat="1" applyFont="1" applyFill="1" applyBorder="1"/>
    <x:xf numFmtId="0" fontId="16" fillId="10" borderId="10" xfId="0" applyNumberFormat="1" applyFont="1" applyFill="1" applyBorder="1"/>
    <x:xf numFmtId="0" fontId="16" fillId="10" borderId="6" xfId="0" applyNumberFormat="1" applyFont="1" applyFill="1" applyBorder="1"/>
    <x:xf numFmtId="0" fontId="16" fillId="10" borderId="11" xfId="0" applyNumberFormat="1" applyFont="1" applyFill="1" applyBorder="1"/>
    <x:xf numFmtId="0" fontId="16" fillId="10" borderId="7" xfId="0" applyNumberFormat="1" applyFont="1" applyFill="1" applyBorder="1"/>
    <x:xf numFmtId="0" fontId="16" fillId="10" borderId="4" xfId="0" applyNumberFormat="1" applyFont="1" applyFill="1" applyBorder="1" applyAlignment="1">
      <x:alignment horizontal="center"/>
    </x:xf>
    <x:xf numFmtId="0" fontId="16" fillId="10" borderId="8" xfId="0" applyNumberFormat="1" applyFont="1" applyFill="1" applyBorder="1" applyAlignment="1">
      <x:alignment horizontal="center"/>
    </x:xf>
    <x:xf numFmtId="0" fontId="16" fillId="10" borderId="5" xfId="0" applyNumberFormat="1" applyFont="1" applyFill="1" applyBorder="1" applyAlignment="1">
      <x:alignment horizontal="center"/>
    </x:xf>
    <x:xf numFmtId="0" fontId="16" fillId="10" borderId="9" xfId="0" applyNumberFormat="1" applyFont="1" applyFill="1" applyBorder="1" applyAlignment="1">
      <x:alignment horizontal="center"/>
    </x:xf>
    <x:xf numFmtId="0" fontId="16" fillId="10" borderId="0" xfId="0" applyNumberFormat="1" applyFont="1" applyFill="1" applyBorder="1" applyAlignment="1">
      <x:alignment horizontal="center"/>
    </x:xf>
    <x:xf numFmtId="0" fontId="16" fillId="10" borderId="10" xfId="0" applyNumberFormat="1" applyFont="1" applyFill="1" applyBorder="1" applyAlignment="1">
      <x:alignment horizontal="center"/>
    </x:xf>
    <x:xf numFmtId="0" fontId="16" fillId="10" borderId="6" xfId="0" applyNumberFormat="1" applyFont="1" applyFill="1" applyBorder="1" applyAlignment="1">
      <x:alignment horizontal="center"/>
    </x:xf>
    <x:xf numFmtId="0" fontId="16" fillId="10" borderId="11" xfId="0" applyNumberFormat="1" applyFont="1" applyFill="1" applyBorder="1" applyAlignment="1">
      <x:alignment horizontal="center"/>
    </x:xf>
    <x:xf numFmtId="0" fontId="16" fillId="10" borderId="7" xfId="0" applyNumberFormat="1" applyFont="1" applyFill="1" applyBorder="1" applyAlignment="1">
      <x:alignment horizontal="center"/>
    </x:xf>
    <x:xf numFmtId="0" fontId="16" fillId="10" borderId="4" xfId="0" applyNumberFormat="1" applyFont="1" applyFill="1" applyBorder="1" applyAlignment="1">
      <x:alignment horizontal="center" vertical="center"/>
    </x:xf>
    <x:xf numFmtId="0" fontId="16" fillId="10" borderId="8" xfId="0" applyNumberFormat="1" applyFont="1" applyFill="1" applyBorder="1" applyAlignment="1">
      <x:alignment horizontal="center" vertical="center"/>
    </x:xf>
    <x:xf numFmtId="0" fontId="16" fillId="10" borderId="5" xfId="0" applyNumberFormat="1" applyFont="1" applyFill="1" applyBorder="1" applyAlignment="1">
      <x:alignment horizontal="center" vertical="center"/>
    </x:xf>
    <x:xf numFmtId="0" fontId="16" fillId="10" borderId="9" xfId="0" applyNumberFormat="1" applyFont="1" applyFill="1" applyBorder="1" applyAlignment="1">
      <x:alignment horizontal="center" vertical="center"/>
    </x:xf>
    <x:xf numFmtId="0" fontId="16" fillId="10" borderId="0" xfId="0" applyNumberFormat="1" applyFont="1" applyFill="1" applyBorder="1" applyAlignment="1">
      <x:alignment horizontal="center" vertical="center"/>
    </x:xf>
    <x:xf numFmtId="0" fontId="16" fillId="10" borderId="10" xfId="0" applyNumberFormat="1" applyFont="1" applyFill="1" applyBorder="1" applyAlignment="1">
      <x:alignment horizontal="center" vertical="center"/>
    </x:xf>
    <x:xf numFmtId="0" fontId="16" fillId="10" borderId="6" xfId="0" applyNumberFormat="1" applyFont="1" applyFill="1" applyBorder="1" applyAlignment="1">
      <x:alignment horizontal="center" vertical="center"/>
    </x:xf>
    <x:xf numFmtId="0" fontId="16" fillId="10" borderId="11" xfId="0" applyNumberFormat="1" applyFont="1" applyFill="1" applyBorder="1" applyAlignment="1">
      <x:alignment horizontal="center" vertical="center"/>
    </x:xf>
    <x:xf numFmtId="0" fontId="16" fillId="10" borderId="7" xfId="0" applyNumberFormat="1" applyFont="1" applyFill="1" applyBorder="1" applyAlignment="1">
      <x:alignment horizontal="center" vertical="center"/>
    </x:xf>
    <x:xf numFmtId="0" fontId="0" fillId="6" borderId="0" xfId="0" applyNumberFormat="1" applyFont="1" applyFill="1" applyBorder="1"/>
    <x:xf numFmtId="0" fontId="0" fillId="6" borderId="4" xfId="0" applyNumberFormat="1" applyFont="1" applyFill="1" applyBorder="1"/>
    <x:xf numFmtId="0" fontId="0" fillId="6" borderId="8" xfId="0" applyNumberFormat="1" applyFont="1" applyFill="1" applyBorder="1"/>
    <x:xf numFmtId="0" fontId="0" fillId="6" borderId="5" xfId="0" applyNumberFormat="1" applyFont="1" applyFill="1" applyBorder="1"/>
    <x:xf numFmtId="0" fontId="0" fillId="6" borderId="9" xfId="0" applyNumberFormat="1" applyFont="1" applyFill="1" applyBorder="1"/>
    <x:xf numFmtId="0" fontId="0" fillId="6" borderId="10" xfId="0" applyNumberFormat="1" applyFont="1" applyFill="1" applyBorder="1"/>
    <x:xf numFmtId="0" fontId="0" fillId="6" borderId="6" xfId="0" applyNumberFormat="1" applyFont="1" applyFill="1" applyBorder="1"/>
    <x:xf numFmtId="0" fontId="0" fillId="6" borderId="11" xfId="0" applyNumberFormat="1" applyFont="1" applyFill="1" applyBorder="1"/>
    <x:xf numFmtId="0" fontId="0" fillId="6" borderId="7" xfId="0" applyNumberFormat="1" applyFont="1" applyFill="1" applyBorder="1"/>
    <x:xf numFmtId="0" fontId="0" fillId="6" borderId="4" xfId="0" applyNumberFormat="1" applyFont="1" applyFill="1" applyBorder="1" applyAlignment="1">
      <x:alignment wrapText="1"/>
    </x:xf>
    <x:xf numFmtId="0" fontId="0" fillId="6" borderId="8" xfId="0" applyNumberFormat="1" applyFont="1" applyFill="1" applyBorder="1" applyAlignment="1">
      <x:alignment wrapText="1"/>
    </x:xf>
    <x:xf numFmtId="0" fontId="0" fillId="6" borderId="5" xfId="0" applyNumberFormat="1" applyFont="1" applyFill="1" applyBorder="1" applyAlignment="1">
      <x:alignment wrapText="1"/>
    </x:xf>
    <x:xf numFmtId="0" fontId="0" fillId="6" borderId="9" xfId="0" applyNumberFormat="1" applyFont="1" applyFill="1" applyBorder="1" applyAlignment="1">
      <x:alignment wrapText="1"/>
    </x:xf>
    <x:xf numFmtId="0" fontId="0" fillId="6" borderId="0" xfId="0" applyNumberFormat="1" applyFont="1" applyFill="1" applyBorder="1" applyAlignment="1">
      <x:alignment wrapText="1"/>
    </x:xf>
    <x:xf numFmtId="0" fontId="0" fillId="6" borderId="10" xfId="0" applyNumberFormat="1" applyFont="1" applyFill="1" applyBorder="1" applyAlignment="1">
      <x:alignment wrapText="1"/>
    </x:xf>
    <x:xf numFmtId="0" fontId="0" fillId="6" borderId="6" xfId="0" applyNumberFormat="1" applyFont="1" applyFill="1" applyBorder="1" applyAlignment="1">
      <x:alignment wrapText="1"/>
    </x:xf>
    <x:xf numFmtId="0" fontId="0" fillId="6" borderId="11" xfId="0" applyNumberFormat="1" applyFont="1" applyFill="1" applyBorder="1" applyAlignment="1">
      <x:alignment wrapText="1"/>
    </x:xf>
    <x:xf numFmtId="0" fontId="0" fillId="6" borderId="7" xfId="0" applyNumberFormat="1" applyFont="1" applyFill="1" applyBorder="1" applyAlignment="1">
      <x:alignment wrapText="1"/>
    </x:xf>
    <x:xf numFmtId="0" fontId="0" fillId="6" borderId="4" xfId="0" applyNumberFormat="1" applyFont="1" applyFill="1" applyBorder="1" applyAlignment="1">
      <x:alignment vertical="top" wrapText="1"/>
    </x:xf>
    <x:xf numFmtId="0" fontId="0" fillId="6" borderId="8" xfId="0" applyNumberFormat="1" applyFont="1" applyFill="1" applyBorder="1" applyAlignment="1">
      <x:alignment vertical="top" wrapText="1"/>
    </x:xf>
    <x:xf numFmtId="0" fontId="0" fillId="6" borderId="5" xfId="0" applyNumberFormat="1" applyFont="1" applyFill="1" applyBorder="1" applyAlignment="1">
      <x:alignment vertical="top" wrapText="1"/>
    </x:xf>
    <x:xf numFmtId="0" fontId="0" fillId="6" borderId="9"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0" xfId="0" applyNumberFormat="1" applyFont="1" applyFill="1" applyBorder="1" applyAlignment="1">
      <x:alignment vertical="top" wrapText="1"/>
    </x:xf>
    <x:xf numFmtId="0" fontId="0" fillId="6" borderId="6" xfId="0" applyNumberFormat="1" applyFont="1" applyFill="1" applyBorder="1" applyAlignment="1">
      <x:alignment vertical="top" wrapText="1"/>
    </x:xf>
    <x:xf numFmtId="0" fontId="0" fillId="6" borderId="11" xfId="0" applyNumberFormat="1" applyFont="1" applyFill="1" applyBorder="1" applyAlignment="1">
      <x:alignment vertical="top" wrapText="1"/>
    </x:xf>
    <x:xf numFmtId="0" fontId="0" fillId="6" borderId="7" xfId="0" applyNumberFormat="1" applyFont="1" applyFill="1" applyBorder="1" applyAlignment="1">
      <x:alignment vertical="top" wrapText="1"/>
    </x:xf>
    <x:xf numFmtId="0" fontId="3" fillId="4" borderId="37" xfId="0" applyNumberFormat="1" applyFont="1" applyFill="1" applyBorder="1" applyAlignment="1">
      <x:alignment vertical="center" wrapText="1"/>
    </x:xf>
    <x:xf numFmtId="0" fontId="3" fillId="4" borderId="38" xfId="0" applyNumberFormat="1" applyFont="1" applyFill="1" applyBorder="1" applyAlignment="1">
      <x:alignment vertical="center" wrapText="1"/>
    </x:xf>
    <x:xf numFmtId="0" fontId="3" fillId="4" borderId="39" xfId="0" applyNumberFormat="1" applyFont="1" applyFill="1" applyBorder="1" applyAlignment="1">
      <x:alignment vertical="center" wrapText="1"/>
    </x:xf>
    <x:xf numFmtId="0" fontId="3" fillId="4" borderId="0" xfId="0" applyNumberFormat="1" applyFont="1" applyFill="1" applyBorder="1"/>
    <x:xf numFmtId="0" fontId="3" fillId="4" borderId="98" xfId="0" applyNumberFormat="1" applyFont="1" applyFill="1" applyBorder="1" applyAlignment="1">
      <x:alignment vertical="center" wrapText="1"/>
    </x:xf>
    <x:xf numFmtId="0" fontId="3" fillId="4" borderId="99" xfId="0" applyNumberFormat="1" applyFont="1" applyFill="1" applyBorder="1" applyAlignment="1">
      <x:alignment vertical="center" wrapText="1"/>
    </x:xf>
    <x:xf numFmtId="0" fontId="3" fillId="4" borderId="100" xfId="0" applyNumberFormat="1" applyFont="1" applyFill="1" applyBorder="1" applyAlignment="1">
      <x:alignment vertical="center" wrapText="1"/>
    </x:xf>
    <x:xf numFmtId="0" fontId="3" fillId="4" borderId="9" xfId="0" applyNumberFormat="1" applyFont="1" applyFill="1" applyBorder="1"/>
    <x:xf numFmtId="0" fontId="3" fillId="4" borderId="10" xfId="0" applyNumberFormat="1" applyFont="1" applyFill="1" applyBorder="1"/>
    <x:xf numFmtId="0" fontId="3" fillId="4" borderId="6" xfId="0" applyNumberFormat="1" applyFont="1" applyFill="1" applyBorder="1"/>
    <x:xf numFmtId="0" fontId="3" fillId="4" borderId="11" xfId="0" applyNumberFormat="1" applyFont="1" applyFill="1" applyBorder="1"/>
    <x:xf numFmtId="0" fontId="3" fillId="4" borderId="7" xfId="0" applyNumberFormat="1" applyFont="1" applyFill="1" applyBorder="1"/>
    <x:xf numFmtId="0" fontId="3" fillId="4" borderId="9" xfId="0" applyNumberFormat="1" applyFont="1" applyFill="1" applyBorder="1" applyAlignment="1">
      <x:alignment wrapText="1"/>
    </x:xf>
    <x:xf numFmtId="0" fontId="3" fillId="4" borderId="0" xfId="0" applyNumberFormat="1" applyFont="1" applyFill="1" applyBorder="1" applyAlignment="1">
      <x:alignment wrapText="1"/>
    </x:xf>
    <x:xf numFmtId="0" fontId="3" fillId="4" borderId="10"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11"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9" xfId="0" applyNumberFormat="1" applyFont="1" applyFill="1" applyBorder="1" applyAlignment="1">
      <x:alignment vertical="center" wrapText="1"/>
    </x:xf>
    <x:xf numFmtId="0" fontId="3" fillId="4" borderId="10" xfId="0" applyNumberFormat="1" applyFont="1" applyFill="1" applyBorder="1" applyAlignment="1">
      <x:alignment vertical="center" wrapText="1"/>
    </x:xf>
    <x:xf numFmtId="0" fontId="3" fillId="4" borderId="6" xfId="0" applyNumberFormat="1" applyFont="1" applyFill="1" applyBorder="1" applyAlignment="1">
      <x:alignment vertical="center" wrapText="1"/>
    </x:xf>
    <x:xf numFmtId="0" fontId="3" fillId="4" borderId="11" xfId="0" applyNumberFormat="1" applyFont="1" applyFill="1" applyBorder="1" applyAlignment="1">
      <x:alignment vertical="center" wrapText="1"/>
    </x:xf>
    <x:xf numFmtId="0" fontId="3" fillId="4" borderId="7" xfId="0" applyNumberFormat="1" applyFont="1" applyFill="1" applyBorder="1" applyAlignment="1">
      <x:alignment vertical="center" wrapText="1"/>
    </x:xf>
    <x:xf numFmtId="0" fontId="3" fillId="34" borderId="9" xfId="0" applyNumberFormat="1" applyFont="1" applyFill="1" applyBorder="1" applyAlignment="1">
      <x:alignment vertical="center" wrapText="1"/>
    </x:xf>
    <x:xf numFmtId="0" fontId="3" fillId="34" borderId="0" xfId="0" applyNumberFormat="1" applyFont="1" applyFill="1" applyBorder="1" applyAlignment="1">
      <x:alignment vertical="center" wrapText="1"/>
    </x:xf>
    <x:xf numFmtId="0" fontId="3" fillId="34" borderId="10" xfId="0" applyNumberFormat="1" applyFont="1" applyFill="1" applyBorder="1" applyAlignment="1">
      <x:alignment vertical="center" wrapText="1"/>
    </x:xf>
    <x:xf numFmtId="0" fontId="3" fillId="34" borderId="6" xfId="0" applyNumberFormat="1" applyFont="1" applyFill="1" applyBorder="1" applyAlignment="1">
      <x:alignment vertical="center" wrapText="1"/>
    </x:xf>
    <x:xf numFmtId="0" fontId="3" fillId="34" borderId="11" xfId="0" applyNumberFormat="1" applyFont="1" applyFill="1" applyBorder="1" applyAlignment="1">
      <x:alignment vertical="center" wrapText="1"/>
    </x:xf>
    <x:xf numFmtId="0" fontId="3" fillId="34" borderId="7" xfId="0" applyNumberFormat="1" applyFont="1" applyFill="1" applyBorder="1" applyAlignment="1">
      <x:alignment vertical="center" wrapText="1"/>
    </x:xf>
    <x:xf numFmtId="0" fontId="0" fillId="34" borderId="0" xfId="0" applyNumberFormat="1" applyFont="1" applyFill="1" applyBorder="1"/>
    <x:xf numFmtId="0" fontId="3" fillId="34" borderId="0" xfId="0" applyNumberFormat="1" applyFont="1" applyFill="1" applyBorder="1"/>
    <x:xf numFmtId="0" fontId="3" fillId="34" borderId="34" xfId="0" applyNumberFormat="1" applyFont="1" applyFill="1" applyBorder="1" applyAlignment="1">
      <x:alignment vertical="center" wrapText="1"/>
    </x:xf>
    <x:xf numFmtId="0" fontId="3" fillId="34" borderId="35" xfId="0" applyNumberFormat="1" applyFont="1" applyFill="1" applyBorder="1" applyAlignment="1">
      <x:alignment vertical="center" wrapText="1"/>
    </x:xf>
    <x:xf numFmtId="0" fontId="3" fillId="34" borderId="36" xfId="0" applyNumberFormat="1" applyFont="1" applyFill="1" applyBorder="1" applyAlignment="1">
      <x:alignment vertical="center" wrapText="1"/>
    </x:xf>
    <x:xf numFmtId="0" fontId="3" fillId="34" borderId="104" xfId="0" applyNumberFormat="1" applyFont="1" applyFill="1" applyBorder="1" applyAlignment="1">
      <x:alignment vertical="center" wrapText="1"/>
    </x:xf>
    <x:xf numFmtId="0" fontId="3" fillId="34" borderId="105" xfId="0" applyNumberFormat="1" applyFont="1" applyFill="1" applyBorder="1" applyAlignment="1">
      <x:alignment vertical="center" wrapText="1"/>
    </x:xf>
    <x:xf numFmtId="0" fontId="3" fillId="34" borderId="37" xfId="0" applyNumberFormat="1" applyFont="1" applyFill="1" applyBorder="1"/>
    <x:xf numFmtId="0" fontId="3" fillId="34" borderId="38" xfId="0" applyNumberFormat="1" applyFont="1" applyFill="1" applyBorder="1"/>
    <x:xf numFmtId="0" fontId="3" fillId="34" borderId="39" xfId="0" applyNumberFormat="1" applyFont="1" applyFill="1" applyBorder="1"/>
    <x:xf numFmtId="0" fontId="3" fillId="34" borderId="37" xfId="0" applyNumberFormat="1" applyFont="1" applyFill="1" applyBorder="1" applyAlignment="1">
      <x:alignment wrapText="1"/>
    </x:xf>
    <x:xf numFmtId="0" fontId="3" fillId="34" borderId="38" xfId="0" applyNumberFormat="1" applyFont="1" applyFill="1" applyBorder="1" applyAlignment="1">
      <x:alignment wrapText="1"/>
    </x:xf>
    <x:xf numFmtId="0" fontId="3" fillId="34" borderId="39" xfId="0" applyNumberFormat="1" applyFont="1" applyFill="1" applyBorder="1" applyAlignment="1">
      <x:alignment wrapText="1"/>
    </x:xf>
    <x:xf numFmtId="0" fontId="3" fillId="34" borderId="37" xfId="0" applyNumberFormat="1" applyFont="1" applyFill="1" applyBorder="1" applyAlignment="1">
      <x:alignment vertical="center" wrapText="1"/>
    </x:xf>
    <x:xf numFmtId="0" fontId="3" fillId="34" borderId="38" xfId="0" applyNumberFormat="1" applyFont="1" applyFill="1" applyBorder="1" applyAlignment="1">
      <x:alignment vertical="center" wrapText="1"/>
    </x:xf>
    <x:xf numFmtId="0" fontId="3" fillId="34" borderId="39" xfId="0" applyNumberFormat="1" applyFont="1" applyFill="1" applyBorder="1" applyAlignment="1">
      <x:alignment vertical="center" wrapText="1"/>
    </x:xf>
    <x:xf numFmtId="0" fontId="7" fillId="34" borderId="34" xfId="0" applyNumberFormat="1" applyFont="1" applyFill="1" applyBorder="1" applyAlignment="1">
      <x:alignment vertical="center" wrapText="1"/>
    </x:xf>
    <x:xf numFmtId="0" fontId="7" fillId="34" borderId="35" xfId="0" applyNumberFormat="1" applyFont="1" applyFill="1" applyBorder="1" applyAlignment="1">
      <x:alignment vertical="center" wrapText="1"/>
    </x:xf>
    <x:xf numFmtId="0" fontId="7" fillId="34" borderId="36" xfId="0" applyNumberFormat="1" applyFont="1" applyFill="1" applyBorder="1" applyAlignment="1">
      <x:alignment vertical="center" wrapText="1"/>
    </x:xf>
    <x:xf numFmtId="0" fontId="7" fillId="34" borderId="43" xfId="0" applyNumberFormat="1" applyFont="1" applyFill="1" applyBorder="1" applyAlignment="1">
      <x:alignment vertical="center" wrapText="1"/>
    </x:xf>
    <x:xf numFmtId="0" fontId="7" fillId="34" borderId="0" xfId="0" applyNumberFormat="1" applyFont="1" applyFill="1" applyBorder="1" applyAlignment="1">
      <x:alignment vertical="center" wrapText="1"/>
    </x:xf>
    <x:xf numFmtId="0" fontId="7" fillId="34" borderId="44" xfId="0" applyNumberFormat="1" applyFont="1" applyFill="1" applyBorder="1" applyAlignment="1">
      <x:alignment vertical="center" wrapText="1"/>
    </x:xf>
    <x:xf numFmtId="0" fontId="3" fillId="34" borderId="98" xfId="0" applyNumberFormat="1" applyFont="1" applyFill="1" applyBorder="1" applyAlignment="1">
      <x:alignment vertical="center" wrapText="1"/>
    </x:xf>
    <x:xf numFmtId="0" fontId="3" fillId="34" borderId="99" xfId="0" applyNumberFormat="1" applyFont="1" applyFill="1" applyBorder="1" applyAlignment="1">
      <x:alignment vertical="center" wrapText="1"/>
    </x:xf>
    <x:xf numFmtId="0" fontId="3" fillId="34" borderId="100" xfId="0" applyNumberFormat="1" applyFont="1" applyFill="1" applyBorder="1" applyAlignment="1">
      <x:alignment vertical="center" wrapText="1"/>
    </x:xf>
    <x:xf numFmtId="0" fontId="7" fillId="34" borderId="98" xfId="0" applyNumberFormat="1" applyFont="1" applyFill="1" applyBorder="1" applyAlignment="1">
      <x:alignment vertical="center" wrapText="1"/>
    </x:xf>
    <x:xf numFmtId="0" fontId="7" fillId="34" borderId="99" xfId="0" applyNumberFormat="1" applyFont="1" applyFill="1" applyBorder="1" applyAlignment="1">
      <x:alignment vertical="center" wrapText="1"/>
    </x:xf>
    <x:xf numFmtId="0" fontId="7" fillId="34" borderId="100" xfId="0" applyNumberFormat="1" applyFont="1" applyFill="1" applyBorder="1" applyAlignment="1">
      <x:alignment vertical="center" wrapText="1"/>
    </x:xf>
    <x:xf numFmtId="0" fontId="7" fillId="34" xfId="0" applyNumberFormat="1" applyFont="1" applyFill="1" applyBorder="0" applyAlignment="1">
      <x:alignment vertical="center" wrapText="1"/>
    </x:xf>
    <x:xf numFmtId="0" fontId="7" fillId="34" borderId="106" xfId="0" applyNumberFormat="1" applyFont="1" applyFill="1" applyBorder="1" applyAlignment="1">
      <x:alignment vertical="center" wrapText="1"/>
    </x:xf>
    <x:xf numFmtId="0" fontId="7" fillId="34" borderId="107" xfId="0" applyNumberFormat="1" applyFont="1" applyFill="1" applyBorder="1" applyAlignment="1">
      <x:alignment vertical="center" wrapText="1"/>
    </x:xf>
    <x:xf numFmtId="0" fontId="3" fillId="4" borderId="34" xfId="0" applyNumberFormat="1" applyFont="1" applyFill="1" applyBorder="1" applyAlignment="1">
      <x:alignment vertical="center" wrapText="1"/>
    </x:xf>
    <x:xf numFmtId="0" fontId="3" fillId="4" borderId="35" xfId="0" applyNumberFormat="1" applyFont="1" applyFill="1" applyBorder="1" applyAlignment="1">
      <x:alignment vertical="center" wrapText="1"/>
    </x:xf>
    <x:xf numFmtId="0" fontId="3" fillId="4" borderId="36" xfId="0" applyNumberFormat="1" applyFont="1" applyFill="1" applyBorder="1" applyAlignment="1">
      <x:alignment vertical="center" wrapText="1"/>
    </x:xf>
    <x:xf numFmtId="0" fontId="3" fillId="4" borderId="104" xfId="0" applyNumberFormat="1" applyFont="1" applyFill="1" applyBorder="1" applyAlignment="1">
      <x:alignment vertical="center" wrapText="1"/>
    </x:xf>
    <x:xf numFmtId="0" fontId="3" fillId="4" borderId="105" xfId="0" applyNumberFormat="1" applyFont="1" applyFill="1" applyBorder="1" applyAlignment="1">
      <x:alignment vertical="center" wrapText="1"/>
    </x:xf>
    <x:xf numFmtId="0" fontId="3" fillId="4" borderId="37" xfId="0" applyNumberFormat="1" applyFont="1" applyFill="1" applyBorder="1"/>
    <x:xf numFmtId="0" fontId="3" fillId="4" borderId="38" xfId="0" applyNumberFormat="1" applyFont="1" applyFill="1" applyBorder="1"/>
    <x:xf numFmtId="0" fontId="3" fillId="4" borderId="39" xfId="0" applyNumberFormat="1" applyFont="1" applyFill="1" applyBorder="1"/>
    <x:xf numFmtId="0" fontId="3" fillId="4" borderId="37" xfId="0" applyNumberFormat="1" applyFont="1" applyFill="1" applyBorder="1" applyAlignment="1">
      <x:alignment wrapText="1"/>
    </x:xf>
    <x:xf numFmtId="0" fontId="3" fillId="4" borderId="38" xfId="0" applyNumberFormat="1" applyFont="1" applyFill="1" applyBorder="1" applyAlignment="1">
      <x:alignment wrapText="1"/>
    </x:xf>
    <x:xf numFmtId="0" fontId="3" fillId="4" borderId="39" xfId="0" applyNumberFormat="1" applyFont="1" applyFill="1" applyBorder="1" applyAlignment="1">
      <x:alignment wrapText="1"/>
    </x:xf>
    <x:xf numFmtId="0" fontId="7" fillId="4" borderId="98" xfId="0" applyNumberFormat="1" applyFont="1" applyFill="1" applyBorder="1" applyAlignment="1">
      <x:alignment vertical="center" wrapText="1"/>
    </x:xf>
    <x:xf numFmtId="0" fontId="7" fillId="4" borderId="99" xfId="0" applyNumberFormat="1" applyFont="1" applyFill="1" applyBorder="1" applyAlignment="1">
      <x:alignment vertical="center" wrapText="1"/>
    </x:xf>
    <x:xf numFmtId="0" fontId="7" fillId="4" borderId="100" xfId="0" applyNumberFormat="1" applyFont="1" applyFill="1" applyBorder="1" applyAlignment="1">
      <x:alignment vertical="center" wrapText="1"/>
    </x:xf>
    <x:xf numFmtId="0" fontId="7" fillId="4" xfId="0" applyNumberFormat="1" applyFont="1" applyFill="1" applyBorder="0" applyAlignment="1">
      <x:alignment vertical="center" wrapText="1"/>
    </x:xf>
    <x:xf numFmtId="0" fontId="7" fillId="4" borderId="106" xfId="0" applyNumberFormat="1" applyFont="1" applyFill="1" applyBorder="1" applyAlignment="1">
      <x:alignment vertical="center" wrapText="1"/>
    </x:xf>
    <x:xf numFmtId="0" fontId="7" fillId="4" borderId="107" xfId="0" applyNumberFormat="1" applyFont="1" applyFill="1" applyBorder="1" applyAlignment="1">
      <x:alignment vertical="center" wrapText="1"/>
    </x:xf>
    <x:xf numFmtId="0" fontId="2" fillId="35" borderId="8" xfId="0" applyNumberFormat="1" applyFont="1" applyFill="1" applyBorder="1" applyAlignment="1">
      <x:alignment vertical="top" wrapText="1"/>
    </x:xf>
    <x:xf numFmtId="0" fontId="2" fillId="35" borderId="0" xfId="0" applyNumberFormat="1" applyFont="1" applyFill="1" applyBorder="1" applyAlignment="1">
      <x:alignment vertical="top" wrapText="1"/>
    </x:xf>
    <x:xf numFmtId="0" fontId="2" fillId="35" borderId="11" xfId="0" applyNumberFormat="1" applyFont="1" applyFill="1" applyBorder="1" applyAlignment="1">
      <x:alignment vertical="top" wrapText="1"/>
    </x:xf>
    <x:xf numFmtId="0" fontId="3" fillId="35" borderId="8" xfId="0" applyNumberFormat="1" applyFont="1" applyFill="1" applyBorder="1" applyAlignment="1">
      <x:alignment vertical="top" wrapText="1"/>
    </x:xf>
    <x:xf numFmtId="0" fontId="3" fillId="35" borderId="0" xfId="0" applyNumberFormat="1" applyFont="1" applyFill="1" applyBorder="1" applyAlignment="1">
      <x:alignment vertical="top" wrapText="1"/>
    </x:xf>
    <x:xf numFmtId="0" fontId="3" fillId="35" borderId="11" xfId="0" applyNumberFormat="1" applyFont="1" applyFill="1" applyBorder="1" applyAlignment="1">
      <x:alignment vertical="top" wrapText="1"/>
    </x:xf>
    <x:xf numFmtId="0" fontId="2" fillId="36" borderId="4" xfId="0" applyNumberFormat="1" applyFont="1" applyFill="1" applyBorder="1" applyAlignment="1">
      <x:alignment vertical="top" wrapText="1"/>
    </x:xf>
    <x:xf numFmtId="0" fontId="2" fillId="36" borderId="9" xfId="0" applyNumberFormat="1" applyFont="1" applyFill="1" applyBorder="1" applyAlignment="1">
      <x:alignment vertical="top" wrapText="1"/>
    </x:xf>
    <x:xf numFmtId="0" fontId="2" fillId="36" borderId="6" xfId="0" applyNumberFormat="1" applyFont="1" applyFill="1" applyBorder="1" applyAlignment="1">
      <x:alignment vertical="top" wrapText="1"/>
    </x:xf>
    <x:xf numFmtId="0" fontId="2" fillId="37" borderId="24" xfId="0" applyNumberFormat="1" applyFont="1" applyFill="1" applyBorder="1" applyAlignment="1">
      <x:alignment vertical="top" wrapText="1"/>
    </x:xf>
    <x:xf numFmtId="0" fontId="2" fillId="37" borderId="23" xfId="0" applyNumberFormat="1" applyFont="1" applyFill="1" applyBorder="1" applyAlignment="1">
      <x:alignment vertical="top" wrapText="1"/>
    </x:xf>
    <x:xf numFmtId="3" fontId="2" fillId="37" borderId="25" xfId="0" applyNumberFormat="1" applyFont="1" applyFill="1" applyBorder="1" applyAlignment="1">
      <x:alignment vertical="top" wrapText="1"/>
    </x:xf>
    <x:xf numFmtId="0" fontId="2" fillId="37" borderId="0" xfId="0" applyNumberFormat="1" applyFont="1" applyFill="1" applyBorder="1" applyAlignment="1">
      <x:alignment vertical="top" wrapText="1"/>
    </x:xf>
    <x:xf numFmtId="0" fontId="2" fillId="37" borderId="32" xfId="0" applyNumberFormat="1" applyFont="1" applyFill="1" applyBorder="1" applyAlignment="1">
      <x:alignment vertical="top" wrapText="1"/>
    </x:xf>
    <x:xf numFmtId="3" fontId="2" fillId="37" borderId="33" xfId="0" applyNumberFormat="1" applyFont="1" applyFill="1" applyBorder="1" applyAlignment="1">
      <x:alignment vertical="top" wrapText="1"/>
    </x:xf>
    <x:xf numFmtId="0" fontId="2" fillId="37" borderId="27" xfId="0" applyNumberFormat="1" applyFont="1" applyFill="1" applyBorder="1" applyAlignment="1">
      <x:alignment vertical="top" wrapText="1"/>
    </x:xf>
    <x:xf numFmtId="0" fontId="2" fillId="37" borderId="26" xfId="0" applyNumberFormat="1" applyFont="1" applyFill="1" applyBorder="1" applyAlignment="1">
      <x:alignment vertical="top" wrapText="1"/>
    </x:xf>
    <x:xf numFmtId="3" fontId="2" fillId="37" borderId="28" xfId="0" applyNumberFormat="1" applyFont="1" applyFill="1" applyBorder="1" applyAlignment="1">
      <x:alignment vertical="top" wrapText="1"/>
    </x:xf>
    <x:xf numFmtId="200" fontId="2" fillId="37" borderId="25" xfId="0" applyNumberFormat="1" applyFont="1" applyFill="1" applyBorder="1" applyAlignment="1">
      <x:alignment vertical="top" wrapText="1"/>
    </x:xf>
    <x:xf numFmtId="200" fontId="2" fillId="37" borderId="33" xfId="0" applyNumberFormat="1" applyFont="1" applyFill="1" applyBorder="1" applyAlignment="1">
      <x:alignment vertical="top" wrapText="1"/>
    </x:xf>
    <x:xf numFmtId="200" fontId="2" fillId="37" borderId="28" xfId="0" applyNumberFormat="1" applyFont="1" applyFill="1" applyBorder="1" applyAlignment="1">
      <x:alignment vertical="top" wrapText="1"/>
    </x:xf>
    <x:xf numFmtId="0" fontId="2" fillId="37" borderId="45" xfId="0" applyNumberFormat="1" applyFont="1" applyFill="1" applyBorder="1" applyAlignment="1">
      <x:alignment horizontal="center" vertical="center" wrapText="1"/>
    </x:xf>
    <x:xf numFmtId="0" fontId="3" fillId="36" borderId="45" xfId="0" applyNumberFormat="1" applyFont="1" applyFill="1" applyBorder="1" applyAlignment="1">
      <x:alignment horizontal="center" vertical="center" wrapText="1"/>
    </x:xf>
    <x:xf numFmtId="0" fontId="0" fillId="38" borderId="0" xfId="0" applyNumberFormat="1" applyFont="1" applyFill="1" applyBorder="1"/>
    <x:xf numFmtId="0" fontId="17" fillId="38" borderId="0" xfId="0" applyNumberFormat="1" applyFont="1" applyFill="1" applyBorder="1"/>
    <x:xf numFmtId="0" fontId="17" fillId="38" borderId="0" xfId="0" applyNumberFormat="1" applyFont="1" applyFill="1" applyBorder="1" applyAlignment="1">
      <x:alignment vertical="center"/>
    </x:xf>
    <x:xf numFmtId="0" fontId="0" fillId="39" borderId="0" xfId="0" applyNumberFormat="1" applyFont="1" applyFill="1" applyBorder="1"/>
    <x:xf numFmtId="0" fontId="3" fillId="39" borderId="0" xfId="0" applyNumberFormat="1" applyFont="1" applyFill="1" applyBorder="1"/>
    <x:xf numFmtId="0" fontId="3" fillId="39" borderId="15" xfId="0" applyNumberFormat="1" applyFont="1" applyFill="1" applyBorder="1"/>
    <x:xf numFmtId="0" fontId="3" fillId="39" borderId="16" xfId="0" applyNumberFormat="1" applyFont="1" applyFill="1" applyBorder="1"/>
    <x:xf numFmtId="0" fontId="3" fillId="39" borderId="17" xfId="0" applyNumberFormat="1" applyFont="1" applyFill="1" applyBorder="1"/>
    <x:xf numFmtId="0" fontId="3" fillId="39" borderId="20" xfId="0" applyNumberFormat="1" applyFont="1" applyFill="1" applyBorder="1"/>
    <x:xf numFmtId="0" fontId="3" fillId="39" borderId="21" xfId="0" applyNumberFormat="1" applyFont="1" applyFill="1" applyBorder="1"/>
    <x:xf numFmtId="0" fontId="3" fillId="39" borderId="22" xfId="0" applyNumberFormat="1" applyFont="1" applyFill="1" applyBorder="1"/>
    <x:xf numFmtId="0" fontId="3" fillId="39" borderId="15" xfId="0" applyNumberFormat="1" applyFont="1" applyFill="1" applyBorder="1" applyAlignment="1">
      <x:alignment wrapText="1"/>
    </x:xf>
    <x:xf numFmtId="0" fontId="3" fillId="39" borderId="16" xfId="0" applyNumberFormat="1" applyFont="1" applyFill="1" applyBorder="1" applyAlignment="1">
      <x:alignment wrapText="1"/>
    </x:xf>
    <x:xf numFmtId="0" fontId="3" fillId="39" borderId="17" xfId="0" applyNumberFormat="1" applyFont="1" applyFill="1" applyBorder="1" applyAlignment="1">
      <x:alignment wrapText="1"/>
    </x:xf>
    <x:xf numFmtId="0" fontId="3" fillId="39" borderId="20" xfId="0" applyNumberFormat="1" applyFont="1" applyFill="1" applyBorder="1" applyAlignment="1">
      <x:alignment wrapText="1"/>
    </x:xf>
    <x:xf numFmtId="0" fontId="3" fillId="39" borderId="21" xfId="0" applyNumberFormat="1" applyFont="1" applyFill="1" applyBorder="1" applyAlignment="1">
      <x:alignment wrapText="1"/>
    </x:xf>
    <x:xf numFmtId="0" fontId="3" fillId="39" borderId="22" xfId="0" applyNumberFormat="1" applyFont="1" applyFill="1" applyBorder="1" applyAlignment="1">
      <x:alignment wrapText="1"/>
    </x:xf>
    <x:xf numFmtId="0" fontId="3" fillId="39" borderId="15" xfId="0" applyNumberFormat="1" applyFont="1" applyFill="1" applyBorder="1" applyAlignment="1">
      <x:alignment vertical="center" wrapText="1"/>
    </x:xf>
    <x:xf numFmtId="0" fontId="3" fillId="39" borderId="16" xfId="0" applyNumberFormat="1" applyFont="1" applyFill="1" applyBorder="1" applyAlignment="1">
      <x:alignment vertical="center" wrapText="1"/>
    </x:xf>
    <x:xf numFmtId="0" fontId="3" fillId="39" borderId="17" xfId="0" applyNumberFormat="1" applyFont="1" applyFill="1" applyBorder="1" applyAlignment="1">
      <x:alignment vertical="center" wrapText="1"/>
    </x:xf>
    <x:xf numFmtId="0" fontId="3" fillId="39" borderId="20" xfId="0" applyNumberFormat="1" applyFont="1" applyFill="1" applyBorder="1" applyAlignment="1">
      <x:alignment vertical="center" wrapText="1"/>
    </x:xf>
    <x:xf numFmtId="0" fontId="3" fillId="39" borderId="21" xfId="0" applyNumberFormat="1" applyFont="1" applyFill="1" applyBorder="1" applyAlignment="1">
      <x:alignment vertical="center" wrapText="1"/>
    </x:xf>
    <x:xf numFmtId="0" fontId="3" fillId="39" borderId="22" xfId="0" applyNumberFormat="1" applyFont="1" applyFill="1" applyBorder="1" applyAlignment="1">
      <x:alignment vertical="center" wrapText="1"/>
    </x:xf>
    <x:xf numFmtId="0" fontId="8" fillId="38" borderId="0" xfId="0" applyNumberFormat="1" applyFont="1" applyFill="1" applyBorder="1"/>
    <x:xf numFmtId="0" fontId="8" fillId="38" borderId="12" xfId="0" applyNumberFormat="1" applyFont="1" applyFill="1" applyBorder="1"/>
    <x:xf numFmtId="0" fontId="8" fillId="38" borderId="14" xfId="0" applyNumberFormat="1" applyFont="1" applyFill="1" applyBorder="1"/>
    <x:xf numFmtId="0" fontId="8" fillId="38" borderId="13" xfId="0" applyNumberFormat="1" applyFont="1" applyFill="1" applyBorder="1"/>
    <x:xf numFmtId="0" fontId="8" fillId="38" borderId="12" xfId="0" applyNumberFormat="1" applyFont="1" applyFill="1" applyBorder="1" applyAlignment="1">
      <x:alignment wrapText="1"/>
    </x:xf>
    <x:xf numFmtId="0" fontId="8" fillId="38" borderId="14" xfId="0" applyNumberFormat="1" applyFont="1" applyFill="1" applyBorder="1" applyAlignment="1">
      <x:alignment wrapText="1"/>
    </x:xf>
    <x:xf numFmtId="0" fontId="8" fillId="38" borderId="13" xfId="0" applyNumberFormat="1" applyFont="1" applyFill="1" applyBorder="1" applyAlignment="1">
      <x:alignment wrapText="1"/>
    </x:xf>
    <x:xf numFmtId="0" fontId="2" fillId="0" borderId="15" xfId="0" applyNumberFormat="1" applyFont="1" applyFill="1" applyBorder="1"/>
    <x:xf numFmtId="0" fontId="2" fillId="0" borderId="16" xfId="0" applyNumberFormat="1" applyFont="1" applyFill="1" applyBorder="1"/>
    <x:xf numFmtId="0" fontId="2" fillId="0" borderId="17" xfId="0" applyNumberFormat="1" applyFont="1" applyFill="1" applyBorder="1"/>
    <x:xf numFmtId="0" fontId="2" fillId="0" borderId="18" xfId="0" applyNumberFormat="1" applyFont="1" applyFill="1" applyBorder="1"/>
    <x:xf numFmtId="0" fontId="2" fillId="0" xfId="0" applyNumberFormat="1" applyFont="1" applyFill="1" applyBorder="0"/>
    <x:xf numFmtId="0" fontId="2" fillId="0" borderId="19" xfId="0" applyNumberFormat="1" applyFont="1" applyFill="1" applyBorder="1"/>
    <x:xf numFmtId="0" fontId="2" fillId="0" borderId="20" xfId="0" applyNumberFormat="1" applyFont="1" applyFill="1" applyBorder="1"/>
    <x:xf numFmtId="0" fontId="2" fillId="0" borderId="21" xfId="0" applyNumberFormat="1" applyFont="1" applyFill="1" applyBorder="1"/>
    <x:xf numFmtId="0" fontId="2" fillId="0" borderId="22" xfId="0" applyNumberFormat="1" applyFont="1" applyFill="1" applyBorder="1"/>
    <x:xf numFmtId="0" fontId="2" fillId="0" borderId="15" xfId="0" applyNumberFormat="1" applyFont="1" applyFill="1" applyBorder="1" applyAlignment="1">
      <x:alignment wrapText="1"/>
    </x:xf>
    <x:xf numFmtId="0" fontId="2" fillId="0" borderId="16" xfId="0" applyNumberFormat="1" applyFont="1" applyFill="1" applyBorder="1" applyAlignment="1">
      <x:alignment wrapText="1"/>
    </x:xf>
    <x:xf numFmtId="0" fontId="2" fillId="0" borderId="17" xfId="0" applyNumberFormat="1" applyFont="1" applyFill="1" applyBorder="1" applyAlignment="1">
      <x:alignment wrapText="1"/>
    </x:xf>
    <x:xf numFmtId="0" fontId="2" fillId="0" borderId="18" xfId="0" applyNumberFormat="1" applyFont="1" applyFill="1" applyBorder="1" applyAlignment="1">
      <x:alignment wrapText="1"/>
    </x:xf>
    <x:xf numFmtId="0" fontId="2" fillId="0" xfId="0" applyNumberFormat="1" applyFont="1" applyFill="1" applyBorder="0" applyAlignment="1">
      <x:alignment wrapText="1"/>
    </x:xf>
    <x:xf numFmtId="0" fontId="2" fillId="0" borderId="19" xfId="0" applyNumberFormat="1" applyFont="1" applyFill="1" applyBorder="1" applyAlignment="1">
      <x:alignment wrapText="1"/>
    </x:xf>
    <x:xf numFmtId="0" fontId="2" fillId="0" borderId="20" xfId="0" applyNumberFormat="1" applyFont="1" applyFill="1" applyBorder="1" applyAlignment="1">
      <x:alignment wrapText="1"/>
    </x:xf>
    <x:xf numFmtId="0" fontId="2" fillId="0" borderId="21" xfId="0" applyNumberFormat="1" applyFont="1" applyFill="1" applyBorder="1" applyAlignment="1">
      <x:alignment wrapText="1"/>
    </x:xf>
    <x:xf numFmtId="0" fontId="2" fillId="0" borderId="22" xfId="0" applyNumberFormat="1" applyFont="1" applyFill="1" applyBorder="1" applyAlignment="1">
      <x:alignment wrapText="1"/>
    </x:xf>
    <x:xf numFmtId="0" fontId="2" fillId="0" borderId="15" xfId="0" applyNumberFormat="1" applyFont="1" applyFill="1" applyBorder="1" applyAlignment="1">
      <x:alignment vertical="top" wrapText="1"/>
    </x:xf>
    <x:xf numFmtId="0" fontId="2" fillId="0" borderId="16" xfId="0" applyNumberFormat="1" applyFont="1" applyFill="1" applyBorder="1" applyAlignment="1">
      <x:alignment vertical="top" wrapText="1"/>
    </x:xf>
    <x:xf numFmtId="0" fontId="2" fillId="0" borderId="17" xfId="0" applyNumberFormat="1" applyFont="1" applyFill="1" applyBorder="1" applyAlignment="1">
      <x:alignment vertical="top" wrapText="1"/>
    </x:xf>
    <x:xf numFmtId="0" fontId="2" fillId="0" borderId="18" xfId="0" applyNumberFormat="1" applyFont="1" applyFill="1" applyBorder="1" applyAlignment="1">
      <x:alignment vertical="top" wrapText="1"/>
    </x:xf>
    <x:xf numFmtId="0" fontId="2" fillId="0" xfId="0" applyNumberFormat="1" applyFont="1" applyFill="1" applyBorder="0" applyAlignment="1">
      <x:alignment vertical="top" wrapText="1"/>
    </x:xf>
    <x:xf numFmtId="0" fontId="2" fillId="0" borderId="19" xfId="0" applyNumberFormat="1" applyFont="1" applyFill="1" applyBorder="1" applyAlignment="1">
      <x:alignment vertical="top" wrapText="1"/>
    </x:xf>
    <x:xf numFmtId="0" fontId="2" fillId="0" borderId="20" xfId="0" applyNumberFormat="1" applyFont="1" applyFill="1" applyBorder="1" applyAlignment="1">
      <x:alignment vertical="top" wrapText="1"/>
    </x:xf>
    <x:xf numFmtId="0" fontId="2" fillId="0" borderId="21" xfId="0" applyNumberFormat="1" applyFont="1" applyFill="1" applyBorder="1" applyAlignment="1">
      <x:alignment vertical="top" wrapText="1"/>
    </x:xf>
    <x:xf numFmtId="0" fontId="2" fillId="0" borderId="22" xfId="0" applyNumberFormat="1" applyFont="1" applyFill="1" applyBorder="1" applyAlignment="1">
      <x:alignment vertical="top" wrapText="1"/>
    </x:xf>
    <x:xf numFmtId="0" fontId="2" fillId="37" borderId="16" xfId="0" applyNumberFormat="1" applyFont="1" applyFill="1" applyBorder="1" applyAlignment="1">
      <x:alignment vertical="top" wrapText="1"/>
    </x:xf>
    <x:xf numFmtId="0" fontId="2" fillId="37" xfId="0" applyNumberFormat="1" applyFont="1" applyFill="1" applyBorder="0" applyAlignment="1">
      <x:alignment vertical="top" wrapText="1"/>
    </x:xf>
    <x:xf numFmtId="0" fontId="2" fillId="37" borderId="21" xfId="0" applyNumberFormat="1" applyFont="1" applyFill="1" applyBorder="1" applyAlignment="1">
      <x:alignment vertical="top" wrapText="1"/>
    </x:xf>
    <x:xf numFmtId="0" fontId="2" fillId="36" borderId="16" xfId="0" applyNumberFormat="1" applyFont="1" applyFill="1" applyBorder="1" applyAlignment="1">
      <x:alignment vertical="top" wrapText="1"/>
    </x:xf>
    <x:xf numFmtId="0" fontId="2" fillId="36" xfId="0" applyNumberFormat="1" applyFont="1" applyFill="1" applyBorder="0" applyAlignment="1">
      <x:alignment vertical="top" wrapText="1"/>
    </x:xf>
    <x:xf numFmtId="0" fontId="2" fillId="36" borderId="21" xfId="0" applyNumberFormat="1" applyFont="1" applyFill="1" applyBorder="1" applyAlignment="1">
      <x:alignment vertical="top" wrapText="1"/>
    </x:xf>
    <x:xf numFmtId="0" fontId="5" fillId="38" borderId="0" xfId="0" applyNumberFormat="1" applyFont="1" applyFill="1" applyBorder="1"/>
    <x:xf numFmtId="0" fontId="5" fillId="38" borderId="12" xfId="0" applyNumberFormat="1" applyFont="1" applyFill="1" applyBorder="1"/>
    <x:xf numFmtId="0" fontId="5" fillId="38" borderId="14" xfId="0" applyNumberFormat="1" applyFont="1" applyFill="1" applyBorder="1"/>
    <x:xf numFmtId="0" fontId="5" fillId="38" borderId="13" xfId="0" applyNumberFormat="1" applyFont="1" applyFill="1" applyBorder="1"/>
    <x:xf numFmtId="0" fontId="2" fillId="39" borderId="0" xfId="0" applyNumberFormat="1" applyFont="1" applyFill="1" applyBorder="1"/>
    <x:xf numFmtId="0" fontId="2" fillId="39" borderId="12" xfId="0" applyNumberFormat="1" applyFont="1" applyFill="1" applyBorder="1"/>
    <x:xf numFmtId="0" fontId="2" fillId="39" borderId="14" xfId="0" applyNumberFormat="1" applyFont="1" applyFill="1" applyBorder="1"/>
    <x:xf numFmtId="0" fontId="2" fillId="39" borderId="13" xfId="0" applyNumberFormat="1" applyFont="1" applyFill="1" applyBorder="1"/>
    <x:xf numFmtId="0" fontId="2" fillId="39" borderId="12" xfId="0" applyNumberFormat="1" applyFont="1" applyFill="1" applyBorder="1" applyAlignment="1">
      <x:alignment wrapText="1"/>
    </x:xf>
    <x:xf numFmtId="0" fontId="2" fillId="39" borderId="14" xfId="0" applyNumberFormat="1" applyFont="1" applyFill="1" applyBorder="1" applyAlignment="1">
      <x:alignment wrapText="1"/>
    </x:xf>
    <x:xf numFmtId="0" fontId="2" fillId="39" borderId="13" xfId="0" applyNumberFormat="1" applyFont="1" applyFill="1" applyBorder="1" applyAlignment="1">
      <x:alignment wrapText="1"/>
    </x:xf>
    <x:xf numFmtId="0" fontId="2" fillId="39" borderId="12" xfId="0" applyNumberFormat="1" applyFont="1" applyFill="1" applyBorder="1" applyAlignment="1">
      <x:alignment vertical="center" wrapText="1"/>
    </x:xf>
    <x:xf numFmtId="0" fontId="2" fillId="39" borderId="14" xfId="0" applyNumberFormat="1" applyFont="1" applyFill="1" applyBorder="1" applyAlignment="1">
      <x:alignment vertical="center" wrapText="1"/>
    </x:xf>
    <x:xf numFmtId="0" fontId="2" fillId="39" borderId="13" xfId="0" applyNumberFormat="1" applyFont="1" applyFill="1" applyBorder="1" applyAlignment="1">
      <x:alignment vertical="center" wrapText="1"/>
    </x:xf>
    <x:xf numFmtId="0" fontId="0" fillId="40" borderId="0" xfId="0" applyNumberFormat="1" applyFont="1" applyFill="1" applyBorder="1"/>
    <x:xf numFmtId="0" fontId="2" fillId="40" borderId="0" xfId="0" applyNumberFormat="1" applyFont="1" applyFill="1" applyBorder="1"/>
    <x:xf numFmtId="0" fontId="2" fillId="40" borderId="12" xfId="0" applyNumberFormat="1" applyFont="1" applyFill="1" applyBorder="1"/>
    <x:xf numFmtId="0" fontId="2" fillId="40" borderId="14" xfId="0" applyNumberFormat="1" applyFont="1" applyFill="1" applyBorder="1"/>
    <x:xf numFmtId="0" fontId="2" fillId="40" borderId="13" xfId="0" applyNumberFormat="1" applyFont="1" applyFill="1" applyBorder="1"/>
    <x:xf numFmtId="0" fontId="2" fillId="40" borderId="12" xfId="0" applyNumberFormat="1" applyFont="1" applyFill="1" applyBorder="1" applyAlignment="1">
      <x:alignment wrapText="1"/>
    </x:xf>
    <x:xf numFmtId="0" fontId="2" fillId="40" borderId="14" xfId="0" applyNumberFormat="1" applyFont="1" applyFill="1" applyBorder="1" applyAlignment="1">
      <x:alignment wrapText="1"/>
    </x:xf>
    <x:xf numFmtId="0" fontId="2" fillId="40" borderId="13" xfId="0" applyNumberFormat="1" applyFont="1" applyFill="1" applyBorder="1" applyAlignment="1">
      <x:alignment wrapText="1"/>
    </x:xf>
    <x:xf numFmtId="0" fontId="2" fillId="40" borderId="12" xfId="0" applyNumberFormat="1" applyFont="1" applyFill="1" applyBorder="1" applyAlignment="1">
      <x:alignment vertical="center" wrapText="1"/>
    </x:xf>
    <x:xf numFmtId="0" fontId="2" fillId="40" borderId="14" xfId="0" applyNumberFormat="1" applyFont="1" applyFill="1" applyBorder="1" applyAlignment="1">
      <x:alignment vertical="center" wrapText="1"/>
    </x:xf>
    <x:xf numFmtId="0" fontId="2" fillId="40" borderId="13" xfId="0" applyNumberFormat="1" applyFont="1" applyFill="1" applyBorder="1" applyAlignment="1">
      <x:alignment vertical="center" wrapText="1"/>
    </x:xf>
    <x:xf numFmtId="0" fontId="0" fillId="36" borderId="0" xfId="0" applyNumberFormat="1" applyFont="1" applyFill="1" applyBorder="1"/>
    <x:xf numFmtId="0" fontId="7" fillId="36" borderId="0" xfId="0" applyNumberFormat="1" applyFont="1" applyFill="1" applyBorder="1"/>
    <x:xf numFmtId="0" fontId="7" fillId="36" borderId="15" xfId="0" applyNumberFormat="1" applyFont="1" applyFill="1" applyBorder="1"/>
    <x:xf numFmtId="0" fontId="7" fillId="36" borderId="16" xfId="0" applyNumberFormat="1" applyFont="1" applyFill="1" applyBorder="1"/>
    <x:xf numFmtId="0" fontId="7" fillId="36" borderId="17" xfId="0" applyNumberFormat="1" applyFont="1" applyFill="1" applyBorder="1"/>
    <x:xf numFmtId="0" fontId="7" fillId="36" borderId="18" xfId="0" applyNumberFormat="1" applyFont="1" applyFill="1" applyBorder="1"/>
    <x:xf numFmtId="0" fontId="7" fillId="36" xfId="0" applyNumberFormat="1" applyFont="1" applyFill="1" applyBorder="0"/>
    <x:xf numFmtId="0" fontId="7" fillId="36" borderId="19" xfId="0" applyNumberFormat="1" applyFont="1" applyFill="1" applyBorder="1"/>
    <x:xf numFmtId="0" fontId="7" fillId="36" borderId="20" xfId="0" applyNumberFormat="1" applyFont="1" applyFill="1" applyBorder="1"/>
    <x:xf numFmtId="0" fontId="7" fillId="36" borderId="21" xfId="0" applyNumberFormat="1" applyFont="1" applyFill="1" applyBorder="1"/>
    <x:xf numFmtId="0" fontId="7" fillId="36" borderId="22" xfId="0" applyNumberFormat="1" applyFont="1" applyFill="1" applyBorder="1"/>
    <x:xf numFmtId="0" fontId="7" fillId="36" borderId="15" xfId="0" applyNumberFormat="1" applyFont="1" applyFill="1" applyBorder="1" applyAlignment="1">
      <x:alignment wrapText="1"/>
    </x:xf>
    <x:xf numFmtId="0" fontId="7" fillId="36" borderId="16" xfId="0" applyNumberFormat="1" applyFont="1" applyFill="1" applyBorder="1" applyAlignment="1">
      <x:alignment wrapText="1"/>
    </x:xf>
    <x:xf numFmtId="0" fontId="7" fillId="36" borderId="17" xfId="0" applyNumberFormat="1" applyFont="1" applyFill="1" applyBorder="1" applyAlignment="1">
      <x:alignment wrapText="1"/>
    </x:xf>
    <x:xf numFmtId="0" fontId="7" fillId="36" borderId="18" xfId="0" applyNumberFormat="1" applyFont="1" applyFill="1" applyBorder="1" applyAlignment="1">
      <x:alignment wrapText="1"/>
    </x:xf>
    <x:xf numFmtId="0" fontId="7" fillId="36" xfId="0" applyNumberFormat="1" applyFont="1" applyFill="1" applyBorder="0" applyAlignment="1">
      <x:alignment wrapText="1"/>
    </x:xf>
    <x:xf numFmtId="0" fontId="7" fillId="36" borderId="19" xfId="0" applyNumberFormat="1" applyFont="1" applyFill="1" applyBorder="1" applyAlignment="1">
      <x:alignment wrapText="1"/>
    </x:xf>
    <x:xf numFmtId="0" fontId="7" fillId="36" borderId="20" xfId="0" applyNumberFormat="1" applyFont="1" applyFill="1" applyBorder="1" applyAlignment="1">
      <x:alignment wrapText="1"/>
    </x:xf>
    <x:xf numFmtId="0" fontId="7" fillId="36" borderId="21" xfId="0" applyNumberFormat="1" applyFont="1" applyFill="1" applyBorder="1" applyAlignment="1">
      <x:alignment wrapText="1"/>
    </x:xf>
    <x:xf numFmtId="0" fontId="7" fillId="36" borderId="22" xfId="0" applyNumberFormat="1" applyFont="1" applyFill="1" applyBorder="1" applyAlignment="1">
      <x:alignment wrapText="1"/>
    </x:xf>
    <x:xf numFmtId="0" fontId="7" fillId="36" borderId="15" xfId="0" applyNumberFormat="1" applyFont="1" applyFill="1" applyBorder="1" applyAlignment="1">
      <x:alignment vertical="center" wrapText="1"/>
    </x:xf>
    <x:xf numFmtId="0" fontId="7" fillId="36" borderId="16" xfId="0" applyNumberFormat="1" applyFont="1" applyFill="1" applyBorder="1" applyAlignment="1">
      <x:alignment vertical="center" wrapText="1"/>
    </x:xf>
    <x:xf numFmtId="0" fontId="7" fillId="36" borderId="17" xfId="0" applyNumberFormat="1" applyFont="1" applyFill="1" applyBorder="1" applyAlignment="1">
      <x:alignment vertical="center" wrapText="1"/>
    </x:xf>
    <x:xf numFmtId="0" fontId="7" fillId="36" borderId="18" xfId="0" applyNumberFormat="1" applyFont="1" applyFill="1" applyBorder="1" applyAlignment="1">
      <x:alignment vertical="center" wrapText="1"/>
    </x:xf>
    <x:xf numFmtId="0" fontId="7" fillId="36" xfId="0" applyNumberFormat="1" applyFont="1" applyFill="1" applyBorder="0" applyAlignment="1">
      <x:alignment vertical="center" wrapText="1"/>
    </x:xf>
    <x:xf numFmtId="0" fontId="7" fillId="36" borderId="19" xfId="0" applyNumberFormat="1" applyFont="1" applyFill="1" applyBorder="1" applyAlignment="1">
      <x:alignment vertical="center" wrapText="1"/>
    </x:xf>
    <x:xf numFmtId="0" fontId="7" fillId="36" borderId="20" xfId="0" applyNumberFormat="1" applyFont="1" applyFill="1" applyBorder="1" applyAlignment="1">
      <x:alignment vertical="center" wrapText="1"/>
    </x:xf>
    <x:xf numFmtId="0" fontId="7" fillId="36" borderId="21" xfId="0" applyNumberFormat="1" applyFont="1" applyFill="1" applyBorder="1" applyAlignment="1">
      <x:alignment vertical="center" wrapText="1"/>
    </x:xf>
    <x:xf numFmtId="0" fontId="7" fillId="36" borderId="22" xfId="0" applyNumberFormat="1" applyFont="1" applyFill="1" applyBorder="1" applyAlignment="1">
      <x:alignment vertical="center" wrapText="1"/>
    </x:xf>
    <x:xf numFmtId="0" fontId="3" fillId="36" borderId="0" xfId="0" applyNumberFormat="1" applyFont="1" applyFill="1" applyBorder="1"/>
    <x:xf numFmtId="0" fontId="3" fillId="36" borderId="0" xfId="0" applyNumberFormat="1" applyFont="1" applyFill="1" applyBorder="1" applyAlignment="1">
      <x:alignment wrapText="1"/>
    </x:xf>
    <x:xf numFmtId="0" fontId="2" fillId="9" borderId="8" xfId="0" applyNumberFormat="1" applyFont="1" applyFill="1" applyBorder="1" applyAlignment="1">
      <x:alignment vertical="top" wrapText="1"/>
    </x:xf>
    <x:xf numFmtId="0" fontId="2" fillId="9" borderId="0" xfId="0" applyNumberFormat="1" applyFont="1" applyFill="1" applyBorder="1" applyAlignment="1">
      <x:alignment vertical="top" wrapText="1"/>
    </x:xf>
    <x:xf numFmtId="0" fontId="2" fillId="9" borderId="11" xfId="0" applyNumberFormat="1" applyFont="1" applyFill="1" applyBorder="1" applyAlignment="1">
      <x:alignment vertical="top" wrapText="1"/>
    </x:xf>
    <x:xf numFmtId="0" fontId="3" fillId="9" borderId="8"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3" fillId="9" borderId="11" xfId="0" applyNumberFormat="1" applyFont="1" applyFill="1" applyBorder="1" applyAlignment="1">
      <x:alignment vertical="top" wrapText="1"/>
    </x:xf>
    <x:xf numFmtId="0" fontId="17" fillId="2" borderId="0" xfId="0" applyNumberFormat="1" applyFont="1" applyFill="1" applyBorder="1"/>
    <x:xf numFmtId="0" fontId="17" fillId="2" borderId="0" xfId="0" applyNumberFormat="1" applyFont="1" applyFill="1" applyBorder="1" applyAlignment="1">
      <x:alignment vertical="center"/>
    </x:xf>
    <x:xf numFmtId="0" fontId="3" fillId="4" borderId="15"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20" xfId="0" applyNumberFormat="1" applyFont="1" applyFill="1" applyBorder="1"/>
    <x:xf numFmtId="0" fontId="3" fillId="4" borderId="21" xfId="0" applyNumberFormat="1" applyFont="1" applyFill="1" applyBorder="1"/>
    <x:xf numFmtId="0" fontId="3" fillId="4" borderId="22" xfId="0" applyNumberFormat="1" applyFont="1" applyFill="1" applyBorder="1"/>
    <x:xf numFmtId="0" fontId="3" fillId="4" borderId="15" xfId="0" applyNumberFormat="1" applyFont="1" applyFill="1" applyBorder="1" applyAlignment="1">
      <x:alignment wrapText="1"/>
    </x:xf>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20" xfId="0" applyNumberFormat="1" applyFont="1" applyFill="1" applyBorder="1" applyAlignment="1">
      <x:alignment wrapText="1"/>
    </x:xf>
    <x:xf numFmtId="0" fontId="3" fillId="4" borderId="21" xfId="0" applyNumberFormat="1" applyFont="1" applyFill="1" applyBorder="1" applyAlignment="1">
      <x:alignment wrapText="1"/>
    </x:xf>
    <x:xf numFmtId="0" fontId="3" fillId="4" borderId="22" xfId="0" applyNumberFormat="1" applyFont="1" applyFill="1" applyBorder="1" applyAlignment="1">
      <x:alignment wrapText="1"/>
    </x:xf>
    <x:xf numFmtId="0" fontId="8" fillId="2" borderId="12" xfId="0" applyNumberFormat="1" applyFont="1" applyFill="1" applyBorder="1"/>
    <x:xf numFmtId="0" fontId="8" fillId="2" borderId="14" xfId="0" applyNumberFormat="1" applyFont="1" applyFill="1" applyBorder="1"/>
    <x:xf numFmtId="0" fontId="8" fillId="2" borderId="13" xfId="0" applyNumberFormat="1" applyFont="1" applyFill="1" applyBorder="1"/>
    <x:xf numFmtId="0" fontId="8" fillId="2" borderId="12" xfId="0" applyNumberFormat="1" applyFont="1" applyFill="1" applyBorder="1" applyAlignment="1">
      <x:alignment wrapText="1"/>
    </x:xf>
    <x:xf numFmtId="0" fontId="8" fillId="2" borderId="14" xfId="0" applyNumberFormat="1" applyFont="1" applyFill="1" applyBorder="1" applyAlignment="1">
      <x:alignment wrapText="1"/>
    </x:xf>
    <x:xf numFmtId="0" fontId="8" fillId="2" borderId="13" xfId="0" applyNumberFormat="1" applyFont="1" applyFill="1" applyBorder="1" applyAlignment="1">
      <x:alignment wrapText="1"/>
    </x:xf>
    <x:xf numFmtId="0" fontId="2" fillId="6" borderId="16" xfId="0" applyNumberFormat="1" applyFont="1" applyFill="1" applyBorder="1" applyAlignment="1">
      <x:alignment vertical="top" wrapText="1"/>
    </x:xf>
    <x:xf numFmtId="0" fontId="2" fillId="6" xfId="0" applyNumberFormat="1" applyFont="1" applyFill="1" applyBorder="0" applyAlignment="1">
      <x:alignment vertical="top" wrapText="1"/>
    </x:xf>
    <x:xf numFmtId="0" fontId="2" fillId="6" borderId="21" xfId="0" applyNumberFormat="1" applyFont="1" applyFill="1" applyBorder="1" applyAlignment="1">
      <x:alignment vertical="top" wrapText="1"/>
    </x:xf>
    <x:xf numFmtId="0" fontId="5" fillId="2" borderId="0" xfId="0" applyNumberFormat="1" applyFont="1" applyFill="1" applyBorder="1"/>
    <x:xf numFmtId="0" fontId="2" fillId="4" borderId="12" xfId="0" applyNumberFormat="1" applyFont="1" applyFill="1" applyBorder="1"/>
    <x:xf numFmtId="0" fontId="2" fillId="4" borderId="14" xfId="0" applyNumberFormat="1" applyFont="1" applyFill="1" applyBorder="1"/>
    <x:xf numFmtId="0" fontId="2" fillId="4" borderId="13" xfId="0" applyNumberFormat="1" applyFont="1" applyFill="1" applyBorder="1"/>
    <x:xf numFmtId="0" fontId="2" fillId="4" borderId="12" xfId="0" applyNumberFormat="1" applyFont="1" applyFill="1" applyBorder="1" applyAlignment="1">
      <x:alignment vertical="center" wrapText="1"/>
    </x:xf>
    <x:xf numFmtId="0" fontId="2" fillId="4" borderId="14" xfId="0" applyNumberFormat="1" applyFont="1" applyFill="1" applyBorder="1" applyAlignment="1">
      <x:alignment vertical="center" wrapText="1"/>
    </x:xf>
    <x:xf numFmtId="0" fontId="2" fillId="4" borderId="13" xfId="0" applyNumberFormat="1" applyFont="1" applyFill="1" applyBorder="1" applyAlignment="1">
      <x:alignment vertical="center" wrapText="1"/>
    </x:xf>
    <x:xf numFmtId="0" fontId="0" fillId="5" borderId="0" xfId="0" applyNumberFormat="1" applyFont="1" applyFill="1" applyBorder="1"/>
    <x:xf numFmtId="0" fontId="2" fillId="5" borderId="0" xfId="0" applyNumberFormat="1" applyFont="1" applyFill="1" applyBorder="1"/>
    <x:xf numFmtId="0" fontId="2" fillId="5" borderId="12" xfId="0" applyNumberFormat="1" applyFont="1" applyFill="1" applyBorder="1"/>
    <x:xf numFmtId="0" fontId="2" fillId="5" borderId="14" xfId="0" applyNumberFormat="1" applyFont="1" applyFill="1" applyBorder="1"/>
    <x:xf numFmtId="0" fontId="2" fillId="5" borderId="13" xfId="0" applyNumberFormat="1" applyFont="1" applyFill="1" applyBorder="1"/>
    <x:xf numFmtId="0" fontId="2" fillId="5" borderId="12" xfId="0" applyNumberFormat="1" applyFont="1" applyFill="1" applyBorder="1" applyAlignment="1">
      <x:alignment wrapText="1"/>
    </x:xf>
    <x:xf numFmtId="0" fontId="2" fillId="5" borderId="14" xfId="0" applyNumberFormat="1" applyFont="1" applyFill="1" applyBorder="1" applyAlignment="1">
      <x:alignment wrapText="1"/>
    </x:xf>
    <x:xf numFmtId="0" fontId="2" fillId="5" borderId="13" xfId="0" applyNumberFormat="1" applyFont="1" applyFill="1" applyBorder="1" applyAlignment="1">
      <x:alignment wrapText="1"/>
    </x:xf>
    <x:xf numFmtId="0" fontId="2" fillId="5" borderId="12" xfId="0" applyNumberFormat="1" applyFont="1" applyFill="1" applyBorder="1" applyAlignment="1">
      <x:alignment vertical="center" wrapText="1"/>
    </x:xf>
    <x:xf numFmtId="0" fontId="2" fillId="5" borderId="14" xfId="0" applyNumberFormat="1" applyFont="1" applyFill="1" applyBorder="1" applyAlignment="1">
      <x:alignment vertical="center" wrapText="1"/>
    </x:xf>
    <x:xf numFmtId="0" fontId="2" fillId="5" borderId="13" xfId="0" applyNumberFormat="1" applyFont="1" applyFill="1" applyBorder="1" applyAlignment="1">
      <x:alignment vertical="center" wrapText="1"/>
    </x:xf>
    <x:xf numFmtId="0" fontId="7" fillId="6" borderId="0" xfId="0" applyNumberFormat="1" applyFont="1" applyFill="1" applyBorder="1"/>
    <x:xf numFmtId="0" fontId="7" fillId="6" borderId="15" xfId="0" applyNumberFormat="1" applyFont="1" applyFill="1" applyBorder="1"/>
    <x:xf numFmtId="0" fontId="7" fillId="6" borderId="16" xfId="0" applyNumberFormat="1" applyFont="1" applyFill="1" applyBorder="1"/>
    <x:xf numFmtId="0" fontId="7" fillId="6" borderId="17" xfId="0" applyNumberFormat="1" applyFont="1" applyFill="1" applyBorder="1"/>
    <x:xf numFmtId="0" fontId="7" fillId="6" borderId="18" xfId="0" applyNumberFormat="1" applyFont="1" applyFill="1" applyBorder="1"/>
    <x:xf numFmtId="0" fontId="7" fillId="6" xfId="0" applyNumberFormat="1" applyFont="1" applyFill="1" applyBorder="0"/>
    <x:xf numFmtId="0" fontId="7" fillId="6" borderId="19" xfId="0" applyNumberFormat="1" applyFont="1" applyFill="1" applyBorder="1"/>
    <x:xf numFmtId="0" fontId="7" fillId="6" borderId="20" xfId="0" applyNumberFormat="1" applyFont="1" applyFill="1" applyBorder="1"/>
    <x:xf numFmtId="0" fontId="7" fillId="6" borderId="21" xfId="0" applyNumberFormat="1" applyFont="1" applyFill="1" applyBorder="1"/>
    <x:xf numFmtId="0" fontId="7" fillId="6" borderId="22" xfId="0" applyNumberFormat="1" applyFont="1" applyFill="1" applyBorder="1"/>
    <x:xf numFmtId="0" fontId="7" fillId="6" borderId="15" xfId="0" applyNumberFormat="1" applyFont="1" applyFill="1" applyBorder="1" applyAlignment="1">
      <x:alignment wrapText="1"/>
    </x:xf>
    <x:xf numFmtId="0" fontId="7" fillId="6" borderId="16" xfId="0" applyNumberFormat="1" applyFont="1" applyFill="1" applyBorder="1" applyAlignment="1">
      <x:alignment wrapText="1"/>
    </x:xf>
    <x:xf numFmtId="0" fontId="7" fillId="6" borderId="17" xfId="0" applyNumberFormat="1" applyFont="1" applyFill="1" applyBorder="1" applyAlignment="1">
      <x:alignment wrapText="1"/>
    </x:xf>
    <x:xf numFmtId="0" fontId="7" fillId="6" borderId="18" xfId="0" applyNumberFormat="1" applyFont="1" applyFill="1" applyBorder="1" applyAlignment="1">
      <x:alignment wrapText="1"/>
    </x:xf>
    <x:xf numFmtId="0" fontId="7" fillId="6" xfId="0" applyNumberFormat="1" applyFont="1" applyFill="1" applyBorder="0" applyAlignment="1">
      <x:alignment wrapText="1"/>
    </x:xf>
    <x:xf numFmtId="0" fontId="7" fillId="6" borderId="19" xfId="0" applyNumberFormat="1" applyFont="1" applyFill="1" applyBorder="1" applyAlignment="1">
      <x:alignment wrapText="1"/>
    </x:xf>
    <x:xf numFmtId="0" fontId="7" fillId="6" borderId="20" xfId="0" applyNumberFormat="1" applyFont="1" applyFill="1" applyBorder="1" applyAlignment="1">
      <x:alignment wrapText="1"/>
    </x:xf>
    <x:xf numFmtId="0" fontId="7" fillId="6" borderId="21" xfId="0" applyNumberFormat="1" applyFont="1" applyFill="1" applyBorder="1" applyAlignment="1">
      <x:alignment wrapText="1"/>
    </x:xf>
    <x:xf numFmtId="0" fontId="7" fillId="6" borderId="22" xfId="0" applyNumberFormat="1" applyFont="1" applyFill="1" applyBorder="1" applyAlignment="1">
      <x:alignment wrapText="1"/>
    </x:xf>
    <x:xf numFmtId="0" fontId="7" fillId="6" xfId="0" applyNumberFormat="1" applyFont="1" applyFill="1" applyBorder="0" applyAlignment="1">
      <x:alignment vertical="center" wrapText="1"/>
    </x:xf>
    <x:xf numFmtId="0" fontId="3" fillId="6" borderId="0" xfId="0" applyNumberFormat="1" applyFont="1" applyFill="1" applyBorder="1"/>
    <x:xf numFmtId="0" fontId="0" fillId="41" borderId="0" xfId="0" applyNumberFormat="1" applyFont="1" applyFill="1" applyBorder="1"/>
    <x:xf numFmtId="0" fontId="1" fillId="41" borderId="0" xfId="0" applyNumberFormat="1" applyFont="1" applyFill="1" applyBorder="1"/>
    <x:xf numFmtId="0" fontId="1" fillId="41" borderId="0" xfId="0" applyNumberFormat="1" applyFont="1" applyFill="1" applyBorder="1" applyAlignment="1">
      <x:alignment wrapText="1"/>
    </x:xf>
    <x:xf numFmtId="0" fontId="1" fillId="41" borderId="0" xfId="0" applyNumberFormat="1" applyFont="1" applyFill="1" applyBorder="1" applyAlignment="1">
      <x:alignment vertical="center" wrapText="1"/>
    </x:xf>
    <x:xf numFmtId="0" fontId="0" fillId="42" borderId="0" xfId="0" applyNumberFormat="1" applyFont="1" applyFill="1" applyBorder="1"/>
    <x:xf numFmtId="0" fontId="2" fillId="42" borderId="0" xfId="0" applyNumberFormat="1" applyFont="1" applyFill="1" applyBorder="1"/>
    <x:xf numFmtId="0" fontId="2" fillId="42" borderId="108" xfId="0" applyNumberFormat="1" applyFont="1" applyFill="1" applyBorder="1"/>
    <x:xf numFmtId="0" fontId="2" fillId="42" borderId="109" xfId="0" applyNumberFormat="1" applyFont="1" applyFill="1" applyBorder="1"/>
    <x:xf numFmtId="0" fontId="2" fillId="42" borderId="110" xfId="0" applyNumberFormat="1" applyFont="1" applyFill="1" applyBorder="1"/>
    <x:xf numFmtId="0" fontId="2" fillId="42" borderId="111" xfId="0" applyNumberFormat="1" applyFont="1" applyFill="1" applyBorder="1"/>
    <x:xf numFmtId="0" fontId="2" fillId="42" borderId="112" xfId="0" applyNumberFormat="1" applyFont="1" applyFill="1" applyBorder="1"/>
    <x:xf numFmtId="0" fontId="2" fillId="42" borderId="113" xfId="0" applyNumberFormat="1" applyFont="1" applyFill="1" applyBorder="1"/>
    <x:xf numFmtId="0" fontId="2" fillId="42" borderId="108" xfId="0" applyNumberFormat="1" applyFont="1" applyFill="1" applyBorder="1" applyAlignment="1">
      <x:alignment wrapText="1"/>
    </x:xf>
    <x:xf numFmtId="0" fontId="2" fillId="42" borderId="109" xfId="0" applyNumberFormat="1" applyFont="1" applyFill="1" applyBorder="1" applyAlignment="1">
      <x:alignment wrapText="1"/>
    </x:xf>
    <x:xf numFmtId="0" fontId="2" fillId="42" borderId="110" xfId="0" applyNumberFormat="1" applyFont="1" applyFill="1" applyBorder="1" applyAlignment="1">
      <x:alignment wrapText="1"/>
    </x:xf>
    <x:xf numFmtId="0" fontId="2" fillId="42" borderId="111" xfId="0" applyNumberFormat="1" applyFont="1" applyFill="1" applyBorder="1" applyAlignment="1">
      <x:alignment wrapText="1"/>
    </x:xf>
    <x:xf numFmtId="0" fontId="2" fillId="42" borderId="112" xfId="0" applyNumberFormat="1" applyFont="1" applyFill="1" applyBorder="1" applyAlignment="1">
      <x:alignment wrapText="1"/>
    </x:xf>
    <x:xf numFmtId="0" fontId="2" fillId="42" borderId="113" xfId="0" applyNumberFormat="1" applyFont="1" applyFill="1" applyBorder="1" applyAlignment="1">
      <x:alignment wrapText="1"/>
    </x:xf>
    <x:xf numFmtId="0" fontId="2" fillId="42" borderId="108" xfId="0" applyNumberFormat="1" applyFont="1" applyFill="1" applyBorder="1" applyAlignment="1">
      <x:alignment vertical="center" wrapText="1"/>
    </x:xf>
    <x:xf numFmtId="0" fontId="2" fillId="42" borderId="109" xfId="0" applyNumberFormat="1" applyFont="1" applyFill="1" applyBorder="1" applyAlignment="1">
      <x:alignment vertical="center" wrapText="1"/>
    </x:xf>
    <x:xf numFmtId="0" fontId="2" fillId="42" borderId="110" xfId="0" applyNumberFormat="1" applyFont="1" applyFill="1" applyBorder="1" applyAlignment="1">
      <x:alignment vertical="center" wrapText="1"/>
    </x:xf>
    <x:xf numFmtId="0" fontId="2" fillId="42" borderId="111" xfId="0" applyNumberFormat="1" applyFont="1" applyFill="1" applyBorder="1" applyAlignment="1">
      <x:alignment vertical="center" wrapText="1"/>
    </x:xf>
    <x:xf numFmtId="0" fontId="2" fillId="42" borderId="112" xfId="0" applyNumberFormat="1" applyFont="1" applyFill="1" applyBorder="1" applyAlignment="1">
      <x:alignment vertical="center" wrapText="1"/>
    </x:xf>
    <x:xf numFmtId="0" fontId="2" fillId="42" borderId="113" xfId="0" applyNumberFormat="1" applyFont="1" applyFill="1" applyBorder="1" applyAlignment="1">
      <x:alignment vertical="center" wrapText="1"/>
    </x:xf>
    <x:xf numFmtId="0" fontId="0" fillId="43" borderId="0" xfId="0" applyNumberFormat="1" applyFont="1" applyFill="1" applyBorder="1"/>
    <x:xf numFmtId="0" fontId="8" fillId="43" borderId="0" xfId="0" applyNumberFormat="1" applyFont="1" applyFill="1" applyBorder="1"/>
    <x:xf numFmtId="0" fontId="8" fillId="43" borderId="114" xfId="0" applyNumberFormat="1" applyFont="1" applyFill="1" applyBorder="1"/>
    <x:xf numFmtId="0" fontId="8" fillId="43" borderId="115" xfId="0" applyNumberFormat="1" applyFont="1" applyFill="1" applyBorder="1"/>
    <x:xf numFmtId="0" fontId="8" fillId="43" borderId="116" xfId="0" applyNumberFormat="1" applyFont="1" applyFill="1" applyBorder="1"/>
    <x:xf numFmtId="0" fontId="8" fillId="43" borderId="114" xfId="0" applyNumberFormat="1" applyFont="1" applyFill="1" applyBorder="1" applyAlignment="1">
      <x:alignment wrapText="1"/>
    </x:xf>
    <x:xf numFmtId="0" fontId="8" fillId="43" borderId="115" xfId="0" applyNumberFormat="1" applyFont="1" applyFill="1" applyBorder="1" applyAlignment="1">
      <x:alignment wrapText="1"/>
    </x:xf>
    <x:xf numFmtId="0" fontId="8" fillId="43" borderId="116" xfId="0" applyNumberFormat="1" applyFont="1" applyFill="1" applyBorder="1" applyAlignment="1">
      <x:alignment wrapText="1"/>
    </x:xf>
    <x:xf numFmtId="0" fontId="8" fillId="43" borderId="114" xfId="0" applyNumberFormat="1" applyFont="1" applyFill="1" applyBorder="1" applyAlignment="1">
      <x:alignment horizontal="center" wrapText="1"/>
    </x:xf>
    <x:xf numFmtId="0" fontId="8" fillId="43" borderId="115" xfId="0" applyNumberFormat="1" applyFont="1" applyFill="1" applyBorder="1" applyAlignment="1">
      <x:alignment horizontal="center" wrapText="1"/>
    </x:xf>
    <x:xf numFmtId="0" fontId="8" fillId="43" borderId="116" xfId="0" applyNumberFormat="1" applyFont="1" applyFill="1" applyBorder="1" applyAlignment="1">
      <x:alignment horizontal="center" wrapText="1"/>
    </x:xf>
    <x:xf numFmtId="0" fontId="8" fillId="43" borderId="114" xfId="0" applyNumberFormat="1" applyFont="1" applyFill="1" applyBorder="1" applyAlignment="1">
      <x:alignment horizontal="center" vertical="center" wrapText="1"/>
    </x:xf>
    <x:xf numFmtId="0" fontId="8" fillId="43" borderId="115" xfId="0" applyNumberFormat="1" applyFont="1" applyFill="1" applyBorder="1" applyAlignment="1">
      <x:alignment horizontal="center" vertical="center" wrapText="1"/>
    </x:xf>
    <x:xf numFmtId="0" fontId="8" fillId="43" borderId="116" xfId="0" applyNumberFormat="1" applyFont="1" applyFill="1" applyBorder="1" applyAlignment="1">
      <x:alignment horizontal="center" vertical="center" wrapText="1"/>
    </x:xf>
    <x:xf numFmtId="0" fontId="2" fillId="0" borderId="108" xfId="0" applyNumberFormat="1" applyFont="1" applyFill="1" applyBorder="1"/>
    <x:xf numFmtId="0" fontId="2" fillId="0" borderId="109" xfId="0" applyNumberFormat="1" applyFont="1" applyFill="1" applyBorder="1"/>
    <x:xf numFmtId="0" fontId="2" fillId="0" borderId="110" xfId="0" applyNumberFormat="1" applyFont="1" applyFill="1" applyBorder="1"/>
    <x:xf numFmtId="0" fontId="2" fillId="0" borderId="117" xfId="0" applyNumberFormat="1" applyFont="1" applyFill="1" applyBorder="1"/>
    <x:xf numFmtId="0" fontId="2" fillId="0" borderId="118" xfId="0" applyNumberFormat="1" applyFont="1" applyFill="1" applyBorder="1"/>
    <x:xf numFmtId="0" fontId="2" fillId="0" borderId="111" xfId="0" applyNumberFormat="1" applyFont="1" applyFill="1" applyBorder="1"/>
    <x:xf numFmtId="0" fontId="2" fillId="0" borderId="112" xfId="0" applyNumberFormat="1" applyFont="1" applyFill="1" applyBorder="1"/>
    <x:xf numFmtId="0" fontId="2" fillId="0" borderId="113" xfId="0" applyNumberFormat="1" applyFont="1" applyFill="1" applyBorder="1"/>
    <x:xf numFmtId="0" fontId="2" fillId="0" borderId="108" xfId="0" applyNumberFormat="1" applyFont="1" applyFill="1" applyBorder="1" applyAlignment="1">
      <x:alignment wrapText="1"/>
    </x:xf>
    <x:xf numFmtId="0" fontId="2" fillId="0" borderId="109" xfId="0" applyNumberFormat="1" applyFont="1" applyFill="1" applyBorder="1" applyAlignment="1">
      <x:alignment wrapText="1"/>
    </x:xf>
    <x:xf numFmtId="0" fontId="2" fillId="0" borderId="110" xfId="0" applyNumberFormat="1" applyFont="1" applyFill="1" applyBorder="1" applyAlignment="1">
      <x:alignment wrapText="1"/>
    </x:xf>
    <x:xf numFmtId="0" fontId="2" fillId="0" borderId="117" xfId="0" applyNumberFormat="1" applyFont="1" applyFill="1" applyBorder="1" applyAlignment="1">
      <x:alignment wrapText="1"/>
    </x:xf>
    <x:xf numFmtId="0" fontId="2" fillId="0" borderId="118" xfId="0" applyNumberFormat="1" applyFont="1" applyFill="1" applyBorder="1" applyAlignment="1">
      <x:alignment wrapText="1"/>
    </x:xf>
    <x:xf numFmtId="0" fontId="2" fillId="0" borderId="111" xfId="0" applyNumberFormat="1" applyFont="1" applyFill="1" applyBorder="1" applyAlignment="1">
      <x:alignment wrapText="1"/>
    </x:xf>
    <x:xf numFmtId="0" fontId="2" fillId="0" borderId="112" xfId="0" applyNumberFormat="1" applyFont="1" applyFill="1" applyBorder="1" applyAlignment="1">
      <x:alignment wrapText="1"/>
    </x:xf>
    <x:xf numFmtId="0" fontId="2" fillId="0" borderId="113" xfId="0" applyNumberFormat="1" applyFont="1" applyFill="1" applyBorder="1" applyAlignment="1">
      <x:alignment wrapText="1"/>
    </x:xf>
    <x:xf numFmtId="0" fontId="2" fillId="0" borderId="108" xfId="0" applyNumberFormat="1" applyFont="1" applyFill="1" applyBorder="1" applyAlignment="1">
      <x:alignment vertical="center" wrapText="1"/>
    </x:xf>
    <x:xf numFmtId="0" fontId="2" fillId="0" borderId="109" xfId="0" applyNumberFormat="1" applyFont="1" applyFill="1" applyBorder="1" applyAlignment="1">
      <x:alignment vertical="center" wrapText="1"/>
    </x:xf>
    <x:xf numFmtId="0" fontId="2" fillId="0" borderId="110" xfId="0" applyNumberFormat="1" applyFont="1" applyFill="1" applyBorder="1" applyAlignment="1">
      <x:alignment vertical="center" wrapText="1"/>
    </x:xf>
    <x:xf numFmtId="0" fontId="2" fillId="0" borderId="117" xfId="0" applyNumberFormat="1" applyFont="1" applyFill="1" applyBorder="1" applyAlignment="1">
      <x:alignment vertical="center" wrapText="1"/>
    </x:xf>
    <x:xf numFmtId="0" fontId="2" fillId="0" xfId="0" applyNumberFormat="1" applyFont="1" applyFill="1" applyBorder="0" applyAlignment="1">
      <x:alignment vertical="center" wrapText="1"/>
    </x:xf>
    <x:xf numFmtId="0" fontId="2" fillId="0" borderId="118" xfId="0" applyNumberFormat="1" applyFont="1" applyFill="1" applyBorder="1" applyAlignment="1">
      <x:alignment vertical="center" wrapText="1"/>
    </x:xf>
    <x:xf numFmtId="0" fontId="2" fillId="0" borderId="111" xfId="0" applyNumberFormat="1" applyFont="1" applyFill="1" applyBorder="1" applyAlignment="1">
      <x:alignment vertical="center" wrapText="1"/>
    </x:xf>
    <x:xf numFmtId="0" fontId="2" fillId="0" borderId="112" xfId="0" applyNumberFormat="1" applyFont="1" applyFill="1" applyBorder="1" applyAlignment="1">
      <x:alignment vertical="center" wrapText="1"/>
    </x:xf>
    <x:xf numFmtId="0" fontId="2" fillId="0" borderId="113" xfId="0" applyNumberFormat="1" applyFont="1" applyFill="1" applyBorder="1" applyAlignment="1">
      <x:alignment vertical="center" wrapText="1"/>
    </x:xf>
    <x:xf numFmtId="0" fontId="2" fillId="44" borderId="109" xfId="0" applyNumberFormat="1" applyFont="1" applyFill="1" applyBorder="1" applyAlignment="1">
      <x:alignment vertical="center" wrapText="1"/>
    </x:xf>
    <x:xf numFmtId="0" fontId="2" fillId="44" xfId="0" applyNumberFormat="1" applyFont="1" applyFill="1" applyBorder="0" applyAlignment="1">
      <x:alignment vertical="center" wrapText="1"/>
    </x:xf>
    <x:xf numFmtId="0" fontId="2" fillId="44" borderId="112" xfId="0" applyNumberFormat="1" applyFont="1" applyFill="1" applyBorder="1" applyAlignment="1">
      <x:alignment vertical="center" wrapText="1"/>
    </x:xf>
    <x:xf numFmtId="0" fontId="2" fillId="44" borderId="110" xfId="0" applyNumberFormat="1" applyFont="1" applyFill="1" applyBorder="1" applyAlignment="1">
      <x:alignment vertical="center" wrapText="1"/>
    </x:xf>
    <x:xf numFmtId="0" fontId="2" fillId="44" borderId="118" xfId="0" applyNumberFormat="1" applyFont="1" applyFill="1" applyBorder="1" applyAlignment="1">
      <x:alignment vertical="center" wrapText="1"/>
    </x:xf>
    <x:xf numFmtId="0" fontId="2" fillId="44" borderId="113" xfId="0" applyNumberFormat="1" applyFont="1" applyFill="1" applyBorder="1" applyAlignment="1">
      <x:alignment vertical="center" wrapText="1"/>
    </x:xf>
    <x:xf numFmtId="0" fontId="2" fillId="45" borderId="109" xfId="0" applyNumberFormat="1" applyFont="1" applyFill="1" applyBorder="1" applyAlignment="1">
      <x:alignment vertical="center" wrapText="1"/>
    </x:xf>
    <x:xf numFmtId="0" fontId="2" fillId="45" xfId="0" applyNumberFormat="1" applyFont="1" applyFill="1" applyBorder="0" applyAlignment="1">
      <x:alignment vertical="center" wrapText="1"/>
    </x:xf>
    <x:xf numFmtId="0" fontId="2" fillId="45" borderId="112" xfId="0" applyNumberFormat="1" applyFont="1" applyFill="1" applyBorder="1" applyAlignment="1">
      <x:alignment vertical="center" wrapText="1"/>
    </x:xf>
    <x:xf numFmtId="0" fontId="2" fillId="45" borderId="110" xfId="0" applyNumberFormat="1" applyFont="1" applyFill="1" applyBorder="1" applyAlignment="1">
      <x:alignment vertical="center" wrapText="1"/>
    </x:xf>
    <x:xf numFmtId="0" fontId="2" fillId="45" borderId="118" xfId="0" applyNumberFormat="1" applyFont="1" applyFill="1" applyBorder="1" applyAlignment="1">
      <x:alignment vertical="center" wrapText="1"/>
    </x:xf>
    <x:xf numFmtId="0" fontId="2" fillId="45" borderId="113" xfId="0" applyNumberFormat="1" applyFont="1" applyFill="1" applyBorder="1" applyAlignment="1">
      <x:alignment vertical="center" wrapText="1"/>
    </x:xf>
    <x:xf numFmtId="0" fontId="8" fillId="41" borderId="0" xfId="0" applyNumberFormat="1" applyFont="1" applyFill="1" applyBorder="1"/>
    <x:xf numFmtId="0" fontId="8" fillId="41" borderId="114" xfId="0" applyNumberFormat="1" applyFont="1" applyFill="1" applyBorder="1"/>
    <x:xf numFmtId="0" fontId="8" fillId="41" borderId="115" xfId="0" applyNumberFormat="1" applyFont="1" applyFill="1" applyBorder="1"/>
    <x:xf numFmtId="0" fontId="8" fillId="41" borderId="116" xfId="0" applyNumberFormat="1" applyFont="1" applyFill="1" applyBorder="1"/>
    <x:xf numFmtId="0" fontId="8" fillId="41" borderId="114" xfId="0" applyNumberFormat="1" applyFont="1" applyFill="1" applyBorder="1" applyAlignment="1">
      <x:alignment horizontal="center"/>
    </x:xf>
    <x:xf numFmtId="0" fontId="8" fillId="41" borderId="115" xfId="0" applyNumberFormat="1" applyFont="1" applyFill="1" applyBorder="1" applyAlignment="1">
      <x:alignment horizontal="center"/>
    </x:xf>
    <x:xf numFmtId="0" fontId="8" fillId="41" borderId="116" xfId="0" applyNumberFormat="1" applyFont="1" applyFill="1" applyBorder="1" applyAlignment="1">
      <x:alignment horizontal="center"/>
    </x:xf>
    <x:xf numFmtId="0" fontId="0" fillId="45" borderId="0" xfId="0" applyNumberFormat="1" applyFont="1" applyFill="1" applyBorder="1"/>
    <x:xf numFmtId="0" fontId="18" fillId="45" borderId="0" xfId="0" applyNumberFormat="1" applyFont="1" applyFill="1" applyBorder="1"/>
    <x:xf numFmtId="0" fontId="18" fillId="45" borderId="108" xfId="0" applyNumberFormat="1" applyFont="1" applyFill="1" applyBorder="1"/>
    <x:xf numFmtId="0" fontId="18" fillId="45" borderId="110" xfId="0" applyNumberFormat="1" applyFont="1" applyFill="1" applyBorder="1"/>
    <x:xf numFmtId="0" fontId="18" fillId="45" borderId="111" xfId="0" applyNumberFormat="1" applyFont="1" applyFill="1" applyBorder="1"/>
    <x:xf numFmtId="0" fontId="18" fillId="45" borderId="113" xfId="0" applyNumberFormat="1" applyFont="1" applyFill="1" applyBorder="1"/>
    <x:xf numFmtId="0" fontId="18" fillId="45" borderId="108" xfId="0" applyNumberFormat="1" applyFont="1" applyFill="1" applyBorder="1" applyAlignment="1">
      <x:alignment horizontal="center"/>
    </x:xf>
    <x:xf numFmtId="0" fontId="18" fillId="45" borderId="110" xfId="0" applyNumberFormat="1" applyFont="1" applyFill="1" applyBorder="1" applyAlignment="1">
      <x:alignment horizontal="center"/>
    </x:xf>
    <x:xf numFmtId="0" fontId="18" fillId="45" borderId="111" xfId="0" applyNumberFormat="1" applyFont="1" applyFill="1" applyBorder="1" applyAlignment="1">
      <x:alignment horizontal="center"/>
    </x:xf>
    <x:xf numFmtId="0" fontId="18" fillId="45" borderId="113" xfId="0" applyNumberFormat="1" applyFont="1" applyFill="1" applyBorder="1" applyAlignment="1">
      <x:alignment horizontal="center"/>
    </x:xf>
    <x:xf numFmtId="0" fontId="18" fillId="45" borderId="108" xfId="0" applyNumberFormat="1" applyFont="1" applyFill="1" applyBorder="1" applyAlignment="1">
      <x:alignment horizontal="center" vertical="center"/>
    </x:xf>
    <x:xf numFmtId="0" fontId="18" fillId="45" borderId="110" xfId="0" applyNumberFormat="1" applyFont="1" applyFill="1" applyBorder="1" applyAlignment="1">
      <x:alignment horizontal="center" vertical="center"/>
    </x:xf>
    <x:xf numFmtId="0" fontId="18" fillId="45" borderId="111" xfId="0" applyNumberFormat="1" applyFont="1" applyFill="1" applyBorder="1" applyAlignment="1">
      <x:alignment horizontal="center" vertical="center"/>
    </x:xf>
    <x:xf numFmtId="0" fontId="18" fillId="45" borderId="113" xfId="0" applyNumberFormat="1" applyFont="1" applyFill="1" applyBorder="1" applyAlignment="1">
      <x:alignment horizontal="center" vertical="center"/>
    </x:xf>
    <x:xf numFmtId="176" fontId="2" fillId="0" borderId="0" xfId="0" applyNumberFormat="1" applyFont="1" applyFill="1" applyBorder="1"/>
    <x:xf numFmtId="176" fontId="2" fillId="0" borderId="109" xfId="0" applyNumberFormat="1" applyFont="1" applyFill="1" applyBorder="1"/>
    <x:xf numFmtId="176" fontId="2" fillId="0" xfId="0" applyNumberFormat="1" applyFont="1" applyFill="1" applyBorder="0"/>
    <x:xf numFmtId="176" fontId="2" fillId="0" borderId="112" xfId="0" applyNumberFormat="1" applyFont="1" applyFill="1" applyBorder="1"/>
    <x:xf numFmtId="176" fontId="2" fillId="0" borderId="109" xfId="0" applyNumberFormat="1" applyFont="1" applyFill="1" applyBorder="1" applyAlignment="1">
      <x:alignment wrapText="1"/>
    </x:xf>
    <x:xf numFmtId="176" fontId="2" fillId="0" xfId="0" applyNumberFormat="1" applyFont="1" applyFill="1" applyBorder="0" applyAlignment="1">
      <x:alignment wrapText="1"/>
    </x:xf>
    <x:xf numFmtId="176" fontId="2" fillId="0" borderId="112" xfId="0" applyNumberFormat="1" applyFont="1" applyFill="1" applyBorder="1" applyAlignment="1">
      <x:alignment wrapText="1"/>
    </x:xf>
    <x:xf numFmtId="176" fontId="2" fillId="0" borderId="109" xfId="0" applyNumberFormat="1" applyFont="1" applyFill="1" applyBorder="1" applyAlignment="1">
      <x:alignment vertical="center" wrapText="1"/>
    </x:xf>
    <x:xf numFmtId="176" fontId="2" fillId="0" xfId="0" applyNumberFormat="1" applyFont="1" applyFill="1" applyBorder="0" applyAlignment="1">
      <x:alignment vertical="center" wrapText="1"/>
    </x:xf>
    <x:xf numFmtId="176" fontId="2" fillId="0" borderId="112" xfId="0" applyNumberFormat="1" applyFont="1" applyFill="1" applyBorder="1" applyAlignment="1">
      <x:alignment vertical="center" wrapText="1"/>
    </x:xf>
    <x:xf numFmtId="176" fontId="2" fillId="42" borderId="112" xfId="0" applyNumberFormat="1" applyFont="1" applyFill="1" applyBorder="1" applyAlignment="1">
      <x:alignment vertical="center" wrapText="1"/>
    </x:xf>
    <x:xf numFmtId="0" fontId="3" fillId="42" borderId="111" xfId="0" applyNumberFormat="1" applyFont="1" applyFill="1" applyBorder="1" applyAlignment="1">
      <x:alignment vertical="center" wrapText="1"/>
    </x:xf>
    <x:xf numFmtId="0" fontId="3" fillId="42" borderId="112" xfId="0" applyNumberFormat="1" applyFont="1" applyFill="1" applyBorder="1" applyAlignment="1">
      <x:alignment vertical="center" wrapText="1"/>
    </x:xf>
    <x:xf numFmtId="176" fontId="3" fillId="42" borderId="112" xfId="0" applyNumberFormat="1" applyFont="1" applyFill="1" applyBorder="1" applyAlignment="1">
      <x:alignment vertical="center" wrapText="1"/>
    </x:xf>
    <x:xf numFmtId="0" fontId="3" fillId="42" borderId="113" xfId="0" applyNumberFormat="1" applyFont="1" applyFill="1" applyBorder="1" applyAlignment="1">
      <x:alignment vertical="center" wrapText="1"/>
    </x:xf>
    <x:xf numFmtId="0" fontId="5" fillId="41" borderId="0" xfId="0" applyNumberFormat="1" applyFont="1" applyFill="1" applyBorder="1"/>
    <x:xf numFmtId="0" fontId="5" fillId="41" borderId="114" xfId="0" applyNumberFormat="1" applyFont="1" applyFill="1" applyBorder="1"/>
    <x:xf numFmtId="0" fontId="5" fillId="41" borderId="115" xfId="0" applyNumberFormat="1" applyFont="1" applyFill="1" applyBorder="1"/>
    <x:xf numFmtId="0" fontId="5" fillId="41" borderId="116" xfId="0" applyNumberFormat="1" applyFont="1" applyFill="1" applyBorder="1"/>
    <x:xf numFmtId="0" fontId="0" fillId="44" borderId="0" xfId="0" applyNumberFormat="1" applyFont="1" applyFill="1" applyBorder="1"/>
    <x:xf numFmtId="0" fontId="0" fillId="44" borderId="108" xfId="0" applyNumberFormat="1" applyFont="1" applyFill="1" applyBorder="1"/>
    <x:xf numFmtId="0" fontId="0" fillId="44" borderId="109" xfId="0" applyNumberFormat="1" applyFont="1" applyFill="1" applyBorder="1"/>
    <x:xf numFmtId="0" fontId="0" fillId="44" borderId="110" xfId="0" applyNumberFormat="1" applyFont="1" applyFill="1" applyBorder="1"/>
    <x:xf numFmtId="0" fontId="0" fillId="44" borderId="117" xfId="0" applyNumberFormat="1" applyFont="1" applyFill="1" applyBorder="1"/>
    <x:xf numFmtId="0" fontId="0" fillId="44" xfId="0" applyNumberFormat="1" applyFont="1" applyFill="1" applyBorder="0"/>
    <x:xf numFmtId="0" fontId="0" fillId="44" borderId="118" xfId="0" applyNumberFormat="1" applyFont="1" applyFill="1" applyBorder="1"/>
    <x:xf numFmtId="0" fontId="0" fillId="44" borderId="111" xfId="0" applyNumberFormat="1" applyFont="1" applyFill="1" applyBorder="1"/>
    <x:xf numFmtId="0" fontId="0" fillId="44" borderId="112" xfId="0" applyNumberFormat="1" applyFont="1" applyFill="1" applyBorder="1"/>
    <x:xf numFmtId="0" fontId="0" fillId="44" borderId="113" xfId="0" applyNumberFormat="1" applyFont="1" applyFill="1" applyBorder="1"/>
    <x:xf numFmtId="0" fontId="0" fillId="44" borderId="108" xfId="0" applyNumberFormat="1" applyFont="1" applyFill="1" applyBorder="1" applyAlignment="1">
      <x:alignment wrapText="1"/>
    </x:xf>
    <x:xf numFmtId="0" fontId="0" fillId="44" borderId="109" xfId="0" applyNumberFormat="1" applyFont="1" applyFill="1" applyBorder="1" applyAlignment="1">
      <x:alignment wrapText="1"/>
    </x:xf>
    <x:xf numFmtId="0" fontId="0" fillId="44" borderId="110" xfId="0" applyNumberFormat="1" applyFont="1" applyFill="1" applyBorder="1" applyAlignment="1">
      <x:alignment wrapText="1"/>
    </x:xf>
    <x:xf numFmtId="0" fontId="0" fillId="44" borderId="117" xfId="0" applyNumberFormat="1" applyFont="1" applyFill="1" applyBorder="1" applyAlignment="1">
      <x:alignment wrapText="1"/>
    </x:xf>
    <x:xf numFmtId="0" fontId="0" fillId="44" xfId="0" applyNumberFormat="1" applyFont="1" applyFill="1" applyBorder="0" applyAlignment="1">
      <x:alignment wrapText="1"/>
    </x:xf>
    <x:xf numFmtId="0" fontId="0" fillId="44" borderId="118" xfId="0" applyNumberFormat="1" applyFont="1" applyFill="1" applyBorder="1" applyAlignment="1">
      <x:alignment wrapText="1"/>
    </x:xf>
    <x:xf numFmtId="0" fontId="0" fillId="44" borderId="111" xfId="0" applyNumberFormat="1" applyFont="1" applyFill="1" applyBorder="1" applyAlignment="1">
      <x:alignment wrapText="1"/>
    </x:xf>
    <x:xf numFmtId="0" fontId="0" fillId="44" borderId="112" xfId="0" applyNumberFormat="1" applyFont="1" applyFill="1" applyBorder="1" applyAlignment="1">
      <x:alignment wrapText="1"/>
    </x:xf>
    <x:xf numFmtId="0" fontId="0" fillId="44" borderId="113" xfId="0" applyNumberFormat="1" applyFont="1" applyFill="1" applyBorder="1" applyAlignment="1">
      <x:alignment wrapText="1"/>
    </x:xf>
    <x:xf numFmtId="0" fontId="0" fillId="44" borderId="108" xfId="0" applyNumberFormat="1" applyFont="1" applyFill="1" applyBorder="1" applyAlignment="1">
      <x:alignment vertical="center" wrapText="1"/>
    </x:xf>
    <x:xf numFmtId="0" fontId="0" fillId="44" borderId="109" xfId="0" applyNumberFormat="1" applyFont="1" applyFill="1" applyBorder="1" applyAlignment="1">
      <x:alignment vertical="center" wrapText="1"/>
    </x:xf>
    <x:xf numFmtId="0" fontId="0" fillId="44" borderId="110" xfId="0" applyNumberFormat="1" applyFont="1" applyFill="1" applyBorder="1" applyAlignment="1">
      <x:alignment vertical="center" wrapText="1"/>
    </x:xf>
    <x:xf numFmtId="0" fontId="0" fillId="44" borderId="117" xfId="0" applyNumberFormat="1" applyFont="1" applyFill="1" applyBorder="1" applyAlignment="1">
      <x:alignment vertical="center" wrapText="1"/>
    </x:xf>
    <x:xf numFmtId="0" fontId="0" fillId="44" xfId="0" applyNumberFormat="1" applyFont="1" applyFill="1" applyBorder="0" applyAlignment="1">
      <x:alignment vertical="center" wrapText="1"/>
    </x:xf>
    <x:xf numFmtId="0" fontId="0" fillId="44" borderId="118" xfId="0" applyNumberFormat="1" applyFont="1" applyFill="1" applyBorder="1" applyAlignment="1">
      <x:alignment vertical="center" wrapText="1"/>
    </x:xf>
    <x:xf numFmtId="0" fontId="0" fillId="44" borderId="111" xfId="0" applyNumberFormat="1" applyFont="1" applyFill="1" applyBorder="1" applyAlignment="1">
      <x:alignment vertical="center" wrapText="1"/>
    </x:xf>
    <x:xf numFmtId="0" fontId="0" fillId="44" borderId="112" xfId="0" applyNumberFormat="1" applyFont="1" applyFill="1" applyBorder="1" applyAlignment="1">
      <x:alignment vertical="center" wrapText="1"/>
    </x:xf>
    <x:xf numFmtId="0" fontId="0" fillId="44" borderId="113" xfId="0" applyNumberFormat="1" applyFont="1" applyFill="1" applyBorder="1" applyAlignment="1">
      <x:alignment vertical="center" wrapText="1"/>
    </x:xf>
    <x:xf numFmtId="0" fontId="19" fillId="41" borderId="0" xfId="0" applyNumberFormat="1" applyFont="1" applyFill="1" applyBorder="1"/>
    <x:xf numFmtId="0" fontId="19" fillId="41" borderId="114" xfId="0" applyNumberFormat="1" applyFont="1" applyFill="1" applyBorder="1"/>
    <x:xf numFmtId="0" fontId="19" fillId="41" borderId="115" xfId="0" applyNumberFormat="1" applyFont="1" applyFill="1" applyBorder="1"/>
    <x:xf numFmtId="0" fontId="19" fillId="41" borderId="116" xfId="0" applyNumberFormat="1" applyFont="1" applyFill="1" applyBorder="1"/>
    <x:xf numFmtId="0" fontId="2" fillId="44" borderId="109" xfId="0" applyNumberFormat="1" applyFont="1" applyFill="1" applyBorder="1" applyAlignment="1">
      <x:alignment wrapText="1"/>
    </x:xf>
    <x:xf numFmtId="0" fontId="2" fillId="44" xfId="0" applyNumberFormat="1" applyFont="1" applyFill="1" applyBorder="0" applyAlignment="1">
      <x:alignment wrapText="1"/>
    </x:xf>
    <x:xf numFmtId="0" fontId="2" fillId="44" borderId="112" xfId="0" applyNumberFormat="1" applyFont="1" applyFill="1" applyBorder="1" applyAlignment="1">
      <x:alignment wrapText="1"/>
    </x:xf>
    <x:xf numFmtId="0" fontId="2" fillId="42" borderId="117" xfId="0" applyNumberFormat="1" applyFont="1" applyFill="1" applyBorder="1"/>
    <x:xf numFmtId="0" fontId="2" fillId="42" xfId="0" applyNumberFormat="1" applyFont="1" applyFill="1" applyBorder="0"/>
    <x:xf numFmtId="0" fontId="2" fillId="42" borderId="118" xfId="0" applyNumberFormat="1" applyFont="1" applyFill="1" applyBorder="1"/>
    <x:xf numFmtId="0" fontId="2" fillId="42" borderId="117" xfId="0" applyNumberFormat="1" applyFont="1" applyFill="1" applyBorder="1" applyAlignment="1">
      <x:alignment wrapText="1"/>
    </x:xf>
    <x:xf numFmtId="0" fontId="2" fillId="42" xfId="0" applyNumberFormat="1" applyFont="1" applyFill="1" applyBorder="0" applyAlignment="1">
      <x:alignment wrapText="1"/>
    </x:xf>
    <x:xf numFmtId="0" fontId="2" fillId="42" borderId="118" xfId="0" applyNumberFormat="1" applyFont="1" applyFill="1" applyBorder="1" applyAlignment="1">
      <x:alignment wrapText="1"/>
    </x:xf>
    <x:xf numFmtId="0" fontId="2" fillId="42" borderId="117" xfId="0" applyNumberFormat="1" applyFont="1" applyFill="1" applyBorder="1" applyAlignment="1">
      <x:alignment vertical="center" wrapText="1"/>
    </x:xf>
    <x:xf numFmtId="0" fontId="2" fillId="42" xfId="0" applyNumberFormat="1" applyFont="1" applyFill="1" applyBorder="0" applyAlignment="1">
      <x:alignment vertical="center" wrapText="1"/>
    </x:xf>
    <x:xf numFmtId="0" fontId="2" fillId="42" borderId="118" xfId="0" applyNumberFormat="1" applyFont="1" applyFill="1" applyBorder="1" applyAlignment="1">
      <x:alignment vertical="center" wrapText="1"/>
    </x:xf>
    <x:xf numFmtId="0" fontId="2" fillId="4" borderId="108" xfId="0" applyNumberFormat="1" applyFont="1" applyFill="1" applyBorder="1"/>
    <x:xf numFmtId="0" fontId="2" fillId="4" borderId="109" xfId="0" applyNumberFormat="1" applyFont="1" applyFill="1" applyBorder="1"/>
    <x:xf numFmtId="0" fontId="2" fillId="4" borderId="110" xfId="0" applyNumberFormat="1" applyFont="1" applyFill="1" applyBorder="1"/>
    <x:xf numFmtId="0" fontId="2" fillId="4" borderId="111" xfId="0" applyNumberFormat="1" applyFont="1" applyFill="1" applyBorder="1"/>
    <x:xf numFmtId="0" fontId="2" fillId="4" borderId="112" xfId="0" applyNumberFormat="1" applyFont="1" applyFill="1" applyBorder="1"/>
    <x:xf numFmtId="0" fontId="2" fillId="4" borderId="113" xfId="0" applyNumberFormat="1" applyFont="1" applyFill="1" applyBorder="1"/>
    <x:xf numFmtId="0" fontId="2" fillId="4" borderId="108" xfId="0" applyNumberFormat="1" applyFont="1" applyFill="1" applyBorder="1" applyAlignment="1">
      <x:alignment wrapText="1"/>
    </x:xf>
    <x:xf numFmtId="0" fontId="2" fillId="4" borderId="109" xfId="0" applyNumberFormat="1" applyFont="1" applyFill="1" applyBorder="1" applyAlignment="1">
      <x:alignment wrapText="1"/>
    </x:xf>
    <x:xf numFmtId="0" fontId="2" fillId="4" borderId="110" xfId="0" applyNumberFormat="1" applyFont="1" applyFill="1" applyBorder="1" applyAlignment="1">
      <x:alignment wrapText="1"/>
    </x:xf>
    <x:xf numFmtId="0" fontId="2" fillId="4" borderId="111" xfId="0" applyNumberFormat="1" applyFont="1" applyFill="1" applyBorder="1" applyAlignment="1">
      <x:alignment wrapText="1"/>
    </x:xf>
    <x:xf numFmtId="0" fontId="2" fillId="4" borderId="112" xfId="0" applyNumberFormat="1" applyFont="1" applyFill="1" applyBorder="1" applyAlignment="1">
      <x:alignment wrapText="1"/>
    </x:xf>
    <x:xf numFmtId="0" fontId="2" fillId="4" borderId="113" xfId="0" applyNumberFormat="1" applyFont="1" applyFill="1" applyBorder="1" applyAlignment="1">
      <x:alignment wrapText="1"/>
    </x:xf>
    <x:xf numFmtId="0" fontId="2" fillId="4" borderId="108" xfId="0" applyNumberFormat="1" applyFont="1" applyFill="1" applyBorder="1" applyAlignment="1">
      <x:alignment vertical="center" wrapText="1"/>
    </x:xf>
    <x:xf numFmtId="0" fontId="2" fillId="4" borderId="109" xfId="0" applyNumberFormat="1" applyFont="1" applyFill="1" applyBorder="1" applyAlignment="1">
      <x:alignment vertical="center" wrapText="1"/>
    </x:xf>
    <x:xf numFmtId="0" fontId="2" fillId="4" borderId="110" xfId="0" applyNumberFormat="1" applyFont="1" applyFill="1" applyBorder="1" applyAlignment="1">
      <x:alignment vertical="center" wrapText="1"/>
    </x:xf>
    <x:xf numFmtId="0" fontId="2" fillId="4" borderId="111" xfId="0" applyNumberFormat="1" applyFont="1" applyFill="1" applyBorder="1" applyAlignment="1">
      <x:alignment vertical="center" wrapText="1"/>
    </x:xf>
    <x:xf numFmtId="0" fontId="2" fillId="4" borderId="112" xfId="0" applyNumberFormat="1" applyFont="1" applyFill="1" applyBorder="1" applyAlignment="1">
      <x:alignment vertical="center" wrapText="1"/>
    </x:xf>
    <x:xf numFmtId="0" fontId="2" fillId="4" borderId="113" xfId="0" applyNumberFormat="1" applyFont="1" applyFill="1" applyBorder="1" applyAlignment="1">
      <x:alignment vertical="center" wrapText="1"/>
    </x:xf>
    <x:xf numFmtId="0" fontId="2" fillId="6" borderId="109" xfId="0" applyNumberFormat="1" applyFont="1" applyFill="1" applyBorder="1" applyAlignment="1">
      <x:alignment vertical="center" wrapText="1"/>
    </x:xf>
    <x:xf numFmtId="0" fontId="2" fillId="6" xfId="0" applyNumberFormat="1" applyFont="1" applyFill="1" applyBorder="0" applyAlignment="1">
      <x:alignment vertical="center" wrapText="1"/>
    </x:xf>
    <x:xf numFmtId="0" fontId="2" fillId="6" borderId="112" xfId="0" applyNumberFormat="1" applyFont="1" applyFill="1" applyBorder="1" applyAlignment="1">
      <x:alignment vertical="center" wrapText="1"/>
    </x:xf>
    <x:xf numFmtId="0" fontId="2" fillId="6" borderId="110" xfId="0" applyNumberFormat="1" applyFont="1" applyFill="1" applyBorder="1" applyAlignment="1">
      <x:alignment vertical="center" wrapText="1"/>
    </x:xf>
    <x:xf numFmtId="0" fontId="2" fillId="6" borderId="118" xfId="0" applyNumberFormat="1" applyFont="1" applyFill="1" applyBorder="1" applyAlignment="1">
      <x:alignment vertical="center" wrapText="1"/>
    </x:xf>
    <x:xf numFmtId="0" fontId="2" fillId="6" borderId="113" xfId="0" applyNumberFormat="1" applyFont="1" applyFill="1" applyBorder="1" applyAlignment="1">
      <x:alignment vertical="center" wrapText="1"/>
    </x:xf>
    <x:xf numFmtId="176" fontId="2" fillId="4" borderId="112" xfId="0" applyNumberFormat="1" applyFont="1" applyFill="1" applyBorder="1" applyAlignment="1">
      <x:alignment vertical="center" wrapText="1"/>
    </x:xf>
    <x:xf numFmtId="0" fontId="3" fillId="4" borderId="111" xfId="0" applyNumberFormat="1" applyFont="1" applyFill="1" applyBorder="1" applyAlignment="1">
      <x:alignment vertical="center" wrapText="1"/>
    </x:xf>
    <x:xf numFmtId="0" fontId="3" fillId="4" borderId="112" xfId="0" applyNumberFormat="1" applyFont="1" applyFill="1" applyBorder="1" applyAlignment="1">
      <x:alignment vertical="center" wrapText="1"/>
    </x:xf>
    <x:xf numFmtId="176" fontId="3" fillId="4" borderId="112" xfId="0" applyNumberFormat="1" applyFont="1" applyFill="1" applyBorder="1" applyAlignment="1">
      <x:alignment vertical="center" wrapText="1"/>
    </x:xf>
    <x:xf numFmtId="0" fontId="3" fillId="4" borderId="113" xfId="0" applyNumberFormat="1" applyFont="1" applyFill="1" applyBorder="1" applyAlignment="1">
      <x:alignment vertical="center" wrapText="1"/>
    </x:xf>
    <x:xf numFmtId="0" fontId="0" fillId="6" borderId="108" xfId="0" applyNumberFormat="1" applyFont="1" applyFill="1" applyBorder="1"/>
    <x:xf numFmtId="0" fontId="0" fillId="6" borderId="109" xfId="0" applyNumberFormat="1" applyFont="1" applyFill="1" applyBorder="1"/>
    <x:xf numFmtId="0" fontId="0" fillId="6" borderId="110" xfId="0" applyNumberFormat="1" applyFont="1" applyFill="1" applyBorder="1"/>
    <x:xf numFmtId="0" fontId="0" fillId="6" borderId="117" xfId="0" applyNumberFormat="1" applyFont="1" applyFill="1" applyBorder="1"/>
    <x:xf numFmtId="0" fontId="0" fillId="6" xfId="0" applyNumberFormat="1" applyFont="1" applyFill="1" applyBorder="0"/>
    <x:xf numFmtId="0" fontId="0" fillId="6" borderId="118" xfId="0" applyNumberFormat="1" applyFont="1" applyFill="1" applyBorder="1"/>
    <x:xf numFmtId="0" fontId="0" fillId="6" borderId="111" xfId="0" applyNumberFormat="1" applyFont="1" applyFill="1" applyBorder="1"/>
    <x:xf numFmtId="0" fontId="0" fillId="6" borderId="112" xfId="0" applyNumberFormat="1" applyFont="1" applyFill="1" applyBorder="1"/>
    <x:xf numFmtId="0" fontId="0" fillId="6" borderId="113" xfId="0" applyNumberFormat="1" applyFont="1" applyFill="1" applyBorder="1"/>
    <x:xf numFmtId="0" fontId="0" fillId="6" borderId="108" xfId="0" applyNumberFormat="1" applyFont="1" applyFill="1" applyBorder="1" applyAlignment="1">
      <x:alignment wrapText="1"/>
    </x:xf>
    <x:xf numFmtId="0" fontId="0" fillId="6" borderId="109" xfId="0" applyNumberFormat="1" applyFont="1" applyFill="1" applyBorder="1" applyAlignment="1">
      <x:alignment wrapText="1"/>
    </x:xf>
    <x:xf numFmtId="0" fontId="0" fillId="6" borderId="110" xfId="0" applyNumberFormat="1" applyFont="1" applyFill="1" applyBorder="1" applyAlignment="1">
      <x:alignment wrapText="1"/>
    </x:xf>
    <x:xf numFmtId="0" fontId="0" fillId="6" borderId="117" xfId="0" applyNumberFormat="1" applyFont="1" applyFill="1" applyBorder="1" applyAlignment="1">
      <x:alignment wrapText="1"/>
    </x:xf>
    <x:xf numFmtId="0" fontId="0" fillId="6" xfId="0" applyNumberFormat="1" applyFont="1" applyFill="1" applyBorder="0" applyAlignment="1">
      <x:alignment wrapText="1"/>
    </x:xf>
    <x:xf numFmtId="0" fontId="0" fillId="6" borderId="118" xfId="0" applyNumberFormat="1" applyFont="1" applyFill="1" applyBorder="1" applyAlignment="1">
      <x:alignment wrapText="1"/>
    </x:xf>
    <x:xf numFmtId="0" fontId="0" fillId="6" borderId="111" xfId="0" applyNumberFormat="1" applyFont="1" applyFill="1" applyBorder="1" applyAlignment="1">
      <x:alignment wrapText="1"/>
    </x:xf>
    <x:xf numFmtId="0" fontId="0" fillId="6" borderId="112" xfId="0" applyNumberFormat="1" applyFont="1" applyFill="1" applyBorder="1" applyAlignment="1">
      <x:alignment wrapText="1"/>
    </x:xf>
    <x:xf numFmtId="0" fontId="0" fillId="6" borderId="113" xfId="0" applyNumberFormat="1" applyFont="1" applyFill="1" applyBorder="1" applyAlignment="1">
      <x:alignment wrapText="1"/>
    </x:xf>
    <x:xf numFmtId="0" fontId="0" fillId="6" borderId="108" xfId="0" applyNumberFormat="1" applyFont="1" applyFill="1" applyBorder="1" applyAlignment="1">
      <x:alignment vertical="center" wrapText="1"/>
    </x:xf>
    <x:xf numFmtId="0" fontId="0" fillId="6" borderId="109" xfId="0" applyNumberFormat="1" applyFont="1" applyFill="1" applyBorder="1" applyAlignment="1">
      <x:alignment vertical="center" wrapText="1"/>
    </x:xf>
    <x:xf numFmtId="0" fontId="0" fillId="6" borderId="110" xfId="0" applyNumberFormat="1" applyFont="1" applyFill="1" applyBorder="1" applyAlignment="1">
      <x:alignment vertical="center" wrapText="1"/>
    </x:xf>
    <x:xf numFmtId="0" fontId="0" fillId="6" borderId="117" xfId="0" applyNumberFormat="1" applyFont="1" applyFill="1" applyBorder="1" applyAlignment="1">
      <x:alignment vertical="center" wrapText="1"/>
    </x:xf>
    <x:xf numFmtId="0" fontId="0" fillId="6" xfId="0" applyNumberFormat="1" applyFont="1" applyFill="1" applyBorder="0" applyAlignment="1">
      <x:alignment vertical="center" wrapText="1"/>
    </x:xf>
    <x:xf numFmtId="0" fontId="0" fillId="6" borderId="118" xfId="0" applyNumberFormat="1" applyFont="1" applyFill="1" applyBorder="1" applyAlignment="1">
      <x:alignment vertical="center" wrapText="1"/>
    </x:xf>
    <x:xf numFmtId="0" fontId="0" fillId="6" borderId="111" xfId="0" applyNumberFormat="1" applyFont="1" applyFill="1" applyBorder="1" applyAlignment="1">
      <x:alignment vertical="center" wrapText="1"/>
    </x:xf>
    <x:xf numFmtId="0" fontId="0" fillId="6" borderId="112" xfId="0" applyNumberFormat="1" applyFont="1" applyFill="1" applyBorder="1" applyAlignment="1">
      <x:alignment vertical="center" wrapText="1"/>
    </x:xf>
    <x:xf numFmtId="0" fontId="0" fillId="6" borderId="113" xfId="0" applyNumberFormat="1" applyFont="1" applyFill="1" applyBorder="1" applyAlignment="1">
      <x:alignment vertical="center" wrapText="1"/>
    </x:xf>
    <x:xf numFmtId="0" fontId="2" fillId="6" borderId="109" xfId="0" applyNumberFormat="1" applyFont="1" applyFill="1" applyBorder="1" applyAlignment="1">
      <x:alignment wrapText="1"/>
    </x:xf>
    <x:xf numFmtId="0" fontId="2" fillId="6" xfId="0" applyNumberFormat="1" applyFont="1" applyFill="1" applyBorder="0" applyAlignment="1">
      <x:alignment wrapText="1"/>
    </x:xf>
    <x:xf numFmtId="0" fontId="2" fillId="6" borderId="112" xfId="0" applyNumberFormat="1" applyFont="1" applyFill="1" applyBorder="1" applyAlignment="1">
      <x:alignment wrapText="1"/>
    </x:xf>
    <x:xf numFmtId="0" fontId="2" fillId="4" borderId="117" xfId="0" applyNumberFormat="1" applyFont="1" applyFill="1" applyBorder="1"/>
    <x:xf numFmtId="0" fontId="2" fillId="4" xfId="0" applyNumberFormat="1" applyFont="1" applyFill="1" applyBorder="0"/>
    <x:xf numFmtId="0" fontId="2" fillId="4" borderId="118" xfId="0" applyNumberFormat="1" applyFont="1" applyFill="1" applyBorder="1"/>
    <x:xf numFmtId="0" fontId="2" fillId="4" borderId="117" xfId="0" applyNumberFormat="1" applyFont="1" applyFill="1" applyBorder="1" applyAlignment="1">
      <x:alignment wrapText="1"/>
    </x:xf>
    <x:xf numFmtId="0" fontId="2" fillId="4" xfId="0" applyNumberFormat="1" applyFont="1" applyFill="1" applyBorder="0" applyAlignment="1">
      <x:alignment wrapText="1"/>
    </x:xf>
    <x:xf numFmtId="0" fontId="2" fillId="4" borderId="118" xfId="0" applyNumberFormat="1" applyFont="1" applyFill="1" applyBorder="1" applyAlignment="1">
      <x:alignment wrapText="1"/>
    </x:xf>
    <x:xf numFmtId="0" fontId="2" fillId="4" borderId="117" xfId="0" applyNumberFormat="1" applyFont="1" applyFill="1" applyBorder="1" applyAlignment="1">
      <x:alignment vertical="center" wrapText="1"/>
    </x:xf>
    <x:xf numFmtId="0" fontId="2" fillId="4" xfId="0" applyNumberFormat="1" applyFont="1" applyFill="1" applyBorder="0" applyAlignment="1">
      <x:alignment vertical="center" wrapText="1"/>
    </x:xf>
    <x:xf numFmtId="0" fontId="2" fillId="4" borderId="118" xfId="0" applyNumberFormat="1" applyFont="1" applyFill="1" applyBorder="1" applyAlignment="1">
      <x:alignment vertical="center" wrapText="1"/>
    </x:xf>
    <x:xf numFmtId="0" fontId="0" fillId="46" borderId="0" xfId="0" applyNumberFormat="1" applyFont="1" applyFill="1" applyBorder="1"/>
    <x:xf numFmtId="0" fontId="1" fillId="46" borderId="0" xfId="0" applyNumberFormat="1" applyFont="1" applyFill="1" applyBorder="1"/>
    <x:xf numFmtId="0" fontId="1" fillId="46" borderId="0" xfId="0" applyNumberFormat="1" applyFont="1" applyFill="1" applyBorder="1" applyAlignment="1">
      <x:alignment wrapText="1"/>
    </x:xf>
    <x:xf numFmtId="0" fontId="1" fillId="46" borderId="0" xfId="0" applyNumberFormat="1" applyFont="1" applyFill="1" applyBorder="1" applyAlignment="1">
      <x:alignment vertical="center" wrapText="1"/>
    </x:xf>
    <x:xf numFmtId="0" fontId="0" fillId="47" borderId="0" xfId="0" applyNumberFormat="1" applyFont="1" applyFill="1" applyBorder="1"/>
    <x:xf numFmtId="0" fontId="0" fillId="47" borderId="119" xfId="0" applyNumberFormat="1" applyFont="1" applyFill="1" applyBorder="1"/>
    <x:xf numFmtId="0" fontId="0" fillId="47" borderId="120" xfId="0" applyNumberFormat="1" applyFont="1" applyFill="1" applyBorder="1"/>
    <x:xf numFmtId="0" fontId="0" fillId="47" borderId="121" xfId="0" applyNumberFormat="1" applyFont="1" applyFill="1" applyBorder="1"/>
    <x:xf numFmtId="0" fontId="0" fillId="47" borderId="122" xfId="0" applyNumberFormat="1" applyFont="1" applyFill="1" applyBorder="1"/>
    <x:xf numFmtId="0" fontId="0" fillId="47" borderId="123" xfId="0" applyNumberFormat="1" applyFont="1" applyFill="1" applyBorder="1"/>
    <x:xf numFmtId="0" fontId="0" fillId="47" borderId="124" xfId="0" applyNumberFormat="1" applyFont="1" applyFill="1" applyBorder="1"/>
    <x:xf numFmtId="0" fontId="0" fillId="47" borderId="119" xfId="0" applyNumberFormat="1" applyFont="1" applyFill="1" applyBorder="1" applyAlignment="1">
      <x:alignment wrapText="1"/>
    </x:xf>
    <x:xf numFmtId="0" fontId="0" fillId="47" borderId="120" xfId="0" applyNumberFormat="1" applyFont="1" applyFill="1" applyBorder="1" applyAlignment="1">
      <x:alignment wrapText="1"/>
    </x:xf>
    <x:xf numFmtId="0" fontId="0" fillId="47" borderId="121" xfId="0" applyNumberFormat="1" applyFont="1" applyFill="1" applyBorder="1" applyAlignment="1">
      <x:alignment wrapText="1"/>
    </x:xf>
    <x:xf numFmtId="0" fontId="0" fillId="47" borderId="122" xfId="0" applyNumberFormat="1" applyFont="1" applyFill="1" applyBorder="1" applyAlignment="1">
      <x:alignment wrapText="1"/>
    </x:xf>
    <x:xf numFmtId="0" fontId="0" fillId="47" borderId="123" xfId="0" applyNumberFormat="1" applyFont="1" applyFill="1" applyBorder="1" applyAlignment="1">
      <x:alignment wrapText="1"/>
    </x:xf>
    <x:xf numFmtId="0" fontId="0" fillId="47" borderId="124" xfId="0" applyNumberFormat="1" applyFont="1" applyFill="1" applyBorder="1" applyAlignment="1">
      <x:alignment wrapText="1"/>
    </x:xf>
    <x:xf numFmtId="0" fontId="0" fillId="47" borderId="119" xfId="0" applyNumberFormat="1" applyFont="1" applyFill="1" applyBorder="1" applyAlignment="1">
      <x:alignment vertical="center" wrapText="1"/>
    </x:xf>
    <x:xf numFmtId="0" fontId="0" fillId="47" borderId="120" xfId="0" applyNumberFormat="1" applyFont="1" applyFill="1" applyBorder="1" applyAlignment="1">
      <x:alignment vertical="center" wrapText="1"/>
    </x:xf>
    <x:xf numFmtId="0" fontId="0" fillId="47" borderId="121" xfId="0" applyNumberFormat="1" applyFont="1" applyFill="1" applyBorder="1" applyAlignment="1">
      <x:alignment vertical="center" wrapText="1"/>
    </x:xf>
    <x:xf numFmtId="0" fontId="0" fillId="47" borderId="122" xfId="0" applyNumberFormat="1" applyFont="1" applyFill="1" applyBorder="1" applyAlignment="1">
      <x:alignment vertical="center" wrapText="1"/>
    </x:xf>
    <x:xf numFmtId="0" fontId="0" fillId="47" borderId="123" xfId="0" applyNumberFormat="1" applyFont="1" applyFill="1" applyBorder="1" applyAlignment="1">
      <x:alignment vertical="center" wrapText="1"/>
    </x:xf>
    <x:xf numFmtId="0" fontId="0" fillId="47" borderId="124" xfId="0" applyNumberFormat="1" applyFont="1" applyFill="1" applyBorder="1" applyAlignment="1">
      <x:alignment vertical="center" wrapText="1"/>
    </x:xf>
    <x:xf numFmtId="0" fontId="0" fillId="48" borderId="0" xfId="0" applyNumberFormat="1" applyFont="1" applyFill="1" applyBorder="1"/>
    <x:xf numFmtId="0" fontId="8" fillId="48" borderId="0" xfId="0" applyNumberFormat="1" applyFont="1" applyFill="1" applyBorder="1"/>
    <x:xf numFmtId="0" fontId="8" fillId="48" borderId="125" xfId="0" applyNumberFormat="1" applyFont="1" applyFill="1" applyBorder="1"/>
    <x:xf numFmtId="0" fontId="8" fillId="48" borderId="126" xfId="0" applyNumberFormat="1" applyFont="1" applyFill="1" applyBorder="1"/>
    <x:xf numFmtId="0" fontId="8" fillId="48" borderId="127" xfId="0" applyNumberFormat="1" applyFont="1" applyFill="1" applyBorder="1"/>
    <x:xf numFmtId="0" fontId="8" fillId="48" borderId="125" xfId="0" applyNumberFormat="1" applyFont="1" applyFill="1" applyBorder="1" applyAlignment="1">
      <x:alignment wrapText="1"/>
    </x:xf>
    <x:xf numFmtId="0" fontId="8" fillId="48" borderId="126" xfId="0" applyNumberFormat="1" applyFont="1" applyFill="1" applyBorder="1" applyAlignment="1">
      <x:alignment wrapText="1"/>
    </x:xf>
    <x:xf numFmtId="0" fontId="8" fillId="48" borderId="127" xfId="0" applyNumberFormat="1" applyFont="1" applyFill="1" applyBorder="1" applyAlignment="1">
      <x:alignment wrapText="1"/>
    </x:xf>
    <x:xf numFmtId="0" fontId="8" fillId="48" borderId="125" xfId="0" applyNumberFormat="1" applyFont="1" applyFill="1" applyBorder="1" applyAlignment="1">
      <x:alignment horizontal="center" wrapText="1"/>
    </x:xf>
    <x:xf numFmtId="0" fontId="8" fillId="48" borderId="126" xfId="0" applyNumberFormat="1" applyFont="1" applyFill="1" applyBorder="1" applyAlignment="1">
      <x:alignment horizontal="center" wrapText="1"/>
    </x:xf>
    <x:xf numFmtId="0" fontId="8" fillId="48" borderId="127" xfId="0" applyNumberFormat="1" applyFont="1" applyFill="1" applyBorder="1" applyAlignment="1">
      <x:alignment horizontal="center" wrapText="1"/>
    </x:xf>
    <x:xf numFmtId="0" fontId="8" fillId="48" borderId="125" xfId="0" applyNumberFormat="1" applyFont="1" applyFill="1" applyBorder="1" applyAlignment="1">
      <x:alignment horizontal="center" vertical="center" wrapText="1"/>
    </x:xf>
    <x:xf numFmtId="0" fontId="8" fillId="48" borderId="126" xfId="0" applyNumberFormat="1" applyFont="1" applyFill="1" applyBorder="1" applyAlignment="1">
      <x:alignment horizontal="center" vertical="center" wrapText="1"/>
    </x:xf>
    <x:xf numFmtId="0" fontId="8" fillId="48" borderId="127" xfId="0" applyNumberFormat="1" applyFont="1" applyFill="1" applyBorder="1" applyAlignment="1">
      <x:alignment horizontal="center" vertical="center" wrapText="1"/>
    </x:xf>
    <x:xf numFmtId="0" fontId="2" fillId="0" borderId="119" xfId="0" applyNumberFormat="1" applyFont="1" applyFill="1" applyBorder="1"/>
    <x:xf numFmtId="0" fontId="2" fillId="0" borderId="120" xfId="0" applyNumberFormat="1" applyFont="1" applyFill="1" applyBorder="1"/>
    <x:xf numFmtId="0" fontId="2" fillId="0" borderId="121" xfId="0" applyNumberFormat="1" applyFont="1" applyFill="1" applyBorder="1"/>
    <x:xf numFmtId="0" fontId="2" fillId="0" borderId="128" xfId="0" applyNumberFormat="1" applyFont="1" applyFill="1" applyBorder="1"/>
    <x:xf numFmtId="0" fontId="2" fillId="0" borderId="129" xfId="0" applyNumberFormat="1" applyFont="1" applyFill="1" applyBorder="1"/>
    <x:xf numFmtId="0" fontId="2" fillId="0" borderId="122" xfId="0" applyNumberFormat="1" applyFont="1" applyFill="1" applyBorder="1"/>
    <x:xf numFmtId="0" fontId="2" fillId="0" borderId="123" xfId="0" applyNumberFormat="1" applyFont="1" applyFill="1" applyBorder="1"/>
    <x:xf numFmtId="0" fontId="2" fillId="0" borderId="124" xfId="0" applyNumberFormat="1" applyFont="1" applyFill="1" applyBorder="1"/>
    <x:xf numFmtId="0" fontId="2" fillId="0" borderId="119" xfId="0" applyNumberFormat="1" applyFont="1" applyFill="1" applyBorder="1" applyAlignment="1">
      <x:alignment wrapText="1"/>
    </x:xf>
    <x:xf numFmtId="0" fontId="2" fillId="0" borderId="120" xfId="0" applyNumberFormat="1" applyFont="1" applyFill="1" applyBorder="1" applyAlignment="1">
      <x:alignment wrapText="1"/>
    </x:xf>
    <x:xf numFmtId="0" fontId="2" fillId="0" borderId="121" xfId="0" applyNumberFormat="1" applyFont="1" applyFill="1" applyBorder="1" applyAlignment="1">
      <x:alignment wrapText="1"/>
    </x:xf>
    <x:xf numFmtId="0" fontId="2" fillId="0" borderId="128" xfId="0" applyNumberFormat="1" applyFont="1" applyFill="1" applyBorder="1" applyAlignment="1">
      <x:alignment wrapText="1"/>
    </x:xf>
    <x:xf numFmtId="0" fontId="2" fillId="0" borderId="129" xfId="0" applyNumberFormat="1" applyFont="1" applyFill="1" applyBorder="1" applyAlignment="1">
      <x:alignment wrapText="1"/>
    </x:xf>
    <x:xf numFmtId="0" fontId="2" fillId="0" borderId="122" xfId="0" applyNumberFormat="1" applyFont="1" applyFill="1" applyBorder="1" applyAlignment="1">
      <x:alignment wrapText="1"/>
    </x:xf>
    <x:xf numFmtId="0" fontId="2" fillId="0" borderId="123" xfId="0" applyNumberFormat="1" applyFont="1" applyFill="1" applyBorder="1" applyAlignment="1">
      <x:alignment wrapText="1"/>
    </x:xf>
    <x:xf numFmtId="0" fontId="2" fillId="0" borderId="124" xfId="0" applyNumberFormat="1" applyFont="1" applyFill="1" applyBorder="1" applyAlignment="1">
      <x:alignment wrapText="1"/>
    </x:xf>
    <x:xf numFmtId="0" fontId="2" fillId="0" borderId="119" xfId="0" applyNumberFormat="1" applyFont="1" applyFill="1" applyBorder="1" applyAlignment="1">
      <x:alignment vertical="center" wrapText="1"/>
    </x:xf>
    <x:xf numFmtId="0" fontId="2" fillId="0" borderId="120" xfId="0" applyNumberFormat="1" applyFont="1" applyFill="1" applyBorder="1" applyAlignment="1">
      <x:alignment vertical="center" wrapText="1"/>
    </x:xf>
    <x:xf numFmtId="0" fontId="2" fillId="0" borderId="121" xfId="0" applyNumberFormat="1" applyFont="1" applyFill="1" applyBorder="1" applyAlignment="1">
      <x:alignment vertical="center" wrapText="1"/>
    </x:xf>
    <x:xf numFmtId="0" fontId="2" fillId="0" borderId="128" xfId="0" applyNumberFormat="1" applyFont="1" applyFill="1" applyBorder="1" applyAlignment="1">
      <x:alignment vertical="center" wrapText="1"/>
    </x:xf>
    <x:xf numFmtId="0" fontId="2" fillId="0" borderId="129" xfId="0" applyNumberFormat="1" applyFont="1" applyFill="1" applyBorder="1" applyAlignment="1">
      <x:alignment vertical="center" wrapText="1"/>
    </x:xf>
    <x:xf numFmtId="0" fontId="2" fillId="0" borderId="122" xfId="0" applyNumberFormat="1" applyFont="1" applyFill="1" applyBorder="1" applyAlignment="1">
      <x:alignment vertical="center" wrapText="1"/>
    </x:xf>
    <x:xf numFmtId="0" fontId="2" fillId="0" borderId="123" xfId="0" applyNumberFormat="1" applyFont="1" applyFill="1" applyBorder="1" applyAlignment="1">
      <x:alignment vertical="center" wrapText="1"/>
    </x:xf>
    <x:xf numFmtId="0" fontId="2" fillId="0" borderId="124" xfId="0" applyNumberFormat="1" applyFont="1" applyFill="1" applyBorder="1" applyAlignment="1">
      <x:alignment vertical="center" wrapText="1"/>
    </x:xf>
    <x:xf numFmtId="0" fontId="2" fillId="49" borderId="120" xfId="0" applyNumberFormat="1" applyFont="1" applyFill="1" applyBorder="1" applyAlignment="1">
      <x:alignment vertical="center" wrapText="1"/>
    </x:xf>
    <x:xf numFmtId="0" fontId="2" fillId="49" xfId="0" applyNumberFormat="1" applyFont="1" applyFill="1" applyBorder="0" applyAlignment="1">
      <x:alignment vertical="center" wrapText="1"/>
    </x:xf>
    <x:xf numFmtId="0" fontId="2" fillId="49" borderId="123" xfId="0" applyNumberFormat="1" applyFont="1" applyFill="1" applyBorder="1" applyAlignment="1">
      <x:alignment vertical="center" wrapText="1"/>
    </x:xf>
    <x:xf numFmtId="0" fontId="2" fillId="50" borderId="121" xfId="0" applyNumberFormat="1" applyFont="1" applyFill="1" applyBorder="1" applyAlignment="1">
      <x:alignment vertical="center" wrapText="1"/>
    </x:xf>
    <x:xf numFmtId="0" fontId="2" fillId="50" borderId="129" xfId="0" applyNumberFormat="1" applyFont="1" applyFill="1" applyBorder="1" applyAlignment="1">
      <x:alignment vertical="center" wrapText="1"/>
    </x:xf>
    <x:xf numFmtId="0" fontId="2" fillId="50" borderId="124" xfId="0" applyNumberFormat="1" applyFont="1" applyFill="1" applyBorder="1" applyAlignment="1">
      <x:alignment vertical="center" wrapText="1"/>
    </x:xf>
    <x:xf numFmtId="0" fontId="2" fillId="49" borderId="121" xfId="0" applyNumberFormat="1" applyFont="1" applyFill="1" applyBorder="1" applyAlignment="1">
      <x:alignment vertical="center" wrapText="1"/>
    </x:xf>
    <x:xf numFmtId="0" fontId="2" fillId="49" borderId="129" xfId="0" applyNumberFormat="1" applyFont="1" applyFill="1" applyBorder="1" applyAlignment="1">
      <x:alignment vertical="center" wrapText="1"/>
    </x:xf>
    <x:xf numFmtId="0" fontId="2" fillId="49" borderId="124" xfId="0" applyNumberFormat="1" applyFont="1" applyFill="1" applyBorder="1" applyAlignment="1">
      <x:alignment vertical="center" wrapText="1"/>
    </x:xf>
    <x:xf numFmtId="0" fontId="2" fillId="50" borderId="120" xfId="0" applyNumberFormat="1" applyFont="1" applyFill="1" applyBorder="1" applyAlignment="1">
      <x:alignment vertical="center" wrapText="1"/>
    </x:xf>
    <x:xf numFmtId="0" fontId="2" fillId="50" xfId="0" applyNumberFormat="1" applyFont="1" applyFill="1" applyBorder="0" applyAlignment="1">
      <x:alignment vertical="center" wrapText="1"/>
    </x:xf>
    <x:xf numFmtId="0" fontId="2" fillId="50" borderId="123" xfId="0" applyNumberFormat="1" applyFont="1" applyFill="1" applyBorder="1" applyAlignment="1">
      <x:alignment vertical="center" wrapText="1"/>
    </x:xf>
    <x:xf numFmtId="0" fontId="0" fillId="47" borderId="128" xfId="0" applyNumberFormat="1" applyFont="1" applyFill="1" applyBorder="1"/>
    <x:xf numFmtId="0" fontId="0" fillId="47" xfId="0" applyNumberFormat="1" applyFont="1" applyFill="1" applyBorder="0"/>
    <x:xf numFmtId="0" fontId="0" fillId="47" borderId="129" xfId="0" applyNumberFormat="1" applyFont="1" applyFill="1" applyBorder="1"/>
    <x:xf numFmtId="0" fontId="0" fillId="47" borderId="128" xfId="0" applyNumberFormat="1" applyFont="1" applyFill="1" applyBorder="1" applyAlignment="1">
      <x:alignment wrapText="1"/>
    </x:xf>
    <x:xf numFmtId="0" fontId="0" fillId="47" xfId="0" applyNumberFormat="1" applyFont="1" applyFill="1" applyBorder="0" applyAlignment="1">
      <x:alignment wrapText="1"/>
    </x:xf>
    <x:xf numFmtId="0" fontId="0" fillId="47" borderId="129" xfId="0" applyNumberFormat="1" applyFont="1" applyFill="1" applyBorder="1" applyAlignment="1">
      <x:alignment wrapText="1"/>
    </x:xf>
    <x:xf numFmtId="0" fontId="0" fillId="47" borderId="128" xfId="0" applyNumberFormat="1" applyFont="1" applyFill="1" applyBorder="1" applyAlignment="1">
      <x:alignment vertical="center" wrapText="1"/>
    </x:xf>
    <x:xf numFmtId="0" fontId="0" fillId="47" xfId="0" applyNumberFormat="1" applyFont="1" applyFill="1" applyBorder="0" applyAlignment="1">
      <x:alignment vertical="center" wrapText="1"/>
    </x:xf>
    <x:xf numFmtId="0" fontId="0" fillId="47" borderId="129" xfId="0" applyNumberFormat="1" applyFont="1" applyFill="1" applyBorder="1" applyAlignment="1">
      <x:alignment vertical="center" wrapText="1"/>
    </x:xf>
    <x:xf numFmtId="0" fontId="0" fillId="4" borderId="119" xfId="0" applyNumberFormat="1" applyFont="1" applyFill="1" applyBorder="1"/>
    <x:xf numFmtId="0" fontId="0" fillId="4" borderId="120" xfId="0" applyNumberFormat="1" applyFont="1" applyFill="1" applyBorder="1"/>
    <x:xf numFmtId="0" fontId="0" fillId="4" borderId="121" xfId="0" applyNumberFormat="1" applyFont="1" applyFill="1" applyBorder="1"/>
    <x:xf numFmtId="0" fontId="0" fillId="4" borderId="122" xfId="0" applyNumberFormat="1" applyFont="1" applyFill="1" applyBorder="1"/>
    <x:xf numFmtId="0" fontId="0" fillId="4" borderId="123" xfId="0" applyNumberFormat="1" applyFont="1" applyFill="1" applyBorder="1"/>
    <x:xf numFmtId="0" fontId="0" fillId="4" borderId="124" xfId="0" applyNumberFormat="1" applyFont="1" applyFill="1" applyBorder="1"/>
    <x:xf numFmtId="0" fontId="0" fillId="4" borderId="119" xfId="0" applyNumberFormat="1" applyFont="1" applyFill="1" applyBorder="1" applyAlignment="1">
      <x:alignment wrapText="1"/>
    </x:xf>
    <x:xf numFmtId="0" fontId="0" fillId="4" borderId="120" xfId="0" applyNumberFormat="1" applyFont="1" applyFill="1" applyBorder="1" applyAlignment="1">
      <x:alignment wrapText="1"/>
    </x:xf>
    <x:xf numFmtId="0" fontId="0" fillId="4" borderId="121" xfId="0" applyNumberFormat="1" applyFont="1" applyFill="1" applyBorder="1" applyAlignment="1">
      <x:alignment wrapText="1"/>
    </x:xf>
    <x:xf numFmtId="0" fontId="0" fillId="4" borderId="122" xfId="0" applyNumberFormat="1" applyFont="1" applyFill="1" applyBorder="1" applyAlignment="1">
      <x:alignment wrapText="1"/>
    </x:xf>
    <x:xf numFmtId="0" fontId="0" fillId="4" borderId="123" xfId="0" applyNumberFormat="1" applyFont="1" applyFill="1" applyBorder="1" applyAlignment="1">
      <x:alignment wrapText="1"/>
    </x:xf>
    <x:xf numFmtId="0" fontId="0" fillId="4" borderId="124" xfId="0" applyNumberFormat="1" applyFont="1" applyFill="1" applyBorder="1" applyAlignment="1">
      <x:alignment wrapText="1"/>
    </x:xf>
    <x:xf numFmtId="0" fontId="0" fillId="4" borderId="119" xfId="0" applyNumberFormat="1" applyFont="1" applyFill="1" applyBorder="1" applyAlignment="1">
      <x:alignment vertical="center" wrapText="1"/>
    </x:xf>
    <x:xf numFmtId="0" fontId="0" fillId="4" borderId="120" xfId="0" applyNumberFormat="1" applyFont="1" applyFill="1" applyBorder="1" applyAlignment="1">
      <x:alignment vertical="center" wrapText="1"/>
    </x:xf>
    <x:xf numFmtId="0" fontId="0" fillId="4" borderId="121" xfId="0" applyNumberFormat="1" applyFont="1" applyFill="1" applyBorder="1" applyAlignment="1">
      <x:alignment vertical="center" wrapText="1"/>
    </x:xf>
    <x:xf numFmtId="0" fontId="0" fillId="4" borderId="122" xfId="0" applyNumberFormat="1" applyFont="1" applyFill="1" applyBorder="1" applyAlignment="1">
      <x:alignment vertical="center" wrapText="1"/>
    </x:xf>
    <x:xf numFmtId="0" fontId="0" fillId="4" borderId="123" xfId="0" applyNumberFormat="1" applyFont="1" applyFill="1" applyBorder="1" applyAlignment="1">
      <x:alignment vertical="center" wrapText="1"/>
    </x:xf>
    <x:xf numFmtId="0" fontId="0" fillId="4" borderId="124" xfId="0" applyNumberFormat="1" applyFont="1" applyFill="1" applyBorder="1" applyAlignment="1">
      <x:alignment vertical="center" wrapText="1"/>
    </x:xf>
    <x:xf numFmtId="0" fontId="8" fillId="2" borderId="125" xfId="0" applyNumberFormat="1" applyFont="1" applyFill="1" applyBorder="1"/>
    <x:xf numFmtId="0" fontId="8" fillId="2" borderId="126" xfId="0" applyNumberFormat="1" applyFont="1" applyFill="1" applyBorder="1"/>
    <x:xf numFmtId="0" fontId="8" fillId="2" borderId="127" xfId="0" applyNumberFormat="1" applyFont="1" applyFill="1" applyBorder="1"/>
    <x:xf numFmtId="0" fontId="8" fillId="2" borderId="125" xfId="0" applyNumberFormat="1" applyFont="1" applyFill="1" applyBorder="1" applyAlignment="1">
      <x:alignment wrapText="1"/>
    </x:xf>
    <x:xf numFmtId="0" fontId="8" fillId="2" borderId="126" xfId="0" applyNumberFormat="1" applyFont="1" applyFill="1" applyBorder="1" applyAlignment="1">
      <x:alignment wrapText="1"/>
    </x:xf>
    <x:xf numFmtId="0" fontId="8" fillId="2" borderId="127" xfId="0" applyNumberFormat="1" applyFont="1" applyFill="1" applyBorder="1" applyAlignment="1">
      <x:alignment wrapText="1"/>
    </x:xf>
    <x:xf numFmtId="0" fontId="8" fillId="2" borderId="125" xfId="0" applyNumberFormat="1" applyFont="1" applyFill="1" applyBorder="1" applyAlignment="1">
      <x:alignment horizontal="center" wrapText="1"/>
    </x:xf>
    <x:xf numFmtId="0" fontId="8" fillId="2" borderId="126" xfId="0" applyNumberFormat="1" applyFont="1" applyFill="1" applyBorder="1" applyAlignment="1">
      <x:alignment horizontal="center" wrapText="1"/>
    </x:xf>
    <x:xf numFmtId="0" fontId="8" fillId="2" borderId="127" xfId="0" applyNumberFormat="1" applyFont="1" applyFill="1" applyBorder="1" applyAlignment="1">
      <x:alignment horizontal="center" wrapText="1"/>
    </x:xf>
    <x:xf numFmtId="0" fontId="8" fillId="2" borderId="125" xfId="0" applyNumberFormat="1" applyFont="1" applyFill="1" applyBorder="1" applyAlignment="1">
      <x:alignment horizontal="center" vertical="center" wrapText="1"/>
    </x:xf>
    <x:xf numFmtId="0" fontId="8" fillId="2" borderId="126" xfId="0" applyNumberFormat="1" applyFont="1" applyFill="1" applyBorder="1" applyAlignment="1">
      <x:alignment horizontal="center" vertical="center" wrapText="1"/>
    </x:xf>
    <x:xf numFmtId="0" fontId="8" fillId="2" borderId="127" xfId="0" applyNumberFormat="1" applyFont="1" applyFill="1" applyBorder="1" applyAlignment="1">
      <x:alignment horizontal="center" vertical="center" wrapText="1"/>
    </x:xf>
    <x:xf numFmtId="0" fontId="2" fillId="6" borderId="120" xfId="0" applyNumberFormat="1" applyFont="1" applyFill="1" applyBorder="1" applyAlignment="1">
      <x:alignment vertical="center" wrapText="1"/>
    </x:xf>
    <x:xf numFmtId="0" fontId="2" fillId="6" borderId="123" xfId="0" applyNumberFormat="1" applyFont="1" applyFill="1" applyBorder="1" applyAlignment="1">
      <x:alignment vertical="center" wrapText="1"/>
    </x:xf>
    <x:xf numFmtId="0" fontId="2" fillId="45" borderId="121" xfId="0" applyNumberFormat="1" applyFont="1" applyFill="1" applyBorder="1" applyAlignment="1">
      <x:alignment vertical="center" wrapText="1"/>
    </x:xf>
    <x:xf numFmtId="0" fontId="2" fillId="45" borderId="129" xfId="0" applyNumberFormat="1" applyFont="1" applyFill="1" applyBorder="1" applyAlignment="1">
      <x:alignment vertical="center" wrapText="1"/>
    </x:xf>
    <x:xf numFmtId="0" fontId="2" fillId="45" borderId="124" xfId="0" applyNumberFormat="1" applyFont="1" applyFill="1" applyBorder="1" applyAlignment="1">
      <x:alignment vertical="center" wrapText="1"/>
    </x:xf>
    <x:xf numFmtId="0" fontId="2" fillId="6" borderId="121" xfId="0" applyNumberFormat="1" applyFont="1" applyFill="1" applyBorder="1" applyAlignment="1">
      <x:alignment vertical="center" wrapText="1"/>
    </x:xf>
    <x:xf numFmtId="0" fontId="2" fillId="6" borderId="129" xfId="0" applyNumberFormat="1" applyFont="1" applyFill="1" applyBorder="1" applyAlignment="1">
      <x:alignment vertical="center" wrapText="1"/>
    </x:xf>
    <x:xf numFmtId="0" fontId="2" fillId="6" borderId="124" xfId="0" applyNumberFormat="1" applyFont="1" applyFill="1" applyBorder="1" applyAlignment="1">
      <x:alignment vertical="center" wrapText="1"/>
    </x:xf>
    <x:xf numFmtId="0" fontId="2" fillId="45" borderId="120" xfId="0" applyNumberFormat="1" applyFont="1" applyFill="1" applyBorder="1" applyAlignment="1">
      <x:alignment vertical="center" wrapText="1"/>
    </x:xf>
    <x:xf numFmtId="0" fontId="2" fillId="45" borderId="123" xfId="0" applyNumberFormat="1" applyFont="1" applyFill="1" applyBorder="1" applyAlignment="1">
      <x:alignment vertical="center" wrapText="1"/>
    </x:xf>
    <x:xf numFmtId="0" fontId="0" fillId="4" borderId="128" xfId="0" applyNumberFormat="1" applyFont="1" applyFill="1" applyBorder="1"/>
    <x:xf numFmtId="0" fontId="0" fillId="4" xfId="0" applyNumberFormat="1" applyFont="1" applyFill="1" applyBorder="0"/>
    <x:xf numFmtId="0" fontId="0" fillId="4" borderId="129" xfId="0" applyNumberFormat="1" applyFont="1" applyFill="1" applyBorder="1"/>
    <x:xf numFmtId="0" fontId="0" fillId="4" borderId="128" xfId="0" applyNumberFormat="1" applyFont="1" applyFill="1" applyBorder="1" applyAlignment="1">
      <x:alignment wrapText="1"/>
    </x:xf>
    <x:xf numFmtId="0" fontId="0" fillId="4" xfId="0" applyNumberFormat="1" applyFont="1" applyFill="1" applyBorder="0" applyAlignment="1">
      <x:alignment wrapText="1"/>
    </x:xf>
    <x:xf numFmtId="0" fontId="0" fillId="4" borderId="129" xfId="0" applyNumberFormat="1" applyFont="1" applyFill="1" applyBorder="1" applyAlignment="1">
      <x:alignment wrapText="1"/>
    </x:xf>
    <x:xf numFmtId="0" fontId="0" fillId="4" borderId="128" xfId="0" applyNumberFormat="1" applyFont="1" applyFill="1" applyBorder="1" applyAlignment="1">
      <x:alignment vertical="center" wrapText="1"/>
    </x:xf>
    <x:xf numFmtId="0" fontId="0" fillId="4" xfId="0" applyNumberFormat="1" applyFont="1" applyFill="1" applyBorder="0" applyAlignment="1">
      <x:alignment vertical="center" wrapText="1"/>
    </x:xf>
    <x:xf numFmtId="0" fontId="0" fillId="4" borderId="129" xfId="0" applyNumberFormat="1" applyFont="1" applyFill="1" applyBorder="1" applyAlignment="1">
      <x:alignment vertical="center" wrapText="1"/>
    </x:xf>
    <x:xf numFmtId="0" fontId="0" fillId="51" borderId="0" xfId="0" applyNumberFormat="1" applyFont="1" applyFill="1" applyBorder="1"/>
    <x:xf numFmtId="0" fontId="17" fillId="51" borderId="0" xfId="0" applyNumberFormat="1" applyFont="1" applyFill="1" applyBorder="1"/>
    <x:xf numFmtId="0" fontId="17" fillId="51" borderId="0" xfId="0" applyNumberFormat="1" applyFont="1" applyFill="1" applyBorder="1" applyAlignment="1">
      <x:alignment wrapText="1"/>
    </x:xf>
    <x:xf numFmtId="0" fontId="17" fillId="51" borderId="0" xfId="0" applyNumberFormat="1" applyFont="1" applyFill="1" applyBorder="1" applyAlignment="1">
      <x:alignment vertical="center" wrapText="1"/>
    </x:xf>
    <x:xf numFmtId="0" fontId="0" fillId="52" borderId="0" xfId="0" applyNumberFormat="1" applyFont="1" applyFill="1" applyBorder="1"/>
    <x:xf numFmtId="0" fontId="7" fillId="52" borderId="0" xfId="0" applyNumberFormat="1" applyFont="1" applyFill="1" applyBorder="1"/>
    <x:xf numFmtId="0" fontId="7" fillId="52" borderId="108" xfId="0" applyNumberFormat="1" applyFont="1" applyFill="1" applyBorder="1"/>
    <x:xf numFmtId="0" fontId="7" fillId="52" borderId="109" xfId="0" applyNumberFormat="1" applyFont="1" applyFill="1" applyBorder="1"/>
    <x:xf numFmtId="0" fontId="7" fillId="52" borderId="110" xfId="0" applyNumberFormat="1" applyFont="1" applyFill="1" applyBorder="1"/>
    <x:xf numFmtId="0" fontId="7" fillId="52" borderId="111" xfId="0" applyNumberFormat="1" applyFont="1" applyFill="1" applyBorder="1"/>
    <x:xf numFmtId="0" fontId="7" fillId="52" borderId="112" xfId="0" applyNumberFormat="1" applyFont="1" applyFill="1" applyBorder="1"/>
    <x:xf numFmtId="0" fontId="7" fillId="52" borderId="113" xfId="0" applyNumberFormat="1" applyFont="1" applyFill="1" applyBorder="1"/>
    <x:xf numFmtId="0" fontId="7" fillId="52" borderId="108" xfId="0" applyNumberFormat="1" applyFont="1" applyFill="1" applyBorder="1" applyAlignment="1">
      <x:alignment wrapText="1"/>
    </x:xf>
    <x:xf numFmtId="0" fontId="7" fillId="52" borderId="109" xfId="0" applyNumberFormat="1" applyFont="1" applyFill="1" applyBorder="1" applyAlignment="1">
      <x:alignment wrapText="1"/>
    </x:xf>
    <x:xf numFmtId="0" fontId="7" fillId="52" borderId="110" xfId="0" applyNumberFormat="1" applyFont="1" applyFill="1" applyBorder="1" applyAlignment="1">
      <x:alignment wrapText="1"/>
    </x:xf>
    <x:xf numFmtId="0" fontId="7" fillId="52" borderId="111" xfId="0" applyNumberFormat="1" applyFont="1" applyFill="1" applyBorder="1" applyAlignment="1">
      <x:alignment wrapText="1"/>
    </x:xf>
    <x:xf numFmtId="0" fontId="7" fillId="52" borderId="112" xfId="0" applyNumberFormat="1" applyFont="1" applyFill="1" applyBorder="1" applyAlignment="1">
      <x:alignment wrapText="1"/>
    </x:xf>
    <x:xf numFmtId="0" fontId="7" fillId="52" borderId="113" xfId="0" applyNumberFormat="1" applyFont="1" applyFill="1" applyBorder="1" applyAlignment="1">
      <x:alignment wrapText="1"/>
    </x:xf>
    <x:xf numFmtId="0" fontId="7" fillId="52" borderId="108" xfId="0" applyNumberFormat="1" applyFont="1" applyFill="1" applyBorder="1" applyAlignment="1">
      <x:alignment vertical="center" wrapText="1"/>
    </x:xf>
    <x:xf numFmtId="0" fontId="7" fillId="52" borderId="109" xfId="0" applyNumberFormat="1" applyFont="1" applyFill="1" applyBorder="1" applyAlignment="1">
      <x:alignment vertical="center" wrapText="1"/>
    </x:xf>
    <x:xf numFmtId="0" fontId="7" fillId="52" borderId="110" xfId="0" applyNumberFormat="1" applyFont="1" applyFill="1" applyBorder="1" applyAlignment="1">
      <x:alignment vertical="center" wrapText="1"/>
    </x:xf>
    <x:xf numFmtId="0" fontId="7" fillId="52" borderId="111" xfId="0" applyNumberFormat="1" applyFont="1" applyFill="1" applyBorder="1" applyAlignment="1">
      <x:alignment vertical="center" wrapText="1"/>
    </x:xf>
    <x:xf numFmtId="0" fontId="7" fillId="52" borderId="112" xfId="0" applyNumberFormat="1" applyFont="1" applyFill="1" applyBorder="1" applyAlignment="1">
      <x:alignment vertical="center" wrapText="1"/>
    </x:xf>
    <x:xf numFmtId="0" fontId="7" fillId="52" borderId="113" xfId="0" applyNumberFormat="1" applyFont="1" applyFill="1" applyBorder="1" applyAlignment="1">
      <x:alignment vertical="center" wrapText="1"/>
    </x:xf>
    <x:xf numFmtId="0" fontId="8" fillId="51" borderId="0" xfId="0" applyNumberFormat="1" applyFont="1" applyFill="1" applyBorder="1"/>
    <x:xf numFmtId="0" fontId="8" fillId="51" borderId="114" xfId="0" applyNumberFormat="1" applyFont="1" applyFill="1" applyBorder="1"/>
    <x:xf numFmtId="0" fontId="8" fillId="51" borderId="115" xfId="0" applyNumberFormat="1" applyFont="1" applyFill="1" applyBorder="1"/>
    <x:xf numFmtId="0" fontId="8" fillId="51" borderId="116" xfId="0" applyNumberFormat="1" applyFont="1" applyFill="1" applyBorder="1"/>
    <x:xf numFmtId="0" fontId="8" fillId="51" borderId="114" xfId="0" applyNumberFormat="1" applyFont="1" applyFill="1" applyBorder="1" applyAlignment="1">
      <x:alignment wrapText="1"/>
    </x:xf>
    <x:xf numFmtId="0" fontId="8" fillId="51" borderId="115" xfId="0" applyNumberFormat="1" applyFont="1" applyFill="1" applyBorder="1" applyAlignment="1">
      <x:alignment wrapText="1"/>
    </x:xf>
    <x:xf numFmtId="0" fontId="8" fillId="51" borderId="116" xfId="0" applyNumberFormat="1" applyFont="1" applyFill="1" applyBorder="1" applyAlignment="1">
      <x:alignment wrapText="1"/>
    </x:xf>
    <x:xf numFmtId="0" fontId="2" fillId="53" borderId="109" xfId="0" applyNumberFormat="1" applyFont="1" applyFill="1" applyBorder="1" applyAlignment="1">
      <x:alignment vertical="center" wrapText="1"/>
    </x:xf>
    <x:xf numFmtId="0" fontId="2" fillId="53" xfId="0" applyNumberFormat="1" applyFont="1" applyFill="1" applyBorder="0" applyAlignment="1">
      <x:alignment vertical="center" wrapText="1"/>
    </x:xf>
    <x:xf numFmtId="0" fontId="2" fillId="53" borderId="112" xfId="0" applyNumberFormat="1" applyFont="1" applyFill="1" applyBorder="1" applyAlignment="1">
      <x:alignment vertical="center" wrapText="1"/>
    </x:xf>
    <x:xf numFmtId="0" fontId="5" fillId="51" borderId="0" xfId="0" applyNumberFormat="1" applyFont="1" applyFill="1" applyBorder="1"/>
    <x:xf numFmtId="0" fontId="5" fillId="51" borderId="114" xfId="0" applyNumberFormat="1" applyFont="1" applyFill="1" applyBorder="1"/>
    <x:xf numFmtId="0" fontId="5" fillId="51" borderId="115" xfId="0" applyNumberFormat="1" applyFont="1" applyFill="1" applyBorder="1"/>
    <x:xf numFmtId="0" fontId="5" fillId="51" borderId="116" xfId="0" applyNumberFormat="1" applyFont="1" applyFill="1" applyBorder="1"/>
    <x:xf numFmtId="0" fontId="0" fillId="53" borderId="0" xfId="0" applyNumberFormat="1" applyFont="1" applyFill="1" applyBorder="1"/>
    <x:xf numFmtId="0" fontId="0" fillId="53" borderId="108" xfId="0" applyNumberFormat="1" applyFont="1" applyFill="1" applyBorder="1"/>
    <x:xf numFmtId="0" fontId="0" fillId="53" borderId="109" xfId="0" applyNumberFormat="1" applyFont="1" applyFill="1" applyBorder="1"/>
    <x:xf numFmtId="0" fontId="0" fillId="53" borderId="110" xfId="0" applyNumberFormat="1" applyFont="1" applyFill="1" applyBorder="1"/>
    <x:xf numFmtId="0" fontId="0" fillId="53" borderId="117" xfId="0" applyNumberFormat="1" applyFont="1" applyFill="1" applyBorder="1"/>
    <x:xf numFmtId="0" fontId="0" fillId="53" xfId="0" applyNumberFormat="1" applyFont="1" applyFill="1" applyBorder="0"/>
    <x:xf numFmtId="0" fontId="0" fillId="53" borderId="118" xfId="0" applyNumberFormat="1" applyFont="1" applyFill="1" applyBorder="1"/>
    <x:xf numFmtId="0" fontId="0" fillId="53" borderId="111" xfId="0" applyNumberFormat="1" applyFont="1" applyFill="1" applyBorder="1"/>
    <x:xf numFmtId="0" fontId="0" fillId="53" borderId="112" xfId="0" applyNumberFormat="1" applyFont="1" applyFill="1" applyBorder="1"/>
    <x:xf numFmtId="0" fontId="0" fillId="53" borderId="113" xfId="0" applyNumberFormat="1" applyFont="1" applyFill="1" applyBorder="1"/>
    <x:xf numFmtId="0" fontId="0" fillId="53" borderId="108" xfId="0" applyNumberFormat="1" applyFont="1" applyFill="1" applyBorder="1" applyAlignment="1">
      <x:alignment wrapText="1"/>
    </x:xf>
    <x:xf numFmtId="0" fontId="0" fillId="53" borderId="109" xfId="0" applyNumberFormat="1" applyFont="1" applyFill="1" applyBorder="1" applyAlignment="1">
      <x:alignment wrapText="1"/>
    </x:xf>
    <x:xf numFmtId="0" fontId="0" fillId="53" borderId="110" xfId="0" applyNumberFormat="1" applyFont="1" applyFill="1" applyBorder="1" applyAlignment="1">
      <x:alignment wrapText="1"/>
    </x:xf>
    <x:xf numFmtId="0" fontId="0" fillId="53" borderId="117" xfId="0" applyNumberFormat="1" applyFont="1" applyFill="1" applyBorder="1" applyAlignment="1">
      <x:alignment wrapText="1"/>
    </x:xf>
    <x:xf numFmtId="0" fontId="0" fillId="53" xfId="0" applyNumberFormat="1" applyFont="1" applyFill="1" applyBorder="0" applyAlignment="1">
      <x:alignment wrapText="1"/>
    </x:xf>
    <x:xf numFmtId="0" fontId="0" fillId="53" borderId="118" xfId="0" applyNumberFormat="1" applyFont="1" applyFill="1" applyBorder="1" applyAlignment="1">
      <x:alignment wrapText="1"/>
    </x:xf>
    <x:xf numFmtId="0" fontId="0" fillId="53" borderId="111" xfId="0" applyNumberFormat="1" applyFont="1" applyFill="1" applyBorder="1" applyAlignment="1">
      <x:alignment wrapText="1"/>
    </x:xf>
    <x:xf numFmtId="0" fontId="0" fillId="53" borderId="112" xfId="0" applyNumberFormat="1" applyFont="1" applyFill="1" applyBorder="1" applyAlignment="1">
      <x:alignment wrapText="1"/>
    </x:xf>
    <x:xf numFmtId="0" fontId="0" fillId="53" borderId="113" xfId="0" applyNumberFormat="1" applyFont="1" applyFill="1" applyBorder="1" applyAlignment="1">
      <x:alignment wrapText="1"/>
    </x:xf>
    <x:xf numFmtId="0" fontId="0" fillId="53" borderId="108" xfId="0" applyNumberFormat="1" applyFont="1" applyFill="1" applyBorder="1" applyAlignment="1">
      <x:alignment vertical="center" wrapText="1"/>
    </x:xf>
    <x:xf numFmtId="0" fontId="0" fillId="53" borderId="109" xfId="0" applyNumberFormat="1" applyFont="1" applyFill="1" applyBorder="1" applyAlignment="1">
      <x:alignment vertical="center" wrapText="1"/>
    </x:xf>
    <x:xf numFmtId="0" fontId="0" fillId="53" borderId="110" xfId="0" applyNumberFormat="1" applyFont="1" applyFill="1" applyBorder="1" applyAlignment="1">
      <x:alignment vertical="center" wrapText="1"/>
    </x:xf>
    <x:xf numFmtId="0" fontId="0" fillId="53" borderId="117" xfId="0" applyNumberFormat="1" applyFont="1" applyFill="1" applyBorder="1" applyAlignment="1">
      <x:alignment vertical="center" wrapText="1"/>
    </x:xf>
    <x:xf numFmtId="0" fontId="0" fillId="53" xfId="0" applyNumberFormat="1" applyFont="1" applyFill="1" applyBorder="0" applyAlignment="1">
      <x:alignment vertical="center" wrapText="1"/>
    </x:xf>
    <x:xf numFmtId="0" fontId="0" fillId="53" borderId="118" xfId="0" applyNumberFormat="1" applyFont="1" applyFill="1" applyBorder="1" applyAlignment="1">
      <x:alignment vertical="center" wrapText="1"/>
    </x:xf>
    <x:xf numFmtId="0" fontId="0" fillId="53" borderId="111" xfId="0" applyNumberFormat="1" applyFont="1" applyFill="1" applyBorder="1" applyAlignment="1">
      <x:alignment vertical="center" wrapText="1"/>
    </x:xf>
    <x:xf numFmtId="0" fontId="0" fillId="53" borderId="112" xfId="0" applyNumberFormat="1" applyFont="1" applyFill="1" applyBorder="1" applyAlignment="1">
      <x:alignment vertical="center" wrapText="1"/>
    </x:xf>
    <x:xf numFmtId="0" fontId="0" fillId="53" borderId="113" xfId="0" applyNumberFormat="1" applyFont="1" applyFill="1" applyBorder="1" applyAlignment="1">
      <x:alignment vertical="center" wrapText="1"/>
    </x:xf>
    <x:xf numFmtId="0" fontId="17" fillId="41" borderId="0" xfId="0" applyNumberFormat="1" applyFont="1" applyFill="1" applyBorder="1"/>
    <x:xf numFmtId="0" fontId="17" fillId="41" borderId="0" xfId="0" applyNumberFormat="1" applyFont="1" applyFill="1" applyBorder="1" applyAlignment="1">
      <x:alignment wrapText="1"/>
    </x:xf>
    <x:xf numFmtId="0" fontId="17" fillId="41" borderId="0" xfId="0" applyNumberFormat="1" applyFont="1" applyFill="1" applyBorder="1" applyAlignment="1">
      <x:alignment vertical="center" wrapText="1"/>
    </x:xf>
    <x:xf numFmtId="0" fontId="7" fillId="4" borderId="108" xfId="0" applyNumberFormat="1" applyFont="1" applyFill="1" applyBorder="1"/>
    <x:xf numFmtId="0" fontId="7" fillId="4" borderId="109" xfId="0" applyNumberFormat="1" applyFont="1" applyFill="1" applyBorder="1"/>
    <x:xf numFmtId="0" fontId="7" fillId="4" borderId="110" xfId="0" applyNumberFormat="1" applyFont="1" applyFill="1" applyBorder="1"/>
    <x:xf numFmtId="0" fontId="7" fillId="4" borderId="111" xfId="0" applyNumberFormat="1" applyFont="1" applyFill="1" applyBorder="1"/>
    <x:xf numFmtId="0" fontId="7" fillId="4" borderId="112" xfId="0" applyNumberFormat="1" applyFont="1" applyFill="1" applyBorder="1"/>
    <x:xf numFmtId="0" fontId="7" fillId="4" borderId="113" xfId="0" applyNumberFormat="1" applyFont="1" applyFill="1" applyBorder="1"/>
    <x:xf numFmtId="0" fontId="7" fillId="4" borderId="108" xfId="0" applyNumberFormat="1" applyFont="1" applyFill="1" applyBorder="1" applyAlignment="1">
      <x:alignment wrapText="1"/>
    </x:xf>
    <x:xf numFmtId="0" fontId="7" fillId="4" borderId="109" xfId="0" applyNumberFormat="1" applyFont="1" applyFill="1" applyBorder="1" applyAlignment="1">
      <x:alignment wrapText="1"/>
    </x:xf>
    <x:xf numFmtId="0" fontId="7" fillId="4" borderId="110" xfId="0" applyNumberFormat="1" applyFont="1" applyFill="1" applyBorder="1" applyAlignment="1">
      <x:alignment wrapText="1"/>
    </x:xf>
    <x:xf numFmtId="0" fontId="7" fillId="4" borderId="111" xfId="0" applyNumberFormat="1" applyFont="1" applyFill="1" applyBorder="1" applyAlignment="1">
      <x:alignment wrapText="1"/>
    </x:xf>
    <x:xf numFmtId="0" fontId="7" fillId="4" borderId="112" xfId="0" applyNumberFormat="1" applyFont="1" applyFill="1" applyBorder="1" applyAlignment="1">
      <x:alignment wrapText="1"/>
    </x:xf>
    <x:xf numFmtId="0" fontId="7" fillId="4" borderId="113" xfId="0" applyNumberFormat="1" applyFont="1" applyFill="1" applyBorder="1" applyAlignment="1">
      <x:alignment wrapText="1"/>
    </x:xf>
    <x:xf numFmtId="0" fontId="7" fillId="4" borderId="108" xfId="0" applyNumberFormat="1" applyFont="1" applyFill="1" applyBorder="1" applyAlignment="1">
      <x:alignment vertical="center" wrapText="1"/>
    </x:xf>
    <x:xf numFmtId="0" fontId="7" fillId="4" borderId="109" xfId="0" applyNumberFormat="1" applyFont="1" applyFill="1" applyBorder="1" applyAlignment="1">
      <x:alignment vertical="center" wrapText="1"/>
    </x:xf>
    <x:xf numFmtId="0" fontId="7" fillId="4" borderId="110" xfId="0" applyNumberFormat="1" applyFont="1" applyFill="1" applyBorder="1" applyAlignment="1">
      <x:alignment vertical="center" wrapText="1"/>
    </x:xf>
    <x:xf numFmtId="0" fontId="7" fillId="4" borderId="111" xfId="0" applyNumberFormat="1" applyFont="1" applyFill="1" applyBorder="1" applyAlignment="1">
      <x:alignment vertical="center" wrapText="1"/>
    </x:xf>
    <x:xf numFmtId="0" fontId="7" fillId="4" borderId="112" xfId="0" applyNumberFormat="1" applyFont="1" applyFill="1" applyBorder="1" applyAlignment="1">
      <x:alignment vertical="center" wrapText="1"/>
    </x:xf>
    <x:xf numFmtId="0" fontId="7" fillId="4" borderId="113" xfId="0" applyNumberFormat="1" applyFont="1" applyFill="1" applyBorder="1" applyAlignment="1">
      <x:alignment vertical="center" wrapText="1"/>
    </x:xf>
    <x:xf numFmtId="0" fontId="8" fillId="41" borderId="114" xfId="0" applyNumberFormat="1" applyFont="1" applyFill="1" applyBorder="1" applyAlignment="1">
      <x:alignment wrapText="1"/>
    </x:xf>
    <x:xf numFmtId="0" fontId="8" fillId="41" borderId="115" xfId="0" applyNumberFormat="1" applyFont="1" applyFill="1" applyBorder="1" applyAlignment="1">
      <x:alignment wrapText="1"/>
    </x:xf>
    <x:xf numFmtId="0" fontId="8" fillId="41" borderId="116" xfId="0" applyNumberFormat="1" applyFont="1" applyFill="1" applyBorder="1" applyAlignment="1">
      <x:alignment wrapText="1"/>
    </x:xf>
    <x:xf numFmtId="0" fontId="2" fillId="54" borderId="120" xfId="0" applyNumberFormat="1" applyFont="1" applyFill="1" applyBorder="1" applyAlignment="1">
      <x:alignment vertical="center" wrapText="1"/>
    </x:xf>
    <x:xf numFmtId="0" fontId="2" fillId="54" xfId="0" applyNumberFormat="1" applyFont="1" applyFill="1" applyBorder="0" applyAlignment="1">
      <x:alignment vertical="center" wrapText="1"/>
    </x:xf>
    <x:xf numFmtId="0" fontId="2" fillId="54" borderId="123" xfId="0" applyNumberFormat="1" applyFont="1" applyFill="1" applyBorder="1" applyAlignment="1">
      <x:alignment vertical="center" wrapText="1"/>
    </x:xf>
    <x:xf numFmtId="0" fontId="0" fillId="55" borderId="0" xfId="0" applyNumberFormat="1" applyFont="1" applyFill="1" applyBorder="1"/>
    <x:xf numFmtId="0" fontId="1" fillId="55" borderId="0" xfId="0" applyNumberFormat="1" applyFont="1" applyFill="1" applyBorder="1"/>
    <x:xf numFmtId="0" fontId="1" fillId="55" borderId="0" xfId="0" applyNumberFormat="1" applyFont="1" applyFill="1" applyBorder="1" applyAlignment="1">
      <x:alignment wrapText="1"/>
    </x:xf>
    <x:xf numFmtId="0" fontId="1" fillId="55" borderId="0" xfId="0" applyNumberFormat="1" applyFont="1" applyFill="1" applyBorder="1" applyAlignment="1">
      <x:alignment vertical="center" wrapText="1"/>
    </x:xf>
    <x:xf numFmtId="0" fontId="0" fillId="56" borderId="0" xfId="0" applyNumberFormat="1" applyFont="1" applyFill="1" applyBorder="1"/>
    <x:xf numFmtId="0" fontId="2" fillId="56" borderId="0" xfId="0" applyNumberFormat="1" applyFont="1" applyFill="1" applyBorder="1"/>
    <x:xf numFmtId="0" fontId="2" fillId="56" borderId="15" xfId="0" applyNumberFormat="1" applyFont="1" applyFill="1" applyBorder="1"/>
    <x:xf numFmtId="0" fontId="2" fillId="56" borderId="16" xfId="0" applyNumberFormat="1" applyFont="1" applyFill="1" applyBorder="1"/>
    <x:xf numFmtId="0" fontId="2" fillId="56" borderId="17" xfId="0" applyNumberFormat="1" applyFont="1" applyFill="1" applyBorder="1"/>
    <x:xf numFmtId="0" fontId="2" fillId="56" borderId="20" xfId="0" applyNumberFormat="1" applyFont="1" applyFill="1" applyBorder="1"/>
    <x:xf numFmtId="0" fontId="2" fillId="56" borderId="21" xfId="0" applyNumberFormat="1" applyFont="1" applyFill="1" applyBorder="1"/>
    <x:xf numFmtId="0" fontId="2" fillId="56" borderId="22" xfId="0" applyNumberFormat="1" applyFont="1" applyFill="1" applyBorder="1"/>
    <x:xf numFmtId="0" fontId="2" fillId="56" borderId="15" xfId="0" applyNumberFormat="1" applyFont="1" applyFill="1" applyBorder="1" applyAlignment="1">
      <x:alignment wrapText="1"/>
    </x:xf>
    <x:xf numFmtId="0" fontId="2" fillId="56" borderId="16" xfId="0" applyNumberFormat="1" applyFont="1" applyFill="1" applyBorder="1" applyAlignment="1">
      <x:alignment wrapText="1"/>
    </x:xf>
    <x:xf numFmtId="0" fontId="2" fillId="56" borderId="17" xfId="0" applyNumberFormat="1" applyFont="1" applyFill="1" applyBorder="1" applyAlignment="1">
      <x:alignment wrapText="1"/>
    </x:xf>
    <x:xf numFmtId="0" fontId="2" fillId="56" borderId="20" xfId="0" applyNumberFormat="1" applyFont="1" applyFill="1" applyBorder="1" applyAlignment="1">
      <x:alignment wrapText="1"/>
    </x:xf>
    <x:xf numFmtId="0" fontId="2" fillId="56" borderId="21" xfId="0" applyNumberFormat="1" applyFont="1" applyFill="1" applyBorder="1" applyAlignment="1">
      <x:alignment wrapText="1"/>
    </x:xf>
    <x:xf numFmtId="0" fontId="2" fillId="56" borderId="22" xfId="0" applyNumberFormat="1" applyFont="1" applyFill="1" applyBorder="1" applyAlignment="1">
      <x:alignment wrapText="1"/>
    </x:xf>
    <x:xf numFmtId="0" fontId="2" fillId="56" borderId="15" xfId="0" applyNumberFormat="1" applyFont="1" applyFill="1" applyBorder="1" applyAlignment="1">
      <x:alignment vertical="center" wrapText="1"/>
    </x:xf>
    <x:xf numFmtId="0" fontId="2" fillId="56" borderId="16" xfId="0" applyNumberFormat="1" applyFont="1" applyFill="1" applyBorder="1" applyAlignment="1">
      <x:alignment vertical="center" wrapText="1"/>
    </x:xf>
    <x:xf numFmtId="0" fontId="2" fillId="56" borderId="17" xfId="0" applyNumberFormat="1" applyFont="1" applyFill="1" applyBorder="1" applyAlignment="1">
      <x:alignment vertical="center" wrapText="1"/>
    </x:xf>
    <x:xf numFmtId="0" fontId="2" fillId="56" borderId="20" xfId="0" applyNumberFormat="1" applyFont="1" applyFill="1" applyBorder="1" applyAlignment="1">
      <x:alignment vertical="center" wrapText="1"/>
    </x:xf>
    <x:xf numFmtId="0" fontId="2" fillId="56" borderId="21" xfId="0" applyNumberFormat="1" applyFont="1" applyFill="1" applyBorder="1" applyAlignment="1">
      <x:alignment vertical="center" wrapText="1"/>
    </x:xf>
    <x:xf numFmtId="0" fontId="2" fillId="56" borderId="22" xfId="0" applyNumberFormat="1" applyFont="1" applyFill="1" applyBorder="1" applyAlignment="1">
      <x:alignment vertical="center" wrapText="1"/>
    </x:xf>
    <x:xf numFmtId="0" fontId="0" fillId="57" borderId="0" xfId="0" applyNumberFormat="1" applyFont="1" applyFill="1" applyBorder="1"/>
    <x:xf numFmtId="0" fontId="8" fillId="57" borderId="0" xfId="0" applyNumberFormat="1" applyFont="1" applyFill="1" applyBorder="1"/>
    <x:xf numFmtId="0" fontId="8" fillId="57" borderId="12" xfId="0" applyNumberFormat="1" applyFont="1" applyFill="1" applyBorder="1"/>
    <x:xf numFmtId="0" fontId="8" fillId="57" borderId="14" xfId="0" applyNumberFormat="1" applyFont="1" applyFill="1" applyBorder="1"/>
    <x:xf numFmtId="0" fontId="8" fillId="57" borderId="13" xfId="0" applyNumberFormat="1" applyFont="1" applyFill="1" applyBorder="1"/>
    <x:xf numFmtId="0" fontId="8" fillId="57" borderId="12" xfId="0" applyNumberFormat="1" applyFont="1" applyFill="1" applyBorder="1" applyAlignment="1">
      <x:alignment wrapText="1"/>
    </x:xf>
    <x:xf numFmtId="0" fontId="8" fillId="57" borderId="14" xfId="0" applyNumberFormat="1" applyFont="1" applyFill="1" applyBorder="1" applyAlignment="1">
      <x:alignment wrapText="1"/>
    </x:xf>
    <x:xf numFmtId="0" fontId="8" fillId="57" borderId="13" xfId="0" applyNumberFormat="1" applyFont="1" applyFill="1" applyBorder="1" applyAlignment="1">
      <x:alignment wrapText="1"/>
    </x:xf>
    <x:xf numFmtId="0" fontId="8" fillId="57" borderId="12" xfId="0" applyNumberFormat="1" applyFont="1" applyFill="1" applyBorder="1" applyAlignment="1">
      <x:alignment horizontal="center" wrapText="1"/>
    </x:xf>
    <x:xf numFmtId="0" fontId="8" fillId="57" borderId="14" xfId="0" applyNumberFormat="1" applyFont="1" applyFill="1" applyBorder="1" applyAlignment="1">
      <x:alignment horizontal="center" wrapText="1"/>
    </x:xf>
    <x:xf numFmtId="0" fontId="8" fillId="57" borderId="13" xfId="0" applyNumberFormat="1" applyFont="1" applyFill="1" applyBorder="1" applyAlignment="1">
      <x:alignment horizontal="center" wrapText="1"/>
    </x:xf>
    <x:xf numFmtId="0" fontId="8" fillId="57" borderId="12" xfId="0" applyNumberFormat="1" applyFont="1" applyFill="1" applyBorder="1" applyAlignment="1">
      <x:alignment horizontal="center" vertical="center" wrapText="1"/>
    </x:xf>
    <x:xf numFmtId="0" fontId="8" fillId="57" borderId="14" xfId="0" applyNumberFormat="1" applyFont="1" applyFill="1" applyBorder="1" applyAlignment="1">
      <x:alignment horizontal="center" vertical="center" wrapText="1"/>
    </x:xf>
    <x:xf numFmtId="0" fontId="8" fillId="57" borderId="13" xfId="0" applyNumberFormat="1" applyFont="1" applyFill="1" applyBorder="1" applyAlignment="1">
      <x:alignment horizontal="center" vertical="center" wrapText="1"/>
    </x:xf>
    <x:xf numFmtId="0" fontId="2" fillId="0" borderId="15" xfId="0" applyNumberFormat="1" applyFont="1" applyFill="1" applyBorder="1" applyAlignment="1">
      <x:alignment vertical="center" wrapText="1"/>
    </x:xf>
    <x:xf numFmtId="0" fontId="2" fillId="0" borderId="16" xfId="0" applyNumberFormat="1" applyFont="1" applyFill="1" applyBorder="1" applyAlignment="1">
      <x:alignment vertical="center" wrapText="1"/>
    </x:xf>
    <x:xf numFmtId="0" fontId="2" fillId="0" borderId="17" xfId="0" applyNumberFormat="1" applyFont="1" applyFill="1" applyBorder="1" applyAlignment="1">
      <x:alignment vertical="center" wrapText="1"/>
    </x:xf>
    <x:xf numFmtId="0" fontId="2" fillId="0" borderId="18" xfId="0" applyNumberFormat="1" applyFont="1" applyFill="1" applyBorder="1" applyAlignment="1">
      <x:alignment vertical="center" wrapText="1"/>
    </x:xf>
    <x:xf numFmtId="0" fontId="2" fillId="0" borderId="19" xfId="0" applyNumberFormat="1" applyFont="1" applyFill="1" applyBorder="1" applyAlignment="1">
      <x:alignment vertical="center" wrapText="1"/>
    </x:xf>
    <x:xf numFmtId="0" fontId="2" fillId="0" borderId="20" xfId="0" applyNumberFormat="1" applyFont="1" applyFill="1" applyBorder="1" applyAlignment="1">
      <x:alignment vertical="center" wrapText="1"/>
    </x:xf>
    <x:xf numFmtId="0" fontId="2" fillId="0" borderId="21" xfId="0" applyNumberFormat="1" applyFont="1" applyFill="1" applyBorder="1" applyAlignment="1">
      <x:alignment vertical="center" wrapText="1"/>
    </x:xf>
    <x:xf numFmtId="0" fontId="2" fillId="0" borderId="22" xfId="0" applyNumberFormat="1" applyFont="1" applyFill="1" applyBorder="1" applyAlignment="1">
      <x:alignment vertical="center" wrapText="1"/>
    </x:xf>
    <x:xf numFmtId="0" fontId="2" fillId="54" borderId="16" xfId="0" applyNumberFormat="1" applyFont="1" applyFill="1" applyBorder="1" applyAlignment="1">
      <x:alignment vertical="center" wrapText="1"/>
    </x:xf>
    <x:xf numFmtId="0" fontId="2" fillId="54" borderId="21" xfId="0" applyNumberFormat="1" applyFont="1" applyFill="1" applyBorder="1" applyAlignment="1">
      <x:alignment vertical="center" wrapText="1"/>
    </x:xf>
    <x:xf numFmtId="0" fontId="2" fillId="54" borderId="17" xfId="0" applyNumberFormat="1" applyFont="1" applyFill="1" applyBorder="1" applyAlignment="1">
      <x:alignment vertical="center" wrapText="1"/>
    </x:xf>
    <x:xf numFmtId="0" fontId="2" fillId="54" borderId="19" xfId="0" applyNumberFormat="1" applyFont="1" applyFill="1" applyBorder="1" applyAlignment="1">
      <x:alignment vertical="center" wrapText="1"/>
    </x:xf>
    <x:xf numFmtId="0" fontId="2" fillId="54" borderId="22" xfId="0" applyNumberFormat="1" applyFont="1" applyFill="1" applyBorder="1" applyAlignment="1">
      <x:alignment vertical="center" wrapText="1"/>
    </x:xf>
    <x:xf numFmtId="0" fontId="2" fillId="58" borderId="16" xfId="0" applyNumberFormat="1" applyFont="1" applyFill="1" applyBorder="1" applyAlignment="1">
      <x:alignment vertical="center" wrapText="1"/>
    </x:xf>
    <x:xf numFmtId="0" fontId="2" fillId="58" xfId="0" applyNumberFormat="1" applyFont="1" applyFill="1" applyBorder="0" applyAlignment="1">
      <x:alignment vertical="center" wrapText="1"/>
    </x:xf>
    <x:xf numFmtId="0" fontId="2" fillId="58" borderId="21" xfId="0" applyNumberFormat="1" applyFont="1" applyFill="1" applyBorder="1" applyAlignment="1">
      <x:alignment vertical="center" wrapText="1"/>
    </x:xf>
    <x:xf numFmtId="0" fontId="0" fillId="56" borderId="15" xfId="0" applyNumberFormat="1" applyFont="1" applyFill="1" applyBorder="1"/>
    <x:xf numFmtId="0" fontId="0" fillId="56" borderId="16" xfId="0" applyNumberFormat="1" applyFont="1" applyFill="1" applyBorder="1"/>
    <x:xf numFmtId="0" fontId="0" fillId="56" borderId="17" xfId="0" applyNumberFormat="1" applyFont="1" applyFill="1" applyBorder="1"/>
    <x:xf numFmtId="0" fontId="0" fillId="56" borderId="18" xfId="0" applyNumberFormat="1" applyFont="1" applyFill="1" applyBorder="1"/>
    <x:xf numFmtId="0" fontId="0" fillId="56" xfId="0" applyNumberFormat="1" applyFont="1" applyFill="1" applyBorder="0"/>
    <x:xf numFmtId="0" fontId="0" fillId="56" borderId="19" xfId="0" applyNumberFormat="1" applyFont="1" applyFill="1" applyBorder="1"/>
    <x:xf numFmtId="0" fontId="0" fillId="56" borderId="20" xfId="0" applyNumberFormat="1" applyFont="1" applyFill="1" applyBorder="1"/>
    <x:xf numFmtId="0" fontId="0" fillId="56" borderId="21" xfId="0" applyNumberFormat="1" applyFont="1" applyFill="1" applyBorder="1"/>
    <x:xf numFmtId="0" fontId="0" fillId="56" borderId="22" xfId="0" applyNumberFormat="1" applyFont="1" applyFill="1" applyBorder="1"/>
    <x:xf numFmtId="0" fontId="0" fillId="56" borderId="15" xfId="0" applyNumberFormat="1" applyFont="1" applyFill="1" applyBorder="1" applyAlignment="1">
      <x:alignment wrapText="1"/>
    </x:xf>
    <x:xf numFmtId="0" fontId="0" fillId="56" borderId="16" xfId="0" applyNumberFormat="1" applyFont="1" applyFill="1" applyBorder="1" applyAlignment="1">
      <x:alignment wrapText="1"/>
    </x:xf>
    <x:xf numFmtId="0" fontId="0" fillId="56" borderId="17" xfId="0" applyNumberFormat="1" applyFont="1" applyFill="1" applyBorder="1" applyAlignment="1">
      <x:alignment wrapText="1"/>
    </x:xf>
    <x:xf numFmtId="0" fontId="0" fillId="56" borderId="18" xfId="0" applyNumberFormat="1" applyFont="1" applyFill="1" applyBorder="1" applyAlignment="1">
      <x:alignment wrapText="1"/>
    </x:xf>
    <x:xf numFmtId="0" fontId="0" fillId="56" xfId="0" applyNumberFormat="1" applyFont="1" applyFill="1" applyBorder="0" applyAlignment="1">
      <x:alignment wrapText="1"/>
    </x:xf>
    <x:xf numFmtId="0" fontId="0" fillId="56" borderId="19" xfId="0" applyNumberFormat="1" applyFont="1" applyFill="1" applyBorder="1" applyAlignment="1">
      <x:alignment wrapText="1"/>
    </x:xf>
    <x:xf numFmtId="0" fontId="0" fillId="56" borderId="20" xfId="0" applyNumberFormat="1" applyFont="1" applyFill="1" applyBorder="1" applyAlignment="1">
      <x:alignment wrapText="1"/>
    </x:xf>
    <x:xf numFmtId="0" fontId="0" fillId="56" borderId="21" xfId="0" applyNumberFormat="1" applyFont="1" applyFill="1" applyBorder="1" applyAlignment="1">
      <x:alignment wrapText="1"/>
    </x:xf>
    <x:xf numFmtId="0" fontId="0" fillId="56" borderId="22" xfId="0" applyNumberFormat="1" applyFont="1" applyFill="1" applyBorder="1" applyAlignment="1">
      <x:alignment wrapText="1"/>
    </x:xf>
    <x:xf numFmtId="0" fontId="0" fillId="56" borderId="15" xfId="0" applyNumberFormat="1" applyFont="1" applyFill="1" applyBorder="1" applyAlignment="1">
      <x:alignment vertical="center" wrapText="1"/>
    </x:xf>
    <x:xf numFmtId="0" fontId="0" fillId="56" borderId="16" xfId="0" applyNumberFormat="1" applyFont="1" applyFill="1" applyBorder="1" applyAlignment="1">
      <x:alignment vertical="center" wrapText="1"/>
    </x:xf>
    <x:xf numFmtId="0" fontId="0" fillId="56" borderId="17" xfId="0" applyNumberFormat="1" applyFont="1" applyFill="1" applyBorder="1" applyAlignment="1">
      <x:alignment vertical="center" wrapText="1"/>
    </x:xf>
    <x:xf numFmtId="0" fontId="0" fillId="56" borderId="18" xfId="0" applyNumberFormat="1" applyFont="1" applyFill="1" applyBorder="1" applyAlignment="1">
      <x:alignment vertical="center" wrapText="1"/>
    </x:xf>
    <x:xf numFmtId="0" fontId="0" fillId="56" xfId="0" applyNumberFormat="1" applyFont="1" applyFill="1" applyBorder="0" applyAlignment="1">
      <x:alignment vertical="center" wrapText="1"/>
    </x:xf>
    <x:xf numFmtId="0" fontId="0" fillId="56" borderId="19" xfId="0" applyNumberFormat="1" applyFont="1" applyFill="1" applyBorder="1" applyAlignment="1">
      <x:alignment vertical="center" wrapText="1"/>
    </x:xf>
    <x:xf numFmtId="0" fontId="0" fillId="56" borderId="20" xfId="0" applyNumberFormat="1" applyFont="1" applyFill="1" applyBorder="1" applyAlignment="1">
      <x:alignment vertical="center" wrapText="1"/>
    </x:xf>
    <x:xf numFmtId="0" fontId="0" fillId="56" borderId="21" xfId="0" applyNumberFormat="1" applyFont="1" applyFill="1" applyBorder="1" applyAlignment="1">
      <x:alignment vertical="center" wrapText="1"/>
    </x:xf>
    <x:xf numFmtId="0" fontId="0" fillId="56" borderId="22" xfId="0" applyNumberFormat="1" applyFont="1" applyFill="1" applyBorder="1" applyAlignment="1">
      <x:alignment vertical="center" wrapText="1"/>
    </x:xf>
    <x:xf numFmtId="0" fontId="0" fillId="58" borderId="0" xfId="0" applyNumberFormat="1" applyFont="1" applyFill="1" applyBorder="1"/>
    <x:xf numFmtId="0" fontId="18" fillId="58" borderId="0" xfId="0" applyNumberFormat="1" applyFont="1" applyFill="1" applyBorder="1"/>
    <x:xf numFmtId="0" fontId="18" fillId="58" borderId="15" xfId="0" applyNumberFormat="1" applyFont="1" applyFill="1" applyBorder="1"/>
    <x:xf numFmtId="0" fontId="18" fillId="58" borderId="17" xfId="0" applyNumberFormat="1" applyFont="1" applyFill="1" applyBorder="1"/>
    <x:xf numFmtId="0" fontId="18" fillId="58" borderId="20" xfId="0" applyNumberFormat="1" applyFont="1" applyFill="1" applyBorder="1"/>
    <x:xf numFmtId="0" fontId="18" fillId="58" borderId="22" xfId="0" applyNumberFormat="1" applyFont="1" applyFill="1" applyBorder="1"/>
    <x:xf numFmtId="0" fontId="18" fillId="58" borderId="15" xfId="0" applyNumberFormat="1" applyFont="1" applyFill="1" applyBorder="1" applyAlignment="1">
      <x:alignment horizontal="center"/>
    </x:xf>
    <x:xf numFmtId="0" fontId="18" fillId="58" borderId="17" xfId="0" applyNumberFormat="1" applyFont="1" applyFill="1" applyBorder="1" applyAlignment="1">
      <x:alignment horizontal="center"/>
    </x:xf>
    <x:xf numFmtId="0" fontId="18" fillId="58" borderId="20" xfId="0" applyNumberFormat="1" applyFont="1" applyFill="1" applyBorder="1" applyAlignment="1">
      <x:alignment horizontal="center"/>
    </x:xf>
    <x:xf numFmtId="0" fontId="18" fillId="58" borderId="22" xfId="0" applyNumberFormat="1" applyFont="1" applyFill="1" applyBorder="1" applyAlignment="1">
      <x:alignment horizontal="center"/>
    </x:xf>
    <x:xf numFmtId="0" fontId="18" fillId="58" borderId="15" xfId="0" applyNumberFormat="1" applyFont="1" applyFill="1" applyBorder="1" applyAlignment="1">
      <x:alignment horizontal="center" vertical="center"/>
    </x:xf>
    <x:xf numFmtId="0" fontId="18" fillId="58" borderId="17" xfId="0" applyNumberFormat="1" applyFont="1" applyFill="1" applyBorder="1" applyAlignment="1">
      <x:alignment horizontal="center" vertical="center"/>
    </x:xf>
    <x:xf numFmtId="0" fontId="18" fillId="58" borderId="20" xfId="0" applyNumberFormat="1" applyFont="1" applyFill="1" applyBorder="1" applyAlignment="1">
      <x:alignment horizontal="center" vertical="center"/>
    </x:xf>
    <x:xf numFmtId="0" fontId="18" fillId="58" borderId="22" xfId="0" applyNumberFormat="1" applyFont="1" applyFill="1" applyBorder="1" applyAlignment="1">
      <x:alignment horizontal="center" vertical="center"/>
    </x:xf>
    <x:xf numFmtId="0" fontId="10" fillId="58" borderId="0" xfId="0" applyNumberFormat="1" applyFont="1" applyFill="1" applyBorder="1"/>
    <x:xf numFmtId="0" fontId="10" fillId="58" borderId="15" xfId="0" applyNumberFormat="1" applyFont="1" applyFill="1" applyBorder="1"/>
    <x:xf numFmtId="0" fontId="10" fillId="58" borderId="17" xfId="0" applyNumberFormat="1" applyFont="1" applyFill="1" applyBorder="1"/>
    <x:xf numFmtId="0" fontId="10" fillId="58" borderId="20" xfId="0" applyNumberFormat="1" applyFont="1" applyFill="1" applyBorder="1"/>
    <x:xf numFmtId="0" fontId="10" fillId="58" borderId="22" xfId="0" applyNumberFormat="1" applyFont="1" applyFill="1" applyBorder="1"/>
    <x:xf numFmtId="0" fontId="10" fillId="58" borderId="15" xfId="0" applyNumberFormat="1" applyFont="1" applyFill="1" applyBorder="1" applyAlignment="1">
      <x:alignment wrapText="1"/>
    </x:xf>
    <x:xf numFmtId="0" fontId="10" fillId="58" borderId="17" xfId="0" applyNumberFormat="1" applyFont="1" applyFill="1" applyBorder="1" applyAlignment="1">
      <x:alignment wrapText="1"/>
    </x:xf>
    <x:xf numFmtId="0" fontId="10" fillId="58" borderId="20" xfId="0" applyNumberFormat="1" applyFont="1" applyFill="1" applyBorder="1" applyAlignment="1">
      <x:alignment wrapText="1"/>
    </x:xf>
    <x:xf numFmtId="0" fontId="10" fillId="58" borderId="22" xfId="0" applyNumberFormat="1" applyFont="1" applyFill="1" applyBorder="1" applyAlignment="1">
      <x:alignment wrapText="1"/>
    </x:xf>
    <x:xf numFmtId="0" fontId="10" fillId="58" borderId="15" xfId="0" applyNumberFormat="1" applyFont="1" applyFill="1" applyBorder="1" applyAlignment="1">
      <x:alignment horizontal="center" wrapText="1"/>
    </x:xf>
    <x:xf numFmtId="0" fontId="10" fillId="58" borderId="17" xfId="0" applyNumberFormat="1" applyFont="1" applyFill="1" applyBorder="1" applyAlignment="1">
      <x:alignment horizontal="center" wrapText="1"/>
    </x:xf>
    <x:xf numFmtId="0" fontId="10" fillId="58" borderId="20" xfId="0" applyNumberFormat="1" applyFont="1" applyFill="1" applyBorder="1" applyAlignment="1">
      <x:alignment horizontal="center" wrapText="1"/>
    </x:xf>
    <x:xf numFmtId="0" fontId="10" fillId="58" borderId="22" xfId="0" applyNumberFormat="1" applyFont="1" applyFill="1" applyBorder="1" applyAlignment="1">
      <x:alignment horizontal="center" wrapText="1"/>
    </x:xf>
    <x:xf numFmtId="0" fontId="10" fillId="58" borderId="15" xfId="0" applyNumberFormat="1" applyFont="1" applyFill="1" applyBorder="1" applyAlignment="1">
      <x:alignment horizontal="center" vertical="center" wrapText="1"/>
    </x:xf>
    <x:xf numFmtId="0" fontId="10" fillId="58" borderId="17" xfId="0" applyNumberFormat="1" applyFont="1" applyFill="1" applyBorder="1" applyAlignment="1">
      <x:alignment horizontal="center" vertical="center" wrapText="1"/>
    </x:xf>
    <x:xf numFmtId="0" fontId="10" fillId="58" borderId="20" xfId="0" applyNumberFormat="1" applyFont="1" applyFill="1" applyBorder="1" applyAlignment="1">
      <x:alignment horizontal="center" vertical="center" wrapText="1"/>
    </x:xf>
    <x:xf numFmtId="0" fontId="10" fillId="58" borderId="22" xfId="0" applyNumberFormat="1" applyFont="1" applyFill="1" applyBorder="1" applyAlignment="1">
      <x:alignment horizontal="center" vertical="center" wrapText="1"/>
    </x:xf>
    <x:xf numFmtId="0" fontId="0" fillId="54" borderId="0" xfId="0" applyNumberFormat="1" applyFont="1" applyFill="1" applyBorder="1"/>
    <x:xf numFmtId="0" fontId="0" fillId="54" borderId="15" xfId="0" applyNumberFormat="1" applyFont="1" applyFill="1" applyBorder="1"/>
    <x:xf numFmtId="0" fontId="0" fillId="54" borderId="16" xfId="0" applyNumberFormat="1" applyFont="1" applyFill="1" applyBorder="1"/>
    <x:xf numFmtId="0" fontId="0" fillId="54" borderId="17" xfId="0" applyNumberFormat="1" applyFont="1" applyFill="1" applyBorder="1"/>
    <x:xf numFmtId="0" fontId="0" fillId="54" borderId="18" xfId="0" applyNumberFormat="1" applyFont="1" applyFill="1" applyBorder="1"/>
    <x:xf numFmtId="0" fontId="0" fillId="54" xfId="0" applyNumberFormat="1" applyFont="1" applyFill="1" applyBorder="0"/>
    <x:xf numFmtId="0" fontId="0" fillId="54" borderId="19" xfId="0" applyNumberFormat="1" applyFont="1" applyFill="1" applyBorder="1"/>
    <x:xf numFmtId="0" fontId="0" fillId="54" borderId="20" xfId="0" applyNumberFormat="1" applyFont="1" applyFill="1" applyBorder="1"/>
    <x:xf numFmtId="0" fontId="0" fillId="54" borderId="21" xfId="0" applyNumberFormat="1" applyFont="1" applyFill="1" applyBorder="1"/>
    <x:xf numFmtId="0" fontId="0" fillId="54" borderId="22" xfId="0" applyNumberFormat="1" applyFont="1" applyFill="1" applyBorder="1"/>
    <x:xf numFmtId="0" fontId="0" fillId="54" borderId="15" xfId="0" applyNumberFormat="1" applyFont="1" applyFill="1" applyBorder="1" applyAlignment="1">
      <x:alignment wrapText="1"/>
    </x:xf>
    <x:xf numFmtId="0" fontId="0" fillId="54" borderId="16" xfId="0" applyNumberFormat="1" applyFont="1" applyFill="1" applyBorder="1" applyAlignment="1">
      <x:alignment wrapText="1"/>
    </x:xf>
    <x:xf numFmtId="0" fontId="0" fillId="54" borderId="17" xfId="0" applyNumberFormat="1" applyFont="1" applyFill="1" applyBorder="1" applyAlignment="1">
      <x:alignment wrapText="1"/>
    </x:xf>
    <x:xf numFmtId="0" fontId="0" fillId="54" borderId="18" xfId="0" applyNumberFormat="1" applyFont="1" applyFill="1" applyBorder="1" applyAlignment="1">
      <x:alignment wrapText="1"/>
    </x:xf>
    <x:xf numFmtId="0" fontId="0" fillId="54" xfId="0" applyNumberFormat="1" applyFont="1" applyFill="1" applyBorder="0" applyAlignment="1">
      <x:alignment wrapText="1"/>
    </x:xf>
    <x:xf numFmtId="0" fontId="0" fillId="54" borderId="19" xfId="0" applyNumberFormat="1" applyFont="1" applyFill="1" applyBorder="1" applyAlignment="1">
      <x:alignment wrapText="1"/>
    </x:xf>
    <x:xf numFmtId="0" fontId="0" fillId="54" borderId="20" xfId="0" applyNumberFormat="1" applyFont="1" applyFill="1" applyBorder="1" applyAlignment="1">
      <x:alignment wrapText="1"/>
    </x:xf>
    <x:xf numFmtId="0" fontId="0" fillId="54" borderId="21" xfId="0" applyNumberFormat="1" applyFont="1" applyFill="1" applyBorder="1" applyAlignment="1">
      <x:alignment wrapText="1"/>
    </x:xf>
    <x:xf numFmtId="0" fontId="0" fillId="54" borderId="22" xfId="0" applyNumberFormat="1" applyFont="1" applyFill="1" applyBorder="1" applyAlignment="1">
      <x:alignment wrapText="1"/>
    </x:xf>
    <x:xf numFmtId="0" fontId="0" fillId="54" borderId="15" xfId="0" applyNumberFormat="1" applyFont="1" applyFill="1" applyBorder="1" applyAlignment="1">
      <x:alignment vertical="center" wrapText="1"/>
    </x:xf>
    <x:xf numFmtId="0" fontId="0" fillId="54" borderId="16" xfId="0" applyNumberFormat="1" applyFont="1" applyFill="1" applyBorder="1" applyAlignment="1">
      <x:alignment vertical="center" wrapText="1"/>
    </x:xf>
    <x:xf numFmtId="0" fontId="0" fillId="54" borderId="17" xfId="0" applyNumberFormat="1" applyFont="1" applyFill="1" applyBorder="1" applyAlignment="1">
      <x:alignment vertical="center" wrapText="1"/>
    </x:xf>
    <x:xf numFmtId="0" fontId="0" fillId="54" borderId="18" xfId="0" applyNumberFormat="1" applyFont="1" applyFill="1" applyBorder="1" applyAlignment="1">
      <x:alignment vertical="center" wrapText="1"/>
    </x:xf>
    <x:xf numFmtId="0" fontId="0" fillId="54" xfId="0" applyNumberFormat="1" applyFont="1" applyFill="1" applyBorder="0" applyAlignment="1">
      <x:alignment vertical="center" wrapText="1"/>
    </x:xf>
    <x:xf numFmtId="0" fontId="0" fillId="54" borderId="19" xfId="0" applyNumberFormat="1" applyFont="1" applyFill="1" applyBorder="1" applyAlignment="1">
      <x:alignment vertical="center" wrapText="1"/>
    </x:xf>
    <x:xf numFmtId="0" fontId="0" fillId="54" borderId="20" xfId="0" applyNumberFormat="1" applyFont="1" applyFill="1" applyBorder="1" applyAlignment="1">
      <x:alignment vertical="center" wrapText="1"/>
    </x:xf>
    <x:xf numFmtId="0" fontId="0" fillId="54" borderId="21" xfId="0" applyNumberFormat="1" applyFont="1" applyFill="1" applyBorder="1" applyAlignment="1">
      <x:alignment vertical="center" wrapText="1"/>
    </x:xf>
    <x:xf numFmtId="0" fontId="0" fillId="54" borderId="22" xfId="0" applyNumberFormat="1" applyFont="1" applyFill="1" applyBorder="1" applyAlignment="1">
      <x:alignment vertical="center" wrapText="1"/>
    </x:xf>
    <x:xf numFmtId="0" fontId="2" fillId="56" borderId="18" xfId="0" applyNumberFormat="1" applyFont="1" applyFill="1" applyBorder="1"/>
    <x:xf numFmtId="0" fontId="2" fillId="56" xfId="0" applyNumberFormat="1" applyFont="1" applyFill="1" applyBorder="0"/>
    <x:xf numFmtId="0" fontId="2" fillId="56" borderId="19" xfId="0" applyNumberFormat="1" applyFont="1" applyFill="1" applyBorder="1"/>
    <x:xf numFmtId="0" fontId="2" fillId="56" borderId="18" xfId="0" applyNumberFormat="1" applyFont="1" applyFill="1" applyBorder="1" applyAlignment="1">
      <x:alignment wrapText="1"/>
    </x:xf>
    <x:xf numFmtId="0" fontId="2" fillId="56" xfId="0" applyNumberFormat="1" applyFont="1" applyFill="1" applyBorder="0" applyAlignment="1">
      <x:alignment wrapText="1"/>
    </x:xf>
    <x:xf numFmtId="0" fontId="2" fillId="56" borderId="19" xfId="0" applyNumberFormat="1" applyFont="1" applyFill="1" applyBorder="1" applyAlignment="1">
      <x:alignment wrapText="1"/>
    </x:xf>
    <x:xf numFmtId="0" fontId="2" fillId="56" borderId="18" xfId="0" applyNumberFormat="1" applyFont="1" applyFill="1" applyBorder="1" applyAlignment="1">
      <x:alignment vertical="center" wrapText="1"/>
    </x:xf>
    <x:xf numFmtId="0" fontId="2" fillId="56" xfId="0" applyNumberFormat="1" applyFont="1" applyFill="1" applyBorder="0" applyAlignment="1">
      <x:alignment vertical="center" wrapText="1"/>
    </x:xf>
    <x:xf numFmtId="0" fontId="2" fillId="56" borderId="19" xfId="0" applyNumberFormat="1" applyFont="1" applyFill="1" applyBorder="1" applyAlignment="1">
      <x:alignment vertical="center" wrapText="1"/>
    </x:xf>
  </x:cellXfs>
  <x:cellStyles count="2">
    <x:cellStyle name="Normal" xfId="1"/>
    <x:cellStyle name="표준" xfId="0"/>
  </x:cellStyles>
  <x:dxfs count="70">
    <x:dxf>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color rgb="FF9C0006"/>
      </x:font>
      <x:fill>
        <x:patternFill>
          <x:bgColor rgb="FFFFC7CE"/>
        </x:patternFill>
      </x:fill>
    </x:dxf>
    <x:dxf>
      <x:font>
        <x:b/>
        <x:color rgb="FF006100"/>
      </x:font>
      <x:fill>
        <x:patternFill>
          <x:bgColor rgb="FFE2F0D9"/>
        </x:patternFill>
      </x:fill>
    </x:dxf>
    <x:dxf>
      <x:font>
        <x:b/>
      </x:font>
      <x:fill>
        <x:patternFill>
          <x:bgColor rgb="FFE2F0D9"/>
        </x:patternFill>
      </x:fill>
    </x:dxf>
    <x:dxf>
      <x:font>
        <x:b/>
      </x:font>
      <x:fill>
        <x:patternFill>
          <x:bgColor rgb="FFFFF2CC"/>
        </x:patternFill>
      </x:fill>
    </x:dxf>
    <x:dxf>
      <x:font>
        <x:b/>
        <x:color rgb="FF9C0006"/>
      </x:font>
      <x:fill>
        <x:patternFill>
          <x:bgColor rgb="FFFFC7CE"/>
        </x:patternFill>
      </x:fill>
    </x:dxf>
    <x:dxf>
      <x:font>
        <x:b/>
        <x:color rgb="FF9C0006"/>
      </x:font>
      <x:fill>
        <x:patternFill>
          <x:bgColor rgb="FFFFC7CE"/>
        </x:patternFill>
      </x:fill>
    </x:dxf>
    <x:dxf>
      <x:font>
        <x:b/>
      </x:font>
      <x:fill>
        <x:patternFill>
          <x:bgColor rgb="FFE2F0D9"/>
        </x:patternFill>
      </x:fill>
    </x:dxf>
    <x:dxf>
      <x:font>
        <x:b/>
        <x:color rgb="FF9C0006"/>
      </x:font>
      <x:fill>
        <x:patternFill>
          <x:bgColor rgb="FFFFC7CE"/>
        </x:patternFill>
      </x:fill>
    </x:dxf>
    <x:dxf>
      <x:font>
        <x:b/>
      </x:font>
      <x:fill>
        <x:patternFill>
          <x:bgColor rgb="FFE2F0D9"/>
        </x:patternFill>
      </x:fill>
    </x:dxf>
    <x:dxf>
      <x:fill>
        <x:patternFill>
          <x:bgColor rgb="FFFCE4D6"/>
        </x:patternFill>
      </x:fill>
    </x:dxf>
    <x:dxf>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E2F0D9"/>
        </x:patternFill>
      </x:fill>
    </x:dxf>
    <x:dxf>
      <x:font>
        <x:b/>
        <x:color rgb="FF9C0006"/>
      </x:font>
      <x:fill>
        <x:patternFill>
          <x:bgColor rgb="FFFFC7CE"/>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FCE4D6"/>
        </x:patternFill>
      </x:fill>
    </x:dxf>
    <x:dxf>
      <x:font>
        <x:b/>
      </x:font>
      <x:fill>
        <x:patternFill>
          <x:bgColor rgb="FFFCE4D6"/>
        </x:patternFill>
      </x:fill>
    </x:dxf>
    <x:dxf>
      <x:font>
        <x:b/>
      </x:font>
      <x:fill>
        <x:patternFill>
          <x:bgColor rgb="FFE2F0D9"/>
        </x:patternFill>
      </x:fill>
    </x:dxf>
    <x:dxf>
      <x:fill>
        <x:patternFill>
          <x:bgColor rgb="FFFFF2CC"/>
        </x:patternFill>
      </x:fill>
    </x:dxf>
    <x:dxf>
      <x:font>
        <x:b/>
      </x:font>
      <x:fill>
        <x:patternFill>
          <x:bgColor rgb="FFE2F0D9"/>
        </x:patternFill>
      </x:fill>
    </x:dxf>
    <x:dxf>
      <x:font>
        <x:b/>
      </x:font>
      <x:fill>
        <x:patternFill>
          <x:bgColor rgb="FFE2F0D9"/>
        </x:patternFill>
      </x:fill>
    </x:dxf>
    <x:dxf>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ill>
        <x:patternFill>
          <x:bgColor rgb="FFFCE4D6"/>
        </x:patternFill>
      </x:fill>
    </x:dxf>
    <x:dxf>
      <x:font>
        <x:b/>
        <x:color rgb="FF006100"/>
      </x:font>
      <x:fill>
        <x:patternFill>
          <x:bgColor rgb="FFE2F0D9"/>
        </x:patternFill>
      </x:fill>
    </x:dxf>
    <x:dxf>
      <x:font>
        <x:b/>
      </x:font>
      <x:fill>
        <x:patternFill>
          <x:bgColor rgb="FFE2F0D9"/>
        </x:patternFill>
      </x:fill>
    </x:dxf>
    <x:dxf>
      <x:font>
        <x:b/>
        <x:color rgb="FF276221"/>
      </x:font>
      <x:fill>
        <x:patternFill>
          <x:bgColor rgb="FFD9EAD3"/>
        </x:patternFill>
      </x:fill>
    </x:dxf>
    <x:dxf>
      <x:font>
        <x:b/>
        <x:color rgb="FF9C0006"/>
      </x:font>
      <x:fill>
        <x:patternFill>
          <x:bgColor rgb="FFFCE4D6"/>
        </x:patternFill>
      </x:fill>
    </x:dxf>
    <x:dxf>
      <x:font>
        <x:b/>
      </x:font>
      <x:fill>
        <x:patternFill>
          <x:bgColor rgb="FFFFF2CC"/>
        </x:patternFill>
      </x:fill>
    </x:dxf>
    <x:dxf>
      <x:font>
        <x:b/>
      </x:font>
      <x:fill>
        <x:patternFill>
          <x:bgColor rgb="FFE2F0D9"/>
        </x:patternFill>
      </x:fill>
    </x:dxf>
    <x:dxf>
      <x:fill>
        <x:patternFill>
          <x:bgColor rgb="FFFCE4D6"/>
        </x:patternFill>
      </x:fill>
    </x:dxf>
    <x:dxf>
      <x:font>
        <x:b/>
      </x:font>
      <x:fill>
        <x:patternFill>
          <x:bgColor rgb="FFE2F0D9"/>
        </x:patternFill>
      </x:fill>
    </x:dxf>
    <x:dxf>
      <x:fill>
        <x:patternFill>
          <x:bgColor rgb="FFFCE4D6"/>
        </x:patternFill>
      </x:fill>
    </x:dxf>
    <x:dxf>
      <x:font>
        <x:b/>
        <x:color rgb="FF276221"/>
      </x:font>
      <x:fill>
        <x:patternFill>
          <x:bgColor rgb="FFE2F0D9"/>
        </x:patternFill>
      </x:fill>
    </x:dxf>
    <x:dxf>
      <x:font>
        <x:b/>
        <x:color rgb="FF9C0006"/>
      </x:font>
      <x:fill>
        <x:patternFill>
          <x:bgColor rgb="FFFFC7CE"/>
        </x:patternFill>
      </x:fill>
    </x:dxf>
    <x:dxf>
      <x:font>
        <x:b/>
      </x:font>
      <x:fill>
        <x:patternFill>
          <x:bgColor rgb="FFE2F0D9"/>
        </x:patternFill>
      </x:fill>
    </x:dxf>
    <x:dxf>
      <x:fill>
        <x:patternFill>
          <x:bgColor rgb="FFE2F0D9"/>
        </x:patternFill>
      </x:fill>
    </x:dxf>
    <x:dxf>
      <x:font>
        <x:b/>
      </x:font>
      <x:fill>
        <x:patternFill>
          <x:bgColor rgb="FFFCE4D6"/>
        </x:patternFill>
      </x:fill>
    </x:dxf>
    <x:dxf>
      <x:font>
        <x:b/>
      </x:font>
      <x:fill>
        <x:patternFill>
          <x:bgColor rgb="FFFFF2CC"/>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x:bgColor rgb="FFE2F0D9"/>
        </x:patternFill>
      </x:fill>
    </x:dxf>
    <x:dxf>
      <x:font>
        <x:b/>
      </x:font>
      <x:fill>
        <x:patternFill>
          <x:bgColor rgb="FFFCE4D6"/>
        </x:patternFill>
      </x:fill>
    </x:dxf>
    <x:dxf>
      <x:font>
        <x:b/>
      </x:font>
      <x:fill>
        <x:patternFill patternType="solid">
          <x:bgColor rgb="FFE2F0D9"/>
        </x:patternFill>
      </x:fill>
    </x:dxf>
    <x:dxf>
      <x:font>
        <x:b/>
      </x:font>
      <x:fill>
        <x:patternFill patternType="solid">
          <x:bgColor rgb="FFFCE4D6"/>
        </x:patternFill>
      </x:fill>
    </x:dxf>
    <x:dxf>
      <x:font>
        <x:b/>
      </x:font>
      <x:fill>
        <x:patternFill patternType="solid">
          <x:bgColor rgb="FFE2F0D9"/>
        </x:patternFill>
      </x:fill>
    </x:dxf>
    <x:dxf>
      <x:font>
        <x:b/>
      </x:font>
      <x:fill>
        <x:patternFill patternType="solid">
          <x:bgColor rgb="FFFCE4D6"/>
        </x:patternFill>
      </x:fill>
    </x:dxf>
    <x:dxf>
      <x:font>
        <x:b/>
      </x:font>
      <x:fill>
        <x:patternFill patternType="solid">
          <x:bgColor rgb="FFE2F0D9"/>
        </x:patternFill>
      </x:fill>
    </x:dxf>
    <x:dxf>
      <x:font>
        <x:b/>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75bad2b13ec4a04" /><Relationship Type="http://schemas.openxmlformats.org/officeDocument/2006/relationships/theme" Target="/xl/theme/theme1.xml" Id="R92b4e7a5a6e34912" /><Relationship Type="http://schemas.openxmlformats.org/officeDocument/2006/relationships/sharedStrings" Target="/xl/sharedStrings.xml" Id="R518a7485f78740a5" /><Relationship Type="http://schemas.openxmlformats.org/officeDocument/2006/relationships/worksheet" Target="/xl/worksheets/sheet1.xml" Id="Rc780f1543abe4c83" /><Relationship Type="http://schemas.openxmlformats.org/officeDocument/2006/relationships/worksheet" Target="/xl/worksheets/sheet2.xml" Id="Ra15bf5f818284692" /><Relationship Type="http://schemas.openxmlformats.org/officeDocument/2006/relationships/worksheet" Target="/xl/worksheets/sheet3.xml" Id="R40ffbd47fca546b5" /><Relationship Type="http://schemas.openxmlformats.org/officeDocument/2006/relationships/worksheet" Target="/xl/worksheets/sheet4.xml" Id="R013207855c0c473d" /><Relationship Type="http://schemas.openxmlformats.org/officeDocument/2006/relationships/worksheet" Target="/xl/worksheets/sheet5.xml" Id="R964ad1ea6db7409a" /><Relationship Type="http://schemas.openxmlformats.org/officeDocument/2006/relationships/worksheet" Target="/xl/worksheets/sheet6.xml" Id="Rb618d7e5d5534ccc" /><Relationship Type="http://schemas.openxmlformats.org/officeDocument/2006/relationships/worksheet" Target="/xl/worksheets/sheet7.xml" Id="Rcf81a56d5de14438" /><Relationship Type="http://schemas.openxmlformats.org/officeDocument/2006/relationships/worksheet" Target="/xl/worksheets/sheet8.xml" Id="R4524638e22bd4503" /><Relationship Type="http://schemas.openxmlformats.org/officeDocument/2006/relationships/worksheet" Target="/xl/worksheets/sheet9.xml" Id="R7c0d7531445b4b58" /><Relationship Type="http://schemas.openxmlformats.org/officeDocument/2006/relationships/worksheet" Target="/xl/worksheets/sheet10.xml" Id="Rf25d7d81d7734c5b" /><Relationship Type="http://schemas.openxmlformats.org/officeDocument/2006/relationships/worksheet" Target="/xl/worksheets/sheet11.xml" Id="Rb0c9e3de13574dc8" /><Relationship Type="http://schemas.openxmlformats.org/officeDocument/2006/relationships/worksheet" Target="/xl/worksheets/sheet12.xml" Id="R64bcdd191ed54eed" /><Relationship Type="http://schemas.openxmlformats.org/officeDocument/2006/relationships/worksheet" Target="/xl/worksheets/sheet13.xml" Id="Rbfb5a44297d242a4" /><Relationship Type="http://schemas.openxmlformats.org/officeDocument/2006/relationships/worksheet" Target="/xl/worksheets/sheet14.xml" Id="R898ab29d053b44fa" /><Relationship Type="http://schemas.openxmlformats.org/officeDocument/2006/relationships/worksheet" Target="/xl/worksheets/sheet15.xml" Id="R49f1326e49164ff3" /><Relationship Type="http://schemas.openxmlformats.org/officeDocument/2006/relationships/worksheet" Target="/xl/worksheets/sheet16.xml" Id="R225a310757444bf3" /><Relationship Type="http://schemas.openxmlformats.org/officeDocument/2006/relationships/worksheet" Target="/xl/worksheets/sheet17.xml" Id="Rd3fa440dc06349dd" /><Relationship Type="http://schemas.openxmlformats.org/officeDocument/2006/relationships/worksheet" Target="/xl/worksheets/sheet18.xml" Id="R7f2d1e2ab7384916" /><Relationship Type="http://schemas.openxmlformats.org/officeDocument/2006/relationships/worksheet" Target="/xl/worksheets/sheet19.xml" Id="R6205d0cc36a84dc1" /><Relationship Type="http://schemas.openxmlformats.org/officeDocument/2006/relationships/worksheet" Target="/xl/worksheets/sheet20.xml" Id="R73ef639da1fc44fe" /><Relationship Type="http://schemas.openxmlformats.org/officeDocument/2006/relationships/worksheet" Target="/xl/worksheets/sheet21.xml" Id="R81a7cd1479b94738" /><Relationship Type="http://schemas.openxmlformats.org/officeDocument/2006/relationships/worksheet" Target="/xl/worksheets/sheet22.xml" Id="R318e8f3842424ecc" /><Relationship Type="http://schemas.openxmlformats.org/officeDocument/2006/relationships/worksheet" Target="/xl/worksheets/sheet23.xml" Id="R1b710b16d65845b0" /><Relationship Type="http://schemas.openxmlformats.org/officeDocument/2006/relationships/worksheet" Target="/xl/worksheets/sheet24.xml" Id="Rd9d089b6741c4f01" /><Relationship Type="http://schemas.openxmlformats.org/officeDocument/2006/relationships/worksheet" Target="/xl/worksheets/sheet25.xml" Id="Rc759f52e851b4861" /><Relationship Type="http://schemas.openxmlformats.org/officeDocument/2006/relationships/worksheet" Target="/xl/worksheets/sheet26.xml" Id="Rcb42161ad6814ed4" /><Relationship Type="http://schemas.openxmlformats.org/officeDocument/2006/relationships/worksheet" Target="/xl/worksheets/sheet27.xml" Id="Ra7f83761ed824bc7" /><Relationship Type="http://schemas.openxmlformats.org/officeDocument/2006/relationships/worksheet" Target="/xl/worksheets/sheet28.xml" Id="R7f064679b567406a" /><Relationship Type="http://schemas.openxmlformats.org/officeDocument/2006/relationships/worksheet" Target="/xl/worksheets/sheet29.xml" Id="Reeeca13c37a64a9b" /><Relationship Type="http://schemas.openxmlformats.org/officeDocument/2006/relationships/worksheet" Target="/xl/worksheets/sheet30.xml" Id="R4607e606ab554c2d" /><Relationship Type="http://schemas.openxmlformats.org/officeDocument/2006/relationships/worksheet" Target="/xl/worksheets/sheet31.xml" Id="R0e61ad51778f47b4" /><Relationship Type="http://schemas.openxmlformats.org/officeDocument/2006/relationships/worksheet" Target="/xl/worksheets/sheet32.xml" Id="Rb628d8c8561e4b35" /><Relationship Type="http://schemas.openxmlformats.org/officeDocument/2006/relationships/worksheet" Target="/xl/worksheets/sheet33.xml" Id="R2516171d733140dd" /><Relationship Type="http://schemas.openxmlformats.org/officeDocument/2006/relationships/worksheet" Target="/xl/worksheets/sheet34.xml" Id="R930f8f55dae64ef0" /><Relationship Type="http://schemas.openxmlformats.org/officeDocument/2006/relationships/worksheet" Target="/xl/worksheets/sheet35.xml" Id="Rb47fa6768cc748cf" /><Relationship Type="http://schemas.openxmlformats.org/officeDocument/2006/relationships/worksheet" Target="/xl/worksheets/sheet36.xml" Id="R6f6da1b2f40d45bc" /><Relationship Type="http://schemas.openxmlformats.org/officeDocument/2006/relationships/worksheet" Target="/xl/worksheets/sheet37.xml" Id="Rc0bb157362f64980" /><Relationship Type="http://schemas.openxmlformats.org/officeDocument/2006/relationships/worksheet" Target="/xl/worksheets/sheet38.xml" Id="Rf8e53b68d6f942ff" /><Relationship Type="http://schemas.openxmlformats.org/officeDocument/2006/relationships/worksheet" Target="/xl/worksheets/sheet39.xml" Id="R02181f1e50ff46ab" /><Relationship Type="http://schemas.openxmlformats.org/officeDocument/2006/relationships/worksheet" Target="/xl/worksheets/sheet40.xml" Id="R07790f90714247d4" /></Relationships>
</file>

<file path=xl/drawings/_rels/drawing1.xml.rels>&#65279;<?xml version="1.0" encoding="utf-8"?><Relationships xmlns="http://schemas.openxmlformats.org/package/2006/relationships"><Relationship Type="http://schemas.openxmlformats.org/officeDocument/2006/relationships/chart" Target="/xl/drawings/charts/chart1.xml" Id="R46941ffe464f48fe" /></Relationships>
</file>

<file path=xl/drawings/_rels/drawing2.xml.rels>&#65279;<?xml version="1.0" encoding="utf-8"?><Relationships xmlns="http://schemas.openxmlformats.org/package/2006/relationships"><Relationship Type="http://schemas.openxmlformats.org/officeDocument/2006/relationships/chart" Target="/xl/drawings/charts/chart2.xml" Id="R2d88a6bdec7e466e" /></Relationships>
</file>

<file path=xl/drawings/charts/chart1.xml><?xml version="1.0" encoding="utf-8"?>
<c:chartSpace xmlns:c="http://schemas.openxmlformats.org/drawingml/2006/chart">
  <c:lang val="en-US"/>
  <c:roundedCorners val="0"/>
  <c:style val="2"/>
  <c:chart>
    <c:title>
      <c:tx>
        <c:rich>
          <a:bodyPr xmlns:a="http://schemas.openxmlformats.org/drawingml/2006/main"/>
          <a:lstStyle xmlns:a="http://schemas.openxmlformats.org/drawingml/2006/main"/>
          <a:p xmlns:a="http://schemas.openxmlformats.org/drawingml/2006/main">
            <a:r>
              <a:t>SQ 증빙 판정 현황</a:t>
            </a:r>
          </a:p>
        </c:rich>
      </c:tx>
      <c:overlay val="0"/>
    </c:title>
    <c:autoTitleDeleted val="0"/>
    <c:plotArea>
      <c:barChart>
        <c:barDir val="col"/>
        <c:grouping val="clustered"/>
        <c:varyColors val="0"/>
        <c:ser>
          <c:idx val="0"/>
          <c:order val="0"/>
          <c:tx>
            <c:v>건수</c:v>
          </c:tx>
          <c:cat>
            <c:strRef>
              <c:f>'11_FINAL_READY_GATE'!$H$14:$H$16</c:f>
              <c:strCache>
                <c:ptCount val="3"/>
                <c:pt idx="0">
                  <c:v>증빙확보</c:v>
                </c:pt>
                <c:pt idx="1">
                  <c:v>보완필요</c:v>
                </c:pt>
                <c:pt idx="2">
                  <c:v>미확인</c:v>
                </c:pt>
              </c:strCache>
            </c:strRef>
          </c:cat>
          <c:val>
            <c:numRef>
              <c:f>'11_FINAL_READY_GATE'!$I$14:$I$16</c:f>
              <c:numCache>
                <c:formatCode>General</c:formatCode>
                <c:ptCount val="3"/>
                <c:pt idx="0">
                  <c:v>0</c:v>
                </c:pt>
                <c:pt idx="1">
                  <c:v>22</c:v>
                </c:pt>
                <c:pt idx="2">
                  <c:v>0</c:v>
                </c:pt>
              </c:numCache>
            </c:numRef>
          </c:val>
        </c:ser>
        <c:dLbls>
          <c:showLegendKey val="0"/>
          <c:showVal val="0"/>
          <c:showCatName val="0"/>
          <c:showSerName val="0"/>
          <c:showPercent val="0"/>
          <c:showBubbleSize val="0"/>
        </c:dLbls>
        <c:gapWidth val="150"/>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72768"/>
        <c:crosses val="autoZero"/>
        <c:lblOffset val="10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sourceLinked="1"/>
        <c:majorTickMark val="none"/>
        <c:minorTickMark val="none"/>
        <c:tickLblPos val="nextTo"/>
        <c:crossAx val="48650112"/>
        <c:crosses val="autoZero"/>
        <c:crossBetween val="between"/>
      </c:valAx>
    </c:plotArea>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평가분야별 원본배점 vs 확인배점</a:t>
            </a:r>
          </a:p>
        </c:rich>
      </c:tx>
      <c:overlay val="0"/>
    </c:title>
    <c:plotArea>
      <c:barChart>
        <c:barDir val="col"/>
        <c:grouping val="clustered"/>
        <c:varyColors val="0"/>
        <c:ser>
          <c:idx val="0"/>
          <c:order val="0"/>
          <c:tx>
            <c:v>원본 배점</c:v>
          </c:tx>
          <c:cat>
            <c:strRef>
              <c:f>'25_3단계_진척관리'!$A$11:$A$16</c:f>
              <c:strCache>
                <c:ptCount val="0"/>
              </c:strCache>
            </c:strRef>
          </c:cat>
          <c:val>
            <c:numRef>
              <c:f>'25_3단계_진척관리'!$B$11:$B$16</c:f>
              <c:numCache>
                <c:formatCode>General</c:formatCode>
                <c:ptCount val="0"/>
              </c:numCache>
            </c:numRef>
          </c:val>
        </c:ser>
        <c:ser>
          <c:idx val="1"/>
          <c:order val="1"/>
          <c:tx>
            <c:v>증빙확인 배점</c:v>
          </c:tx>
          <c:cat>
            <c:strRef>
              <c:f>'25_3단계_진척관리'!$A$11:$A$16</c:f>
              <c:strCache>
                <c:ptCount val="0"/>
              </c:strCache>
            </c:strRef>
          </c:cat>
          <c:val>
            <c:numRef>
              <c:f>'25_3단계_진척관리'!$C$11:$C$16</c:f>
              <c:numCache>
                <c:formatCode>General</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17</xdr:row>
      <xdr:rowOff>0</xdr:rowOff>
    </xdr:from>
    <xdr:to>
      <xdr:col>12</xdr:col>
      <xdr:colOff>0</xdr:colOff>
      <xdr:row>32</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6941ffe464f48fe"/>
        </a:graphicData>
      </a:graphic>
    </xdr:graphicFrame>
    <xdr:clientData/>
  </xdr:twoCellAnchor>
</xdr:wsDr>
</file>

<file path=xl/drawings/drawing2.xml><?xml version="1.0" encoding="utf-8"?>
<xdr:wsDr xmlns:xdr="http://schemas.openxmlformats.org/drawingml/2006/spreadsheetDrawing">
  <xdr:twoCellAnchor>
    <xdr:from>
      <xdr:col>6</xdr:col>
      <xdr:colOff>0</xdr:colOff>
      <xdr:row>9</xdr:row>
      <xdr:rowOff>0</xdr:rowOff>
    </xdr:from>
    <xdr:to>
      <xdr:col>13</xdr:col>
      <xdr:colOff>0</xdr:colOff>
      <xdr:row>28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2d88a6bdec7e466e"/>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2.xml.rels>&#65279;<?xml version="1.0" encoding="utf-8"?><Relationships xmlns="http://schemas.openxmlformats.org/package/2006/relationships"><Relationship Type="http://schemas.openxmlformats.org/officeDocument/2006/relationships/drawing" Target="/xl/drawings/drawing1.xml" Id="R28167538c2ce4c9c" /></Relationships>
</file>

<file path=xl/worksheets/_rels/sheet26.xml.rels>&#65279;<?xml version="1.0" encoding="utf-8"?><Relationships xmlns="http://schemas.openxmlformats.org/package/2006/relationships"><Relationship Type="http://schemas.openxmlformats.org/officeDocument/2006/relationships/drawing" Target="/xl/drawings/drawing2.xml" Id="R58fb325076384595" /></Relationships>
</file>

<file path=xl/worksheets/sheet1.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0" customWidth="1"/>
    <x:col min="2" max="2" width="18" customWidth="1"/>
    <x:col min="3" max="3" width="42" customWidth="1"/>
    <x:col min="4" max="4" width="14" customWidth="1"/>
    <x:col min="5" max="5" width="28" customWidth="1"/>
    <x:col min="6" max="6" width="14" customWidth="1"/>
    <x:col min="7" max="8" width="12" customWidth="1"/>
  </x:cols>
  <x:sheetData>
    <x:row r="1">
      <x:c r="A1" s="181" t="str">
        <x:v>한온 SQ 심사 준비 통합 MASTER — RG3 HEV 적용 Rev.09</x:v>
      </x:c>
      <x:c r="B1" s="181"/>
      <x:c r="C1" s="181"/>
      <x:c r="D1" s="181"/>
      <x:c r="E1" s="181"/>
      <x:c r="F1" s="181"/>
      <x:c r="G1" s="181"/>
      <x:c r="H1" s="181"/>
    </x:row>
    <x:row r="2">
      <x:c r="A2" s="181"/>
      <x:c r="B2" s="181"/>
      <x:c r="C2" s="181"/>
      <x:c r="D2" s="181"/>
      <x:c r="E2" s="181"/>
      <x:c r="F2" s="181"/>
      <x:c r="G2" s="181"/>
      <x:c r="H2" s="181"/>
    </x:row>
    <x:row r="3">
      <x:c r="A3" s="182" t="str">
        <x:v>RG3 HEV / FA1A8HRAAC·AD / 도면 Rev.01(사용자 확인) | 6동 자동가공 → 2동 자동2호기 브레이징 → 2동 에어 리크 테스트기 기밀검사 | 설비 전자데이터만 보관(검사성적서 별도 없음) | 실제 전자 원본로그·LOT·설비번호 검증대기 | 현행 39시트 참조</x:v>
      </x:c>
      <x:c r="B3" s="183"/>
      <x:c r="C3" s="183"/>
      <x:c r="D3" s="183"/>
      <x:c r="E3" s="183"/>
      <x:c r="F3" s="183"/>
      <x:c r="G3" s="183"/>
      <x:c r="H3" s="184"/>
    </x:row>
    <x:row r="5">
      <x:c r="A5" s="69" t="s">
        <x:v>0</x:v>
      </x:c>
      <x:c r="B5" s="70"/>
      <x:c r="C5" s="69" t="s">
        <x:v>1</x:v>
      </x:c>
      <x:c r="D5" s="70"/>
      <x:c r="E5" s="69" t="s">
        <x:v>2</x:v>
      </x:c>
      <x:c r="F5" s="70"/>
      <x:c r="G5" s="69" t="s">
        <x:v>3</x:v>
      </x:c>
      <x:c r="H5" s="70"/>
    </x:row>
    <x:row r="6">
      <x:c r="A6" s="71">
        <x:v>22</x:v>
      </x:c>
      <x:c r="B6" s="72"/>
      <x:c r="C6" s="71" t="n">
        <x:f>COUNTIF('05_2단계_증빙판정'!C2:C23,"보완필요")</x:f>
        <x:v>22</x:v>
      </x:c>
      <x:c r="D6" s="72"/>
      <x:c r="E6" s="71">
        <x:v>20</x:v>
      </x:c>
      <x:c r="F6" s="72"/>
      <x:c r="G6" s="71">
        <x:v>12</x:v>
      </x:c>
      <x:c r="H6" s="72"/>
    </x:row>
    <x:row r="7">
      <x:c r="A7" s="73"/>
      <x:c r="B7" s="74"/>
      <x:c r="C7" s="73"/>
      <x:c r="D7" s="74"/>
      <x:c r="E7" s="73"/>
      <x:c r="F7" s="74"/>
      <x:c r="G7" s="73"/>
      <x:c r="H7" s="74"/>
    </x:row>
    <x:row r="9">
      <x:c r="A9" s="185" t="s">
        <x:v>4</x:v>
      </x:c>
      <x:c r="B9" s="185" t="s">
        <x:v>5</x:v>
      </x:c>
      <x:c r="C9" s="185" t="s">
        <x:v>6</x:v>
      </x:c>
      <x:c r="D9" s="185" t="s">
        <x:v>7</x:v>
      </x:c>
      <x:c r="E9" s="185" t="s">
        <x:v>8</x:v>
      </x:c>
      <x:c r="F9" s="185" t="s">
        <x:v>9</x:v>
      </x:c>
    </x:row>
    <x:row r="10" ht="25.5">
      <x:c r="A10" s="186" t="s">
        <x:v>10</x:v>
      </x:c>
      <x:c r="B10" s="186" t="s">
        <x:v>11</x:v>
      </x:c>
      <x:c r="C10" s="186" t="s">
        <x:v>12</x:v>
      </x:c>
      <x:c r="D10" s="186" t="s">
        <x:v>13</x:v>
      </x:c>
      <x:c r="E10" s="186" t="s">
        <x:v>14</x:v>
      </x:c>
      <x:c r="F10" s="186" t="s">
        <x:v>15</x:v>
      </x:c>
    </x:row>
    <x:row r="11">
      <x:c r="A11" s="186" t="s">
        <x:v>16</x:v>
      </x:c>
      <x:c r="B11" s="186" t="s">
        <x:v>17</x:v>
      </x:c>
      <x:c r="C11" s="186" t="s">
        <x:v>18</x:v>
      </x:c>
      <x:c r="D11" s="186" t="s">
        <x:v>19</x:v>
      </x:c>
      <x:c r="E11" s="186" t="s">
        <x:v>20</x:v>
      </x:c>
      <x:c r="F11" s="186" t="s">
        <x:v>15</x:v>
      </x:c>
    </x:row>
    <x:row r="12">
      <x:c r="A12" s="186" t="s">
        <x:v>21</x:v>
      </x:c>
      <x:c r="B12" s="186" t="s">
        <x:v>22</x:v>
      </x:c>
      <x:c r="C12" s="186" t="s">
        <x:v>23</x:v>
      </x:c>
      <x:c r="D12" s="186" t="s">
        <x:v>24</x:v>
      </x:c>
      <x:c r="E12" s="186" t="s">
        <x:v>25</x:v>
      </x:c>
      <x:c r="F12" s="186" t="s">
        <x:v>15</x:v>
      </x:c>
    </x:row>
    <x:row r="13">
      <x:c r="A13" s="186" t="s">
        <x:v>26</x:v>
      </x:c>
      <x:c r="B13" s="186" t="s">
        <x:v>27</x:v>
      </x:c>
      <x:c r="C13" s="186" t="s">
        <x:v>28</x:v>
      </x:c>
      <x:c r="D13" s="186" t="s">
        <x:v>29</x:v>
      </x:c>
      <x:c r="E13" s="186" t="s">
        <x:v>30</x:v>
      </x:c>
      <x:c r="F13" s="186" t="s">
        <x:v>15</x:v>
      </x:c>
    </x:row>
    <x:row r="14">
      <x:c r="A14" s="186" t="s">
        <x:v>31</x:v>
      </x:c>
      <x:c r="B14" s="186" t="s">
        <x:v>32</x:v>
      </x:c>
      <x:c r="C14" s="186" t="s">
        <x:v>33</x:v>
      </x:c>
      <x:c r="D14" s="186" t="s">
        <x:v>34</x:v>
      </x:c>
      <x:c r="E14" s="186" t="s">
        <x:v>35</x:v>
      </x:c>
      <x:c r="F14" s="186" t="s">
        <x:v>15</x:v>
      </x:c>
    </x:row>
    <x:row r="15">
      <x:c r="A15" s="186" t="s">
        <x:v>36</x:v>
      </x:c>
      <x:c r="B15" s="186" t="s">
        <x:v>37</x:v>
      </x:c>
      <x:c r="C15" s="186" t="s">
        <x:v>38</x:v>
      </x:c>
      <x:c r="D15" s="186" t="s">
        <x:v>39</x:v>
      </x:c>
      <x:c r="E15" s="186" t="s">
        <x:v>40</x:v>
      </x:c>
      <x:c r="F15" s="186" t="s">
        <x:v>15</x:v>
      </x:c>
    </x:row>
    <x:row r="16">
      <x:c r="A16" s="186" t="s">
        <x:v>41</x:v>
      </x:c>
      <x:c r="B16" s="186" t="s">
        <x:v>42</x:v>
      </x:c>
      <x:c r="C16" s="186" t="s">
        <x:v>43</x:v>
      </x:c>
      <x:c r="D16" s="186" t="s">
        <x:v>44</x:v>
      </x:c>
      <x:c r="E16" s="186" t="s">
        <x:v>45</x:v>
      </x:c>
      <x:c r="F16" s="186" t="s">
        <x:v>15</x:v>
      </x:c>
    </x:row>
    <x:row r="17">
      <x:c r="A17" s="186" t="s">
        <x:v>46</x:v>
      </x:c>
      <x:c r="B17" s="186" t="s">
        <x:v>47</x:v>
      </x:c>
      <x:c r="C17" s="186" t="s">
        <x:v>48</x:v>
      </x:c>
      <x:c r="D17" s="186" t="s">
        <x:v>49</x:v>
      </x:c>
      <x:c r="E17" s="186" t="s">
        <x:v>50</x:v>
      </x:c>
      <x:c r="F17" s="186" t="s">
        <x:v>15</x:v>
      </x:c>
    </x:row>
    <x:row r="18">
      <x:c r="A18" s="186" t="s">
        <x:v>51</x:v>
      </x:c>
      <x:c r="B18" s="186" t="s">
        <x:v>52</x:v>
      </x:c>
      <x:c r="C18" s="186" t="s">
        <x:v>53</x:v>
      </x:c>
      <x:c r="D18" s="186" t="s">
        <x:v>54</x:v>
      </x:c>
      <x:c r="E18" s="186" t="s">
        <x:v>55</x:v>
      </x:c>
      <x:c r="F18" s="186" t="s">
        <x:v>56</x:v>
      </x:c>
    </x:row>
    <x:row r="20">
      <x:c r="A20" s="75" t="s">
        <x:v>57</x:v>
      </x:c>
      <x:c r="B20" s="76"/>
      <x:c r="C20" s="76"/>
      <x:c r="D20" s="76"/>
      <x:c r="E20" s="76"/>
      <x:c r="F20" s="76"/>
      <x:c r="G20" s="76"/>
      <x:c r="H20" s="77"/>
    </x:row>
    <x:row r="21">
      <x:c r="A21" s="187" t="s">
        <x:v>58</x:v>
      </x:c>
      <x:c r="B21" s="188"/>
      <x:c r="C21" s="188"/>
      <x:c r="D21" s="188"/>
      <x:c r="E21" s="188"/>
      <x:c r="F21" s="188"/>
      <x:c r="G21" s="188"/>
      <x:c r="H21" s="189"/>
    </x:row>
    <x:row r="22">
      <x:c r="A22" s="190"/>
      <x:c r="B22" s="191"/>
      <x:c r="C22" s="191"/>
      <x:c r="D22" s="191"/>
      <x:c r="E22" s="191"/>
      <x:c r="F22" s="191"/>
      <x:c r="G22" s="191"/>
      <x:c r="H22" s="192"/>
    </x:row>
    <x:row r="23">
      <x:c r="A23" s="190"/>
      <x:c r="B23" s="191"/>
      <x:c r="C23" s="191"/>
      <x:c r="D23" s="191"/>
      <x:c r="E23" s="191"/>
      <x:c r="F23" s="191"/>
      <x:c r="G23" s="191"/>
      <x:c r="H23" s="192"/>
    </x:row>
    <x:row r="24">
      <x:c r="A24" s="193"/>
      <x:c r="B24" s="194"/>
      <x:c r="C24" s="194"/>
      <x:c r="D24" s="194"/>
      <x:c r="E24" s="194"/>
      <x:c r="F24" s="194"/>
      <x:c r="G24" s="194"/>
      <x:c r="H24" s="195"/>
    </x:row>
    <x:row r="26">
      <x:c r="A26" s="196" t="s">
        <x:v>59</x:v>
      </x:c>
      <x:c r="B26" s="197"/>
      <x:c r="C26" s="197"/>
      <x:c r="D26" s="197"/>
      <x:c r="E26" s="197"/>
      <x:c r="F26" s="197"/>
      <x:c r="G26" s="197"/>
      <x:c r="H26" s="198"/>
    </x:row>
    <x:row r="27">
      <x:c r="A27" s="199"/>
      <x:c r="B27" s="200"/>
      <x:c r="C27" s="200"/>
      <x:c r="D27" s="200"/>
      <x:c r="E27" s="200"/>
      <x:c r="F27" s="200"/>
      <x:c r="G27" s="200"/>
      <x:c r="H27" s="201"/>
    </x:row>
    <x:row r="28">
      <x:c r="A28" s="202" t="s">
        <x:v>60</x:v>
      </x:c>
      <x:c r="B28" s="203"/>
      <x:c r="C28" s="203"/>
      <x:c r="D28" s="203"/>
      <x:c r="E28" s="203"/>
      <x:c r="F28" s="203"/>
      <x:c r="G28" s="203"/>
      <x:c r="H28" s="204"/>
    </x:row>
    <x:row r="29">
      <x:c r="A29" s="205"/>
      <x:c r="B29" s="206"/>
      <x:c r="C29" s="206"/>
      <x:c r="D29" s="206"/>
      <x:c r="E29" s="206"/>
      <x:c r="F29" s="206"/>
      <x:c r="G29" s="206"/>
      <x:c r="H29" s="207"/>
    </x:row>
    <x:row r="31">
      <x:c r="A31" s="208" t="s">
        <x:v>61</x:v>
      </x:c>
      <x:c r="B31" s="209"/>
      <x:c r="C31" s="209"/>
      <x:c r="D31" s="209"/>
      <x:c r="E31" s="209"/>
      <x:c r="F31" s="209"/>
      <x:c r="G31" s="209"/>
      <x:c r="H31" s="210"/>
    </x:row>
    <x:row r="32">
      <x:c r="A32" s="211"/>
      <x:c r="B32" s="212"/>
      <x:c r="C32" s="212"/>
      <x:c r="D32" s="212"/>
      <x:c r="E32" s="212"/>
      <x:c r="F32" s="212"/>
      <x:c r="G32" s="212"/>
      <x:c r="H32" s="213"/>
    </x:row>
    <x:row r="33">
      <x:c r="A33" s="214"/>
      <x:c r="B33" s="215"/>
      <x:c r="C33" s="215"/>
      <x:c r="D33" s="215"/>
      <x:c r="E33" s="215"/>
      <x:c r="F33" s="215"/>
      <x:c r="G33" s="215"/>
      <x:c r="H33" s="216"/>
    </x:row>
    <x:row r="35">
      <x:c r="A35" s="217" t="s">
        <x:v>62</x:v>
      </x:c>
      <x:c r="B35" s="218"/>
      <x:c r="C35" s="218"/>
      <x:c r="D35" s="218"/>
      <x:c r="E35" s="218"/>
      <x:c r="F35" s="218"/>
      <x:c r="G35" s="218"/>
      <x:c r="H35" s="219"/>
    </x:row>
    <x:row r="36">
      <x:c r="A36" s="220"/>
      <x:c r="B36" s="221"/>
      <x:c r="C36" s="221"/>
      <x:c r="D36" s="221"/>
      <x:c r="E36" s="221"/>
      <x:c r="F36" s="221"/>
      <x:c r="G36" s="221"/>
      <x:c r="H36" s="222"/>
    </x:row>
    <x:row r="37">
      <x:c r="A37" s="223"/>
      <x:c r="B37" s="224"/>
      <x:c r="C37" s="224"/>
      <x:c r="D37" s="224"/>
      <x:c r="E37" s="224"/>
      <x:c r="F37" s="224"/>
      <x:c r="G37" s="224"/>
      <x:c r="H37" s="225"/>
    </x:row>
    <x:row r="38">
      <x:c r="A38" s="1333" t="str">
        <x:v>2026-10-26 대상범위 확정: 차종 RG3 HEV, 대표 품번 FA1A8HRAAC/AD(관리용 FA1A8HRAAC·FA1A8HRAAD), 생산동 6동, 점프 튜브 공정 및 용접라인 FT-ASY-A/C JUMPER. 17시트의 첫 2개 사용자확정 업무 및 G2 범위 Gate만 완료 처리. 품명·도면 Rev.01 승인 원본의 사내대조·AD 전개 철자·실제 용접방식·설비번호·실물 증빙은 아직 미확인. 19~20시트에서 품번별 관리.</x:v>
      </x:c>
      <x:c r="B38" s="1334"/>
      <x:c r="C38" s="1334"/>
      <x:c r="D38" s="1334"/>
      <x:c r="E38" s="1334"/>
      <x:c r="F38" s="1334"/>
      <x:c r="G38" s="1334"/>
      <x:c r="H38" s="1335"/>
    </x:row>
    <x:row r="39">
      <x:c r="A39" s="1336"/>
      <x:c r="B39" s="1345"/>
      <x:c r="C39" s="1345"/>
      <x:c r="D39" s="1345"/>
      <x:c r="E39" s="1345"/>
      <x:c r="F39" s="1345"/>
      <x:c r="G39" s="1345"/>
      <x:c r="H39" s="1338"/>
    </x:row>
    <x:row r="40">
      <x:c r="A40" s="1346"/>
      <x:c r="B40" s="1343"/>
      <x:c r="C40" s="1343"/>
      <x:c r="D40" s="1343"/>
      <x:c r="E40" s="1343"/>
      <x:c r="F40" s="1343"/>
      <x:c r="G40" s="1343"/>
      <x:c r="H40" s="1347"/>
    </x:row>
    <x:row r="41" ht="22" customHeight="1">
      <x:c r="A41" s="1319" t="str">
        <x:v>2026-10-26 사용자 정렬·실선 수정본 기반 3단계 실행 추가: 도면 Rev.01(사용자 확인)을 반영하고, 21_코드별_심사실행(43행) / 22_2동_브레이징_점검(44건) / 23_도면_사내대조(18건) / 24_부서별_자료회수(16건) / 25_3단계_진척관리 시트를 추가. 도면은 기밀로 사내 열람만 하고, 자료가 없거나 실제 기록 검증이 안 된 항목은 완료 처리하지 않음.</x:v>
      </x:c>
      <x:c r="B41" s="1320"/>
      <x:c r="C41" s="1320"/>
      <x:c r="D41" s="1320"/>
      <x:c r="E41" s="1320"/>
      <x:c r="F41" s="1320"/>
      <x:c r="G41" s="1320"/>
      <x:c r="H41" s="1321"/>
    </x:row>
    <x:row r="42" ht="22" customHeight="1">
      <x:c r="A42" s="1322"/>
      <x:c r="B42" s="1315"/>
      <x:c r="C42" s="1315"/>
      <x:c r="D42" s="1315"/>
      <x:c r="E42" s="1315"/>
      <x:c r="F42" s="1315"/>
      <x:c r="G42" s="1315"/>
      <x:c r="H42" s="1323"/>
    </x:row>
    <x:row r="43" ht="22" customHeight="1">
      <x:c r="A43" s="1330"/>
      <x:c r="B43" s="1331"/>
      <x:c r="C43" s="1331"/>
      <x:c r="D43" s="1331"/>
      <x:c r="E43" s="1331"/>
      <x:c r="F43" s="1331"/>
      <x:c r="G43" s="1331"/>
      <x:c r="H43" s="1332"/>
    </x:row>
  </x:sheetData>
  <x:mergeCells>
    <x:mergeCell ref="A35:H37"/>
    <x:mergeCell ref="A20:H20"/>
    <x:mergeCell ref="A21:H24"/>
    <x:mergeCell ref="A26:H27"/>
    <x:mergeCell ref="A28:H29"/>
    <x:mergeCell ref="A31:H33"/>
    <x:mergeCell ref="A1:H2"/>
    <x:mergeCell ref="A3:H3"/>
    <x:mergeCell ref="A5:B5"/>
    <x:mergeCell ref="A6:B7"/>
    <x:mergeCell ref="C5:D5"/>
    <x:mergeCell ref="C6:D7"/>
    <x:mergeCell ref="E5:F5"/>
    <x:mergeCell ref="E6:F7"/>
    <x:mergeCell ref="G5:H5"/>
    <x:mergeCell ref="G6:H7"/>
    <x:mergeCell ref="A41:H43"/>
    <x:mergeCell ref="A38:H40"/>
  </x:mergeCells>
  <x:conditionalFormatting sqref="F10:F18">
    <x:cfRule type="expression" dxfId="34" priority="1">
      <x:formula>F10="완료"</x:formula>
    </x:cfRule>
    <x:cfRule type="expression" dxfId="33" priority="2">
      <x:formula>OR(F10="미확인",F10="보완필요")</x:formula>
    </x:cfRule>
  </x:conditionalFormatting>
  <x:dataValidations count="1">
    <x:dataValidation type="list" sqref="F10:F18">
      <x:formula1>"미확인,진행중,증빙확보,보완필요,완료,잠정"</x:formula1>
    </x:dataValidation>
  </x:dataValidation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customWidth="1"/>
    <x:col min="2" max="2" width="18" customWidth="1"/>
    <x:col min="3" max="3" width="38" customWidth="1"/>
    <x:col min="4" max="4" width="34" customWidth="1"/>
    <x:col min="5" max="5" width="14" customWidth="1"/>
    <x:col min="6" max="6" width="12" customWidth="1"/>
    <x:col min="7" max="7" width="40" customWidth="1"/>
    <x:col min="8" max="8" width="38" customWidth="1"/>
    <x:col min="9" max="9" width="42" customWidth="1"/>
    <x:col min="10" max="10" width="10" customWidth="1"/>
    <x:col min="11" max="11" width="40" customWidth="1"/>
  </x:cols>
  <x:sheetData>
    <x:row r="1">
      <x:c r="A1" s="185" t="s">
        <x:v>63</x:v>
      </x:c>
      <x:c r="B1" s="185" t="s">
        <x:v>64</x:v>
      </x:c>
      <x:c r="C1" s="185" t="s">
        <x:v>65</x:v>
      </x:c>
      <x:c r="D1" s="185" t="s">
        <x:v>66</x:v>
      </x:c>
      <x:c r="E1" s="185" t="s">
        <x:v>7</x:v>
      </x:c>
      <x:c r="F1" s="185" t="s">
        <x:v>9</x:v>
      </x:c>
      <x:c r="G1" s="185" t="s">
        <x:v>67</x:v>
      </x:c>
      <x:c r="H1" s="185" t="s">
        <x:v>68</x:v>
      </x:c>
      <x:c r="I1" s="185" t="s">
        <x:v>69</x:v>
      </x:c>
      <x:c r="J1" s="185" t="s">
        <x:v>70</x:v>
      </x:c>
      <x:c r="K1" s="185" t="s">
        <x:v>71</x:v>
      </x:c>
    </x:row>
    <x:row r="2" ht="38.25">
      <x:c r="A2" s="186">
        <x:v>1</x:v>
      </x:c>
      <x:c r="B2" s="186" t="s">
        <x:v>72</x:v>
      </x:c>
      <x:c r="C2" s="186" t="s">
        <x:v>73</x:v>
      </x:c>
      <x:c r="D2" s="186" t="s">
        <x:v>74</x:v>
      </x:c>
      <x:c r="E2" s="186" t="s">
        <x:v>13</x:v>
      </x:c>
      <x:c r="F2" s="186" t="s">
        <x:v>75</x:v>
      </x:c>
      <x:c r="G2" s="186" t="s">
        <x:v>76</x:v>
      </x:c>
      <x:c r="H2" s="186" t="s">
        <x:v>77</x:v>
      </x:c>
      <x:c r="I2" s="186" t="s">
        <x:v>78</x:v>
      </x:c>
      <x:c r="J2" s="186" t="s">
        <x:v>79</x:v>
      </x:c>
      <x:c r="K2" s="186" t="s">
        <x:v>80</x:v>
      </x:c>
    </x:row>
    <x:row r="3" ht="25.5">
      <x:c r="A3" s="186">
        <x:v>2</x:v>
      </x:c>
      <x:c r="B3" s="186" t="s">
        <x:v>81</x:v>
      </x:c>
      <x:c r="C3" s="186" t="s">
        <x:v>82</x:v>
      </x:c>
      <x:c r="D3" s="186" t="s">
        <x:v>83</x:v>
      </x:c>
      <x:c r="E3" s="186" t="s">
        <x:v>19</x:v>
      </x:c>
      <x:c r="F3" s="186" t="s">
        <x:v>75</x:v>
      </x:c>
      <x:c r="G3" s="186" t="s">
        <x:v>84</x:v>
      </x:c>
      <x:c r="H3" s="186" t="s">
        <x:v>85</x:v>
      </x:c>
      <x:c r="I3" s="186" t="s">
        <x:v>86</x:v>
      </x:c>
      <x:c r="J3" s="186" t="s">
        <x:v>79</x:v>
      </x:c>
      <x:c r="K3" s="186" t="s">
        <x:v>87</x:v>
      </x:c>
    </x:row>
    <x:row r="4" ht="25.5">
      <x:c r="A4" s="186">
        <x:v>3</x:v>
      </x:c>
      <x:c r="B4" s="186" t="s">
        <x:v>88</x:v>
      </x:c>
      <x:c r="C4" s="186" t="s">
        <x:v>89</x:v>
      </x:c>
      <x:c r="D4" s="186" t="s">
        <x:v>90</x:v>
      </x:c>
      <x:c r="E4" s="186" t="s">
        <x:v>19</x:v>
      </x:c>
      <x:c r="F4" s="186" t="s">
        <x:v>75</x:v>
      </x:c>
      <x:c r="G4" s="186" t="s">
        <x:v>91</x:v>
      </x:c>
      <x:c r="H4" s="186" t="s">
        <x:v>92</x:v>
      </x:c>
      <x:c r="I4" s="186" t="s">
        <x:v>93</x:v>
      </x:c>
      <x:c r="J4" s="186" t="s">
        <x:v>79</x:v>
      </x:c>
      <x:c r="K4" s="186" t="s">
        <x:v>94</x:v>
      </x:c>
    </x:row>
    <x:row r="5" ht="25.5">
      <x:c r="A5" s="186">
        <x:v>4</x:v>
      </x:c>
      <x:c r="B5" s="186" t="s">
        <x:v>95</x:v>
      </x:c>
      <x:c r="C5" s="186" t="s">
        <x:v>96</x:v>
      </x:c>
      <x:c r="D5" s="186" t="s">
        <x:v>97</x:v>
      </x:c>
      <x:c r="E5" s="186" t="s">
        <x:v>19</x:v>
      </x:c>
      <x:c r="F5" s="186" t="s">
        <x:v>75</x:v>
      </x:c>
      <x:c r="G5" s="186" t="s">
        <x:v>98</x:v>
      </x:c>
      <x:c r="H5" s="186" t="s">
        <x:v>92</x:v>
      </x:c>
      <x:c r="I5" s="186" t="s">
        <x:v>99</x:v>
      </x:c>
      <x:c r="J5" s="186" t="s">
        <x:v>79</x:v>
      </x:c>
      <x:c r="K5" s="186" t="s">
        <x:v>100</x:v>
      </x:c>
    </x:row>
    <x:row r="6" ht="25.5">
      <x:c r="A6" s="186">
        <x:v>5</x:v>
      </x:c>
      <x:c r="B6" s="186" t="s">
        <x:v>101</x:v>
      </x:c>
      <x:c r="C6" s="186" t="s">
        <x:v>102</x:v>
      </x:c>
      <x:c r="D6" s="186" t="s">
        <x:v>103</x:v>
      </x:c>
      <x:c r="E6" s="186" t="s">
        <x:v>104</x:v>
      </x:c>
      <x:c r="F6" s="186" t="s">
        <x:v>75</x:v>
      </x:c>
      <x:c r="G6" s="186" t="s">
        <x:v>105</x:v>
      </x:c>
      <x:c r="H6" s="186" t="s">
        <x:v>106</x:v>
      </x:c>
      <x:c r="I6" s="186" t="s">
        <x:v>107</x:v>
      </x:c>
      <x:c r="J6" s="186" t="s">
        <x:v>79</x:v>
      </x:c>
      <x:c r="K6" s="186" t="s">
        <x:v>108</x:v>
      </x:c>
    </x:row>
    <x:row r="7" ht="25.5">
      <x:c r="A7" s="186">
        <x:v>6</x:v>
      </x:c>
      <x:c r="B7" s="186" t="s">
        <x:v>109</x:v>
      </x:c>
      <x:c r="C7" s="186" t="s">
        <x:v>110</x:v>
      </x:c>
      <x:c r="D7" s="186" t="s">
        <x:v>111</x:v>
      </x:c>
      <x:c r="E7" s="186" t="s">
        <x:v>104</x:v>
      </x:c>
      <x:c r="F7" s="186" t="s">
        <x:v>75</x:v>
      </x:c>
      <x:c r="G7" s="186" t="s">
        <x:v>112</x:v>
      </x:c>
      <x:c r="H7" s="186" t="s">
        <x:v>85</x:v>
      </x:c>
      <x:c r="I7" s="186" t="s">
        <x:v>113</x:v>
      </x:c>
      <x:c r="J7" s="186" t="s">
        <x:v>79</x:v>
      </x:c>
      <x:c r="K7" s="186" t="s">
        <x:v>114</x:v>
      </x:c>
    </x:row>
    <x:row r="8" ht="25.5">
      <x:c r="A8" s="186">
        <x:v>7</x:v>
      </x:c>
      <x:c r="B8" s="186" t="s">
        <x:v>115</x:v>
      </x:c>
      <x:c r="C8" s="186" t="s">
        <x:v>116</x:v>
      </x:c>
      <x:c r="D8" s="186" t="s">
        <x:v>111</x:v>
      </x:c>
      <x:c r="E8" s="186" t="s">
        <x:v>104</x:v>
      </x:c>
      <x:c r="F8" s="186" t="s">
        <x:v>75</x:v>
      </x:c>
      <x:c r="G8" s="186" t="s">
        <x:v>117</x:v>
      </x:c>
      <x:c r="H8" s="186" t="s">
        <x:v>118</x:v>
      </x:c>
      <x:c r="I8" s="186" t="s">
        <x:v>119</x:v>
      </x:c>
      <x:c r="J8" s="186" t="s">
        <x:v>79</x:v>
      </x:c>
      <x:c r="K8" s="186" t="s">
        <x:v>120</x:v>
      </x:c>
    </x:row>
    <x:row r="9" ht="25.5">
      <x:c r="A9" s="186">
        <x:v>8</x:v>
      </x:c>
      <x:c r="B9" s="186" t="s">
        <x:v>121</x:v>
      </x:c>
      <x:c r="C9" s="186" t="str">
        <x:v>2동 FT-ASY-A/C JUMPER 브레이징 용접공정의 주요 조건 설정·기록·변경관리</x:v>
      </x:c>
      <x:c r="D9" s="186" t="s">
        <x:v>122</x:v>
      </x:c>
      <x:c r="E9" s="186" t="s">
        <x:v>104</x:v>
      </x:c>
      <x:c r="F9" s="186" t="s">
        <x:v>75</x:v>
      </x:c>
      <x:c r="G9" s="186" t="s">
        <x:v>123</x:v>
      </x:c>
      <x:c r="H9" s="186" t="s">
        <x:v>124</x:v>
      </x:c>
      <x:c r="I9" s="186" t="s">
        <x:v>125</x:v>
      </x:c>
      <x:c r="J9" s="186" t="s">
        <x:v>79</x:v>
      </x:c>
      <x:c r="K9" s="186" t="s">
        <x:v>126</x:v>
      </x:c>
    </x:row>
    <x:row r="10" ht="38.25">
      <x:c r="A10" s="186">
        <x:v>9</x:v>
      </x:c>
      <x:c r="B10" s="186" t="s">
        <x:v>127</x:v>
      </x:c>
      <x:c r="C10" s="186" t="s">
        <x:v>128</x:v>
      </x:c>
      <x:c r="D10" s="186" t="s">
        <x:v>122</x:v>
      </x:c>
      <x:c r="E10" s="186" t="s">
        <x:v>104</x:v>
      </x:c>
      <x:c r="F10" s="186" t="s">
        <x:v>75</x:v>
      </x:c>
      <x:c r="G10" s="186" t="s">
        <x:v>129</x:v>
      </x:c>
      <x:c r="H10" s="186" t="s">
        <x:v>130</x:v>
      </x:c>
      <x:c r="I10" s="186" t="s">
        <x:v>131</x:v>
      </x:c>
      <x:c r="J10" s="186" t="s">
        <x:v>79</x:v>
      </x:c>
      <x:c r="K10" s="186" t="s">
        <x:v>132</x:v>
      </x:c>
    </x:row>
    <x:row r="11" ht="38.25">
      <x:c r="A11" s="186">
        <x:v>10</x:v>
      </x:c>
      <x:c r="B11" s="186" t="s">
        <x:v>133</x:v>
      </x:c>
      <x:c r="C11" s="186" t="s">
        <x:v>134</x:v>
      </x:c>
      <x:c r="D11" s="186" t="s">
        <x:v>111</x:v>
      </x:c>
      <x:c r="E11" s="186" t="s">
        <x:v>24</x:v>
      </x:c>
      <x:c r="F11" s="186" t="s">
        <x:v>75</x:v>
      </x:c>
      <x:c r="G11" s="186" t="s">
        <x:v>135</x:v>
      </x:c>
      <x:c r="H11" s="186" t="s">
        <x:v>118</x:v>
      </x:c>
      <x:c r="I11" s="186" t="s">
        <x:v>136</x:v>
      </x:c>
      <x:c r="J11" s="186" t="s">
        <x:v>79</x:v>
      </x:c>
      <x:c r="K11" s="186" t="s">
        <x:v>137</x:v>
      </x:c>
    </x:row>
    <x:row r="12" ht="25.5">
      <x:c r="A12" s="186">
        <x:v>11</x:v>
      </x:c>
      <x:c r="B12" s="186" t="s">
        <x:v>138</x:v>
      </x:c>
      <x:c r="C12" s="186" t="s">
        <x:v>139</x:v>
      </x:c>
      <x:c r="D12" s="186" t="s">
        <x:v>97</x:v>
      </x:c>
      <x:c r="E12" s="186" t="s">
        <x:v>24</x:v>
      </x:c>
      <x:c r="F12" s="186" t="s">
        <x:v>75</x:v>
      </x:c>
      <x:c r="G12" s="186" t="s">
        <x:v>140</x:v>
      </x:c>
      <x:c r="H12" s="186" t="s">
        <x:v>85</x:v>
      </x:c>
      <x:c r="I12" s="186" t="s">
        <x:v>141</x:v>
      </x:c>
      <x:c r="J12" s="186" t="s">
        <x:v>79</x:v>
      </x:c>
      <x:c r="K12" s="186" t="s">
        <x:v>142</x:v>
      </x:c>
    </x:row>
    <x:row r="13" ht="25.5">
      <x:c r="A13" s="186">
        <x:v>12</x:v>
      </x:c>
      <x:c r="B13" s="186" t="s">
        <x:v>143</x:v>
      </x:c>
      <x:c r="C13" s="186" t="s">
        <x:v>144</x:v>
      </x:c>
      <x:c r="D13" s="186" t="s">
        <x:v>145</x:v>
      </x:c>
      <x:c r="E13" s="186" t="s">
        <x:v>24</x:v>
      </x:c>
      <x:c r="F13" s="186" t="s">
        <x:v>75</x:v>
      </x:c>
      <x:c r="G13" s="186" t="s">
        <x:v>146</x:v>
      </x:c>
      <x:c r="H13" s="186" t="s">
        <x:v>147</x:v>
      </x:c>
      <x:c r="I13" s="186" t="s">
        <x:v>148</x:v>
      </x:c>
      <x:c r="J13" s="186" t="s">
        <x:v>79</x:v>
      </x:c>
      <x:c r="K13" s="186" t="s">
        <x:v>149</x:v>
      </x:c>
    </x:row>
    <x:row r="14" ht="25.5">
      <x:c r="A14" s="186">
        <x:v>13</x:v>
      </x:c>
      <x:c r="B14" s="186" t="s">
        <x:v>150</x:v>
      </x:c>
      <x:c r="C14" s="186" t="s">
        <x:v>151</x:v>
      </x:c>
      <x:c r="D14" s="186" t="s">
        <x:v>152</x:v>
      </x:c>
      <x:c r="E14" s="186" t="s">
        <x:v>24</x:v>
      </x:c>
      <x:c r="F14" s="186" t="s">
        <x:v>75</x:v>
      </x:c>
      <x:c r="G14" s="186" t="s">
        <x:v>153</x:v>
      </x:c>
      <x:c r="H14" s="186" t="s">
        <x:v>85</x:v>
      </x:c>
      <x:c r="I14" s="186" t="s">
        <x:v>154</x:v>
      </x:c>
      <x:c r="J14" s="186" t="s">
        <x:v>79</x:v>
      </x:c>
      <x:c r="K14" s="186" t="s">
        <x:v>155</x:v>
      </x:c>
    </x:row>
    <x:row r="15" ht="25.5">
      <x:c r="A15" s="186">
        <x:v>14</x:v>
      </x:c>
      <x:c r="B15" s="186" t="s">
        <x:v>156</x:v>
      </x:c>
      <x:c r="C15" s="186" t="s">
        <x:v>157</x:v>
      </x:c>
      <x:c r="D15" s="186" t="s">
        <x:v>158</x:v>
      </x:c>
      <x:c r="E15" s="186" t="s">
        <x:v>29</x:v>
      </x:c>
      <x:c r="F15" s="186" t="s">
        <x:v>75</x:v>
      </x:c>
      <x:c r="G15" s="186" t="s">
        <x:v>159</x:v>
      </x:c>
      <x:c r="H15" s="186" t="s">
        <x:v>77</x:v>
      </x:c>
      <x:c r="I15" s="186" t="s">
        <x:v>160</x:v>
      </x:c>
      <x:c r="J15" s="186" t="s">
        <x:v>79</x:v>
      </x:c>
      <x:c r="K15" s="186" t="s">
        <x:v>161</x:v>
      </x:c>
    </x:row>
    <x:row r="16" ht="25.5">
      <x:c r="A16" s="186">
        <x:v>15</x:v>
      </x:c>
      <x:c r="B16" s="186" t="s">
        <x:v>32</x:v>
      </x:c>
      <x:c r="C16" s="186" t="s">
        <x:v>162</x:v>
      </x:c>
      <x:c r="D16" s="186" t="s">
        <x:v>163</x:v>
      </x:c>
      <x:c r="E16" s="186" t="s">
        <x:v>34</x:v>
      </x:c>
      <x:c r="F16" s="186" t="s">
        <x:v>75</x:v>
      </x:c>
      <x:c r="G16" s="186" t="s">
        <x:v>164</x:v>
      </x:c>
      <x:c r="H16" s="186" t="s">
        <x:v>77</x:v>
      </x:c>
      <x:c r="I16" s="186" t="s">
        <x:v>165</x:v>
      </x:c>
      <x:c r="J16" s="186" t="s">
        <x:v>79</x:v>
      </x:c>
      <x:c r="K16" s="186" t="s">
        <x:v>166</x:v>
      </x:c>
    </x:row>
    <x:row r="17" ht="25.5">
      <x:c r="A17" s="186">
        <x:v>16</x:v>
      </x:c>
      <x:c r="B17" s="186" t="s">
        <x:v>167</x:v>
      </x:c>
      <x:c r="C17" s="186" t="s">
        <x:v>168</x:v>
      </x:c>
      <x:c r="D17" s="186" t="s">
        <x:v>169</x:v>
      </x:c>
      <x:c r="E17" s="186" t="s">
        <x:v>29</x:v>
      </x:c>
      <x:c r="F17" s="186" t="s">
        <x:v>75</x:v>
      </x:c>
      <x:c r="G17" s="186" t="s">
        <x:v>170</x:v>
      </x:c>
      <x:c r="H17" s="186" t="s">
        <x:v>92</x:v>
      </x:c>
      <x:c r="I17" s="186" t="s">
        <x:v>171</x:v>
      </x:c>
      <x:c r="J17" s="186" t="s">
        <x:v>79</x:v>
      </x:c>
      <x:c r="K17" s="186" t="s">
        <x:v>172</x:v>
      </x:c>
    </x:row>
    <x:row r="18" ht="25.5">
      <x:c r="A18" s="186">
        <x:v>17</x:v>
      </x:c>
      <x:c r="B18" s="186" t="s">
        <x:v>173</x:v>
      </x:c>
      <x:c r="C18" s="186" t="s">
        <x:v>174</x:v>
      </x:c>
      <x:c r="D18" s="186" t="s">
        <x:v>175</x:v>
      </x:c>
      <x:c r="E18" s="186" t="s">
        <x:v>29</x:v>
      </x:c>
      <x:c r="F18" s="186" t="s">
        <x:v>75</x:v>
      </x:c>
      <x:c r="G18" s="186" t="s">
        <x:v>176</x:v>
      </x:c>
      <x:c r="H18" s="186" t="s">
        <x:v>92</x:v>
      </x:c>
      <x:c r="I18" s="186" t="s">
        <x:v>177</x:v>
      </x:c>
      <x:c r="J18" s="186" t="s">
        <x:v>79</x:v>
      </x:c>
      <x:c r="K18" s="186" t="s">
        <x:v>178</x:v>
      </x:c>
    </x:row>
    <x:row r="19" ht="51">
      <x:c r="A19" s="186">
        <x:v>18</x:v>
      </x:c>
      <x:c r="B19" s="186" t="s">
        <x:v>179</x:v>
      </x:c>
      <x:c r="C19" s="186" t="s">
        <x:v>180</x:v>
      </x:c>
      <x:c r="D19" s="186" t="s">
        <x:v>181</x:v>
      </x:c>
      <x:c r="E19" s="186" t="s">
        <x:v>29</x:v>
      </x:c>
      <x:c r="F19" s="186" t="s">
        <x:v>75</x:v>
      </x:c>
      <x:c r="G19" s="186" t="s">
        <x:v>182</x:v>
      </x:c>
      <x:c r="H19" s="186" t="s">
        <x:v>183</x:v>
      </x:c>
      <x:c r="I19" s="186" t="s">
        <x:v>184</x:v>
      </x:c>
      <x:c r="J19" s="186" t="s">
        <x:v>79</x:v>
      </x:c>
      <x:c r="K19" s="186" t="s">
        <x:v>185</x:v>
      </x:c>
    </x:row>
    <x:row r="20" ht="25.5">
      <x:c r="A20" s="186">
        <x:v>19</x:v>
      </x:c>
      <x:c r="B20" s="186" t="s">
        <x:v>186</x:v>
      </x:c>
      <x:c r="C20" s="186" t="s">
        <x:v>187</x:v>
      </x:c>
      <x:c r="D20" s="186" t="s">
        <x:v>188</x:v>
      </x:c>
      <x:c r="E20" s="186" t="s">
        <x:v>29</x:v>
      </x:c>
      <x:c r="F20" s="186" t="s">
        <x:v>75</x:v>
      </x:c>
      <x:c r="G20" s="186" t="s">
        <x:v>189</x:v>
      </x:c>
      <x:c r="H20" s="186" t="s">
        <x:v>118</x:v>
      </x:c>
      <x:c r="I20" s="186" t="s">
        <x:v>190</x:v>
      </x:c>
      <x:c r="J20" s="186" t="s">
        <x:v>191</x:v>
      </x:c>
      <x:c r="K20" s="186" t="s">
        <x:v>192</x:v>
      </x:c>
    </x:row>
    <x:row r="21" ht="25.5">
      <x:c r="A21" s="186">
        <x:v>20</x:v>
      </x:c>
      <x:c r="B21" s="186" t="s">
        <x:v>193</x:v>
      </x:c>
      <x:c r="C21" s="186" t="s">
        <x:v>194</x:v>
      </x:c>
      <x:c r="D21" s="186" t="s">
        <x:v>195</x:v>
      </x:c>
      <x:c r="E21" s="186" t="s">
        <x:v>34</x:v>
      </x:c>
      <x:c r="F21" s="186" t="s">
        <x:v>75</x:v>
      </x:c>
      <x:c r="G21" s="186" t="s">
        <x:v>196</x:v>
      </x:c>
      <x:c r="H21" s="186" t="s">
        <x:v>77</x:v>
      </x:c>
      <x:c r="I21" s="186" t="s">
        <x:v>197</x:v>
      </x:c>
      <x:c r="J21" s="186" t="s">
        <x:v>191</x:v>
      </x:c>
      <x:c r="K21" s="186" t="s">
        <x:v>198</x:v>
      </x:c>
    </x:row>
    <x:row r="22" ht="25.5">
      <x:c r="A22" s="186">
        <x:v>21</x:v>
      </x:c>
      <x:c r="B22" s="186" t="s">
        <x:v>199</x:v>
      </x:c>
      <x:c r="C22" s="186" t="s">
        <x:v>200</x:v>
      </x:c>
      <x:c r="D22" s="186" t="s">
        <x:v>201</x:v>
      </x:c>
      <x:c r="E22" s="186" t="s">
        <x:v>34</x:v>
      </x:c>
      <x:c r="F22" s="186" t="s">
        <x:v>75</x:v>
      </x:c>
      <x:c r="G22" s="186" t="s">
        <x:v>202</x:v>
      </x:c>
      <x:c r="H22" s="186" t="s">
        <x:v>124</x:v>
      </x:c>
      <x:c r="I22" s="186" t="s">
        <x:v>203</x:v>
      </x:c>
      <x:c r="J22" s="186" t="s">
        <x:v>79</x:v>
      </x:c>
      <x:c r="K22" s="186" t="s">
        <x:v>204</x:v>
      </x:c>
    </x:row>
    <x:row r="23" ht="38.25">
      <x:c r="A23" s="186">
        <x:v>22</x:v>
      </x:c>
      <x:c r="B23" s="186" t="s">
        <x:v>205</x:v>
      </x:c>
      <x:c r="C23" s="186" t="s">
        <x:v>206</x:v>
      </x:c>
      <x:c r="D23" s="186" t="s">
        <x:v>188</x:v>
      </x:c>
      <x:c r="E23" s="186" t="s">
        <x:v>34</x:v>
      </x:c>
      <x:c r="F23" s="186" t="s">
        <x:v>75</x:v>
      </x:c>
      <x:c r="G23" s="186" t="s">
        <x:v>207</x:v>
      </x:c>
      <x:c r="H23" s="186" t="s">
        <x:v>124</x:v>
      </x:c>
      <x:c r="I23" s="186" t="s">
        <x:v>208</x:v>
      </x:c>
      <x:c r="J23" s="186" t="s">
        <x:v>79</x:v>
      </x:c>
      <x:c r="K23" s="186" t="s">
        <x:v>209</x:v>
      </x:c>
    </x:row>
  </x:sheetData>
  <x:conditionalFormatting sqref="F2:F23">
    <x:cfRule type="expression" dxfId="32" priority="4">
      <x:formula>F2="증빙확보"</x:formula>
    </x:cfRule>
    <x:cfRule type="expression" dxfId="31" priority="5">
      <x:formula>F2="보완필요"</x:formula>
    </x:cfRule>
  </x:conditionalFormatting>
  <x:conditionalFormatting sqref="J2:J23">
    <x:cfRule type="expression" dxfId="30" priority="3">
      <x:formula>J2="A"</x:formula>
    </x:cfRule>
  </x:conditionalFormatting>
  <x:dataValidations count="2">
    <x:dataValidation type="list" sqref="F2:F23">
      <x:formula1>"미확인,진행중,증빙확보,보완필요,완료,해당없음"</x:formula1>
    </x:dataValidation>
    <x:dataValidation type="list" sqref="J2:J23">
      <x:formula1>"A,B,C"</x:formula1>
    </x:dataValidation>
  </x:dataValidations>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customWidth="1"/>
    <x:col min="2" max="2" width="20" customWidth="1"/>
    <x:col min="3" max="3" width="58" customWidth="1"/>
    <x:col min="4" max="4" width="10" customWidth="1"/>
    <x:col min="5" max="5" width="30" customWidth="1"/>
    <x:col min="6" max="6" width="14" customWidth="1"/>
    <x:col min="7" max="7" width="42" customWidth="1"/>
  </x:cols>
  <x:sheetData>
    <x:row r="1">
      <x:c r="A1" s="185" t="s">
        <x:v>63</x:v>
      </x:c>
      <x:c r="B1" s="185" t="s">
        <x:v>210</x:v>
      </x:c>
      <x:c r="C1" s="185" t="s">
        <x:v>211</x:v>
      </x:c>
      <x:c r="D1" s="185" t="s">
        <x:v>70</x:v>
      </x:c>
      <x:c r="E1" s="185" t="s">
        <x:v>212</x:v>
      </x:c>
      <x:c r="F1" s="185" t="s">
        <x:v>7</x:v>
      </x:c>
      <x:c r="G1" s="185" t="s">
        <x:v>213</x:v>
      </x:c>
    </x:row>
    <x:row r="2">
      <x:c r="A2" s="186">
        <x:v>1</x:v>
      </x:c>
      <x:c r="B2" s="186" t="s">
        <x:v>214</x:v>
      </x:c>
      <x:c r="C2" s="186" t="s">
        <x:v>215</x:v>
      </x:c>
      <x:c r="D2" s="186" t="s">
        <x:v>79</x:v>
      </x:c>
      <x:c r="E2" s="186" t="s">
        <x:v>216</x:v>
      </x:c>
      <x:c r="F2" s="186" t="s">
        <x:v>13</x:v>
      </x:c>
      <x:c r="G2" s="186" t="s">
        <x:v>217</x:v>
      </x:c>
    </x:row>
    <x:row r="3" ht="25.5">
      <x:c r="A3" s="186">
        <x:v>2</x:v>
      </x:c>
      <x:c r="B3" s="186" t="s">
        <x:v>17</x:v>
      </x:c>
      <x:c r="C3" s="186" t="s">
        <x:v>218</x:v>
      </x:c>
      <x:c r="D3" s="186" t="s">
        <x:v>79</x:v>
      </x:c>
      <x:c r="E3" s="186" t="s">
        <x:v>219</x:v>
      </x:c>
      <x:c r="F3" s="186" t="s">
        <x:v>19</x:v>
      </x:c>
      <x:c r="G3" s="186" t="s">
        <x:v>220</x:v>
      </x:c>
    </x:row>
    <x:row r="4" ht="25.5">
      <x:c r="A4" s="186">
        <x:v>3</x:v>
      </x:c>
      <x:c r="B4" s="186" t="s">
        <x:v>221</x:v>
      </x:c>
      <x:c r="C4" s="186" t="s">
        <x:v>222</x:v>
      </x:c>
      <x:c r="D4" s="186" t="s">
        <x:v>79</x:v>
      </x:c>
      <x:c r="E4" s="186" t="s">
        <x:v>223</x:v>
      </x:c>
      <x:c r="F4" s="186" t="s">
        <x:v>19</x:v>
      </x:c>
      <x:c r="G4" s="186" t="s">
        <x:v>224</x:v>
      </x:c>
    </x:row>
    <x:row r="5" ht="25.5">
      <x:c r="A5" s="186">
        <x:v>4</x:v>
      </x:c>
      <x:c r="B5" s="186" t="s">
        <x:v>225</x:v>
      </x:c>
      <x:c r="C5" s="186" t="s">
        <x:v>226</x:v>
      </x:c>
      <x:c r="D5" s="186" t="s">
        <x:v>79</x:v>
      </x:c>
      <x:c r="E5" s="186" t="s">
        <x:v>227</x:v>
      </x:c>
      <x:c r="F5" s="186" t="s">
        <x:v>104</x:v>
      </x:c>
      <x:c r="G5" s="186" t="s">
        <x:v>228</x:v>
      </x:c>
    </x:row>
    <x:row r="6">
      <x:c r="A6" s="186">
        <x:v>5</x:v>
      </x:c>
      <x:c r="B6" s="186" t="s">
        <x:v>229</x:v>
      </x:c>
      <x:c r="C6" s="186" t="s">
        <x:v>230</x:v>
      </x:c>
      <x:c r="D6" s="186" t="s">
        <x:v>79</x:v>
      </x:c>
      <x:c r="E6" s="186" t="s">
        <x:v>231</x:v>
      </x:c>
      <x:c r="F6" s="186" t="s">
        <x:v>24</x:v>
      </x:c>
      <x:c r="G6" s="186" t="s">
        <x:v>232</x:v>
      </x:c>
    </x:row>
    <x:row r="7">
      <x:c r="A7" s="186">
        <x:v>6</x:v>
      </x:c>
      <x:c r="B7" s="186" t="s">
        <x:v>233</x:v>
      </x:c>
      <x:c r="C7" s="186" t="s">
        <x:v>234</x:v>
      </x:c>
      <x:c r="D7" s="186" t="s">
        <x:v>79</x:v>
      </x:c>
      <x:c r="E7" s="186" t="s">
        <x:v>235</x:v>
      </x:c>
      <x:c r="F7" s="186" t="s">
        <x:v>29</x:v>
      </x:c>
      <x:c r="G7" s="186" t="s">
        <x:v>236</x:v>
      </x:c>
    </x:row>
    <x:row r="8">
      <x:c r="A8" s="186">
        <x:v>7</x:v>
      </x:c>
      <x:c r="B8" s="186" t="s">
        <x:v>237</x:v>
      </x:c>
      <x:c r="C8" s="186" t="s">
        <x:v>238</x:v>
      </x:c>
      <x:c r="D8" s="186" t="s">
        <x:v>79</x:v>
      </x:c>
      <x:c r="E8" s="186" t="s">
        <x:v>239</x:v>
      </x:c>
      <x:c r="F8" s="186" t="s">
        <x:v>29</x:v>
      </x:c>
      <x:c r="G8" s="186" t="s">
        <x:v>240</x:v>
      </x:c>
    </x:row>
    <x:row r="9">
      <x:c r="A9" s="186">
        <x:v>8</x:v>
      </x:c>
      <x:c r="B9" s="186" t="s">
        <x:v>241</x:v>
      </x:c>
      <x:c r="C9" s="186" t="s">
        <x:v>242</x:v>
      </x:c>
      <x:c r="D9" s="186" t="s">
        <x:v>79</x:v>
      </x:c>
      <x:c r="E9" s="186" t="s">
        <x:v>243</x:v>
      </x:c>
      <x:c r="F9" s="186" t="s">
        <x:v>29</x:v>
      </x:c>
      <x:c r="G9" s="186" t="s">
        <x:v>244</x:v>
      </x:c>
    </x:row>
    <x:row r="10">
      <x:c r="A10" s="186">
        <x:v>9</x:v>
      </x:c>
      <x:c r="B10" s="186" t="s">
        <x:v>143</x:v>
      </x:c>
      <x:c r="C10" s="186" t="s">
        <x:v>245</x:v>
      </x:c>
      <x:c r="D10" s="186" t="s">
        <x:v>79</x:v>
      </x:c>
      <x:c r="E10" s="186" t="s">
        <x:v>246</x:v>
      </x:c>
      <x:c r="F10" s="186" t="s">
        <x:v>24</x:v>
      </x:c>
      <x:c r="G10" s="186" t="s">
        <x:v>247</x:v>
      </x:c>
    </x:row>
    <x:row r="11">
      <x:c r="A11" s="186">
        <x:v>10</x:v>
      </x:c>
      <x:c r="B11" s="186" t="s">
        <x:v>248</x:v>
      </x:c>
      <x:c r="C11" s="186" t="s">
        <x:v>249</x:v>
      </x:c>
      <x:c r="D11" s="186" t="s">
        <x:v>79</x:v>
      </x:c>
      <x:c r="E11" s="186" t="s">
        <x:v>250</x:v>
      </x:c>
      <x:c r="F11" s="186" t="s">
        <x:v>29</x:v>
      </x:c>
      <x:c r="G11" s="186" t="s">
        <x:v>251</x:v>
      </x:c>
    </x:row>
    <x:row r="12">
      <x:c r="A12" s="186">
        <x:v>11</x:v>
      </x:c>
      <x:c r="B12" s="186" t="s">
        <x:v>252</x:v>
      </x:c>
      <x:c r="C12" s="186" t="s">
        <x:v>253</x:v>
      </x:c>
      <x:c r="D12" s="186" t="s">
        <x:v>191</x:v>
      </x:c>
      <x:c r="E12" s="186" t="s">
        <x:v>254</x:v>
      </x:c>
      <x:c r="F12" s="186" t="s">
        <x:v>34</x:v>
      </x:c>
      <x:c r="G12" s="186" t="s">
        <x:v>255</x:v>
      </x:c>
    </x:row>
    <x:row r="13">
      <x:c r="A13" s="186">
        <x:v>12</x:v>
      </x:c>
      <x:c r="B13" s="186" t="s">
        <x:v>256</x:v>
      </x:c>
      <x:c r="C13" s="186" t="s">
        <x:v>257</x:v>
      </x:c>
      <x:c r="D13" s="186" t="s">
        <x:v>79</x:v>
      </x:c>
      <x:c r="E13" s="186" t="s">
        <x:v>258</x:v>
      </x:c>
      <x:c r="F13" s="186" t="s">
        <x:v>39</x:v>
      </x:c>
      <x:c r="G13" s="186" t="s">
        <x:v>259</x:v>
      </x:c>
    </x:row>
  </x:sheetData>
  <x:conditionalFormatting sqref="D2:D13">
    <x:cfRule type="expression" dxfId="29" priority="1">
      <x:formula>D2="A"</x:formula>
    </x:cfRule>
  </x:conditionalFormatting>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customWidth="1"/>
    <x:col min="2" max="2" width="22" customWidth="1"/>
    <x:col min="3" max="3" width="58" customWidth="1"/>
    <x:col min="4" max="4" width="20" customWidth="1"/>
    <x:col min="5" max="6" width="48" customWidth="1"/>
  </x:cols>
  <x:sheetData>
    <x:row r="1">
      <x:c r="A1" s="185" t="s">
        <x:v>63</x:v>
      </x:c>
      <x:c r="B1" s="185" t="s">
        <x:v>64</x:v>
      </x:c>
      <x:c r="C1" s="185" t="s">
        <x:v>260</x:v>
      </x:c>
      <x:c r="D1" s="185" t="s">
        <x:v>261</x:v>
      </x:c>
      <x:c r="E1" s="185" t="s">
        <x:v>262</x:v>
      </x:c>
      <x:c r="F1" s="185" t="s">
        <x:v>263</x:v>
      </x:c>
    </x:row>
    <x:row r="2" ht="25.5">
      <x:c r="A2" s="186">
        <x:v>1</x:v>
      </x:c>
      <x:c r="B2" s="186" t="s">
        <x:v>264</x:v>
      </x:c>
      <x:c r="C2" s="186" t="s">
        <x:v>77</x:v>
      </x:c>
      <x:c r="D2" s="186" t="s">
        <x:v>265</x:v>
      </x:c>
      <x:c r="E2" s="186" t="s">
        <x:v>266</x:v>
      </x:c>
      <x:c r="F2" s="186" t="s">
        <x:v>267</x:v>
      </x:c>
    </x:row>
    <x:row r="3">
      <x:c r="A3" s="186">
        <x:v>2</x:v>
      </x:c>
      <x:c r="B3" s="186" t="s">
        <x:v>268</x:v>
      </x:c>
      <x:c r="C3" s="186" t="s">
        <x:v>124</x:v>
      </x:c>
      <x:c r="D3" s="186" t="s">
        <x:v>269</x:v>
      </x:c>
      <x:c r="E3" s="186" t="s">
        <x:v>270</x:v>
      </x:c>
      <x:c r="F3" s="186" t="s">
        <x:v>271</x:v>
      </x:c>
    </x:row>
    <x:row r="4">
      <x:c r="A4" s="186">
        <x:v>3</x:v>
      </x:c>
      <x:c r="B4" s="186" t="s">
        <x:v>272</x:v>
      </x:c>
      <x:c r="C4" s="186" t="s">
        <x:v>273</x:v>
      </x:c>
      <x:c r="D4" s="186" t="s">
        <x:v>269</x:v>
      </x:c>
      <x:c r="E4" s="186" t="s">
        <x:v>274</x:v>
      </x:c>
      <x:c r="F4" s="186" t="s">
        <x:v>275</x:v>
      </x:c>
    </x:row>
    <x:row r="5">
      <x:c r="A5" s="186">
        <x:v>4</x:v>
      </x:c>
      <x:c r="B5" s="186" t="s">
        <x:v>276</x:v>
      </x:c>
      <x:c r="C5" s="186" t="s">
        <x:v>85</x:v>
      </x:c>
      <x:c r="D5" s="186" t="s">
        <x:v>277</x:v>
      </x:c>
      <x:c r="E5" s="186" t="s">
        <x:v>278</x:v>
      </x:c>
      <x:c r="F5" s="186" t="s">
        <x:v>279</x:v>
      </x:c>
    </x:row>
    <x:row r="6" ht="25.5">
      <x:c r="A6" s="186">
        <x:v>5</x:v>
      </x:c>
      <x:c r="B6" s="186" t="s">
        <x:v>280</x:v>
      </x:c>
      <x:c r="C6" s="186" t="s">
        <x:v>281</x:v>
      </x:c>
      <x:c r="D6" s="186" t="s">
        <x:v>269</x:v>
      </x:c>
      <x:c r="E6" s="186" t="s">
        <x:v>282</x:v>
      </x:c>
      <x:c r="F6" s="186" t="s">
        <x:v>283</x:v>
      </x:c>
    </x:row>
    <x:row r="7">
      <x:c r="A7" s="186">
        <x:v>6</x:v>
      </x:c>
      <x:c r="B7" s="186" t="s">
        <x:v>284</x:v>
      </x:c>
      <x:c r="C7" s="186" t="s">
        <x:v>118</x:v>
      </x:c>
      <x:c r="D7" s="186" t="s">
        <x:v>285</x:v>
      </x:c>
      <x:c r="E7" s="186" t="s">
        <x:v>286</x:v>
      </x:c>
      <x:c r="F7" s="186" t="s">
        <x:v>287</x:v>
      </x:c>
    </x:row>
    <x:row r="8">
      <x:c r="A8" s="186">
        <x:v>7</x:v>
      </x:c>
      <x:c r="B8" s="186" t="s">
        <x:v>288</x:v>
      </x:c>
      <x:c r="C8" s="186" t="s">
        <x:v>92</x:v>
      </x:c>
      <x:c r="D8" s="186" t="s">
        <x:v>289</x:v>
      </x:c>
      <x:c r="E8" s="186" t="s">
        <x:v>290</x:v>
      </x:c>
      <x:c r="F8" s="186" t="s">
        <x:v>291</x:v>
      </x:c>
    </x:row>
    <x:row r="9">
      <x:c r="A9" s="186">
        <x:v>8</x:v>
      </x:c>
      <x:c r="B9" s="186" t="s">
        <x:v>292</x:v>
      </x:c>
      <x:c r="C9" s="186" t="s">
        <x:v>293</x:v>
      </x:c>
      <x:c r="D9" s="186" t="s">
        <x:v>285</x:v>
      </x:c>
      <x:c r="E9" s="186" t="s">
        <x:v>294</x:v>
      </x:c>
      <x:c r="F9" s="186" t="s">
        <x:v>295</x:v>
      </x:c>
    </x:row>
    <x:row r="10">
      <x:c r="A10" s="186">
        <x:v>9</x:v>
      </x:c>
      <x:c r="B10" s="186" t="s">
        <x:v>296</x:v>
      </x:c>
      <x:c r="C10" s="186" t="s">
        <x:v>183</x:v>
      </x:c>
      <x:c r="D10" s="186" t="s">
        <x:v>297</x:v>
      </x:c>
      <x:c r="E10" s="186" t="s">
        <x:v>298</x:v>
      </x:c>
      <x:c r="F10" s="186" t="s">
        <x:v>299</x:v>
      </x:c>
    </x:row>
    <x:row r="11" ht="25.5">
      <x:c r="A11" s="186">
        <x:v>10</x:v>
      </x:c>
      <x:c r="B11" s="186" t="s">
        <x:v>300</x:v>
      </x:c>
      <x:c r="C11" s="186" t="s">
        <x:v>301</x:v>
      </x:c>
      <x:c r="D11" s="186" t="s">
        <x:v>302</x:v>
      </x:c>
      <x:c r="E11" s="186" t="s">
        <x:v>303</x:v>
      </x:c>
      <x:c r="F11" s="186" t="s">
        <x:v>304</x:v>
      </x:c>
    </x:row>
    <x:row r="12">
      <x:c r="A12" s="186">
        <x:v>11</x:v>
      </x:c>
      <x:c r="B12" s="186" t="s">
        <x:v>305</x:v>
      </x:c>
      <x:c r="C12" s="186" t="s">
        <x:v>306</x:v>
      </x:c>
      <x:c r="D12" s="186" t="s">
        <x:v>307</x:v>
      </x:c>
      <x:c r="E12" s="186" t="s">
        <x:v>308</x:v>
      </x:c>
      <x:c r="F12" s="186" t="s">
        <x:v>309</x:v>
      </x:c>
    </x:row>
    <x:row r="13" ht="25.5">
      <x:c r="A13" s="186">
        <x:v>12</x:v>
      </x:c>
      <x:c r="B13" s="186" t="s">
        <x:v>310</x:v>
      </x:c>
      <x:c r="C13" s="186" t="s">
        <x:v>311</x:v>
      </x:c>
      <x:c r="D13" s="186" t="s">
        <x:v>312</x:v>
      </x:c>
      <x:c r="E13" s="186" t="s">
        <x:v>313</x:v>
      </x:c>
      <x:c r="F13" s="186" t="s">
        <x:v>314</x:v>
      </x:c>
    </x:row>
    <x:row r="14" ht="51">
      <x:c r="A14" s="186">
        <x:v>13</x:v>
      </x:c>
      <x:c r="B14" s="186" t="s">
        <x:v>315</x:v>
      </x:c>
      <x:c r="C14" s="186" t="s">
        <x:v>316</x:v>
      </x:c>
      <x:c r="D14" s="186" t="s">
        <x:v>317</x:v>
      </x:c>
      <x:c r="E14" s="186" t="s">
        <x:v>318</x:v>
      </x:c>
      <x:c r="F14" s="186" t="s">
        <x:v>319</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8" customWidth="1"/>
    <x:col min="2" max="2" width="36" customWidth="1"/>
    <x:col min="3" max="3" width="58" customWidth="1"/>
    <x:col min="4" max="4" width="50" customWidth="1"/>
  </x:cols>
  <x:sheetData>
    <x:row r="1">
      <x:c r="A1" s="185" t="s">
        <x:v>320</x:v>
      </x:c>
      <x:c r="B1" s="185" t="s">
        <x:v>321</x:v>
      </x:c>
      <x:c r="C1" s="185" t="s">
        <x:v>322</x:v>
      </x:c>
      <x:c r="D1" s="185" t="s">
        <x:v>323</x:v>
      </x:c>
    </x:row>
    <x:row r="2">
      <x:c r="A2" s="186" t="s">
        <x:v>324</x:v>
      </x:c>
      <x:c r="B2" s="186" t="s">
        <x:v>325</x:v>
      </x:c>
      <x:c r="C2" s="186" t="s">
        <x:v>326</x:v>
      </x:c>
      <x:c r="D2" s="186" t="s">
        <x:v>327</x:v>
      </x:c>
    </x:row>
    <x:row r="3">
      <x:c r="A3" s="186" t="s">
        <x:v>55</x:v>
      </x:c>
      <x:c r="B3" s="186" t="s">
        <x:v>328</x:v>
      </x:c>
      <x:c r="C3" s="186" t="s">
        <x:v>329</x:v>
      </x:c>
      <x:c r="D3" s="186" t="s">
        <x:v>330</x:v>
      </x:c>
    </x:row>
    <x:row r="4">
      <x:c r="A4" s="186" t="s">
        <x:v>331</x:v>
      </x:c>
      <x:c r="B4" s="186" t="s">
        <x:v>332</x:v>
      </x:c>
      <x:c r="C4" s="186" t="s">
        <x:v>333</x:v>
      </x:c>
      <x:c r="D4" s="186" t="s">
        <x:v>334</x:v>
      </x:c>
    </x:row>
    <x:row r="5">
      <x:c r="A5" s="186" t="s">
        <x:v>335</x:v>
      </x:c>
      <x:c r="B5" s="186" t="s">
        <x:v>336</x:v>
      </x:c>
      <x:c r="C5" s="186" t="s">
        <x:v>337</x:v>
      </x:c>
      <x:c r="D5" s="186" t="s">
        <x:v>338</x:v>
      </x:c>
    </x:row>
    <x:row r="6">
      <x:c r="A6" s="186" t="s">
        <x:v>339</x:v>
      </x:c>
      <x:c r="B6" s="186" t="s">
        <x:v>340</x:v>
      </x:c>
      <x:c r="C6" s="186" t="s">
        <x:v>341</x:v>
      </x:c>
      <x:c r="D6" s="186" t="s">
        <x:v>342</x:v>
      </x:c>
    </x:row>
    <x:row r="7">
      <x:c r="A7" s="186" t="s">
        <x:v>343</x:v>
      </x:c>
      <x:c r="B7" s="186" t="s">
        <x:v>344</x:v>
      </x:c>
      <x:c r="C7" s="186" t="s">
        <x:v>345</x:v>
      </x:c>
      <x:c r="D7" s="186" t="s">
        <x:v>346</x:v>
      </x:c>
    </x:row>
    <x:row r="8">
      <x:c r="A8" s="186" t="s">
        <x:v>347</x:v>
      </x:c>
      <x:c r="B8" s="186" t="s">
        <x:v>348</x:v>
      </x:c>
      <x:c r="C8" s="186" t="s">
        <x:v>349</x:v>
      </x:c>
      <x:c r="D8" s="186" t="s">
        <x:v>350</x:v>
      </x:c>
    </x:row>
    <x:row r="9">
      <x:c r="A9" s="186" t="s">
        <x:v>351</x:v>
      </x:c>
      <x:c r="B9" s="186" t="s">
        <x:v>352</x:v>
      </x:c>
      <x:c r="C9" s="186" t="s">
        <x:v>353</x:v>
      </x:c>
      <x:c r="D9" s="186" t="s">
        <x:v>354</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customWidth="1"/>
    <x:col min="2" max="2" width="18" customWidth="1"/>
    <x:col min="3" max="3" width="12" customWidth="1"/>
    <x:col min="4" max="5" width="48" customWidth="1"/>
    <x:col min="6" max="6" width="50" customWidth="1"/>
    <x:col min="7" max="7" width="45" customWidth="1"/>
    <x:col min="8" max="8" width="28" customWidth="1"/>
    <x:col min="9" max="9" width="14" customWidth="1"/>
    <x:col min="10" max="11" width="42" customWidth="1"/>
  </x:cols>
  <x:sheetData>
    <x:row r="1">
      <x:c r="A1" s="236" t="s">
        <x:v>63</x:v>
      </x:c>
      <x:c r="B1" s="236" t="s">
        <x:v>64</x:v>
      </x:c>
      <x:c r="C1" s="236" t="str">
        <x:v>2단계 당시 판정 이력(현행 입력은 21시트)</x:v>
      </x:c>
      <x:c r="D1" s="236" t="s">
        <x:v>355</x:v>
      </x:c>
      <x:c r="E1" s="236" t="s">
        <x:v>356</x:v>
      </x:c>
      <x:c r="F1" s="236" t="s">
        <x:v>357</x:v>
      </x:c>
      <x:c r="G1" s="236" t="s">
        <x:v>358</x:v>
      </x:c>
      <x:c r="H1" s="236" t="s">
        <x:v>359</x:v>
      </x:c>
      <x:c r="I1" s="236" t="s">
        <x:v>360</x:v>
      </x:c>
      <x:c r="J1" s="236" t="s">
        <x:v>361</x:v>
      </x:c>
      <x:c r="K1" s="236" t="s">
        <x:v>362</x:v>
      </x:c>
    </x:row>
    <x:row r="2" ht="38.25">
      <x:c r="A2" s="186">
        <x:v>1</x:v>
      </x:c>
      <x:c r="B2" s="186" t="s">
        <x:v>72</x:v>
      </x:c>
      <x:c r="C2" s="186" t="s">
        <x:v>75</x:v>
      </x:c>
      <x:c r="D2" s="186" t="s">
        <x:v>363</x:v>
      </x:c>
      <x:c r="E2" s="186" t="s">
        <x:v>364</x:v>
      </x:c>
      <x:c r="F2" s="186" t="s">
        <x:v>365</x:v>
      </x:c>
      <x:c r="G2" s="186" t="s">
        <x:v>366</x:v>
      </x:c>
      <x:c r="H2" s="186" t="s">
        <x:v>367</x:v>
      </x:c>
      <x:c r="I2" s="186" t="s">
        <x:v>13</x:v>
      </x:c>
      <x:c r="J2" s="186" t="s">
        <x:v>368</x:v>
      </x:c>
      <x:c r="K2" s="186" t="s">
        <x:v>314</x:v>
      </x:c>
    </x:row>
    <x:row r="3">
      <x:c r="A3" s="186">
        <x:v>2</x:v>
      </x:c>
      <x:c r="B3" s="186" t="s">
        <x:v>81</x:v>
      </x:c>
      <x:c r="C3" s="186" t="s">
        <x:v>75</x:v>
      </x:c>
      <x:c r="D3" s="186" t="s">
        <x:v>369</x:v>
      </x:c>
      <x:c r="E3" s="186" t="s">
        <x:v>370</x:v>
      </x:c>
      <x:c r="F3" s="186" t="s">
        <x:v>371</x:v>
      </x:c>
      <x:c r="G3" s="186" t="s">
        <x:v>372</x:v>
      </x:c>
      <x:c r="H3" s="186" t="s">
        <x:v>373</x:v>
      </x:c>
      <x:c r="I3" s="186" t="s">
        <x:v>19</x:v>
      </x:c>
      <x:c r="J3" s="186" t="s">
        <x:v>374</x:v>
      </x:c>
      <x:c r="K3" s="186"/>
    </x:row>
    <x:row r="4" ht="38.25">
      <x:c r="A4" s="186">
        <x:v>3</x:v>
      </x:c>
      <x:c r="B4" s="186" t="s">
        <x:v>88</x:v>
      </x:c>
      <x:c r="C4" s="186" t="s">
        <x:v>75</x:v>
      </x:c>
      <x:c r="D4" s="186" t="s">
        <x:v>375</x:v>
      </x:c>
      <x:c r="E4" s="186" t="s">
        <x:v>376</x:v>
      </x:c>
      <x:c r="F4" s="186" t="s">
        <x:v>377</x:v>
      </x:c>
      <x:c r="G4" s="186" t="s">
        <x:v>378</x:v>
      </x:c>
      <x:c r="H4" s="186" t="s">
        <x:v>379</x:v>
      </x:c>
      <x:c r="I4" s="186" t="s">
        <x:v>19</x:v>
      </x:c>
      <x:c r="J4" s="186" t="s">
        <x:v>380</x:v>
      </x:c>
      <x:c r="K4" s="186"/>
    </x:row>
    <x:row r="5" ht="25.5">
      <x:c r="A5" s="186">
        <x:v>4</x:v>
      </x:c>
      <x:c r="B5" s="186" t="s">
        <x:v>95</x:v>
      </x:c>
      <x:c r="C5" s="186" t="s">
        <x:v>75</x:v>
      </x:c>
      <x:c r="D5" s="186" t="s">
        <x:v>381</x:v>
      </x:c>
      <x:c r="E5" s="186" t="s">
        <x:v>382</x:v>
      </x:c>
      <x:c r="F5" s="186" t="s">
        <x:v>383</x:v>
      </x:c>
      <x:c r="G5" s="186" t="s">
        <x:v>384</x:v>
      </x:c>
      <x:c r="H5" s="186" t="s">
        <x:v>385</x:v>
      </x:c>
      <x:c r="I5" s="186" t="s">
        <x:v>19</x:v>
      </x:c>
      <x:c r="J5" s="186" t="s">
        <x:v>386</x:v>
      </x:c>
      <x:c r="K5" s="186"/>
    </x:row>
    <x:row r="6">
      <x:c r="A6" s="186">
        <x:v>5</x:v>
      </x:c>
      <x:c r="B6" s="186" t="s">
        <x:v>101</x:v>
      </x:c>
      <x:c r="C6" s="186" t="s">
        <x:v>75</x:v>
      </x:c>
      <x:c r="D6" s="186" t="s">
        <x:v>387</x:v>
      </x:c>
      <x:c r="E6" s="186" t="s">
        <x:v>388</x:v>
      </x:c>
      <x:c r="F6" s="186" t="s">
        <x:v>389</x:v>
      </x:c>
      <x:c r="G6" s="186" t="s">
        <x:v>390</x:v>
      </x:c>
      <x:c r="H6" s="186" t="s">
        <x:v>391</x:v>
      </x:c>
      <x:c r="I6" s="186" t="s">
        <x:v>104</x:v>
      </x:c>
      <x:c r="J6" s="186" t="s">
        <x:v>392</x:v>
      </x:c>
      <x:c r="K6" s="186"/>
    </x:row>
    <x:row r="7">
      <x:c r="A7" s="186">
        <x:v>6</x:v>
      </x:c>
      <x:c r="B7" s="186" t="s">
        <x:v>109</x:v>
      </x:c>
      <x:c r="C7" s="186" t="s">
        <x:v>75</x:v>
      </x:c>
      <x:c r="D7" s="186" t="s">
        <x:v>85</x:v>
      </x:c>
      <x:c r="E7" s="186" t="s">
        <x:v>393</x:v>
      </x:c>
      <x:c r="F7" s="186" t="s">
        <x:v>394</x:v>
      </x:c>
      <x:c r="G7" s="186" t="s">
        <x:v>395</x:v>
      </x:c>
      <x:c r="H7" s="186" t="s">
        <x:v>396</x:v>
      </x:c>
      <x:c r="I7" s="186" t="s">
        <x:v>104</x:v>
      </x:c>
      <x:c r="J7" s="186" t="s">
        <x:v>397</x:v>
      </x:c>
      <x:c r="K7" s="186"/>
    </x:row>
    <x:row r="8">
      <x:c r="A8" s="186">
        <x:v>7</x:v>
      </x:c>
      <x:c r="B8" s="186" t="s">
        <x:v>115</x:v>
      </x:c>
      <x:c r="C8" s="186" t="s">
        <x:v>75</x:v>
      </x:c>
      <x:c r="D8" s="186" t="s">
        <x:v>398</x:v>
      </x:c>
      <x:c r="E8" s="186" t="s">
        <x:v>399</x:v>
      </x:c>
      <x:c r="F8" s="186" t="s">
        <x:v>400</x:v>
      </x:c>
      <x:c r="G8" s="186" t="s">
        <x:v>401</x:v>
      </x:c>
      <x:c r="H8" s="186" t="s">
        <x:v>396</x:v>
      </x:c>
      <x:c r="I8" s="186" t="s">
        <x:v>104</x:v>
      </x:c>
      <x:c r="J8" s="186" t="s">
        <x:v>402</x:v>
      </x:c>
      <x:c r="K8" s="186"/>
    </x:row>
    <x:row r="9" ht="25.5">
      <x:c r="A9" s="186">
        <x:v>8</x:v>
      </x:c>
      <x:c r="B9" s="186" t="s">
        <x:v>225</x:v>
      </x:c>
      <x:c r="C9" s="186" t="s">
        <x:v>75</x:v>
      </x:c>
      <x:c r="D9" s="186" t="s">
        <x:v>403</x:v>
      </x:c>
      <x:c r="E9" s="186" t="str">
        <x:v>사용자로부터 2동 FT-ASY-A/C JUMPER 브레이징 용접라인 범위 확인. 브레이징 여부·적용 용접방식은 미확인</x:v>
      </x:c>
      <x:c r="F9" s="186" t="s">
        <x:v>404</x:v>
      </x:c>
      <x:c r="G9" s="186" t="s">
        <x:v>405</x:v>
      </x:c>
      <x:c r="H9" s="186" t="s">
        <x:v>406</x:v>
      </x:c>
      <x:c r="I9" s="186" t="s">
        <x:v>104</x:v>
      </x:c>
      <x:c r="J9" s="186" t="s">
        <x:v>407</x:v>
      </x:c>
      <x:c r="K9" s="186"/>
    </x:row>
    <x:row r="10" ht="25.5">
      <x:c r="A10" s="186">
        <x:v>9</x:v>
      </x:c>
      <x:c r="B10" s="186" t="s">
        <x:v>127</x:v>
      </x:c>
      <x:c r="C10" s="186" t="s">
        <x:v>75</x:v>
      </x:c>
      <x:c r="D10" s="186" t="s">
        <x:v>408</x:v>
      </x:c>
      <x:c r="E10" s="186" t="s">
        <x:v>409</x:v>
      </x:c>
      <x:c r="F10" s="186" t="s">
        <x:v>410</x:v>
      </x:c>
      <x:c r="G10" s="186" t="s">
        <x:v>411</x:v>
      </x:c>
      <x:c r="H10" s="186" t="s">
        <x:v>406</x:v>
      </x:c>
      <x:c r="I10" s="186" t="s">
        <x:v>24</x:v>
      </x:c>
      <x:c r="J10" s="186" t="s">
        <x:v>412</x:v>
      </x:c>
      <x:c r="K10" s="186"/>
    </x:row>
    <x:row r="11">
      <x:c r="A11" s="186">
        <x:v>10</x:v>
      </x:c>
      <x:c r="B11" s="186" t="s">
        <x:v>133</x:v>
      </x:c>
      <x:c r="C11" s="186" t="s">
        <x:v>75</x:v>
      </x:c>
      <x:c r="D11" s="186" t="s">
        <x:v>85</x:v>
      </x:c>
      <x:c r="E11" s="186" t="s">
        <x:v>413</x:v>
      </x:c>
      <x:c r="F11" s="186" t="s">
        <x:v>414</x:v>
      </x:c>
      <x:c r="G11" s="186" t="s">
        <x:v>415</x:v>
      </x:c>
      <x:c r="H11" s="186" t="s">
        <x:v>396</x:v>
      </x:c>
      <x:c r="I11" s="186" t="s">
        <x:v>24</x:v>
      </x:c>
      <x:c r="J11" s="186" t="s">
        <x:v>416</x:v>
      </x:c>
      <x:c r="K11" s="186"/>
    </x:row>
    <x:row r="12" ht="25.5">
      <x:c r="A12" s="186">
        <x:v>11</x:v>
      </x:c>
      <x:c r="B12" s="186" t="s">
        <x:v>138</x:v>
      </x:c>
      <x:c r="C12" s="186" t="s">
        <x:v>75</x:v>
      </x:c>
      <x:c r="D12" s="186" t="s">
        <x:v>85</x:v>
      </x:c>
      <x:c r="E12" s="186" t="s">
        <x:v>417</x:v>
      </x:c>
      <x:c r="F12" s="186" t="s">
        <x:v>418</x:v>
      </x:c>
      <x:c r="G12" s="186" t="s">
        <x:v>419</x:v>
      </x:c>
      <x:c r="H12" s="186" t="s">
        <x:v>385</x:v>
      </x:c>
      <x:c r="I12" s="186" t="s">
        <x:v>24</x:v>
      </x:c>
      <x:c r="J12" s="186" t="s">
        <x:v>420</x:v>
      </x:c>
      <x:c r="K12" s="186"/>
    </x:row>
    <x:row r="13" ht="25.5">
      <x:c r="A13" s="186">
        <x:v>12</x:v>
      </x:c>
      <x:c r="B13" s="186" t="s">
        <x:v>143</x:v>
      </x:c>
      <x:c r="C13" s="186" t="s">
        <x:v>75</x:v>
      </x:c>
      <x:c r="D13" s="186" t="s">
        <x:v>421</x:v>
      </x:c>
      <x:c r="E13" s="186" t="s">
        <x:v>422</x:v>
      </x:c>
      <x:c r="F13" s="186" t="s">
        <x:v>423</x:v>
      </x:c>
      <x:c r="G13" s="186" t="s">
        <x:v>424</x:v>
      </x:c>
      <x:c r="H13" s="186" t="s">
        <x:v>425</x:v>
      </x:c>
      <x:c r="I13" s="186" t="s">
        <x:v>24</x:v>
      </x:c>
      <x:c r="J13" s="186" t="s">
        <x:v>426</x:v>
      </x:c>
      <x:c r="K13" s="186"/>
    </x:row>
    <x:row r="14" ht="25.5">
      <x:c r="A14" s="186">
        <x:v>13</x:v>
      </x:c>
      <x:c r="B14" s="186" t="s">
        <x:v>150</x:v>
      </x:c>
      <x:c r="C14" s="186" t="s">
        <x:v>75</x:v>
      </x:c>
      <x:c r="D14" s="186" t="s">
        <x:v>85</x:v>
      </x:c>
      <x:c r="E14" s="186" t="s">
        <x:v>427</x:v>
      </x:c>
      <x:c r="F14" s="186" t="s">
        <x:v>428</x:v>
      </x:c>
      <x:c r="G14" s="186" t="s">
        <x:v>429</x:v>
      </x:c>
      <x:c r="H14" s="186" t="s">
        <x:v>430</x:v>
      </x:c>
      <x:c r="I14" s="186" t="s">
        <x:v>24</x:v>
      </x:c>
      <x:c r="J14" s="186" t="s">
        <x:v>431</x:v>
      </x:c>
      <x:c r="K14" s="186"/>
    </x:row>
    <x:row r="15">
      <x:c r="A15" s="186">
        <x:v>14</x:v>
      </x:c>
      <x:c r="B15" s="186" t="s">
        <x:v>156</x:v>
      </x:c>
      <x:c r="C15" s="186" t="s">
        <x:v>75</x:v>
      </x:c>
      <x:c r="D15" s="186" t="s">
        <x:v>77</x:v>
      </x:c>
      <x:c r="E15" s="186" t="s">
        <x:v>432</x:v>
      </x:c>
      <x:c r="F15" s="186" t="s">
        <x:v>433</x:v>
      </x:c>
      <x:c r="G15" s="186" t="s">
        <x:v>434</x:v>
      </x:c>
      <x:c r="H15" s="186" t="s">
        <x:v>435</x:v>
      </x:c>
      <x:c r="I15" s="186" t="s">
        <x:v>29</x:v>
      </x:c>
      <x:c r="J15" s="186" t="s">
        <x:v>436</x:v>
      </x:c>
      <x:c r="K15" s="186"/>
    </x:row>
    <x:row r="16" ht="25.5">
      <x:c r="A16" s="186">
        <x:v>15</x:v>
      </x:c>
      <x:c r="B16" s="186" t="s">
        <x:v>32</x:v>
      </x:c>
      <x:c r="C16" s="186" t="s">
        <x:v>75</x:v>
      </x:c>
      <x:c r="D16" s="186" t="s">
        <x:v>77</x:v>
      </x:c>
      <x:c r="E16" s="186" t="s">
        <x:v>437</x:v>
      </x:c>
      <x:c r="F16" s="186" t="s">
        <x:v>438</x:v>
      </x:c>
      <x:c r="G16" s="186" t="s">
        <x:v>439</x:v>
      </x:c>
      <x:c r="H16" s="186" t="s">
        <x:v>440</x:v>
      </x:c>
      <x:c r="I16" s="186" t="s">
        <x:v>34</x:v>
      </x:c>
      <x:c r="J16" s="186" t="s">
        <x:v>441</x:v>
      </x:c>
      <x:c r="K16" s="186"/>
    </x:row>
    <x:row r="17">
      <x:c r="A17" s="186">
        <x:v>16</x:v>
      </x:c>
      <x:c r="B17" s="186" t="s">
        <x:v>167</x:v>
      </x:c>
      <x:c r="C17" s="186" t="s">
        <x:v>75</x:v>
      </x:c>
      <x:c r="D17" s="186" t="s">
        <x:v>442</x:v>
      </x:c>
      <x:c r="E17" s="186" t="s">
        <x:v>443</x:v>
      </x:c>
      <x:c r="F17" s="186" t="s">
        <x:v>444</x:v>
      </x:c>
      <x:c r="G17" s="186" t="s">
        <x:v>445</x:v>
      </x:c>
      <x:c r="H17" s="186" t="s">
        <x:v>446</x:v>
      </x:c>
      <x:c r="I17" s="186" t="s">
        <x:v>29</x:v>
      </x:c>
      <x:c r="J17" s="186" t="s">
        <x:v>447</x:v>
      </x:c>
      <x:c r="K17" s="186"/>
    </x:row>
    <x:row r="18" ht="25.5">
      <x:c r="A18" s="186">
        <x:v>17</x:v>
      </x:c>
      <x:c r="B18" s="186" t="s">
        <x:v>173</x:v>
      </x:c>
      <x:c r="C18" s="186" t="s">
        <x:v>75</x:v>
      </x:c>
      <x:c r="D18" s="186" t="s">
        <x:v>448</x:v>
      </x:c>
      <x:c r="E18" s="186" t="s">
        <x:v>449</x:v>
      </x:c>
      <x:c r="F18" s="186" t="s">
        <x:v>450</x:v>
      </x:c>
      <x:c r="G18" s="186" t="s">
        <x:v>451</x:v>
      </x:c>
      <x:c r="H18" s="186" t="s">
        <x:v>452</x:v>
      </x:c>
      <x:c r="I18" s="186" t="s">
        <x:v>29</x:v>
      </x:c>
      <x:c r="J18" s="186" t="s">
        <x:v>453</x:v>
      </x:c>
      <x:c r="K18" s="186"/>
    </x:row>
    <x:row r="19" ht="25.5">
      <x:c r="A19" s="186">
        <x:v>18</x:v>
      </x:c>
      <x:c r="B19" s="186" t="s">
        <x:v>179</x:v>
      </x:c>
      <x:c r="C19" s="186" t="s">
        <x:v>75</x:v>
      </x:c>
      <x:c r="D19" s="186" t="s">
        <x:v>454</x:v>
      </x:c>
      <x:c r="E19" s="186" t="s">
        <x:v>455</x:v>
      </x:c>
      <x:c r="F19" s="186" t="s">
        <x:v>456</x:v>
      </x:c>
      <x:c r="G19" s="186" t="s">
        <x:v>457</x:v>
      </x:c>
      <x:c r="H19" s="186" t="s">
        <x:v>243</x:v>
      </x:c>
      <x:c r="I19" s="186" t="s">
        <x:v>29</x:v>
      </x:c>
      <x:c r="J19" s="186" t="s">
        <x:v>458</x:v>
      </x:c>
      <x:c r="K19" s="186"/>
    </x:row>
    <x:row r="20">
      <x:c r="A20" s="186">
        <x:v>19</x:v>
      </x:c>
      <x:c r="B20" s="186" t="s">
        <x:v>186</x:v>
      </x:c>
      <x:c r="C20" s="186" t="s">
        <x:v>75</x:v>
      </x:c>
      <x:c r="D20" s="186" t="s">
        <x:v>459</x:v>
      </x:c>
      <x:c r="E20" s="186" t="s">
        <x:v>460</x:v>
      </x:c>
      <x:c r="F20" s="186" t="s">
        <x:v>461</x:v>
      </x:c>
      <x:c r="G20" s="186" t="s">
        <x:v>462</x:v>
      </x:c>
      <x:c r="H20" s="186" t="s">
        <x:v>231</x:v>
      </x:c>
      <x:c r="I20" s="186" t="s">
        <x:v>29</x:v>
      </x:c>
      <x:c r="J20" s="186" t="s">
        <x:v>463</x:v>
      </x:c>
      <x:c r="K20" s="186"/>
    </x:row>
    <x:row r="21" ht="25.5">
      <x:c r="A21" s="186">
        <x:v>20</x:v>
      </x:c>
      <x:c r="B21" s="186" t="s">
        <x:v>193</x:v>
      </x:c>
      <x:c r="C21" s="186" t="s">
        <x:v>75</x:v>
      </x:c>
      <x:c r="D21" s="186" t="s">
        <x:v>464</x:v>
      </x:c>
      <x:c r="E21" s="186" t="s">
        <x:v>465</x:v>
      </x:c>
      <x:c r="F21" s="186" t="s">
        <x:v>466</x:v>
      </x:c>
      <x:c r="G21" s="186" t="s">
        <x:v>467</x:v>
      </x:c>
      <x:c r="H21" s="186" t="s">
        <x:v>254</x:v>
      </x:c>
      <x:c r="I21" s="186" t="s">
        <x:v>34</x:v>
      </x:c>
      <x:c r="J21" s="186" t="s">
        <x:v>468</x:v>
      </x:c>
      <x:c r="K21" s="186"/>
    </x:row>
    <x:row r="22" ht="25.5">
      <x:c r="A22" s="186">
        <x:v>21</x:v>
      </x:c>
      <x:c r="B22" s="186" t="s">
        <x:v>199</x:v>
      </x:c>
      <x:c r="C22" s="186" t="s">
        <x:v>75</x:v>
      </x:c>
      <x:c r="D22" s="186" t="s">
        <x:v>469</x:v>
      </x:c>
      <x:c r="E22" s="186" t="str">
        <x:v>RG3 HEV / 두 품번 및 2동 브레이징 용접라인 확인. 실제 고객 도면 특성과 PFMEA/CP/시험 결과 연계는 미확인</x:v>
      </x:c>
      <x:c r="F22" s="186" t="s">
        <x:v>470</x:v>
      </x:c>
      <x:c r="G22" s="186" t="s">
        <x:v>471</x:v>
      </x:c>
      <x:c r="H22" s="186" t="s">
        <x:v>472</x:v>
      </x:c>
      <x:c r="I22" s="186" t="s">
        <x:v>34</x:v>
      </x:c>
      <x:c r="J22" s="186" t="s">
        <x:v>473</x:v>
      </x:c>
      <x:c r="K22" s="186"/>
    </x:row>
    <x:row r="23" ht="25.5">
      <x:c r="A23" s="186">
        <x:v>22</x:v>
      </x:c>
      <x:c r="B23" s="186" t="s">
        <x:v>205</x:v>
      </x:c>
      <x:c r="C23" s="186" t="s">
        <x:v>75</x:v>
      </x:c>
      <x:c r="D23" s="186" t="s">
        <x:v>474</x:v>
      </x:c>
      <x:c r="E23" s="186" t="s">
        <x:v>475</x:v>
      </x:c>
      <x:c r="F23" s="186" t="s">
        <x:v>476</x:v>
      </x:c>
      <x:c r="G23" s="186" t="s">
        <x:v>477</x:v>
      </x:c>
      <x:c r="H23" s="186" t="s">
        <x:v>231</x:v>
      </x:c>
      <x:c r="I23" s="186" t="s">
        <x:v>34</x:v>
      </x:c>
      <x:c r="J23" s="186" t="s">
        <x:v>478</x:v>
      </x:c>
      <x:c r="K23" s="186"/>
    </x:row>
  </x:sheetData>
  <x:conditionalFormatting sqref="C2:C23">
    <x:cfRule type="expression" dxfId="28" priority="1">
      <x:formula>C2="증빙확보"</x:formula>
    </x:cfRule>
    <x:cfRule type="expression" dxfId="27" priority="2">
      <x:formula>C2="보완필요"</x:formula>
    </x:cfRule>
  </x:conditionalFormatting>
  <x:dataValidations count="1">
    <x:dataValidation type="list" sqref="C2:C23">
      <x:formula1>"증빙확보,보완필요,미확인,해당없음"</x:formula1>
    </x:dataValidation>
  </x:dataValidations>
  <x:pageMargins left="0.7" right="0.7" top="0.75" bottom="0.75" header="0.3" footer="0.3"/>
</x:worksheet>
</file>

<file path=xl/worksheets/sheet7.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8" customWidth="1"/>
    <x:col min="2" max="2" width="30" customWidth="1"/>
    <x:col min="3" max="3" width="55" customWidth="1"/>
    <x:col min="4" max="4" width="32" customWidth="1"/>
    <x:col min="5" max="8" width="14" customWidth="1"/>
  </x:cols>
  <x:sheetData>
    <x:row r="1">
      <x:c r="A1" s="237" t="s">
        <x:v>479</x:v>
      </x:c>
      <x:c r="B1" s="237"/>
      <x:c r="C1" s="237"/>
      <x:c r="D1" s="237"/>
      <x:c r="E1" s="237"/>
      <x:c r="F1" s="237"/>
      <x:c r="G1" s="237"/>
      <x:c r="H1" s="237"/>
    </x:row>
    <x:row r="2">
      <x:c r="A2" s="237"/>
      <x:c r="B2" s="237"/>
      <x:c r="C2" s="237"/>
      <x:c r="D2" s="237"/>
      <x:c r="E2" s="237"/>
      <x:c r="F2" s="237"/>
      <x:c r="G2" s="237"/>
      <x:c r="H2" s="237"/>
    </x:row>
    <x:row r="3">
      <x:c r="A3" s="78" t="s">
        <x:v>480</x:v>
      </x:c>
      <x:c r="B3" s="78"/>
      <x:c r="C3" s="78"/>
      <x:c r="D3" s="78"/>
      <x:c r="E3" s="78"/>
      <x:c r="F3" s="78"/>
      <x:c r="G3" s="78"/>
      <x:c r="H3" s="78"/>
    </x:row>
    <x:row r="5">
      <x:c r="A5" s="79" t="s">
        <x:v>481</x:v>
      </x:c>
      <x:c r="B5" s="80"/>
      <x:c r="C5" s="79" t="s">
        <x:v>75</x:v>
      </x:c>
      <x:c r="D5" s="80"/>
      <x:c r="E5" s="79" t="s">
        <x:v>15</x:v>
      </x:c>
      <x:c r="F5" s="80"/>
      <x:c r="G5" s="79" t="s">
        <x:v>482</x:v>
      </x:c>
      <x:c r="H5" s="80"/>
    </x:row>
    <x:row r="6">
      <x:c r="A6" s="81" t="n">
        <x:f>COUNTIF('05_2단계_증빙판정'!C2:C23,"증빙확보")</x:f>
        <x:v>0</x:v>
      </x:c>
      <x:c r="B6" s="82"/>
      <x:c r="C6" s="85" t="n">
        <x:f>COUNTIF('05_2단계_증빙판정'!C2:C23,"보완필요")</x:f>
        <x:v>22</x:v>
      </x:c>
      <x:c r="D6" s="86"/>
      <x:c r="E6" s="89" t="n">
        <x:f>COUNTIF('05_2단계_증빙판정'!C2:C23,"미확인")</x:f>
        <x:v>0</x:v>
      </x:c>
      <x:c r="F6" s="90"/>
      <x:c r="G6" s="93">
        <x:v>22</x:v>
      </x:c>
      <x:c r="H6" s="94"/>
    </x:row>
    <x:row r="7">
      <x:c r="A7" s="83"/>
      <x:c r="B7" s="84"/>
      <x:c r="C7" s="87"/>
      <x:c r="D7" s="88"/>
      <x:c r="E7" s="91"/>
      <x:c r="F7" s="92"/>
      <x:c r="G7" s="95"/>
      <x:c r="H7" s="96"/>
    </x:row>
    <x:row r="9">
      <x:c r="A9" s="238" t="s">
        <x:v>483</x:v>
      </x:c>
      <x:c r="B9" s="238"/>
      <x:c r="C9" s="238"/>
      <x:c r="D9" s="238"/>
      <x:c r="E9" s="238"/>
      <x:c r="F9" s="238"/>
      <x:c r="G9" s="238"/>
      <x:c r="H9" s="238"/>
    </x:row>
    <x:row r="10">
      <x:c r="A10" s="239" t="s">
        <x:v>484</x:v>
      </x:c>
      <x:c r="B10" s="239"/>
      <x:c r="C10" s="239"/>
      <x:c r="D10" s="239"/>
      <x:c r="E10" s="239"/>
      <x:c r="F10" s="239"/>
      <x:c r="G10" s="239"/>
      <x:c r="H10" s="239"/>
    </x:row>
    <x:row r="11">
      <x:c r="A11" s="239"/>
      <x:c r="B11" s="239"/>
      <x:c r="C11" s="239"/>
      <x:c r="D11" s="239"/>
      <x:c r="E11" s="239"/>
      <x:c r="F11" s="239"/>
      <x:c r="G11" s="239"/>
      <x:c r="H11" s="239"/>
    </x:row>
    <x:row r="12">
      <x:c r="A12" s="239"/>
      <x:c r="B12" s="239"/>
      <x:c r="C12" s="239"/>
      <x:c r="D12" s="239"/>
      <x:c r="E12" s="239"/>
      <x:c r="F12" s="239"/>
      <x:c r="G12" s="239"/>
      <x:c r="H12" s="239"/>
    </x:row>
    <x:row r="13">
      <x:c r="A13" s="239"/>
      <x:c r="B13" s="239"/>
      <x:c r="C13" s="239"/>
      <x:c r="D13" s="239"/>
      <x:c r="E13" s="239"/>
      <x:c r="F13" s="239"/>
      <x:c r="G13" s="239"/>
      <x:c r="H13" s="239"/>
    </x:row>
    <x:row r="15">
      <x:c r="A15" s="236" t="s">
        <x:v>485</x:v>
      </x:c>
      <x:c r="B15" s="236" t="s">
        <x:v>358</x:v>
      </x:c>
      <x:c r="C15" s="236" t="s">
        <x:v>486</x:v>
      </x:c>
      <x:c r="D15" s="236" t="s">
        <x:v>8</x:v>
      </x:c>
      <x:c r="E15" s="236" t="s">
        <x:v>360</x:v>
      </x:c>
    </x:row>
    <x:row r="16">
      <x:c r="A16" s="186" t="s">
        <x:v>487</x:v>
      </x:c>
      <x:c r="B16" s="186" t="s">
        <x:v>488</x:v>
      </x:c>
      <x:c r="C16" s="186" t="s">
        <x:v>489</x:v>
      </x:c>
      <x:c r="D16" s="186" t="s">
        <x:v>14</x:v>
      </x:c>
      <x:c r="E16" s="186" t="s">
        <x:v>13</x:v>
      </x:c>
    </x:row>
    <x:row r="17">
      <x:c r="A17" s="186" t="s">
        <x:v>490</x:v>
      </x:c>
      <x:c r="B17" s="186" t="s">
        <x:v>491</x:v>
      </x:c>
      <x:c r="C17" s="186" t="s">
        <x:v>492</x:v>
      </x:c>
      <x:c r="D17" s="186" t="s">
        <x:v>20</x:v>
      </x:c>
      <x:c r="E17" s="186" t="s">
        <x:v>19</x:v>
      </x:c>
    </x:row>
    <x:row r="18">
      <x:c r="A18" s="186" t="s">
        <x:v>493</x:v>
      </x:c>
      <x:c r="B18" s="186" t="s">
        <x:v>494</x:v>
      </x:c>
      <x:c r="C18" s="186" t="s">
        <x:v>495</x:v>
      </x:c>
      <x:c r="D18" s="186" t="s">
        <x:v>496</x:v>
      </x:c>
      <x:c r="E18" s="186" t="s">
        <x:v>104</x:v>
      </x:c>
    </x:row>
    <x:row r="19">
      <x:c r="A19" s="186" t="s">
        <x:v>497</x:v>
      </x:c>
      <x:c r="B19" s="186" t="s">
        <x:v>498</x:v>
      </x:c>
      <x:c r="C19" s="186" t="s">
        <x:v>499</x:v>
      </x:c>
      <x:c r="D19" s="186" t="s">
        <x:v>500</x:v>
      </x:c>
      <x:c r="E19" s="186" t="s">
        <x:v>24</x:v>
      </x:c>
    </x:row>
    <x:row r="20">
      <x:c r="A20" s="186" t="s">
        <x:v>501</x:v>
      </x:c>
      <x:c r="B20" s="186" t="s">
        <x:v>502</x:v>
      </x:c>
      <x:c r="C20" s="186" t="s">
        <x:v>503</x:v>
      </x:c>
      <x:c r="D20" s="186" t="s">
        <x:v>504</x:v>
      </x:c>
      <x:c r="E20" s="186" t="s">
        <x:v>29</x:v>
      </x:c>
    </x:row>
    <x:row r="21">
      <x:c r="A21" s="186" t="s">
        <x:v>505</x:v>
      </x:c>
      <x:c r="B21" s="186" t="s">
        <x:v>506</x:v>
      </x:c>
      <x:c r="C21" s="186" t="s">
        <x:v>507</x:v>
      </x:c>
      <x:c r="D21" s="186" t="s">
        <x:v>508</x:v>
      </x:c>
      <x:c r="E21" s="186" t="s">
        <x:v>29</x:v>
      </x:c>
    </x:row>
    <x:row r="22">
      <x:c r="A22" s="186" t="s">
        <x:v>509</x:v>
      </x:c>
      <x:c r="B22" s="186" t="s">
        <x:v>510</x:v>
      </x:c>
      <x:c r="C22" s="186" t="s">
        <x:v>511</x:v>
      </x:c>
      <x:c r="D22" s="186" t="s">
        <x:v>512</x:v>
      </x:c>
      <x:c r="E22" s="186" t="s">
        <x:v>29</x:v>
      </x:c>
    </x:row>
    <x:row r="23">
      <x:c r="A23" s="186" t="s">
        <x:v>513</x:v>
      </x:c>
      <x:c r="B23" s="186" t="s">
        <x:v>514</x:v>
      </x:c>
      <x:c r="C23" s="186" t="s">
        <x:v>515</x:v>
      </x:c>
      <x:c r="D23" s="186" t="s">
        <x:v>35</x:v>
      </x:c>
      <x:c r="E23" s="186" t="s">
        <x:v>39</x:v>
      </x:c>
    </x:row>
  </x:sheetData>
  <x:mergeCells>
    <x:mergeCell ref="A9:H9"/>
    <x:mergeCell ref="A10:H13"/>
    <x:mergeCell ref="A1:H2"/>
    <x:mergeCell ref="A3:H3"/>
    <x:mergeCell ref="A5:B5"/>
    <x:mergeCell ref="A6:B7"/>
    <x:mergeCell ref="C5:D5"/>
    <x:mergeCell ref="C6:D7"/>
    <x:mergeCell ref="E5:F5"/>
    <x:mergeCell ref="E6:F7"/>
    <x:mergeCell ref="G5:H5"/>
    <x:mergeCell ref="G6:H7"/>
  </x:mergeCells>
  <x:pageMargins left="0.7" right="0.7" top="0.75" bottom="0.75" header="0.3" footer="0.3"/>
</x:worksheet>
</file>

<file path=xl/worksheets/sheet8.xml><?xml version="1.0" encoding="utf-8"?>
<x:worksheet xmlns:x="http://schemas.openxmlformats.org/spreadsheetml/2006/main">
  <x:sheetViews>
    <x:sheetView workbookViewId="0">
      <x:pane ySplit="11" topLeftCell="A12" activePane="bottomLeft" state="frozen"/>
    </x:sheetView>
  </x:sheetViews>
  <x:sheetFormatPr defaultRowHeight="15"/>
  <x:cols>
    <x:col min="1" max="1" width="10.75" customWidth="1"/>
    <x:col min="2" max="2" width="54" customWidth="1"/>
    <x:col min="3" max="3" width="28" customWidth="1"/>
    <x:col min="4" max="4" width="30" customWidth="1"/>
    <x:col min="5" max="5" width="38" customWidth="1"/>
    <x:col min="6" max="6" width="12" customWidth="1"/>
    <x:col min="7" max="7" width="44" customWidth="1"/>
    <x:col min="8" max="9" width="12" customWidth="1"/>
    <x:col min="10" max="10" width="34" customWidth="1"/>
    <x:col min="11" max="11" width="20" customWidth="1"/>
    <x:col min="12" max="13" width="12" customWidth="1"/>
    <x:col min="14" max="14" width="9" customWidth="1"/>
  </x:cols>
  <x:sheetData>
    <x:row r="1">
      <x:c r="A1" s="97" t="str">
        <x:v>3단계 — RG3 HEV / 6동 점프 튜브 자동가공·2동 브레이징/기밀라인 문서·현장 교차검증</x:v>
      </x:c>
      <x:c r="B1" s="97"/>
      <x:c r="C1" s="97"/>
      <x:c r="D1" s="97"/>
      <x:c r="E1" s="97"/>
      <x:c r="F1" s="97"/>
      <x:c r="G1" s="97"/>
      <x:c r="H1" s="97"/>
      <x:c r="I1" s="97"/>
      <x:c r="J1" s="97"/>
      <x:c r="K1" s="97"/>
      <x:c r="L1" s="97"/>
      <x:c r="M1" s="97"/>
      <x:c r="N1" s="97"/>
    </x:row>
    <x:row r="2">
      <x:c r="A2" s="97"/>
      <x:c r="B2" s="97"/>
      <x:c r="C2" s="97"/>
      <x:c r="D2" s="97"/>
      <x:c r="E2" s="97"/>
      <x:c r="F2" s="97"/>
      <x:c r="G2" s="97"/>
      <x:c r="H2" s="97"/>
      <x:c r="I2" s="97"/>
      <x:c r="J2" s="97"/>
      <x:c r="K2" s="97"/>
      <x:c r="L2" s="97"/>
      <x:c r="M2" s="97"/>
      <x:c r="N2" s="97"/>
    </x:row>
    <x:row r="4" ht="38.25">
      <x:c r="A4" s="240" t="s">
        <x:v>516</x:v>
      </x:c>
      <x:c r="B4" s="240" t="s">
        <x:v>517</x:v>
      </x:c>
    </x:row>
    <x:row r="5" ht="30" customHeight="1">
      <x:c r="A5" s="186" t="s">
        <x:v>518</x:v>
      </x:c>
      <x:c r="B5" s="241" t="s">
        <x:v>519</x:v>
      </x:c>
    </x:row>
    <x:row r="6" ht="30" customHeight="1">
      <x:c r="A6" s="186" t="s">
        <x:v>520</x:v>
      </x:c>
      <x:c r="B6" s="242" t="str">
        <x:v>도면 Rev.01(사용자 확인) / 제품 정식 품명 사내확인 필요</x:v>
      </x:c>
    </x:row>
    <x:row r="7" ht="30" customHeight="1">
      <x:c r="A7" s="186" t="s">
        <x:v>521</x:v>
      </x:c>
      <x:c r="B7" s="242" t="str">
        <x:v>6동 벤딩·포밍·커팅·코킹 자동가공 → 2동 브레이징·기밀검사 (세부 용접방식 확인 필요)</x:v>
      </x:c>
    </x:row>
    <x:row r="8" ht="30" customHeight="1">
      <x:c r="A8" s="186" t="s">
        <x:v>522</x:v>
      </x:c>
      <x:c r="B8" s="241" t="str">
        <x:v>6동 자동가공 / 2동 브레이징·기밀</x:v>
      </x:c>
    </x:row>
    <x:row r="9" ht="30" customHeight="1">
      <x:c r="A9" s="186" t="s">
        <x:v>523</x:v>
      </x:c>
      <x:c r="B9" s="241" t="s">
        <x:v>524</x:v>
      </x:c>
    </x:row>
    <x:row r="11">
      <x:c r="A11" s="240" t="s">
        <x:v>63</x:v>
      </x:c>
      <x:c r="B11" s="240" t="s">
        <x:v>525</x:v>
      </x:c>
      <x:c r="C11" s="240" t="s">
        <x:v>526</x:v>
      </x:c>
      <x:c r="D11" s="240" t="s">
        <x:v>527</x:v>
      </x:c>
      <x:c r="E11" s="240" t="s">
        <x:v>528</x:v>
      </x:c>
      <x:c r="F11" s="240" t="s">
        <x:v>529</x:v>
      </x:c>
      <x:c r="G11" s="240" t="s">
        <x:v>530</x:v>
      </x:c>
      <x:c r="H11" s="240" t="s">
        <x:v>531</x:v>
      </x:c>
      <x:c r="I11" s="240" t="s">
        <x:v>532</x:v>
      </x:c>
      <x:c r="J11" s="240" t="s">
        <x:v>533</x:v>
      </x:c>
      <x:c r="K11" s="240" t="s">
        <x:v>359</x:v>
      </x:c>
      <x:c r="L11" s="240" t="s">
        <x:v>534</x:v>
      </x:c>
      <x:c r="M11" s="240" t="s">
        <x:v>535</x:v>
      </x:c>
      <x:c r="N11" s="240" t="s">
        <x:v>536</x:v>
      </x:c>
    </x:row>
    <x:row r="12" ht="25.5">
      <x:c r="A12" s="186">
        <x:v>1</x:v>
      </x:c>
      <x:c r="B12" s="186" t="s">
        <x:v>537</x:v>
      </x:c>
      <x:c r="C12" s="186" t="s">
        <x:v>538</x:v>
      </x:c>
      <x:c r="D12" s="186" t="s">
        <x:v>539</x:v>
      </x:c>
      <x:c r="E12" s="251" t="s">
        <x:v>540</x:v>
      </x:c>
      <x:c r="F12" s="251" t="s">
        <x:v>541</x:v>
      </x:c>
      <x:c r="G12" s="186" t="s">
        <x:v>542</x:v>
      </x:c>
      <x:c r="H12" s="186" t="s">
        <x:v>543</x:v>
      </x:c>
      <x:c r="I12" s="186" t="s">
        <x:v>75</x:v>
      </x:c>
      <x:c r="J12" s="186" t="s">
        <x:v>544</x:v>
      </x:c>
      <x:c r="K12" s="186" t="s">
        <x:v>545</x:v>
      </x:c>
      <x:c r="L12" s="186" t="s">
        <x:v>541</x:v>
      </x:c>
      <x:c r="M12" s="186" t="s">
        <x:v>541</x:v>
      </x:c>
      <x:c r="N12" s="186" t="s">
        <x:v>546</x:v>
      </x:c>
    </x:row>
    <x:row r="13" ht="25.5">
      <x:c r="A13" s="186">
        <x:v>2</x:v>
      </x:c>
      <x:c r="B13" s="186" t="s">
        <x:v>547</x:v>
      </x:c>
      <x:c r="C13" s="186" t="s">
        <x:v>548</x:v>
      </x:c>
      <x:c r="D13" s="186" t="s">
        <x:v>549</x:v>
      </x:c>
      <x:c r="E13" s="251" t="str">
        <x:v>도면 Rev.01 / 고객 보안 원본 사내대조 후 내부 결과만 기재</x:v>
      </x:c>
      <x:c r="F13" s="251" t="s">
        <x:v>541</x:v>
      </x:c>
      <x:c r="G13" s="186" t="s">
        <x:v>550</x:v>
      </x:c>
      <x:c r="H13" s="186" t="s">
        <x:v>543</x:v>
      </x:c>
      <x:c r="I13" s="186" t="s">
        <x:v>75</x:v>
      </x:c>
      <x:c r="J13" s="186" t="s">
        <x:v>551</x:v>
      </x:c>
      <x:c r="K13" s="186" t="s">
        <x:v>552</x:v>
      </x:c>
      <x:c r="L13" s="186" t="s">
        <x:v>541</x:v>
      </x:c>
      <x:c r="M13" s="186" t="s">
        <x:v>541</x:v>
      </x:c>
      <x:c r="N13" s="186" t="s">
        <x:v>546</x:v>
      </x:c>
    </x:row>
    <x:row r="14" ht="25.5">
      <x:c r="A14" s="186">
        <x:v>3</x:v>
      </x:c>
      <x:c r="B14" s="186" t="s">
        <x:v>553</x:v>
      </x:c>
      <x:c r="C14" s="186" t="s">
        <x:v>554</x:v>
      </x:c>
      <x:c r="D14" s="186" t="s">
        <x:v>555</x:v>
      </x:c>
      <x:c r="E14" s="251" t="s">
        <x:v>556</x:v>
      </x:c>
      <x:c r="F14" s="251" t="s">
        <x:v>541</x:v>
      </x:c>
      <x:c r="G14" s="186" t="str">
        <x:v>6동 점프 튜브 자동가공·2동 브레이징/기밀 공정의 실제 순서, 전·후공정, 외주/재작업 경로를 현장에서 대조</x:v>
      </x:c>
      <x:c r="H14" s="186" t="s">
        <x:v>543</x:v>
      </x:c>
      <x:c r="I14" s="186" t="s">
        <x:v>75</x:v>
      </x:c>
      <x:c r="J14" s="186" t="s">
        <x:v>557</x:v>
      </x:c>
      <x:c r="K14" s="186" t="s">
        <x:v>558</x:v>
      </x:c>
      <x:c r="L14" s="186" t="s">
        <x:v>541</x:v>
      </x:c>
      <x:c r="M14" s="186" t="s">
        <x:v>541</x:v>
      </x:c>
      <x:c r="N14" s="186" t="s">
        <x:v>546</x:v>
      </x:c>
    </x:row>
    <x:row r="15">
      <x:c r="A15" s="186">
        <x:v>4</x:v>
      </x:c>
      <x:c r="B15" s="186" t="s">
        <x:v>88</x:v>
      </x:c>
      <x:c r="C15" s="186" t="s">
        <x:v>559</x:v>
      </x:c>
      <x:c r="D15" s="186" t="s">
        <x:v>560</x:v>
      </x:c>
      <x:c r="E15" s="251" t="s">
        <x:v>561</x:v>
      </x:c>
      <x:c r="F15" s="251" t="s">
        <x:v>541</x:v>
      </x:c>
      <x:c r="G15" s="186" t="s">
        <x:v>562</x:v>
      </x:c>
      <x:c r="H15" s="186" t="s">
        <x:v>543</x:v>
      </x:c>
      <x:c r="I15" s="186" t="s">
        <x:v>75</x:v>
      </x:c>
      <x:c r="J15" s="186" t="s">
        <x:v>563</x:v>
      </x:c>
      <x:c r="K15" s="186" t="s">
        <x:v>564</x:v>
      </x:c>
      <x:c r="L15" s="186" t="s">
        <x:v>541</x:v>
      </x:c>
      <x:c r="M15" s="186" t="s">
        <x:v>541</x:v>
      </x:c>
      <x:c r="N15" s="186" t="s">
        <x:v>546</x:v>
      </x:c>
    </x:row>
    <x:row r="16">
      <x:c r="A16" s="186">
        <x:v>5</x:v>
      </x:c>
      <x:c r="B16" s="186" t="s">
        <x:v>81</x:v>
      </x:c>
      <x:c r="C16" s="186" t="s">
        <x:v>565</x:v>
      </x:c>
      <x:c r="D16" s="186" t="s">
        <x:v>566</x:v>
      </x:c>
      <x:c r="E16" s="251" t="s">
        <x:v>567</x:v>
      </x:c>
      <x:c r="F16" s="251" t="s">
        <x:v>541</x:v>
      </x:c>
      <x:c r="G16" s="186" t="s">
        <x:v>568</x:v>
      </x:c>
      <x:c r="H16" s="186" t="s">
        <x:v>543</x:v>
      </x:c>
      <x:c r="I16" s="186" t="s">
        <x:v>75</x:v>
      </x:c>
      <x:c r="J16" s="186" t="s">
        <x:v>569</x:v>
      </x:c>
      <x:c r="K16" s="186" t="s">
        <x:v>558</x:v>
      </x:c>
      <x:c r="L16" s="186" t="s">
        <x:v>541</x:v>
      </x:c>
      <x:c r="M16" s="186" t="s">
        <x:v>541</x:v>
      </x:c>
      <x:c r="N16" s="186" t="s">
        <x:v>546</x:v>
      </x:c>
    </x:row>
    <x:row r="17">
      <x:c r="A17" s="186">
        <x:v>6</x:v>
      </x:c>
      <x:c r="B17" s="186" t="s">
        <x:v>101</x:v>
      </x:c>
      <x:c r="C17" s="186" t="s">
        <x:v>570</x:v>
      </x:c>
      <x:c r="D17" s="186" t="s">
        <x:v>571</x:v>
      </x:c>
      <x:c r="E17" s="251" t="s">
        <x:v>572</x:v>
      </x:c>
      <x:c r="F17" s="251" t="s">
        <x:v>541</x:v>
      </x:c>
      <x:c r="G17" s="186" t="s">
        <x:v>573</x:v>
      </x:c>
      <x:c r="H17" s="186" t="s">
        <x:v>543</x:v>
      </x:c>
      <x:c r="I17" s="186" t="s">
        <x:v>75</x:v>
      </x:c>
      <x:c r="J17" s="186" t="s">
        <x:v>574</x:v>
      </x:c>
      <x:c r="K17" s="186" t="s">
        <x:v>575</x:v>
      </x:c>
      <x:c r="L17" s="186" t="s">
        <x:v>541</x:v>
      </x:c>
      <x:c r="M17" s="186" t="s">
        <x:v>541</x:v>
      </x:c>
      <x:c r="N17" s="186" t="s">
        <x:v>546</x:v>
      </x:c>
    </x:row>
    <x:row r="18" ht="25.5">
      <x:c r="A18" s="186">
        <x:v>7</x:v>
      </x:c>
      <x:c r="B18" s="186" t="s">
        <x:v>576</x:v>
      </x:c>
      <x:c r="C18" s="186" t="s">
        <x:v>577</x:v>
      </x:c>
      <x:c r="D18" s="186" t="s">
        <x:v>578</x:v>
      </x:c>
      <x:c r="E18" s="251" t="s">
        <x:v>579</x:v>
      </x:c>
      <x:c r="F18" s="251" t="s">
        <x:v>541</x:v>
      </x:c>
      <x:c r="G18" s="186" t="s">
        <x:v>580</x:v>
      </x:c>
      <x:c r="H18" s="186" t="s">
        <x:v>543</x:v>
      </x:c>
      <x:c r="I18" s="186" t="s">
        <x:v>75</x:v>
      </x:c>
      <x:c r="J18" s="186" t="s">
        <x:v>581</x:v>
      </x:c>
      <x:c r="K18" s="186" t="s">
        <x:v>582</x:v>
      </x:c>
      <x:c r="L18" s="186" t="s">
        <x:v>541</x:v>
      </x:c>
      <x:c r="M18" s="186" t="s">
        <x:v>541</x:v>
      </x:c>
      <x:c r="N18" s="186" t="s">
        <x:v>546</x:v>
      </x:c>
    </x:row>
    <x:row r="19">
      <x:c r="A19" s="186">
        <x:v>8</x:v>
      </x:c>
      <x:c r="B19" s="186" t="s">
        <x:v>109</x:v>
      </x:c>
      <x:c r="C19" s="186" t="s">
        <x:v>583</x:v>
      </x:c>
      <x:c r="D19" s="186" t="s">
        <x:v>584</x:v>
      </x:c>
      <x:c r="E19" s="251" t="s">
        <x:v>585</x:v>
      </x:c>
      <x:c r="F19" s="251" t="s">
        <x:v>541</x:v>
      </x:c>
      <x:c r="G19" s="186" t="s">
        <x:v>586</x:v>
      </x:c>
      <x:c r="H19" s="186" t="s">
        <x:v>543</x:v>
      </x:c>
      <x:c r="I19" s="186" t="s">
        <x:v>75</x:v>
      </x:c>
      <x:c r="J19" s="186" t="s">
        <x:v>587</x:v>
      </x:c>
      <x:c r="K19" s="186" t="s">
        <x:v>235</x:v>
      </x:c>
      <x:c r="L19" s="186" t="s">
        <x:v>541</x:v>
      </x:c>
      <x:c r="M19" s="186" t="s">
        <x:v>541</x:v>
      </x:c>
      <x:c r="N19" s="186" t="s">
        <x:v>546</x:v>
      </x:c>
    </x:row>
    <x:row r="20">
      <x:c r="A20" s="186">
        <x:v>9</x:v>
      </x:c>
      <x:c r="B20" s="186" t="s">
        <x:v>588</x:v>
      </x:c>
      <x:c r="C20" s="186" t="s">
        <x:v>589</x:v>
      </x:c>
      <x:c r="D20" s="186" t="s">
        <x:v>590</x:v>
      </x:c>
      <x:c r="E20" s="251" t="s">
        <x:v>591</x:v>
      </x:c>
      <x:c r="F20" s="251" t="s">
        <x:v>541</x:v>
      </x:c>
      <x:c r="G20" s="186" t="s">
        <x:v>592</x:v>
      </x:c>
      <x:c r="H20" s="186" t="s">
        <x:v>543</x:v>
      </x:c>
      <x:c r="I20" s="186" t="s">
        <x:v>75</x:v>
      </x:c>
      <x:c r="J20" s="186" t="s">
        <x:v>593</x:v>
      </x:c>
      <x:c r="K20" s="186" t="s">
        <x:v>235</x:v>
      </x:c>
      <x:c r="L20" s="186" t="s">
        <x:v>541</x:v>
      </x:c>
      <x:c r="M20" s="186" t="s">
        <x:v>541</x:v>
      </x:c>
      <x:c r="N20" s="186" t="s">
        <x:v>546</x:v>
      </x:c>
    </x:row>
    <x:row r="21">
      <x:c r="A21" s="186">
        <x:v>10</x:v>
      </x:c>
      <x:c r="B21" s="186" t="s">
        <x:v>594</x:v>
      </x:c>
      <x:c r="C21" s="186" t="s">
        <x:v>595</x:v>
      </x:c>
      <x:c r="D21" s="186" t="s">
        <x:v>596</x:v>
      </x:c>
      <x:c r="E21" s="251" t="s">
        <x:v>597</x:v>
      </x:c>
      <x:c r="F21" s="251" t="s">
        <x:v>541</x:v>
      </x:c>
      <x:c r="G21" s="186" t="s">
        <x:v>598</x:v>
      </x:c>
      <x:c r="H21" s="186" t="s">
        <x:v>543</x:v>
      </x:c>
      <x:c r="I21" s="186" t="s">
        <x:v>75</x:v>
      </x:c>
      <x:c r="J21" s="186" t="s">
        <x:v>593</x:v>
      </x:c>
      <x:c r="K21" s="186" t="s">
        <x:v>558</x:v>
      </x:c>
      <x:c r="L21" s="186" t="s">
        <x:v>541</x:v>
      </x:c>
      <x:c r="M21" s="186" t="s">
        <x:v>541</x:v>
      </x:c>
      <x:c r="N21" s="186" t="s">
        <x:v>546</x:v>
      </x:c>
    </x:row>
    <x:row r="22">
      <x:c r="A22" s="186">
        <x:v>11</x:v>
      </x:c>
      <x:c r="B22" s="186" t="s">
        <x:v>599</x:v>
      </x:c>
      <x:c r="C22" s="186" t="s">
        <x:v>600</x:v>
      </x:c>
      <x:c r="D22" s="186" t="s">
        <x:v>601</x:v>
      </x:c>
      <x:c r="E22" s="251" t="s">
        <x:v>602</x:v>
      </x:c>
      <x:c r="F22" s="251" t="s">
        <x:v>541</x:v>
      </x:c>
      <x:c r="G22" s="186" t="s">
        <x:v>603</x:v>
      </x:c>
      <x:c r="H22" s="186" t="s">
        <x:v>543</x:v>
      </x:c>
      <x:c r="I22" s="186" t="s">
        <x:v>75</x:v>
      </x:c>
      <x:c r="J22" s="186" t="s">
        <x:v>604</x:v>
      </x:c>
      <x:c r="K22" s="186" t="s">
        <x:v>235</x:v>
      </x:c>
      <x:c r="L22" s="186" t="s">
        <x:v>541</x:v>
      </x:c>
      <x:c r="M22" s="186" t="s">
        <x:v>541</x:v>
      </x:c>
      <x:c r="N22" s="186" t="s">
        <x:v>546</x:v>
      </x:c>
    </x:row>
    <x:row r="23">
      <x:c r="A23" s="186">
        <x:v>12</x:v>
      </x:c>
      <x:c r="B23" s="186" t="s">
        <x:v>605</x:v>
      </x:c>
      <x:c r="C23" s="186" t="s">
        <x:v>606</x:v>
      </x:c>
      <x:c r="D23" s="186" t="s">
        <x:v>607</x:v>
      </x:c>
      <x:c r="E23" s="251" t="s">
        <x:v>608</x:v>
      </x:c>
      <x:c r="F23" s="251" t="s">
        <x:v>541</x:v>
      </x:c>
      <x:c r="G23" s="186" t="s">
        <x:v>609</x:v>
      </x:c>
      <x:c r="H23" s="186" t="s">
        <x:v>543</x:v>
      </x:c>
      <x:c r="I23" s="186" t="s">
        <x:v>75</x:v>
      </x:c>
      <x:c r="J23" s="186" t="s">
        <x:v>604</x:v>
      </x:c>
      <x:c r="K23" s="186" t="s">
        <x:v>335</x:v>
      </x:c>
      <x:c r="L23" s="186" t="s">
        <x:v>541</x:v>
      </x:c>
      <x:c r="M23" s="186" t="s">
        <x:v>541</x:v>
      </x:c>
      <x:c r="N23" s="186" t="s">
        <x:v>546</x:v>
      </x:c>
    </x:row>
    <x:row r="24">
      <x:c r="A24" s="186">
        <x:v>13</x:v>
      </x:c>
      <x:c r="B24" s="186" t="s">
        <x:v>610</x:v>
      </x:c>
      <x:c r="C24" s="186" t="s">
        <x:v>143</x:v>
      </x:c>
      <x:c r="D24" s="186" t="s">
        <x:v>611</x:v>
      </x:c>
      <x:c r="E24" s="251" t="s">
        <x:v>612</x:v>
      </x:c>
      <x:c r="F24" s="251" t="s">
        <x:v>541</x:v>
      </x:c>
      <x:c r="G24" s="186" t="s">
        <x:v>613</x:v>
      </x:c>
      <x:c r="H24" s="186" t="s">
        <x:v>543</x:v>
      </x:c>
      <x:c r="I24" s="186" t="s">
        <x:v>75</x:v>
      </x:c>
      <x:c r="J24" s="186" t="s">
        <x:v>614</x:v>
      </x:c>
      <x:c r="K24" s="186" t="s">
        <x:v>615</x:v>
      </x:c>
      <x:c r="L24" s="186" t="s">
        <x:v>541</x:v>
      </x:c>
      <x:c r="M24" s="186" t="s">
        <x:v>541</x:v>
      </x:c>
      <x:c r="N24" s="186" t="s">
        <x:v>546</x:v>
      </x:c>
    </x:row>
    <x:row r="25">
      <x:c r="A25" s="186">
        <x:v>14</x:v>
      </x:c>
      <x:c r="B25" s="186" t="s">
        <x:v>616</x:v>
      </x:c>
      <x:c r="C25" s="186" t="s">
        <x:v>617</x:v>
      </x:c>
      <x:c r="D25" s="186" t="s">
        <x:v>618</x:v>
      </x:c>
      <x:c r="E25" s="251" t="s">
        <x:v>619</x:v>
      </x:c>
      <x:c r="F25" s="251" t="s">
        <x:v>541</x:v>
      </x:c>
      <x:c r="G25" s="186" t="s">
        <x:v>620</x:v>
      </x:c>
      <x:c r="H25" s="186" t="s">
        <x:v>543</x:v>
      </x:c>
      <x:c r="I25" s="186" t="s">
        <x:v>75</x:v>
      </x:c>
      <x:c r="J25" s="186" t="s">
        <x:v>621</x:v>
      </x:c>
      <x:c r="K25" s="186" t="s">
        <x:v>622</x:v>
      </x:c>
      <x:c r="L25" s="186" t="s">
        <x:v>541</x:v>
      </x:c>
      <x:c r="M25" s="186" t="s">
        <x:v>541</x:v>
      </x:c>
      <x:c r="N25" s="186" t="s">
        <x:v>546</x:v>
      </x:c>
    </x:row>
    <x:row r="26">
      <x:c r="A26" s="186">
        <x:v>15</x:v>
      </x:c>
      <x:c r="B26" s="186" t="s">
        <x:v>150</x:v>
      </x:c>
      <x:c r="C26" s="186" t="s">
        <x:v>623</x:v>
      </x:c>
      <x:c r="D26" s="186" t="s">
        <x:v>624</x:v>
      </x:c>
      <x:c r="E26" s="251" t="s">
        <x:v>625</x:v>
      </x:c>
      <x:c r="F26" s="251" t="s">
        <x:v>541</x:v>
      </x:c>
      <x:c r="G26" s="186" t="s">
        <x:v>626</x:v>
      </x:c>
      <x:c r="H26" s="186" t="s">
        <x:v>543</x:v>
      </x:c>
      <x:c r="I26" s="186" t="s">
        <x:v>75</x:v>
      </x:c>
      <x:c r="J26" s="186" t="s">
        <x:v>627</x:v>
      </x:c>
      <x:c r="K26" s="186" t="s">
        <x:v>552</x:v>
      </x:c>
      <x:c r="L26" s="186" t="s">
        <x:v>541</x:v>
      </x:c>
      <x:c r="M26" s="186" t="s">
        <x:v>541</x:v>
      </x:c>
      <x:c r="N26" s="186" t="s">
        <x:v>546</x:v>
      </x:c>
    </x:row>
    <x:row r="27">
      <x:c r="A27" s="186">
        <x:v>16</x:v>
      </x:c>
      <x:c r="B27" s="186" t="s">
        <x:v>628</x:v>
      </x:c>
      <x:c r="C27" s="186" t="s">
        <x:v>629</x:v>
      </x:c>
      <x:c r="D27" s="186" t="s">
        <x:v>630</x:v>
      </x:c>
      <x:c r="E27" s="251" t="s">
        <x:v>631</x:v>
      </x:c>
      <x:c r="F27" s="251" t="s">
        <x:v>541</x:v>
      </x:c>
      <x:c r="G27" s="186" t="s">
        <x:v>632</x:v>
      </x:c>
      <x:c r="H27" s="186" t="s">
        <x:v>543</x:v>
      </x:c>
      <x:c r="I27" s="186" t="s">
        <x:v>75</x:v>
      </x:c>
      <x:c r="J27" s="186" t="s">
        <x:v>627</x:v>
      </x:c>
      <x:c r="K27" s="186" t="s">
        <x:v>558</x:v>
      </x:c>
      <x:c r="L27" s="186" t="s">
        <x:v>541</x:v>
      </x:c>
      <x:c r="M27" s="186" t="s">
        <x:v>541</x:v>
      </x:c>
      <x:c r="N27" s="186" t="s">
        <x:v>546</x:v>
      </x:c>
    </x:row>
  </x:sheetData>
  <x:mergeCells>
    <x:mergeCell ref="A1:N2"/>
  </x:mergeCells>
  <x:conditionalFormatting sqref="I12:I27">
    <x:cfRule type="expression" dxfId="26" priority="1">
      <x:formula>I12="증빙확보"</x:formula>
    </x:cfRule>
    <x:cfRule type="expression" dxfId="25" priority="2">
      <x:formula>I12="보완필요"</x:formula>
    </x:cfRule>
  </x:conditionalFormatting>
  <x:conditionalFormatting sqref="N12:N27">
    <x:cfRule type="expression" dxfId="24" priority="3">
      <x:formula>N12="STOP"</x:formula>
    </x:cfRule>
    <x:cfRule type="expression" dxfId="23" priority="4">
      <x:formula>N12="PASS"</x:formula>
    </x:cfRule>
  </x:conditionalFormatting>
  <x:dataValidations count="3">
    <x:dataValidation type="list" sqref="H12:H27">
      <x:formula1>"미확인,일치,불일치,해당없음"</x:formula1>
    </x:dataValidation>
    <x:dataValidation type="list" sqref="I12:I27">
      <x:formula1>"보완필요,검토중,증빙확보,해당없음"</x:formula1>
    </x:dataValidation>
    <x:dataValidation type="list" sqref="N12:N27">
      <x:formula1>"STOP,PASS,N/A"</x:formula1>
    </x:dataValidation>
  </x:dataValidations>
  <x:pageMargins left="0.7" right="0.7" top="0.75" bottom="0.75" header="0.3" footer="0.3"/>
</x:worksheet>
</file>

<file path=xl/worksheets/sheet9.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5" customWidth="1"/>
    <x:col min="2" max="2" width="18" customWidth="1"/>
    <x:col min="3" max="3" width="36" customWidth="1"/>
    <x:col min="4" max="4" width="34" customWidth="1"/>
    <x:col min="5" max="5" width="12" customWidth="1"/>
    <x:col min="6" max="6" width="42" customWidth="1"/>
    <x:col min="7" max="7" width="22" customWidth="1"/>
    <x:col min="8" max="8" width="16" customWidth="1"/>
    <x:col min="9" max="9" width="40" customWidth="1"/>
    <x:col min="10" max="10" width="12" customWidth="1"/>
    <x:col min="11" max="11" width="14" customWidth="1"/>
    <x:col min="12" max="12" width="28" customWidth="1"/>
  </x:cols>
  <x:sheetData>
    <x:row r="1">
      <x:c r="A1" s="252" t="s">
        <x:v>633</x:v>
      </x:c>
      <x:c r="B1" s="252"/>
      <x:c r="C1" s="252"/>
      <x:c r="D1" s="252"/>
      <x:c r="E1" s="252"/>
      <x:c r="F1" s="252"/>
      <x:c r="G1" s="252"/>
      <x:c r="H1" s="252"/>
      <x:c r="I1" s="252"/>
      <x:c r="J1" s="252"/>
      <x:c r="K1" s="252"/>
      <x:c r="L1" s="252"/>
    </x:row>
    <x:row r="2">
      <x:c r="A2" s="252"/>
      <x:c r="B2" s="252"/>
      <x:c r="C2" s="252"/>
      <x:c r="D2" s="252"/>
      <x:c r="E2" s="252"/>
      <x:c r="F2" s="252"/>
      <x:c r="G2" s="252"/>
      <x:c r="H2" s="252"/>
      <x:c r="I2" s="252"/>
      <x:c r="J2" s="252"/>
      <x:c r="K2" s="252"/>
      <x:c r="L2" s="252"/>
    </x:row>
    <x:row r="3">
      <x:c r="A3" s="253" t="str">
        <x:v>Rev.05: 노란색 F열(실제 증빙파일·사내 경로), J열(품질/현장 확인결과), K열(실제 확인자)을 입력하면 E열이 자동으로 증빙확보/검토중/보완필요를 표시합니다. 양식명·예시·문서번호 후보만으로 증빙확보 처리하지 않습니다. 도면 원본은 외부에 업로드하지 않습니다.</x:v>
      </x:c>
      <x:c r="B3" s="254"/>
      <x:c r="C3" s="254"/>
      <x:c r="D3" s="254"/>
      <x:c r="E3" s="254"/>
      <x:c r="F3" s="254"/>
      <x:c r="G3" s="254"/>
      <x:c r="H3" s="254"/>
      <x:c r="I3" s="254"/>
      <x:c r="J3" s="254"/>
      <x:c r="K3" s="254"/>
      <x:c r="L3" s="255"/>
    </x:row>
    <x:row r="4">
      <x:c r="A4" s="256"/>
      <x:c r="B4" s="257"/>
      <x:c r="C4" s="257"/>
      <x:c r="D4" s="257"/>
      <x:c r="E4" s="257"/>
      <x:c r="F4" s="257"/>
      <x:c r="G4" s="257"/>
      <x:c r="H4" s="257"/>
      <x:c r="I4" s="257"/>
      <x:c r="J4" s="257"/>
      <x:c r="K4" s="257"/>
      <x:c r="L4" s="258"/>
    </x:row>
    <x:row r="6">
      <x:c r="A6" s="240" t="s">
        <x:v>63</x:v>
      </x:c>
      <x:c r="B6" s="240" t="s">
        <x:v>634</x:v>
      </x:c>
      <x:c r="C6" s="240" t="s">
        <x:v>635</x:v>
      </x:c>
      <x:c r="D6" s="240" t="s">
        <x:v>636</x:v>
      </x:c>
      <x:c r="E6" s="240" t="str">
        <x:v>자동 수집판정</x:v>
      </x:c>
      <x:c r="F6" s="240" t="s">
        <x:v>637</x:v>
      </x:c>
      <x:c r="G6" s="240" t="s">
        <x:v>638</x:v>
      </x:c>
      <x:c r="H6" s="240" t="s">
        <x:v>639</x:v>
      </x:c>
      <x:c r="I6" s="240" t="s">
        <x:v>640</x:v>
      </x:c>
      <x:c r="J6" s="240" t="s">
        <x:v>641</x:v>
      </x:c>
      <x:c r="K6" s="240" t="s">
        <x:v>535</x:v>
      </x:c>
      <x:c r="L6" s="240" t="s">
        <x:v>642</x:v>
      </x:c>
    </x:row>
    <x:row r="7" ht="25.5">
      <x:c r="A7" s="186">
        <x:v>1</x:v>
      </x:c>
      <x:c r="B7" s="186" t="s">
        <x:v>643</x:v>
      </x:c>
      <x:c r="C7" s="186" t="s">
        <x:v>644</x:v>
      </x:c>
      <x:c r="D7" s="186" t="s">
        <x:v>645</x:v>
      </x:c>
      <x:c r="E7" s="1386" t="str">
        <x:f>IF(AND(F7&lt;&gt;"",LEFT(TRIM(F7),1)&lt;&gt;"[",J7="적합",K7&lt;&gt;"",LEFT(TRIM(K7),1)&lt;&gt;"["),"증빙확보",IF(AND(F7&lt;&gt;"",LEFT(TRIM(F7),1)&lt;&gt;"["),"검토중","보완필요"))</x:f>
        <x:v>보완필요</x:v>
      </x:c>
      <x:c r="F7" s="1387" t="s">
        <x:v>646</x:v>
      </x:c>
      <x:c r="G7" s="186" t="s">
        <x:v>545</x:v>
      </x:c>
      <x:c r="H7" s="186" t="s">
        <x:v>647</x:v>
      </x:c>
      <x:c r="I7" s="186" t="s">
        <x:v>648</x:v>
      </x:c>
      <x:c r="J7" s="186" t="s">
        <x:v>15</x:v>
      </x:c>
      <x:c r="K7" s="1387" t="s">
        <x:v>541</x:v>
      </x:c>
      <x:c r="L7" s="186" t="s">
        <x:v>649</x:v>
      </x:c>
    </x:row>
    <x:row r="8">
      <x:c r="A8" s="186">
        <x:v>2</x:v>
      </x:c>
      <x:c r="B8" s="186" t="s">
        <x:v>643</x:v>
      </x:c>
      <x:c r="C8" s="186" t="s">
        <x:v>650</x:v>
      </x:c>
      <x:c r="D8" s="186" t="s">
        <x:v>651</x:v>
      </x:c>
      <x:c r="E8" s="1386" t="str">
        <x:f>IF(AND(F8&lt;&gt;"",LEFT(TRIM(F8),1)&lt;&gt;"[",J8="적합",K8&lt;&gt;"",LEFT(TRIM(K8),1)&lt;&gt;"["),"증빙확보",IF(AND(F8&lt;&gt;"",LEFT(TRIM(F8),1)&lt;&gt;"["),"검토중","보완필요"))</x:f>
        <x:v>보완필요</x:v>
      </x:c>
      <x:c r="F8" s="1387" t="s">
        <x:v>652</x:v>
      </x:c>
      <x:c r="G8" s="186" t="s">
        <x:v>552</x:v>
      </x:c>
      <x:c r="H8" s="186" t="s">
        <x:v>653</x:v>
      </x:c>
      <x:c r="I8" s="186" t="s">
        <x:v>654</x:v>
      </x:c>
      <x:c r="J8" s="186" t="s">
        <x:v>15</x:v>
      </x:c>
      <x:c r="K8" s="1387" t="s">
        <x:v>541</x:v>
      </x:c>
      <x:c r="L8" s="186"/>
    </x:row>
    <x:row r="9">
      <x:c r="A9" s="186">
        <x:v>3</x:v>
      </x:c>
      <x:c r="B9" s="186" t="s">
        <x:v>655</x:v>
      </x:c>
      <x:c r="C9" s="186" t="str">
        <x:v>RG3 HEV 6동 자동가공→2동 브레이징·기밀검사 Process Flow</x:v>
      </x:c>
      <x:c r="D9" s="186" t="s">
        <x:v>656</x:v>
      </x:c>
      <x:c r="E9" s="1386" t="str">
        <x:f>IF(AND(F9&lt;&gt;"",LEFT(TRIM(F9),1)&lt;&gt;"[",J9="적합",K9&lt;&gt;"",LEFT(TRIM(K9),1)&lt;&gt;"["),"증빙확보",IF(AND(F9&lt;&gt;"",LEFT(TRIM(F9),1)&lt;&gt;"["),"검토중","보완필요"))</x:f>
        <x:v>보완필요</x:v>
      </x:c>
      <x:c r="F9" s="1387" t="s">
        <x:v>657</x:v>
      </x:c>
      <x:c r="G9" s="186" t="s">
        <x:v>558</x:v>
      </x:c>
      <x:c r="H9" s="186" t="s">
        <x:v>658</x:v>
      </x:c>
      <x:c r="I9" s="186" t="s">
        <x:v>659</x:v>
      </x:c>
      <x:c r="J9" s="186" t="s">
        <x:v>15</x:v>
      </x:c>
      <x:c r="K9" s="1387" t="s">
        <x:v>541</x:v>
      </x:c>
      <x:c r="L9" s="186"/>
    </x:row>
    <x:row r="10">
      <x:c r="A10" s="186">
        <x:v>4</x:v>
      </x:c>
      <x:c r="B10" s="186" t="s">
        <x:v>655</x:v>
      </x:c>
      <x:c r="C10" s="186" t="s">
        <x:v>660</x:v>
      </x:c>
      <x:c r="D10" s="186" t="s">
        <x:v>661</x:v>
      </x:c>
      <x:c r="E10" s="1386" t="str">
        <x:f>IF(AND(F10&lt;&gt;"",LEFT(TRIM(F10),1)&lt;&gt;"[",J10="적합",K10&lt;&gt;"",LEFT(TRIM(K10),1)&lt;&gt;"["),"증빙확보",IF(AND(F10&lt;&gt;"",LEFT(TRIM(F10),1)&lt;&gt;"["),"검토중","보완필요"))</x:f>
        <x:v>보완필요</x:v>
      </x:c>
      <x:c r="F10" s="1387" t="s">
        <x:v>662</x:v>
      </x:c>
      <x:c r="G10" s="186" t="s">
        <x:v>564</x:v>
      </x:c>
      <x:c r="H10" s="186" t="s">
        <x:v>658</x:v>
      </x:c>
      <x:c r="I10" s="186" t="s">
        <x:v>663</x:v>
      </x:c>
      <x:c r="J10" s="186" t="s">
        <x:v>15</x:v>
      </x:c>
      <x:c r="K10" s="1387" t="s">
        <x:v>541</x:v>
      </x:c>
      <x:c r="L10" s="186"/>
    </x:row>
    <x:row r="11">
      <x:c r="A11" s="186">
        <x:v>5</x:v>
      </x:c>
      <x:c r="B11" s="186" t="s">
        <x:v>655</x:v>
      </x:c>
      <x:c r="C11" s="186" t="s">
        <x:v>664</x:v>
      </x:c>
      <x:c r="D11" s="186" t="s">
        <x:v>665</x:v>
      </x:c>
      <x:c r="E11" s="1386" t="str">
        <x:f>IF(AND(F11&lt;&gt;"",LEFT(TRIM(F11),1)&lt;&gt;"[",J11="적합",K11&lt;&gt;"",LEFT(TRIM(K11),1)&lt;&gt;"["),"증빙확보",IF(AND(F11&lt;&gt;"",LEFT(TRIM(F11),1)&lt;&gt;"["),"검토중","보완필요"))</x:f>
        <x:v>보완필요</x:v>
      </x:c>
      <x:c r="F11" s="1387" t="s">
        <x:v>666</x:v>
      </x:c>
      <x:c r="G11" s="186" t="s">
        <x:v>558</x:v>
      </x:c>
      <x:c r="H11" s="186" t="s">
        <x:v>658</x:v>
      </x:c>
      <x:c r="I11" s="186" t="s">
        <x:v>667</x:v>
      </x:c>
      <x:c r="J11" s="186" t="s">
        <x:v>15</x:v>
      </x:c>
      <x:c r="K11" s="1387" t="s">
        <x:v>541</x:v>
      </x:c>
      <x:c r="L11" s="186"/>
    </x:row>
    <x:row r="12">
      <x:c r="A12" s="186">
        <x:v>6</x:v>
      </x:c>
      <x:c r="B12" s="186" t="s">
        <x:v>655</x:v>
      </x:c>
      <x:c r="C12" s="186" t="s">
        <x:v>668</x:v>
      </x:c>
      <x:c r="D12" s="186" t="s">
        <x:v>669</x:v>
      </x:c>
      <x:c r="E12" s="1386" t="str">
        <x:f>IF(AND(F12&lt;&gt;"",LEFT(TRIM(F12),1)&lt;&gt;"[",J12="적합",K12&lt;&gt;"",LEFT(TRIM(K12),1)&lt;&gt;"["),"증빙확보",IF(AND(F12&lt;&gt;"",LEFT(TRIM(F12),1)&lt;&gt;"["),"검토중","보완필요"))</x:f>
        <x:v>보완필요</x:v>
      </x:c>
      <x:c r="F12" s="1387" t="s">
        <x:v>670</x:v>
      </x:c>
      <x:c r="G12" s="186" t="s">
        <x:v>575</x:v>
      </x:c>
      <x:c r="H12" s="186" t="s">
        <x:v>671</x:v>
      </x:c>
      <x:c r="I12" s="186" t="s">
        <x:v>672</x:v>
      </x:c>
      <x:c r="J12" s="186" t="s">
        <x:v>15</x:v>
      </x:c>
      <x:c r="K12" s="1387" t="s">
        <x:v>541</x:v>
      </x:c>
      <x:c r="L12" s="186"/>
    </x:row>
    <x:row r="13">
      <x:c r="A13" s="186">
        <x:v>7</x:v>
      </x:c>
      <x:c r="B13" s="186" t="s">
        <x:v>655</x:v>
      </x:c>
      <x:c r="C13" s="186" t="s">
        <x:v>583</x:v>
      </x:c>
      <x:c r="D13" s="186" t="s">
        <x:v>673</x:v>
      </x:c>
      <x:c r="E13" s="1386" t="str">
        <x:f>IF(AND(F13&lt;&gt;"",LEFT(TRIM(F13),1)&lt;&gt;"[",J13="적합",K13&lt;&gt;"",LEFT(TRIM(K13),1)&lt;&gt;"["),"증빙확보",IF(AND(F13&lt;&gt;"",LEFT(TRIM(F13),1)&lt;&gt;"["),"검토중","보완필요"))</x:f>
        <x:v>보완필요</x:v>
      </x:c>
      <x:c r="F13" s="1387" t="s">
        <x:v>674</x:v>
      </x:c>
      <x:c r="G13" s="186" t="s">
        <x:v>235</x:v>
      </x:c>
      <x:c r="H13" s="186" t="s">
        <x:v>671</x:v>
      </x:c>
      <x:c r="I13" s="186" t="s">
        <x:v>675</x:v>
      </x:c>
      <x:c r="J13" s="186" t="s">
        <x:v>15</x:v>
      </x:c>
      <x:c r="K13" s="1387" t="s">
        <x:v>541</x:v>
      </x:c>
      <x:c r="L13" s="186"/>
    </x:row>
    <x:row r="14" ht="25.5">
      <x:c r="A14" s="186">
        <x:v>8</x:v>
      </x:c>
      <x:c r="B14" s="186" t="s">
        <x:v>676</x:v>
      </x:c>
      <x:c r="C14" s="186" t="str">
        <x:v>2동 자동2호기 브레이징 승인 공정조건·프로그램(가공 6동과 구분)</x:v>
      </x:c>
      <x:c r="D14" s="186" t="s">
        <x:v>677</x:v>
      </x:c>
      <x:c r="E14" s="1386" t="str">
        <x:f>IF(AND(F14&lt;&gt;"",LEFT(TRIM(F14),1)&lt;&gt;"[",J14="적합",K14&lt;&gt;"",LEFT(TRIM(K14),1)&lt;&gt;"["),"증빙확보",IF(AND(F14&lt;&gt;"",LEFT(TRIM(F14),1)&lt;&gt;"["),"검토중","보완필요"))</x:f>
        <x:v>보완필요</x:v>
      </x:c>
      <x:c r="F14" s="1387" t="s">
        <x:v>678</x:v>
      </x:c>
      <x:c r="G14" s="186" t="s">
        <x:v>335</x:v>
      </x:c>
      <x:c r="H14" s="186" t="s">
        <x:v>671</x:v>
      </x:c>
      <x:c r="I14" s="186" t="s">
        <x:v>679</x:v>
      </x:c>
      <x:c r="J14" s="186" t="s">
        <x:v>15</x:v>
      </x:c>
      <x:c r="K14" s="1387" t="s">
        <x:v>541</x:v>
      </x:c>
      <x:c r="L14" s="186" t="s">
        <x:v>680</x:v>
      </x:c>
    </x:row>
    <x:row r="15" ht="25.5">
      <x:c r="A15" s="186">
        <x:v>9</x:v>
      </x:c>
      <x:c r="B15" s="186" t="s">
        <x:v>676</x:v>
      </x:c>
      <x:c r="C15" s="186" t="str">
        <x:v>2동 자동 브레이징 승인조건 비교·작업실적 / 설비ID 대조</x:v>
      </x:c>
      <x:c r="D15" s="186" t="s">
        <x:v>681</x:v>
      </x:c>
      <x:c r="E15" s="1386" t="str">
        <x:f>IF(AND(F15&lt;&gt;"",LEFT(TRIM(F15),1)&lt;&gt;"[",J15="적합",K15&lt;&gt;"",LEFT(TRIM(K15),1)&lt;&gt;"["),"증빙확보",IF(AND(F15&lt;&gt;"",LEFT(TRIM(F15),1)&lt;&gt;"["),"검토중","보완필요"))</x:f>
        <x:v>보완필요</x:v>
      </x:c>
      <x:c r="F15" s="1387" t="s">
        <x:v>682</x:v>
      </x:c>
      <x:c r="G15" s="186" t="s">
        <x:v>582</x:v>
      </x:c>
      <x:c r="H15" s="186" t="s">
        <x:v>683</x:v>
      </x:c>
      <x:c r="I15" s="186" t="s">
        <x:v>684</x:v>
      </x:c>
      <x:c r="J15" s="186" t="s">
        <x:v>15</x:v>
      </x:c>
      <x:c r="K15" s="1387" t="s">
        <x:v>541</x:v>
      </x:c>
      <x:c r="L15" s="186"/>
    </x:row>
    <x:row r="16">
      <x:c r="A16" s="186">
        <x:v>10</x:v>
      </x:c>
      <x:c r="B16" s="186" t="s">
        <x:v>676</x:v>
      </x:c>
      <x:c r="C16" s="186" t="str">
        <x:v>브레이징 용가재·Flux 해당시 LOT·보관기록</x:v>
      </x:c>
      <x:c r="D16" s="186" t="s">
        <x:v>685</x:v>
      </x:c>
      <x:c r="E16" s="1386" t="str">
        <x:f>IF(AND(F16&lt;&gt;"",LEFT(TRIM(F16),1)&lt;&gt;"[",J16="적합",K16&lt;&gt;"",LEFT(TRIM(K16),1)&lt;&gt;"["),"증빙확보",IF(AND(F16&lt;&gt;"",LEFT(TRIM(F16),1)&lt;&gt;"["),"검토중","보완필요"))</x:f>
        <x:v>보완필요</x:v>
      </x:c>
      <x:c r="F16" s="1387" t="s">
        <x:v>686</x:v>
      </x:c>
      <x:c r="G16" s="186" t="s">
        <x:v>687</x:v>
      </x:c>
      <x:c r="H16" s="186" t="s">
        <x:v>688</x:v>
      </x:c>
      <x:c r="I16" s="186" t="s">
        <x:v>689</x:v>
      </x:c>
      <x:c r="J16" s="186" t="s">
        <x:v>15</x:v>
      </x:c>
      <x:c r="K16" s="1387" t="s">
        <x:v>541</x:v>
      </x:c>
      <x:c r="L16" s="186"/>
    </x:row>
    <x:row r="17">
      <x:c r="A17" s="186">
        <x:v>11</x:v>
      </x:c>
      <x:c r="B17" s="186" t="s">
        <x:v>690</x:v>
      </x:c>
      <x:c r="C17" s="186" t="str">
        <x:v>6동 가공 공정검사 실적 + 2동 에어 리크 테스트기 전자 원본검사 데이터 + 최종검사 해당자료</x:v>
      </x:c>
      <x:c r="D17" s="186" t="str">
        <x:v>품질팀 확인: 별도 기밀검사성적서 없이 설비 전자데이터만 보관(원본 로그 검증 대기)</x:v>
      </x:c>
      <x:c r="E17" s="1386" t="str">
        <x:f>IF(AND(F17&lt;&gt;"",LEFT(TRIM(F17),1)&lt;&gt;"[",J17="적합",K17&lt;&gt;"",LEFT(TRIM(K17),1)&lt;&gt;"["),"증빙확보",IF(AND(F17&lt;&gt;"",LEFT(TRIM(F17),1)&lt;&gt;"["),"검토중","보완필요"))</x:f>
        <x:v>보완필요</x:v>
      </x:c>
      <x:c r="F17" s="1387" t="str">
        <x:v>[6동 검사실적 및 2동 테스터 로그 사내 위치 입력]</x:v>
      </x:c>
      <x:c r="G17" s="186" t="s">
        <x:v>235</x:v>
      </x:c>
      <x:c r="H17" s="186" t="s">
        <x:v>691</x:v>
      </x:c>
      <x:c r="I17" s="186" t="str">
        <x:v>2동 원본로그 품번·LOT·검사조건·측정값·판정·테스터ID·보존/조회 일치</x:v>
      </x:c>
      <x:c r="J17" s="186" t="s">
        <x:v>15</x:v>
      </x:c>
      <x:c r="K17" s="1387" t="s">
        <x:v>541</x:v>
      </x:c>
      <x:c r="L17" s="186"/>
    </x:row>
    <x:row r="18">
      <x:c r="A18" s="186">
        <x:v>12</x:v>
      </x:c>
      <x:c r="B18" s="186" t="s">
        <x:v>690</x:v>
      </x:c>
      <x:c r="C18" s="186" t="s">
        <x:v>692</x:v>
      </x:c>
      <x:c r="D18" s="186" t="s">
        <x:v>693</x:v>
      </x:c>
      <x:c r="E18" s="1386" t="str">
        <x:f>IF(AND(F18&lt;&gt;"",LEFT(TRIM(F18),1)&lt;&gt;"[",J18="적합",K18&lt;&gt;"",LEFT(TRIM(K18),1)&lt;&gt;"["),"증빙확보",IF(AND(F18&lt;&gt;"",LEFT(TRIM(F18),1)&lt;&gt;"["),"검토중","보완필요"))</x:f>
        <x:v>보완필요</x:v>
      </x:c>
      <x:c r="F18" s="1387" t="s">
        <x:v>694</x:v>
      </x:c>
      <x:c r="G18" s="186" t="s">
        <x:v>235</x:v>
      </x:c>
      <x:c r="H18" s="186" t="s">
        <x:v>695</x:v>
      </x:c>
      <x:c r="I18" s="186" t="s">
        <x:v>696</x:v>
      </x:c>
      <x:c r="J18" s="186" t="s">
        <x:v>15</x:v>
      </x:c>
      <x:c r="K18" s="1387" t="s">
        <x:v>541</x:v>
      </x:c>
      <x:c r="L18" s="186"/>
    </x:row>
    <x:row r="19">
      <x:c r="A19" s="186">
        <x:v>13</x:v>
      </x:c>
      <x:c r="B19" s="186" t="s">
        <x:v>690</x:v>
      </x:c>
      <x:c r="C19" s="186" t="s">
        <x:v>697</x:v>
      </x:c>
      <x:c r="D19" s="186" t="s">
        <x:v>698</x:v>
      </x:c>
      <x:c r="E19" s="1386" t="str">
        <x:f>IF(AND(F19&lt;&gt;"",LEFT(TRIM(F19),1)&lt;&gt;"[",J19="적합",K19&lt;&gt;"",LEFT(TRIM(K19),1)&lt;&gt;"["),"증빙확보",IF(AND(F19&lt;&gt;"",LEFT(TRIM(F19),1)&lt;&gt;"["),"검토중","보완필요"))</x:f>
        <x:v>보완필요</x:v>
      </x:c>
      <x:c r="F19" s="1387" t="s">
        <x:v>699</x:v>
      </x:c>
      <x:c r="G19" s="186" t="s">
        <x:v>235</x:v>
      </x:c>
      <x:c r="H19" s="186" t="s">
        <x:v>658</x:v>
      </x:c>
      <x:c r="I19" s="186" t="s">
        <x:v>700</x:v>
      </x:c>
      <x:c r="J19" s="186" t="s">
        <x:v>15</x:v>
      </x:c>
      <x:c r="K19" s="1387" t="s">
        <x:v>541</x:v>
      </x:c>
      <x:c r="L19" s="186"/>
    </x:row>
    <x:row r="20">
      <x:c r="A20" s="186">
        <x:v>14</x:v>
      </x:c>
      <x:c r="B20" s="186" t="s">
        <x:v>690</x:v>
      </x:c>
      <x:c r="C20" s="186" t="s">
        <x:v>701</x:v>
      </x:c>
      <x:c r="D20" s="186" t="s">
        <x:v>702</x:v>
      </x:c>
      <x:c r="E20" s="1386" t="str">
        <x:f>IF(AND(F20&lt;&gt;"",LEFT(TRIM(F20),1)&lt;&gt;"[",J20="적합",K20&lt;&gt;"",LEFT(TRIM(K20),1)&lt;&gt;"["),"증빙확보",IF(AND(F20&lt;&gt;"",LEFT(TRIM(F20),1)&lt;&gt;"["),"검토중","보완필요"))</x:f>
        <x:v>보완필요</x:v>
      </x:c>
      <x:c r="F20" s="1387" t="s">
        <x:v>703</x:v>
      </x:c>
      <x:c r="G20" s="186" t="s">
        <x:v>558</x:v>
      </x:c>
      <x:c r="H20" s="186" t="s">
        <x:v>658</x:v>
      </x:c>
      <x:c r="I20" s="186" t="s">
        <x:v>704</x:v>
      </x:c>
      <x:c r="J20" s="186" t="s">
        <x:v>15</x:v>
      </x:c>
      <x:c r="K20" s="1387" t="s">
        <x:v>541</x:v>
      </x:c>
      <x:c r="L20" s="186"/>
    </x:row>
    <x:row r="21">
      <x:c r="A21" s="186">
        <x:v>15</x:v>
      </x:c>
      <x:c r="B21" s="186" t="s">
        <x:v>705</x:v>
      </x:c>
      <x:c r="C21" s="186" t="s">
        <x:v>706</x:v>
      </x:c>
      <x:c r="D21" s="186" t="s">
        <x:v>707</x:v>
      </x:c>
      <x:c r="E21" s="1386" t="str">
        <x:f>IF(AND(F21&lt;&gt;"",LEFT(TRIM(F21),1)&lt;&gt;"[",J21="적합",K21&lt;&gt;"",LEFT(TRIM(K21),1)&lt;&gt;"["),"증빙확보",IF(AND(F21&lt;&gt;"",LEFT(TRIM(F21),1)&lt;&gt;"["),"검토중","보완필요"))</x:f>
        <x:v>보완필요</x:v>
      </x:c>
      <x:c r="F21" s="1387" t="s">
        <x:v>708</x:v>
      </x:c>
      <x:c r="G21" s="186" t="s">
        <x:v>575</x:v>
      </x:c>
      <x:c r="H21" s="186" t="s">
        <x:v>671</x:v>
      </x:c>
      <x:c r="I21" s="186" t="s">
        <x:v>709</x:v>
      </x:c>
      <x:c r="J21" s="186" t="s">
        <x:v>15</x:v>
      </x:c>
      <x:c r="K21" s="1387" t="s">
        <x:v>541</x:v>
      </x:c>
      <x:c r="L21" s="186"/>
    </x:row>
    <x:row r="22">
      <x:c r="A22" s="186">
        <x:v>16</x:v>
      </x:c>
      <x:c r="B22" s="186" t="s">
        <x:v>705</x:v>
      </x:c>
      <x:c r="C22" s="186" t="s">
        <x:v>710</x:v>
      </x:c>
      <x:c r="D22" s="186" t="s">
        <x:v>711</x:v>
      </x:c>
      <x:c r="E22" s="1386" t="str">
        <x:f>IF(AND(F22&lt;&gt;"",LEFT(TRIM(F22),1)&lt;&gt;"[",J22="적합",K22&lt;&gt;"",LEFT(TRIM(K22),1)&lt;&gt;"["),"증빙확보",IF(AND(F22&lt;&gt;"",LEFT(TRIM(F22),1)&lt;&gt;"["),"검토중","보완필요"))</x:f>
        <x:v>보완필요</x:v>
      </x:c>
      <x:c r="F22" s="1387" t="s">
        <x:v>712</x:v>
      </x:c>
      <x:c r="G22" s="186" t="s">
        <x:v>335</x:v>
      </x:c>
      <x:c r="H22" s="186" t="s">
        <x:v>647</x:v>
      </x:c>
      <x:c r="I22" s="186" t="s">
        <x:v>713</x:v>
      </x:c>
      <x:c r="J22" s="186" t="s">
        <x:v>15</x:v>
      </x:c>
      <x:c r="K22" s="1387" t="s">
        <x:v>541</x:v>
      </x:c>
      <x:c r="L22" s="186"/>
    </x:row>
    <x:row r="23">
      <x:c r="A23" s="186">
        <x:v>17</x:v>
      </x:c>
      <x:c r="B23" s="186" t="s">
        <x:v>705</x:v>
      </x:c>
      <x:c r="C23" s="186" t="s">
        <x:v>714</x:v>
      </x:c>
      <x:c r="D23" s="186" t="s">
        <x:v>715</x:v>
      </x:c>
      <x:c r="E23" s="1386" t="str">
        <x:f>IF(AND(F23&lt;&gt;"",LEFT(TRIM(F23),1)&lt;&gt;"[",J23="적합",K23&lt;&gt;"",LEFT(TRIM(K23),1)&lt;&gt;"["),"증빙확보",IF(AND(F23&lt;&gt;"",LEFT(TRIM(F23),1)&lt;&gt;"["),"검토중","보완필요"))</x:f>
        <x:v>보완필요</x:v>
      </x:c>
      <x:c r="F23" s="1387" t="s">
        <x:v>716</x:v>
      </x:c>
      <x:c r="G23" s="186" t="s">
        <x:v>582</x:v>
      </x:c>
      <x:c r="H23" s="186" t="s">
        <x:v>688</x:v>
      </x:c>
      <x:c r="I23" s="186" t="s">
        <x:v>717</x:v>
      </x:c>
      <x:c r="J23" s="186" t="s">
        <x:v>15</x:v>
      </x:c>
      <x:c r="K23" s="1387" t="s">
        <x:v>541</x:v>
      </x:c>
      <x:c r="L23" s="186"/>
    </x:row>
    <x:row r="24">
      <x:c r="A24" s="186">
        <x:v>18</x:v>
      </x:c>
      <x:c r="B24" s="186" t="s">
        <x:v>718</x:v>
      </x:c>
      <x:c r="C24" s="186" t="s">
        <x:v>719</x:v>
      </x:c>
      <x:c r="D24" s="186" t="s">
        <x:v>720</x:v>
      </x:c>
      <x:c r="E24" s="1386" t="str">
        <x:f>IF(AND(F24&lt;&gt;"",LEFT(TRIM(F24),1)&lt;&gt;"[",J24="적합",K24&lt;&gt;"",LEFT(TRIM(K24),1)&lt;&gt;"["),"증빙확보",IF(AND(F24&lt;&gt;"",LEFT(TRIM(F24),1)&lt;&gt;"["),"검토중","보완필요"))</x:f>
        <x:v>보완필요</x:v>
      </x:c>
      <x:c r="F24" s="1387" t="s">
        <x:v>721</x:v>
      </x:c>
      <x:c r="G24" s="186" t="s">
        <x:v>722</x:v>
      </x:c>
      <x:c r="H24" s="186" t="s">
        <x:v>723</x:v>
      </x:c>
      <x:c r="I24" s="186" t="s">
        <x:v>724</x:v>
      </x:c>
      <x:c r="J24" s="186" t="s">
        <x:v>15</x:v>
      </x:c>
      <x:c r="K24" s="1387" t="s">
        <x:v>541</x:v>
      </x:c>
      <x:c r="L24" s="186"/>
    </x:row>
    <x:row r="25">
      <x:c r="A25" s="186">
        <x:v>19</x:v>
      </x:c>
      <x:c r="B25" s="186" t="s">
        <x:v>725</x:v>
      </x:c>
      <x:c r="C25" s="186" t="s">
        <x:v>726</x:v>
      </x:c>
      <x:c r="D25" s="186" t="s">
        <x:v>727</x:v>
      </x:c>
      <x:c r="E25" s="1386" t="str">
        <x:f>IF(AND(F25&lt;&gt;"",LEFT(TRIM(F25),1)&lt;&gt;"[",J25="적합",K25&lt;&gt;"",LEFT(TRIM(K25),1)&lt;&gt;"["),"증빙확보",IF(AND(F25&lt;&gt;"",LEFT(TRIM(F25),1)&lt;&gt;"["),"검토중","보완필요"))</x:f>
        <x:v>보완필요</x:v>
      </x:c>
      <x:c r="F25" s="1387" t="s">
        <x:v>728</x:v>
      </x:c>
      <x:c r="G25" s="186" t="s">
        <x:v>558</x:v>
      </x:c>
      <x:c r="H25" s="186" t="s">
        <x:v>683</x:v>
      </x:c>
      <x:c r="I25" s="186" t="s">
        <x:v>729</x:v>
      </x:c>
      <x:c r="J25" s="186" t="s">
        <x:v>15</x:v>
      </x:c>
      <x:c r="K25" s="1387" t="s">
        <x:v>541</x:v>
      </x:c>
      <x:c r="L25" s="186"/>
    </x:row>
    <x:row r="26">
      <x:c r="A26" s="186">
        <x:v>20</x:v>
      </x:c>
      <x:c r="B26" s="186" t="s">
        <x:v>725</x:v>
      </x:c>
      <x:c r="C26" s="186" t="s">
        <x:v>730</x:v>
      </x:c>
      <x:c r="D26" s="186" t="s">
        <x:v>731</x:v>
      </x:c>
      <x:c r="E26" s="1386" t="str">
        <x:f>IF(AND(F26&lt;&gt;"",LEFT(TRIM(F26),1)&lt;&gt;"[",J26="적합",K26&lt;&gt;"",LEFT(TRIM(K26),1)&lt;&gt;"["),"증빙확보",IF(AND(F26&lt;&gt;"",LEFT(TRIM(F26),1)&lt;&gt;"["),"검토중","보완필요"))</x:f>
        <x:v>보완필요</x:v>
      </x:c>
      <x:c r="F26" s="1387" t="s">
        <x:v>732</x:v>
      </x:c>
      <x:c r="G26" s="186" t="s">
        <x:v>552</x:v>
      </x:c>
      <x:c r="H26" s="186" t="s">
        <x:v>683</x:v>
      </x:c>
      <x:c r="I26" s="186" t="s">
        <x:v>733</x:v>
      </x:c>
      <x:c r="J26" s="186" t="s">
        <x:v>15</x:v>
      </x:c>
      <x:c r="K26" s="1387" t="s">
        <x:v>541</x:v>
      </x:c>
      <x:c r="L26" s="186"/>
    </x:row>
    <x:row r="27">
      <x:c r="A27" s="186">
        <x:v>21</x:v>
      </x:c>
      <x:c r="B27" s="186" t="s">
        <x:v>734</x:v>
      </x:c>
      <x:c r="C27" s="186" t="str">
        <x:v>6동 가공→동간 이송→2동 브레이징·기밀검사→출하 실제 LOT 정·역추적</x:v>
      </x:c>
      <x:c r="D27" s="186" t="s">
        <x:v>735</x:v>
      </x:c>
      <x:c r="E27" s="1386" t="str">
        <x:f>IF(AND(F27&lt;&gt;"",LEFT(TRIM(F27),1)&lt;&gt;"[",J27="적합",K27&lt;&gt;"",LEFT(TRIM(K27),1)&lt;&gt;"["),"증빙확보",IF(AND(F27&lt;&gt;"",LEFT(TRIM(F27),1)&lt;&gt;"["),"검토중","보완필요"))</x:f>
        <x:v>보완필요</x:v>
      </x:c>
      <x:c r="F27" s="1387" t="s">
        <x:v>736</x:v>
      </x:c>
      <x:c r="G27" s="186" t="s">
        <x:v>622</x:v>
      </x:c>
      <x:c r="H27" s="186" t="s">
        <x:v>658</x:v>
      </x:c>
      <x:c r="I27" s="186" t="s">
        <x:v>737</x:v>
      </x:c>
      <x:c r="J27" s="186" t="s">
        <x:v>15</x:v>
      </x:c>
      <x:c r="K27" s="1387" t="s">
        <x:v>541</x:v>
      </x:c>
      <x:c r="L27" s="186" t="s">
        <x:v>738</x:v>
      </x:c>
    </x:row>
    <x:row r="28">
      <x:c r="A28" s="186">
        <x:v>22</x:v>
      </x:c>
      <x:c r="B28" s="186" t="s">
        <x:v>734</x:v>
      </x:c>
      <x:c r="C28" s="186" t="s">
        <x:v>739</x:v>
      </x:c>
      <x:c r="D28" s="186" t="s">
        <x:v>740</x:v>
      </x:c>
      <x:c r="E28" s="1386" t="str">
        <x:f>IF(AND(F28&lt;&gt;"",LEFT(TRIM(F28),1)&lt;&gt;"[",J28="적합",K28&lt;&gt;"",LEFT(TRIM(K28),1)&lt;&gt;"["),"증빙확보",IF(AND(F28&lt;&gt;"",LEFT(TRIM(F28),1)&lt;&gt;"["),"검토중","보완필요"))</x:f>
        <x:v>보완필요</x:v>
      </x:c>
      <x:c r="F28" s="1387" t="s">
        <x:v>741</x:v>
      </x:c>
      <x:c r="G28" s="186" t="s">
        <x:v>558</x:v>
      </x:c>
      <x:c r="H28" s="186" t="s">
        <x:v>647</x:v>
      </x:c>
      <x:c r="I28" s="186" t="s">
        <x:v>742</x:v>
      </x:c>
      <x:c r="J28" s="186" t="s">
        <x:v>15</x:v>
      </x:c>
      <x:c r="K28" s="1387" t="s">
        <x:v>541</x:v>
      </x:c>
      <x:c r="L28" s="186"/>
    </x:row>
    <x:row r="29">
      <x:c r="A29" s="186">
        <x:v>23</x:v>
      </x:c>
      <x:c r="B29" s="186" t="s">
        <x:v>743</x:v>
      </x:c>
      <x:c r="C29" s="186" t="s">
        <x:v>744</x:v>
      </x:c>
      <x:c r="D29" s="186" t="s">
        <x:v>745</x:v>
      </x:c>
      <x:c r="E29" s="1386" t="str">
        <x:f>IF(AND(F29&lt;&gt;"",LEFT(TRIM(F29),1)&lt;&gt;"[",J29="적합",K29&lt;&gt;"",LEFT(TRIM(K29),1)&lt;&gt;"["),"증빙확보",IF(AND(F29&lt;&gt;"",LEFT(TRIM(F29),1)&lt;&gt;"["),"검토중","보완필요"))</x:f>
        <x:v>보완필요</x:v>
      </x:c>
      <x:c r="F29" s="1387" t="s">
        <x:v>746</x:v>
      </x:c>
      <x:c r="G29" s="186" t="s">
        <x:v>747</x:v>
      </x:c>
      <x:c r="H29" s="186" t="s">
        <x:v>653</x:v>
      </x:c>
      <x:c r="I29" s="186" t="s">
        <x:v>748</x:v>
      </x:c>
      <x:c r="J29" s="186" t="s">
        <x:v>15</x:v>
      </x:c>
      <x:c r="K29" s="1387" t="s">
        <x:v>541</x:v>
      </x:c>
      <x:c r="L29" s="186"/>
    </x:row>
    <x:row r="30">
      <x:c r="A30" s="186">
        <x:v>24</x:v>
      </x:c>
      <x:c r="B30" s="186" t="s">
        <x:v>743</x:v>
      </x:c>
      <x:c r="C30" s="186" t="s">
        <x:v>749</x:v>
      </x:c>
      <x:c r="D30" s="186" t="s">
        <x:v>750</x:v>
      </x:c>
      <x:c r="E30" s="1386" t="str">
        <x:f>IF(AND(F30&lt;&gt;"",LEFT(TRIM(F30),1)&lt;&gt;"[",J30="적합",K30&lt;&gt;"",LEFT(TRIM(K30),1)&lt;&gt;"["),"증빙확보",IF(AND(F30&lt;&gt;"",LEFT(TRIM(F30),1)&lt;&gt;"["),"검토중","보완필요"))</x:f>
        <x:v>보완필요</x:v>
      </x:c>
      <x:c r="F30" s="1387" t="s">
        <x:v>751</x:v>
      </x:c>
      <x:c r="G30" s="186" t="s">
        <x:v>752</x:v>
      </x:c>
      <x:c r="H30" s="186" t="s">
        <x:v>653</x:v>
      </x:c>
      <x:c r="I30" s="186" t="s">
        <x:v>753</x:v>
      </x:c>
      <x:c r="J30" s="186" t="s">
        <x:v>15</x:v>
      </x:c>
      <x:c r="K30" s="1387" t="s">
        <x:v>541</x:v>
      </x:c>
      <x:c r="L30" s="186"/>
    </x:row>
    <x:row r="31">
      <x:c r="A31" s="186">
        <x:v>25</x:v>
      </x:c>
      <x:c r="B31" s="186" t="s">
        <x:v>754</x:v>
      </x:c>
      <x:c r="C31" s="186" t="s">
        <x:v>755</x:v>
      </x:c>
      <x:c r="D31" s="186" t="s">
        <x:v>756</x:v>
      </x:c>
      <x:c r="E31" s="1386" t="str">
        <x:f>IF(AND(F31&lt;&gt;"",LEFT(TRIM(F31),1)&lt;&gt;"[",J31="적합",K31&lt;&gt;"",LEFT(TRIM(K31),1)&lt;&gt;"["),"증빙확보",IF(AND(F31&lt;&gt;"",LEFT(TRIM(F31),1)&lt;&gt;"["),"검토중","보완필요"))</x:f>
        <x:v>보완필요</x:v>
      </x:c>
      <x:c r="F31" s="1387" t="s">
        <x:v>757</x:v>
      </x:c>
      <x:c r="G31" s="186" t="s">
        <x:v>758</x:v>
      </x:c>
      <x:c r="H31" s="186" t="s">
        <x:v>759</x:v>
      </x:c>
      <x:c r="I31" s="186" t="s">
        <x:v>760</x:v>
      </x:c>
      <x:c r="J31" s="186" t="s">
        <x:v>15</x:v>
      </x:c>
      <x:c r="K31" s="1387" t="s">
        <x:v>541</x:v>
      </x:c>
      <x:c r="L31" s="186" t="s">
        <x:v>761</x:v>
      </x:c>
    </x:row>
    <x:row r="32">
      <x:c r="A32" s="186">
        <x:v>26</x:v>
      </x:c>
      <x:c r="B32" s="186" t="s">
        <x:v>762</x:v>
      </x:c>
      <x:c r="C32" s="186" t="s">
        <x:v>763</x:v>
      </x:c>
      <x:c r="D32" s="186" t="s">
        <x:v>764</x:v>
      </x:c>
      <x:c r="E32" s="1386" t="str">
        <x:f>IF(AND(F32&lt;&gt;"",LEFT(TRIM(F32),1)&lt;&gt;"[",J32="적합",K32&lt;&gt;"",LEFT(TRIM(K32),1)&lt;&gt;"["),"증빙확보",IF(AND(F32&lt;&gt;"",LEFT(TRIM(F32),1)&lt;&gt;"["),"검토중","보완필요"))</x:f>
        <x:v>보완필요</x:v>
      </x:c>
      <x:c r="F32" s="1387" t="s">
        <x:v>765</x:v>
      </x:c>
      <x:c r="G32" s="186" t="s">
        <x:v>766</x:v>
      </x:c>
      <x:c r="H32" s="186" t="s">
        <x:v>691</x:v>
      </x:c>
      <x:c r="I32" s="186" t="s">
        <x:v>767</x:v>
      </x:c>
      <x:c r="J32" s="186" t="s">
        <x:v>15</x:v>
      </x:c>
      <x:c r="K32" s="1387" t="s">
        <x:v>541</x:v>
      </x:c>
      <x:c r="L32" s="186"/>
    </x:row>
    <x:row r="33">
      <x:c r="A33" s="186">
        <x:v>27</x:v>
      </x:c>
      <x:c r="B33" s="186" t="s">
        <x:v>768</x:v>
      </x:c>
      <x:c r="C33" s="186" t="s">
        <x:v>769</x:v>
      </x:c>
      <x:c r="D33" s="186" t="s">
        <x:v>770</x:v>
      </x:c>
      <x:c r="E33" s="1386" t="str">
        <x:f>IF(AND(F33&lt;&gt;"",LEFT(TRIM(F33),1)&lt;&gt;"[",J33="적합",K33&lt;&gt;"",LEFT(TRIM(K33),1)&lt;&gt;"["),"증빙확보",IF(AND(F33&lt;&gt;"",LEFT(TRIM(F33),1)&lt;&gt;"["),"검토중","보완필요"))</x:f>
        <x:v>보완필요</x:v>
      </x:c>
      <x:c r="F33" s="1387" t="s">
        <x:v>771</x:v>
      </x:c>
      <x:c r="G33" s="186" t="s">
        <x:v>772</x:v>
      </x:c>
      <x:c r="H33" s="186" t="s">
        <x:v>683</x:v>
      </x:c>
      <x:c r="I33" s="186" t="s">
        <x:v>773</x:v>
      </x:c>
      <x:c r="J33" s="186" t="s">
        <x:v>15</x:v>
      </x:c>
      <x:c r="K33" s="1387" t="s">
        <x:v>541</x:v>
      </x:c>
      <x:c r="L33" s="186"/>
    </x:row>
    <x:row r="34">
      <x:c r="A34" s="186">
        <x:v>28</x:v>
      </x:c>
      <x:c r="B34" s="186" t="s">
        <x:v>774</x:v>
      </x:c>
      <x:c r="C34" s="186" t="s">
        <x:v>775</x:v>
      </x:c>
      <x:c r="D34" s="186" t="s">
        <x:v>776</x:v>
      </x:c>
      <x:c r="E34" s="1386" t="str">
        <x:f>IF(AND(F34&lt;&gt;"",LEFT(TRIM(F34),1)&lt;&gt;"[",J34="적합",K34&lt;&gt;"",LEFT(TRIM(K34),1)&lt;&gt;"["),"증빙확보",IF(AND(F34&lt;&gt;"",LEFT(TRIM(F34),1)&lt;&gt;"["),"검토중","보완필요"))</x:f>
        <x:v>보완필요</x:v>
      </x:c>
      <x:c r="F34" s="1387" t="s">
        <x:v>777</x:v>
      </x:c>
      <x:c r="G34" s="186" t="s">
        <x:v>558</x:v>
      </x:c>
      <x:c r="H34" s="186" t="s">
        <x:v>688</x:v>
      </x:c>
      <x:c r="I34" s="186" t="s">
        <x:v>778</x:v>
      </x:c>
      <x:c r="J34" s="186" t="s">
        <x:v>15</x:v>
      </x:c>
      <x:c r="K34" s="1387" t="s">
        <x:v>541</x:v>
      </x:c>
      <x:c r="L34" s="186"/>
    </x:row>
  </x:sheetData>
  <x:mergeCells>
    <x:mergeCell ref="A1:L2"/>
    <x:mergeCell ref="A3:L4"/>
  </x:mergeCells>
  <x:conditionalFormatting sqref="J7:J34">
    <x:cfRule type="expression" dxfId="20" priority="3">
      <x:formula>J7="적합"</x:formula>
    </x:cfRule>
    <x:cfRule type="expression" dxfId="19" priority="4">
      <x:formula>J7="부적합"</x:formula>
    </x:cfRule>
  </x:conditionalFormatting>
  <x:conditionalFormatting sqref="E7:E34">
    <x:cfRule type="expression" dxfId="50" priority="5">
      <x:formula>E7="증빙확보"</x:formula>
    </x:cfRule>
    <x:cfRule type="expression" dxfId="51" priority="6">
      <x:formula>E7="보완필요"</x:formula>
    </x:cfRule>
  </x:conditionalFormatting>
  <x:dataValidations count="1">
    <x:dataValidation type="list" sqref="J7:J34">
      <x:formula1>"미확인,적합,부적합,해당없음"</x:formula1>
    </x:dataValidation>
  </x:dataValidations>
  <x:pageMargins left="0.7" right="0.7" top="0.75" bottom="0.75" header="0.3" footer="0.3"/>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5" customWidth="1"/>
    <x:col min="2" max="2" width="38" customWidth="1"/>
    <x:col min="3" max="3" width="18" customWidth="1"/>
    <x:col min="4" max="4" width="48" customWidth="1"/>
    <x:col min="5" max="5" width="34" customWidth="1"/>
    <x:col min="6" max="6" width="16" customWidth="1"/>
    <x:col min="7" max="7" width="12" customWidth="1"/>
    <x:col min="8" max="8" width="36" customWidth="1"/>
    <x:col min="9" max="9" width="22" customWidth="1"/>
    <x:col min="10" max="10" width="14" customWidth="1"/>
  </x:cols>
  <x:sheetData>
    <x:row r="1">
      <x:c r="A1" s="252" t="s">
        <x:v>779</x:v>
      </x:c>
      <x:c r="B1" s="252"/>
      <x:c r="C1" s="252"/>
      <x:c r="D1" s="252"/>
      <x:c r="E1" s="252"/>
      <x:c r="F1" s="252"/>
      <x:c r="G1" s="252"/>
      <x:c r="H1" s="252"/>
      <x:c r="I1" s="252"/>
      <x:c r="J1" s="252"/>
    </x:row>
    <x:row r="2">
      <x:c r="A2" s="252"/>
      <x:c r="B2" s="252"/>
      <x:c r="C2" s="252"/>
      <x:c r="D2" s="252"/>
      <x:c r="E2" s="252"/>
      <x:c r="F2" s="252"/>
      <x:c r="G2" s="252"/>
      <x:c r="H2" s="252"/>
      <x:c r="I2" s="252"/>
      <x:c r="J2" s="252"/>
    </x:row>
    <x:row r="4">
      <x:c r="A4" s="240" t="s">
        <x:v>63</x:v>
      </x:c>
      <x:c r="B4" s="240" t="s">
        <x:v>780</x:v>
      </x:c>
      <x:c r="C4" s="240" t="s">
        <x:v>781</x:v>
      </x:c>
      <x:c r="D4" s="240" t="s">
        <x:v>782</x:v>
      </x:c>
      <x:c r="E4" s="240" t="s">
        <x:v>783</x:v>
      </x:c>
      <x:c r="F4" s="240" t="s">
        <x:v>531</x:v>
      </x:c>
      <x:c r="G4" s="240" t="s">
        <x:v>784</x:v>
      </x:c>
      <x:c r="H4" s="240" t="s">
        <x:v>785</x:v>
      </x:c>
      <x:c r="I4" s="240" t="s">
        <x:v>359</x:v>
      </x:c>
      <x:c r="J4" s="240" t="s">
        <x:v>786</x:v>
      </x:c>
    </x:row>
    <x:row r="5">
      <x:c r="A5" s="186">
        <x:v>1</x:v>
      </x:c>
      <x:c r="B5" s="186" t="s">
        <x:v>787</x:v>
      </x:c>
      <x:c r="C5" s="186" t="s">
        <x:v>788</x:v>
      </x:c>
      <x:c r="D5" s="186" t="s">
        <x:v>789</x:v>
      </x:c>
      <x:c r="E5" s="186" t="s">
        <x:v>790</x:v>
      </x:c>
      <x:c r="F5" s="251" t="s">
        <x:v>543</x:v>
      </x:c>
      <x:c r="G5" s="186" t="s">
        <x:v>15</x:v>
      </x:c>
      <x:c r="H5" s="186"/>
      <x:c r="I5" s="186" t="s">
        <x:v>545</x:v>
      </x:c>
      <x:c r="J5" s="186"/>
    </x:row>
    <x:row r="6" ht="25.5">
      <x:c r="A6" s="186">
        <x:v>2</x:v>
      </x:c>
      <x:c r="B6" s="186" t="str">
        <x:v>RG3 HEV 품번의 6동 가공부터 2동 브레이징·기밀검사까지의 Flow는?</x:v>
      </x:c>
      <x:c r="C6" s="186" t="str">
        <x:v>품질/생산</x:v>
      </x:c>
      <x:c r="D6" s="186" t="str">
        <x:v>6동 가공 → 동간 이송 식별 → 2동 자동2호기 브레이징 → 2동 기밀검사 설명(현장 Flow와 일치)</x:v>
      </x:c>
      <x:c r="E6" s="186" t="s">
        <x:v>791</x:v>
      </x:c>
      <x:c r="F6" s="251" t="s">
        <x:v>543</x:v>
      </x:c>
      <x:c r="G6" s="186" t="s">
        <x:v>15</x:v>
      </x:c>
      <x:c r="H6" s="186"/>
      <x:c r="I6" s="186" t="s">
        <x:v>558</x:v>
      </x:c>
      <x:c r="J6" s="186"/>
    </x:row>
    <x:row r="7" ht="25.5">
      <x:c r="A7" s="186">
        <x:v>3</x:v>
      </x:c>
      <x:c r="B7" s="186" t="s">
        <x:v>792</x:v>
      </x:c>
      <x:c r="C7" s="186" t="s">
        <x:v>564</x:v>
      </x:c>
      <x:c r="D7" s="186" t="s">
        <x:v>793</x:v>
      </x:c>
      <x:c r="E7" s="186" t="s">
        <x:v>794</x:v>
      </x:c>
      <x:c r="F7" s="251" t="s">
        <x:v>543</x:v>
      </x:c>
      <x:c r="G7" s="186" t="s">
        <x:v>15</x:v>
      </x:c>
      <x:c r="H7" s="186"/>
      <x:c r="I7" s="186" t="s">
        <x:v>564</x:v>
      </x:c>
      <x:c r="J7" s="186"/>
    </x:row>
    <x:row r="8" ht="25.5">
      <x:c r="A8" s="186">
        <x:v>4</x:v>
      </x:c>
      <x:c r="B8" s="186" t="str">
        <x:v>2동 자동2호기 브레이징의 승인 조건과 실제 기록은?</x:v>
      </x:c>
      <x:c r="C8" s="186" t="str">
        <x:v>생산기술/작업자</x:v>
      </x:c>
      <x:c r="D8" s="186" t="str">
        <x:v>브레이징 조건표·설비ID·작업 LOT·프로그램·이상대응 기록을 사내에서 확인</x:v>
      </x:c>
      <x:c r="E8" s="186" t="s">
        <x:v>795</x:v>
      </x:c>
      <x:c r="F8" s="251" t="s">
        <x:v>543</x:v>
      </x:c>
      <x:c r="G8" s="186" t="s">
        <x:v>15</x:v>
      </x:c>
      <x:c r="H8" s="186"/>
      <x:c r="I8" s="186" t="s">
        <x:v>575</x:v>
      </x:c>
      <x:c r="J8" s="186"/>
    </x:row>
    <x:row r="9">
      <x:c r="A9" s="186">
        <x:v>5</x:v>
      </x:c>
      <x:c r="B9" s="186" t="s">
        <x:v>796</x:v>
      </x:c>
      <x:c r="C9" s="186" t="s">
        <x:v>610</x:v>
      </x:c>
      <x:c r="D9" s="186" t="s">
        <x:v>797</x:v>
      </x:c>
      <x:c r="E9" s="186" t="s">
        <x:v>798</x:v>
      </x:c>
      <x:c r="F9" s="251" t="s">
        <x:v>543</x:v>
      </x:c>
      <x:c r="G9" s="186" t="s">
        <x:v>15</x:v>
      </x:c>
      <x:c r="H9" s="186"/>
      <x:c r="I9" s="186" t="s">
        <x:v>799</x:v>
      </x:c>
      <x:c r="J9" s="186"/>
    </x:row>
    <x:row r="10" ht="25.5">
      <x:c r="A10" s="186">
        <x:v>6</x:v>
      </x:c>
      <x:c r="B10" s="186" t="s">
        <x:v>800</x:v>
      </x:c>
      <x:c r="C10" s="186" t="s">
        <x:v>801</x:v>
      </x:c>
      <x:c r="D10" s="186" t="s">
        <x:v>802</x:v>
      </x:c>
      <x:c r="E10" s="186" t="s">
        <x:v>803</x:v>
      </x:c>
      <x:c r="F10" s="251" t="s">
        <x:v>543</x:v>
      </x:c>
      <x:c r="G10" s="186" t="s">
        <x:v>15</x:v>
      </x:c>
      <x:c r="H10" s="186"/>
      <x:c r="I10" s="186" t="s">
        <x:v>687</x:v>
      </x:c>
      <x:c r="J10" s="186"/>
    </x:row>
    <x:row r="11">
      <x:c r="A11" s="186">
        <x:v>7</x:v>
      </x:c>
      <x:c r="B11" s="186" t="s">
        <x:v>804</x:v>
      </x:c>
      <x:c r="C11" s="186" t="s">
        <x:v>610</x:v>
      </x:c>
      <x:c r="D11" s="186" t="s">
        <x:v>805</x:v>
      </x:c>
      <x:c r="E11" s="186" t="s">
        <x:v>806</x:v>
      </x:c>
      <x:c r="F11" s="251" t="s">
        <x:v>543</x:v>
      </x:c>
      <x:c r="G11" s="186" t="s">
        <x:v>15</x:v>
      </x:c>
      <x:c r="H11" s="186"/>
      <x:c r="I11" s="186" t="s">
        <x:v>335</x:v>
      </x:c>
      <x:c r="J11" s="186"/>
    </x:row>
    <x:row r="12">
      <x:c r="A12" s="186">
        <x:v>8</x:v>
      </x:c>
      <x:c r="B12" s="186" t="s">
        <x:v>807</x:v>
      </x:c>
      <x:c r="C12" s="186" t="s">
        <x:v>808</x:v>
      </x:c>
      <x:c r="D12" s="186" t="s">
        <x:v>809</x:v>
      </x:c>
      <x:c r="E12" s="186" t="s">
        <x:v>810</x:v>
      </x:c>
      <x:c r="F12" s="251" t="s">
        <x:v>543</x:v>
      </x:c>
      <x:c r="G12" s="186" t="s">
        <x:v>15</x:v>
      </x:c>
      <x:c r="H12" s="186"/>
      <x:c r="I12" s="186" t="s">
        <x:v>811</x:v>
      </x:c>
      <x:c r="J12" s="186"/>
    </x:row>
    <x:row r="13">
      <x:c r="A13" s="186">
        <x:v>9</x:v>
      </x:c>
      <x:c r="B13" s="186" t="s">
        <x:v>812</x:v>
      </x:c>
      <x:c r="C13" s="186" t="s">
        <x:v>813</x:v>
      </x:c>
      <x:c r="D13" s="186" t="s">
        <x:v>814</x:v>
      </x:c>
      <x:c r="E13" s="186" t="s">
        <x:v>815</x:v>
      </x:c>
      <x:c r="F13" s="251" t="s">
        <x:v>543</x:v>
      </x:c>
      <x:c r="G13" s="186" t="s">
        <x:v>15</x:v>
      </x:c>
      <x:c r="H13" s="186"/>
      <x:c r="I13" s="186" t="s">
        <x:v>799</x:v>
      </x:c>
      <x:c r="J13" s="186"/>
    </x:row>
    <x:row r="14">
      <x:c r="A14" s="186">
        <x:v>10</x:v>
      </x:c>
      <x:c r="B14" s="186" t="s">
        <x:v>816</x:v>
      </x:c>
      <x:c r="C14" s="186" t="s">
        <x:v>817</x:v>
      </x:c>
      <x:c r="D14" s="186" t="s">
        <x:v>818</x:v>
      </x:c>
      <x:c r="E14" s="186" t="s">
        <x:v>819</x:v>
      </x:c>
      <x:c r="F14" s="251" t="s">
        <x:v>543</x:v>
      </x:c>
      <x:c r="G14" s="186" t="s">
        <x:v>15</x:v>
      </x:c>
      <x:c r="H14" s="186"/>
      <x:c r="I14" s="186" t="s">
        <x:v>235</x:v>
      </x:c>
      <x:c r="J14" s="186"/>
    </x:row>
    <x:row r="15">
      <x:c r="A15" s="186">
        <x:v>11</x:v>
      </x:c>
      <x:c r="B15" s="186" t="s">
        <x:v>820</x:v>
      </x:c>
      <x:c r="C15" s="186" t="s">
        <x:v>235</x:v>
      </x:c>
      <x:c r="D15" s="186" t="s">
        <x:v>821</x:v>
      </x:c>
      <x:c r="E15" s="186" t="s">
        <x:v>822</x:v>
      </x:c>
      <x:c r="F15" s="251" t="s">
        <x:v>543</x:v>
      </x:c>
      <x:c r="G15" s="186" t="s">
        <x:v>15</x:v>
      </x:c>
      <x:c r="H15" s="186"/>
      <x:c r="I15" s="186" t="s">
        <x:v>235</x:v>
      </x:c>
      <x:c r="J15" s="186"/>
    </x:row>
    <x:row r="16">
      <x:c r="A16" s="186">
        <x:v>12</x:v>
      </x:c>
      <x:c r="B16" s="186" t="s">
        <x:v>823</x:v>
      </x:c>
      <x:c r="C16" s="186" t="s">
        <x:v>558</x:v>
      </x:c>
      <x:c r="D16" s="186" t="s">
        <x:v>824</x:v>
      </x:c>
      <x:c r="E16" s="186" t="s">
        <x:v>595</x:v>
      </x:c>
      <x:c r="F16" s="251" t="s">
        <x:v>543</x:v>
      </x:c>
      <x:c r="G16" s="186" t="s">
        <x:v>15</x:v>
      </x:c>
      <x:c r="H16" s="186"/>
      <x:c r="I16" s="186" t="s">
        <x:v>558</x:v>
      </x:c>
      <x:c r="J16" s="186"/>
    </x:row>
    <x:row r="17">
      <x:c r="A17" s="186">
        <x:v>13</x:v>
      </x:c>
      <x:c r="B17" s="186" t="s">
        <x:v>825</x:v>
      </x:c>
      <x:c r="C17" s="186" t="s">
        <x:v>558</x:v>
      </x:c>
      <x:c r="D17" s="186" t="s">
        <x:v>826</x:v>
      </x:c>
      <x:c r="E17" s="186" t="s">
        <x:v>827</x:v>
      </x:c>
      <x:c r="F17" s="251" t="s">
        <x:v>543</x:v>
      </x:c>
      <x:c r="G17" s="186" t="s">
        <x:v>15</x:v>
      </x:c>
      <x:c r="H17" s="186"/>
      <x:c r="I17" s="186" t="s">
        <x:v>235</x:v>
      </x:c>
      <x:c r="J17" s="186"/>
    </x:row>
    <x:row r="18">
      <x:c r="A18" s="186">
        <x:v>14</x:v>
      </x:c>
      <x:c r="B18" s="186" t="s">
        <x:v>828</x:v>
      </x:c>
      <x:c r="C18" s="186" t="s">
        <x:v>552</x:v>
      </x:c>
      <x:c r="D18" s="186" t="s">
        <x:v>829</x:v>
      </x:c>
      <x:c r="E18" s="186" t="s">
        <x:v>830</x:v>
      </x:c>
      <x:c r="F18" s="251" t="s">
        <x:v>543</x:v>
      </x:c>
      <x:c r="G18" s="186" t="s">
        <x:v>15</x:v>
      </x:c>
      <x:c r="H18" s="186"/>
      <x:c r="I18" s="186" t="s">
        <x:v>552</x:v>
      </x:c>
      <x:c r="J18" s="186"/>
    </x:row>
    <x:row r="19">
      <x:c r="A19" s="186">
        <x:v>15</x:v>
      </x:c>
      <x:c r="B19" s="186" t="s">
        <x:v>831</x:v>
      </x:c>
      <x:c r="C19" s="186" t="s">
        <x:v>832</x:v>
      </x:c>
      <x:c r="D19" s="186" t="s">
        <x:v>833</x:v>
      </x:c>
      <x:c r="E19" s="186" t="s">
        <x:v>834</x:v>
      </x:c>
      <x:c r="F19" s="251" t="s">
        <x:v>543</x:v>
      </x:c>
      <x:c r="G19" s="186" t="s">
        <x:v>15</x:v>
      </x:c>
      <x:c r="H19" s="186"/>
      <x:c r="I19" s="186" t="s">
        <x:v>835</x:v>
      </x:c>
      <x:c r="J19" s="186"/>
    </x:row>
    <x:row r="20">
      <x:c r="A20" s="186">
        <x:v>16</x:v>
      </x:c>
      <x:c r="B20" s="186" t="s">
        <x:v>836</x:v>
      </x:c>
      <x:c r="C20" s="186" t="s">
        <x:v>335</x:v>
      </x:c>
      <x:c r="D20" s="186" t="s">
        <x:v>837</x:v>
      </x:c>
      <x:c r="E20" s="186" t="s">
        <x:v>838</x:v>
      </x:c>
      <x:c r="F20" s="251" t="s">
        <x:v>543</x:v>
      </x:c>
      <x:c r="G20" s="186" t="s">
        <x:v>15</x:v>
      </x:c>
      <x:c r="H20" s="186"/>
      <x:c r="I20" s="186" t="s">
        <x:v>335</x:v>
      </x:c>
      <x:c r="J20" s="186"/>
    </x:row>
    <x:row r="21">
      <x:c r="A21" s="186">
        <x:v>17</x:v>
      </x:c>
      <x:c r="B21" s="186" t="s">
        <x:v>839</x:v>
      </x:c>
      <x:c r="C21" s="186" t="s">
        <x:v>575</x:v>
      </x:c>
      <x:c r="D21" s="186" t="s">
        <x:v>840</x:v>
      </x:c>
      <x:c r="E21" s="186" t="s">
        <x:v>841</x:v>
      </x:c>
      <x:c r="F21" s="251" t="s">
        <x:v>543</x:v>
      </x:c>
      <x:c r="G21" s="186" t="s">
        <x:v>15</x:v>
      </x:c>
      <x:c r="H21" s="186"/>
      <x:c r="I21" s="186" t="s">
        <x:v>582</x:v>
      </x:c>
      <x:c r="J21" s="186"/>
    </x:row>
    <x:row r="22" ht="25.5">
      <x:c r="A22" s="186">
        <x:v>18</x:v>
      </x:c>
      <x:c r="B22" s="186" t="str">
        <x:v>에어 리크 테스트기 전자 원본데이터에서 생산 LOT·시험조건·실측결과·판정을 재조회할 수 있나요?</x:v>
      </x:c>
      <x:c r="C22" s="186" t="str">
        <x:v>2동 검사원/품질</x:v>
      </x:c>
      <x:c r="D22" s="186" t="str">
        <x:v>별도 종이 기밀검사성적서 없이 설비 원본로그에서 품번·검사 LOT·검사일시·측정값·판정·테스터ID를 조회하고 합부/재검사 이력을 설명</x:v>
      </x:c>
      <x:c r="E22" s="186" t="str">
        <x:v>설비 전자 원본로그·승인검사기준·검사기 점검/검증기록·검색 시연</x:v>
      </x:c>
      <x:c r="F22" s="251" t="s">
        <x:v>543</x:v>
      </x:c>
      <x:c r="G22" s="186" t="s">
        <x:v>15</x:v>
      </x:c>
      <x:c r="H22" s="186"/>
      <x:c r="I22" s="186" t="s">
        <x:v>235</x:v>
      </x:c>
      <x:c r="J22" s="186"/>
    </x:row>
    <x:row r="23">
      <x:c r="A23" s="186">
        <x:v>19</x:v>
      </x:c>
      <x:c r="B23" s="186" t="s">
        <x:v>842</x:v>
      </x:c>
      <x:c r="C23" s="186" t="s">
        <x:v>758</x:v>
      </x:c>
      <x:c r="D23" s="186" t="s">
        <x:v>843</x:v>
      </x:c>
      <x:c r="E23" s="186" t="s">
        <x:v>844</x:v>
      </x:c>
      <x:c r="F23" s="251" t="s">
        <x:v>543</x:v>
      </x:c>
      <x:c r="G23" s="186" t="s">
        <x:v>15</x:v>
      </x:c>
      <x:c r="H23" s="186"/>
      <x:c r="I23" s="186" t="s">
        <x:v>758</x:v>
      </x:c>
      <x:c r="J23" s="186"/>
    </x:row>
    <x:row r="24">
      <x:c r="A24" s="186">
        <x:v>20</x:v>
      </x:c>
      <x:c r="B24" s="186" t="s">
        <x:v>845</x:v>
      </x:c>
      <x:c r="C24" s="186" t="s">
        <x:v>846</x:v>
      </x:c>
      <x:c r="D24" s="186" t="s">
        <x:v>847</x:v>
      </x:c>
      <x:c r="E24" s="186" t="s">
        <x:v>848</x:v>
      </x:c>
      <x:c r="F24" s="251" t="s">
        <x:v>543</x:v>
      </x:c>
      <x:c r="G24" s="186" t="s">
        <x:v>15</x:v>
      </x:c>
      <x:c r="H24" s="186"/>
      <x:c r="I24" s="186" t="s">
        <x:v>766</x:v>
      </x:c>
      <x:c r="J24" s="186"/>
    </x:row>
  </x:sheetData>
  <x:mergeCells>
    <x:mergeCell ref="A1:J2"/>
  </x:mergeCells>
  <x:conditionalFormatting sqref="G5:G24">
    <x:cfRule type="expression" dxfId="18" priority="1">
      <x:formula>G5="적합"</x:formula>
    </x:cfRule>
    <x:cfRule type="expression" dxfId="17" priority="2">
      <x:formula>G5="부적합"</x:formula>
    </x:cfRule>
  </x:conditionalFormatting>
  <x:dataValidations count="2">
    <x:dataValidation type="list" sqref="G5:G24">
      <x:formula1>"미확인,적합,부적합,개선기회"</x:formula1>
    </x:dataValidation>
    <x:dataValidation type="list" sqref="J5:J24">
      <x:formula1>",완료,재확인 필요"</x:formula1>
    </x:dataValidation>
  </x:dataValidations>
  <x:pageMargins left="0.7" right="0.7" top="0.75" bottom="0.75" header="0.3" footer="0.3"/>
</x:worksheet>
</file>

<file path=xl/worksheets/sheet11.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6" customWidth="1"/>
    <x:col min="2" max="2" width="14" customWidth="1"/>
    <x:col min="3" max="3" width="32" customWidth="1"/>
    <x:col min="4" max="4" width="16" customWidth="1"/>
    <x:col min="5" max="5" width="46" customWidth="1"/>
    <x:col min="6" max="6" width="42" customWidth="1"/>
    <x:col min="7" max="7" width="30" customWidth="1"/>
    <x:col min="8" max="9" width="12" customWidth="1"/>
    <x:col min="10" max="10" width="38" customWidth="1"/>
    <x:col min="11" max="11" width="32" customWidth="1"/>
    <x:col min="13" max="13" width="53" hidden="0" customWidth="1"/>
  </x:cols>
  <x:sheetData>
    <x:row r="1" ht="32" customHeight="1">
      <x:c r="A1" s="259" t="s">
        <x:v>849</x:v>
      </x:c>
      <x:c r="B1" s="259"/>
      <x:c r="C1" s="259"/>
      <x:c r="D1" s="259"/>
      <x:c r="E1" s="259"/>
      <x:c r="F1" s="259"/>
      <x:c r="G1" s="259"/>
      <x:c r="H1" s="259"/>
      <x:c r="I1" s="259"/>
      <x:c r="J1" s="259"/>
      <x:c r="K1" s="259"/>
      <x:c r="M1" s="1506" t="str">
        <x:v>Rev.05 이력 참고용: 현행 사용자 입력은 17_사용자_최우선에서 관리. 10시트 완료표시를 새로 수정하지 마세요.</x:v>
      </x:c>
      <x:c r="N1" s="1506"/>
      <x:c r="O1" s="1506"/>
      <x:c r="P1" s="1506"/>
      <x:c r="Q1" s="1506"/>
    </x:row>
    <x:row r="2">
      <x:c r="A2" s="259"/>
      <x:c r="B2" s="259"/>
      <x:c r="C2" s="259"/>
      <x:c r="D2" s="259"/>
      <x:c r="E2" s="259"/>
      <x:c r="F2" s="259"/>
      <x:c r="G2" s="259"/>
      <x:c r="H2" s="259"/>
      <x:c r="I2" s="259"/>
      <x:c r="J2" s="259"/>
      <x:c r="K2" s="259"/>
    </x:row>
    <x:row r="3">
      <x:c r="A3" s="260" t="s">
        <x:v>850</x:v>
      </x:c>
      <x:c r="B3" s="261"/>
      <x:c r="C3" s="261"/>
      <x:c r="D3" s="261"/>
      <x:c r="E3" s="261"/>
      <x:c r="F3" s="261"/>
      <x:c r="G3" s="261"/>
      <x:c r="H3" s="261"/>
      <x:c r="I3" s="261"/>
      <x:c r="J3" s="261"/>
      <x:c r="K3" s="262"/>
    </x:row>
    <x:row r="4">
      <x:c r="A4" s="263"/>
      <x:c r="B4" s="264"/>
      <x:c r="C4" s="264"/>
      <x:c r="D4" s="264"/>
      <x:c r="E4" s="264"/>
      <x:c r="F4" s="264"/>
      <x:c r="G4" s="264"/>
      <x:c r="H4" s="264"/>
      <x:c r="I4" s="264"/>
      <x:c r="J4" s="264"/>
      <x:c r="K4" s="265"/>
    </x:row>
    <x:row r="6">
      <x:c r="A6" s="240" t="s">
        <x:v>485</x:v>
      </x:c>
      <x:c r="B6" s="240" t="s">
        <x:v>851</x:v>
      </x:c>
      <x:c r="C6" s="240" t="s">
        <x:v>852</x:v>
      </x:c>
      <x:c r="D6" s="240" t="s">
        <x:v>9</x:v>
      </x:c>
      <x:c r="E6" s="240" t="s">
        <x:v>853</x:v>
      </x:c>
      <x:c r="F6" s="240" t="s">
        <x:v>854</x:v>
      </x:c>
      <x:c r="G6" s="240" t="s">
        <x:v>855</x:v>
      </x:c>
      <x:c r="H6" s="240" t="s">
        <x:v>360</x:v>
      </x:c>
      <x:c r="I6" s="240" t="s">
        <x:v>856</x:v>
      </x:c>
      <x:c r="J6" s="240" t="s">
        <x:v>857</x:v>
      </x:c>
      <x:c r="K6" s="240" t="s">
        <x:v>642</x:v>
      </x:c>
    </x:row>
    <x:row r="7" ht="25.5">
      <x:c r="A7" s="186" t="s">
        <x:v>487</x:v>
      </x:c>
      <x:c r="B7" s="186" t="s">
        <x:v>858</x:v>
      </x:c>
      <x:c r="C7" s="186" t="s">
        <x:v>859</x:v>
      </x:c>
      <x:c r="D7" s="186" t="str">
        <x:v>차종·대표품번 범위 확정 / 도면 Rev.01 사용자 확인</x:v>
      </x:c>
      <x:c r="E7" s="186" t="s">
        <x:v>860</x:v>
      </x:c>
      <x:c r="F7" s="186" t="str">
        <x:v>FA1A8HRAAC, FA1A8HRAAD(AD 전개 사내대조) / 도면 Rev.01(사용자 확인)</x:v>
      </x:c>
      <x:c r="G7" s="186" t="s">
        <x:v>861</x:v>
      </x:c>
      <x:c r="H7" s="186" t="s">
        <x:v>862</x:v>
      </x:c>
      <x:c r="I7" s="266" t="s">
        <x:v>856</x:v>
      </x:c>
      <x:c r="J7" s="186" t="s">
        <x:v>863</x:v>
      </x:c>
      <x:c r="K7" s="186" t="str">
        <x:v>도면 보안 업로드 불필요. 철자·품명·특성의 사내대조는 별도 미종결</x:v>
      </x:c>
    </x:row>
    <x:row r="8" ht="25.5">
      <x:c r="A8" s="186" t="s">
        <x:v>490</x:v>
      </x:c>
      <x:c r="B8" s="186" t="s">
        <x:v>858</x:v>
      </x:c>
      <x:c r="C8" s="186" t="str">
        <x:v>6동 점프 튜브 자동가공·2동 브레이징/기밀 공정/라인</x:v>
      </x:c>
      <x:c r="D8" s="186" t="s">
        <x:v>864</x:v>
      </x:c>
      <x:c r="E8" s="186" t="str">
        <x:v>6동 점프 튜브 자동가공 → 2동 FT-ASY-A/C JUMPER 브레이징·기밀검사</x:v>
      </x:c>
      <x:c r="F8" s="186" t="s">
        <x:v>865</x:v>
      </x:c>
      <x:c r="G8" s="186" t="s">
        <x:v>866</x:v>
      </x:c>
      <x:c r="H8" s="186" t="s">
        <x:v>862</x:v>
      </x:c>
      <x:c r="I8" s="266" t="s">
        <x:v>856</x:v>
      </x:c>
      <x:c r="J8" s="186" t="s">
        <x:v>867</x:v>
      </x:c>
      <x:c r="K8" s="186" t="s">
        <x:v>868</x:v>
      </x:c>
    </x:row>
    <x:row r="9" ht="25.5">
      <x:c r="A9" s="186" t="s">
        <x:v>493</x:v>
      </x:c>
      <x:c r="B9" s="186" t="s">
        <x:v>869</x:v>
      </x:c>
      <x:c r="C9" s="186" t="s">
        <x:v>870</x:v>
      </x:c>
      <x:c r="D9" s="186" t="s">
        <x:v>871</x:v>
      </x:c>
      <x:c r="E9" s="186" t="s">
        <x:v>872</x:v>
      </x:c>
      <x:c r="F9" s="186" t="s">
        <x:v>873</x:v>
      </x:c>
      <x:c r="G9" s="186" t="s">
        <x:v>874</x:v>
      </x:c>
      <x:c r="H9" s="186" t="s">
        <x:v>875</x:v>
      </x:c>
      <x:c r="I9" s="186" t="s">
        <x:v>876</x:v>
      </x:c>
      <x:c r="J9" s="186" t="s">
        <x:v>877</x:v>
      </x:c>
      <x:c r="K9" s="186" t="s">
        <x:v>878</x:v>
      </x:c>
    </x:row>
    <x:row r="10">
      <x:c r="A10" s="186" t="s">
        <x:v>497</x:v>
      </x:c>
      <x:c r="B10" s="186" t="s">
        <x:v>879</x:v>
      </x:c>
      <x:c r="C10" s="186" t="str">
        <x:v>대표 품번 최신 도면 사내 대조</x:v>
      </x:c>
      <x:c r="D10" s="186" t="str">
        <x:v>Rev.01 사용자 확인 / 원본 사내대조 미확인</x:v>
      </x:c>
      <x:c r="E10" s="186" t="str">
        <x:v>기밀 도면은 사내에서만 열람. 품번별 Rev.01, 도면 특성, 중요 용접/검사 요구를 대조 후 결과만 기록</x:v>
      </x:c>
      <x:c r="F10" s="186" t="str">
        <x:v>도면 원본 업로드 불필요; 사내 대조 확인자·확인일·결과</x:v>
      </x:c>
      <x:c r="G10" s="186" t="s">
        <x:v>880</x:v>
      </x:c>
      <x:c r="H10" s="186" t="s">
        <x:v>881</x:v>
      </x:c>
      <x:c r="I10" s="186" t="s">
        <x:v>876</x:v>
      </x:c>
      <x:c r="J10" s="186" t="s">
        <x:v>882</x:v>
      </x:c>
      <x:c r="K10" s="186" t="str">
        <x:v>23_도면_사내대조 시트와 연계</x:v>
      </x:c>
    </x:row>
    <x:row r="11" ht="25.5">
      <x:c r="A11" s="186" t="s">
        <x:v>501</x:v>
      </x:c>
      <x:c r="B11" s="186" t="s">
        <x:v>879</x:v>
      </x:c>
      <x:c r="C11" s="186" t="s">
        <x:v>883</x:v>
      </x:c>
      <x:c r="D11" s="186" t="s">
        <x:v>15</x:v>
      </x:c>
      <x:c r="E11" s="186" t="s">
        <x:v>884</x:v>
      </x:c>
      <x:c r="F11" s="186" t="s">
        <x:v>885</x:v>
      </x:c>
      <x:c r="G11" s="186" t="s">
        <x:v>886</x:v>
      </x:c>
      <x:c r="H11" s="186" t="s">
        <x:v>881</x:v>
      </x:c>
      <x:c r="I11" s="186" t="s">
        <x:v>876</x:v>
      </x:c>
      <x:c r="J11" s="186" t="s">
        <x:v>887</x:v>
      </x:c>
      <x:c r="K11" s="186"/>
    </x:row>
    <x:row r="12" ht="25.5">
      <x:c r="A12" s="186" t="s">
        <x:v>505</x:v>
      </x:c>
      <x:c r="B12" s="186" t="s">
        <x:v>879</x:v>
      </x:c>
      <x:c r="C12" s="186" t="s">
        <x:v>888</x:v>
      </x:c>
      <x:c r="D12" s="186" t="s">
        <x:v>15</x:v>
      </x:c>
      <x:c r="E12" s="186" t="s">
        <x:v>889</x:v>
      </x:c>
      <x:c r="F12" s="186" t="s">
        <x:v>890</x:v>
      </x:c>
      <x:c r="G12" s="186" t="s">
        <x:v>891</x:v>
      </x:c>
      <x:c r="H12" s="186" t="s">
        <x:v>892</x:v>
      </x:c>
      <x:c r="I12" s="186" t="s">
        <x:v>876</x:v>
      </x:c>
      <x:c r="J12" s="186" t="s">
        <x:v>893</x:v>
      </x:c>
      <x:c r="K12" s="186"/>
    </x:row>
    <x:row r="13" ht="25.5">
      <x:c r="A13" s="186" t="s">
        <x:v>509</x:v>
      </x:c>
      <x:c r="B13" s="186" t="s">
        <x:v>879</x:v>
      </x:c>
      <x:c r="C13" s="186" t="s">
        <x:v>894</x:v>
      </x:c>
      <x:c r="D13" s="186" t="s">
        <x:v>15</x:v>
      </x:c>
      <x:c r="E13" s="186" t="s">
        <x:v>895</x:v>
      </x:c>
      <x:c r="F13" s="186" t="s">
        <x:v>896</x:v>
      </x:c>
      <x:c r="G13" s="186" t="s">
        <x:v>897</x:v>
      </x:c>
      <x:c r="H13" s="186" t="s">
        <x:v>892</x:v>
      </x:c>
      <x:c r="I13" s="186" t="s">
        <x:v>876</x:v>
      </x:c>
      <x:c r="J13" s="186" t="s">
        <x:v>898</x:v>
      </x:c>
      <x:c r="K13" s="186"/>
    </x:row>
    <x:row r="14">
      <x:c r="A14" s="186" t="s">
        <x:v>513</x:v>
      </x:c>
      <x:c r="B14" s="186" t="s">
        <x:v>879</x:v>
      </x:c>
      <x:c r="C14" s="186" t="s">
        <x:v>899</x:v>
      </x:c>
      <x:c r="D14" s="186" t="s">
        <x:v>15</x:v>
      </x:c>
      <x:c r="E14" s="186" t="s">
        <x:v>900</x:v>
      </x:c>
      <x:c r="F14" s="186" t="s">
        <x:v>901</x:v>
      </x:c>
      <x:c r="G14" s="186" t="s">
        <x:v>235</x:v>
      </x:c>
      <x:c r="H14" s="186" t="s">
        <x:v>892</x:v>
      </x:c>
      <x:c r="I14" s="186" t="s">
        <x:v>876</x:v>
      </x:c>
      <x:c r="J14" s="186" t="s">
        <x:v>902</x:v>
      </x:c>
      <x:c r="K14" s="186"/>
    </x:row>
    <x:row r="15">
      <x:c r="A15" s="186" t="s">
        <x:v>903</x:v>
      </x:c>
      <x:c r="B15" s="186" t="s">
        <x:v>879</x:v>
      </x:c>
      <x:c r="C15" s="186" t="s">
        <x:v>904</x:v>
      </x:c>
      <x:c r="D15" s="186" t="s">
        <x:v>15</x:v>
      </x:c>
      <x:c r="E15" s="186" t="s">
        <x:v>905</x:v>
      </x:c>
      <x:c r="F15" s="186" t="s">
        <x:v>906</x:v>
      </x:c>
      <x:c r="G15" s="186" t="s">
        <x:v>335</x:v>
      </x:c>
      <x:c r="H15" s="186" t="s">
        <x:v>907</x:v>
      </x:c>
      <x:c r="I15" s="186" t="s">
        <x:v>876</x:v>
      </x:c>
      <x:c r="J15" s="186" t="s">
        <x:v>908</x:v>
      </x:c>
      <x:c r="K15" s="186" t="s">
        <x:v>909</x:v>
      </x:c>
    </x:row>
    <x:row r="16">
      <x:c r="A16" s="186" t="s">
        <x:v>910</x:v>
      </x:c>
      <x:c r="B16" s="186" t="s">
        <x:v>879</x:v>
      </x:c>
      <x:c r="C16" s="186" t="s">
        <x:v>911</x:v>
      </x:c>
      <x:c r="D16" s="186" t="s">
        <x:v>15</x:v>
      </x:c>
      <x:c r="E16" s="186" t="s">
        <x:v>912</x:v>
      </x:c>
      <x:c r="F16" s="186" t="s">
        <x:v>913</x:v>
      </x:c>
      <x:c r="G16" s="186" t="s">
        <x:v>235</x:v>
      </x:c>
      <x:c r="H16" s="186" t="s">
        <x:v>907</x:v>
      </x:c>
      <x:c r="I16" s="186" t="s">
        <x:v>876</x:v>
      </x:c>
      <x:c r="J16" s="186" t="s">
        <x:v>914</x:v>
      </x:c>
      <x:c r="K16" s="186"/>
    </x:row>
    <x:row r="17">
      <x:c r="A17" s="186" t="s">
        <x:v>915</x:v>
      </x:c>
      <x:c r="B17" s="186" t="s">
        <x:v>879</x:v>
      </x:c>
      <x:c r="C17" s="186" t="s">
        <x:v>916</x:v>
      </x:c>
      <x:c r="D17" s="186" t="s">
        <x:v>15</x:v>
      </x:c>
      <x:c r="E17" s="186" t="s">
        <x:v>917</x:v>
      </x:c>
      <x:c r="F17" s="186" t="s">
        <x:v>918</x:v>
      </x:c>
      <x:c r="G17" s="186" t="s">
        <x:v>919</x:v>
      </x:c>
      <x:c r="H17" s="186" t="s">
        <x:v>907</x:v>
      </x:c>
      <x:c r="I17" s="186" t="s">
        <x:v>876</x:v>
      </x:c>
      <x:c r="J17" s="186" t="s">
        <x:v>920</x:v>
      </x:c>
      <x:c r="K17" s="186"/>
    </x:row>
    <x:row r="18">
      <x:c r="A18" s="186" t="s">
        <x:v>921</x:v>
      </x:c>
      <x:c r="B18" s="186" t="s">
        <x:v>922</x:v>
      </x:c>
      <x:c r="C18" s="186" t="s">
        <x:v>923</x:v>
      </x:c>
      <x:c r="D18" s="186" t="s">
        <x:v>924</x:v>
      </x:c>
      <x:c r="E18" s="186" t="s">
        <x:v>925</x:v>
      </x:c>
      <x:c r="F18" s="186" t="s">
        <x:v>926</x:v>
      </x:c>
      <x:c r="G18" s="186" t="s">
        <x:v>235</x:v>
      </x:c>
      <x:c r="H18" s="186" t="s">
        <x:v>927</x:v>
      </x:c>
      <x:c r="I18" s="186" t="s">
        <x:v>876</x:v>
      </x:c>
      <x:c r="J18" s="186" t="s">
        <x:v>928</x:v>
      </x:c>
      <x:c r="K18" s="186" t="s">
        <x:v>929</x:v>
      </x:c>
    </x:row>
    <x:row r="19">
      <x:c r="A19" s="186" t="s">
        <x:v>930</x:v>
      </x:c>
      <x:c r="B19" s="186" t="s">
        <x:v>922</x:v>
      </x:c>
      <x:c r="C19" s="186" t="s">
        <x:v>931</x:v>
      </x:c>
      <x:c r="D19" s="186" t="s">
        <x:v>924</x:v>
      </x:c>
      <x:c r="E19" s="186" t="s">
        <x:v>932</x:v>
      </x:c>
      <x:c r="F19" s="186" t="s">
        <x:v>933</x:v>
      </x:c>
      <x:c r="G19" s="186" t="s">
        <x:v>934</x:v>
      </x:c>
      <x:c r="H19" s="186" t="s">
        <x:v>927</x:v>
      </x:c>
      <x:c r="I19" s="186" t="s">
        <x:v>876</x:v>
      </x:c>
      <x:c r="J19" s="186" t="s">
        <x:v>935</x:v>
      </x:c>
      <x:c r="K19" s="186"/>
    </x:row>
    <x:row r="20">
      <x:c r="A20" s="186" t="s">
        <x:v>936</x:v>
      </x:c>
      <x:c r="B20" s="186" t="s">
        <x:v>922</x:v>
      </x:c>
      <x:c r="C20" s="186" t="s">
        <x:v>937</x:v>
      </x:c>
      <x:c r="D20" s="186" t="s">
        <x:v>938</x:v>
      </x:c>
      <x:c r="E20" s="186" t="s">
        <x:v>939</x:v>
      </x:c>
      <x:c r="F20" s="186" t="s">
        <x:v>940</x:v>
      </x:c>
      <x:c r="G20" s="186" t="s">
        <x:v>941</x:v>
      </x:c>
      <x:c r="H20" s="186" t="s">
        <x:v>927</x:v>
      </x:c>
      <x:c r="I20" s="186" t="s">
        <x:v>876</x:v>
      </x:c>
      <x:c r="J20" s="186" t="s">
        <x:v>942</x:v>
      </x:c>
      <x:c r="K20" s="186" t="s">
        <x:v>943</x:v>
      </x:c>
    </x:row>
    <x:row r="21">
      <x:c r="A21" s="186" t="s">
        <x:v>944</x:v>
      </x:c>
      <x:c r="B21" s="186" t="s">
        <x:v>879</x:v>
      </x:c>
      <x:c r="C21" s="186" t="s">
        <x:v>945</x:v>
      </x:c>
      <x:c r="D21" s="186" t="s">
        <x:v>15</x:v>
      </x:c>
      <x:c r="E21" s="186" t="s">
        <x:v>946</x:v>
      </x:c>
      <x:c r="F21" s="186" t="s">
        <x:v>947</x:v>
      </x:c>
      <x:c r="G21" s="186" t="s">
        <x:v>235</x:v>
      </x:c>
      <x:c r="H21" s="186" t="s">
        <x:v>927</x:v>
      </x:c>
      <x:c r="I21" s="186" t="s">
        <x:v>876</x:v>
      </x:c>
      <x:c r="J21" s="186" t="s">
        <x:v>948</x:v>
      </x:c>
      <x:c r="K21" s="186"/>
    </x:row>
    <x:row r="22">
      <x:c r="A22" s="186" t="s">
        <x:v>949</x:v>
      </x:c>
      <x:c r="B22" s="186" t="s">
        <x:v>879</x:v>
      </x:c>
      <x:c r="C22" s="186" t="s">
        <x:v>950</x:v>
      </x:c>
      <x:c r="D22" s="186" t="s">
        <x:v>15</x:v>
      </x:c>
      <x:c r="E22" s="186" t="s">
        <x:v>951</x:v>
      </x:c>
      <x:c r="F22" s="186" t="s">
        <x:v>952</x:v>
      </x:c>
      <x:c r="G22" s="186" t="s">
        <x:v>953</x:v>
      </x:c>
      <x:c r="H22" s="186" t="s">
        <x:v>927</x:v>
      </x:c>
      <x:c r="I22" s="186" t="s">
        <x:v>876</x:v>
      </x:c>
      <x:c r="J22" s="186" t="s">
        <x:v>954</x:v>
      </x:c>
      <x:c r="K22" s="186"/>
    </x:row>
    <x:row r="23">
      <x:c r="A23" s="186" t="s">
        <x:v>955</x:v>
      </x:c>
      <x:c r="B23" s="186" t="s">
        <x:v>879</x:v>
      </x:c>
      <x:c r="C23" s="186" t="s">
        <x:v>956</x:v>
      </x:c>
      <x:c r="D23" s="186" t="s">
        <x:v>15</x:v>
      </x:c>
      <x:c r="E23" s="186" t="s">
        <x:v>957</x:v>
      </x:c>
      <x:c r="F23" s="186" t="s">
        <x:v>958</x:v>
      </x:c>
      <x:c r="G23" s="186" t="s">
        <x:v>959</x:v>
      </x:c>
      <x:c r="H23" s="186" t="s">
        <x:v>960</x:v>
      </x:c>
      <x:c r="I23" s="186" t="s">
        <x:v>876</x:v>
      </x:c>
      <x:c r="J23" s="186" t="s">
        <x:v>908</x:v>
      </x:c>
      <x:c r="K23" s="186"/>
    </x:row>
    <x:row r="24">
      <x:c r="A24" s="186" t="s">
        <x:v>961</x:v>
      </x:c>
      <x:c r="B24" s="186" t="s">
        <x:v>962</x:v>
      </x:c>
      <x:c r="C24" s="186" t="s">
        <x:v>963</x:v>
      </x:c>
      <x:c r="D24" s="186" t="s">
        <x:v>964</x:v>
      </x:c>
      <x:c r="E24" s="186" t="s">
        <x:v>965</x:v>
      </x:c>
      <x:c r="F24" s="186" t="s">
        <x:v>966</x:v>
      </x:c>
      <x:c r="G24" s="186" t="s">
        <x:v>967</x:v>
      </x:c>
      <x:c r="H24" s="186" t="s">
        <x:v>960</x:v>
      </x:c>
      <x:c r="I24" s="186" t="s">
        <x:v>876</x:v>
      </x:c>
      <x:c r="J24" s="186" t="s">
        <x:v>968</x:v>
      </x:c>
      <x:c r="K24" s="186"/>
    </x:row>
    <x:row r="25">
      <x:c r="A25" s="186" t="s">
        <x:v>969</x:v>
      </x:c>
      <x:c r="B25" s="186" t="s">
        <x:v>879</x:v>
      </x:c>
      <x:c r="C25" s="186" t="s">
        <x:v>970</x:v>
      </x:c>
      <x:c r="D25" s="186" t="s">
        <x:v>15</x:v>
      </x:c>
      <x:c r="E25" s="186" t="s">
        <x:v>971</x:v>
      </x:c>
      <x:c r="F25" s="186" t="s">
        <x:v>972</x:v>
      </x:c>
      <x:c r="G25" s="186" t="s">
        <x:v>766</x:v>
      </x:c>
      <x:c r="H25" s="186" t="s">
        <x:v>960</x:v>
      </x:c>
      <x:c r="I25" s="186" t="s">
        <x:v>876</x:v>
      </x:c>
      <x:c r="J25" s="186" t="s">
        <x:v>973</x:v>
      </x:c>
      <x:c r="K25" s="186"/>
    </x:row>
    <x:row r="26">
      <x:c r="A26" s="186" t="s">
        <x:v>974</x:v>
      </x:c>
      <x:c r="B26" s="186" t="s">
        <x:v>975</x:v>
      </x:c>
      <x:c r="C26" s="186" t="s">
        <x:v>976</x:v>
      </x:c>
      <x:c r="D26" s="186" t="s">
        <x:v>977</x:v>
      </x:c>
      <x:c r="E26" s="186" t="s">
        <x:v>978</x:v>
      </x:c>
      <x:c r="F26" s="186" t="s">
        <x:v>979</x:v>
      </x:c>
      <x:c r="G26" s="186" t="s">
        <x:v>980</x:v>
      </x:c>
      <x:c r="H26" s="186" t="s">
        <x:v>981</x:v>
      </x:c>
      <x:c r="I26" s="186" t="s">
        <x:v>876</x:v>
      </x:c>
      <x:c r="J26" s="186" t="s">
        <x:v>982</x:v>
      </x:c>
      <x:c r="K26" s="186"/>
    </x:row>
  </x:sheetData>
  <x:mergeCells>
    <x:mergeCell ref="A1:K2"/>
    <x:mergeCell ref="A3:K4"/>
  </x:mergeCells>
  <x:conditionalFormatting sqref="I7:I26">
    <x:cfRule type="expression" dxfId="16" priority="1">
      <x:formula>I7="완료"</x:formula>
    </x:cfRule>
    <x:cfRule type="expression" dxfId="15" priority="2">
      <x:formula>I7="미완료"</x:formula>
    </x:cfRule>
  </x:conditionalFormatting>
  <x:dataValidations count="1">
    <x:dataValidation type="list" sqref="I7:I26">
      <x:formula1>"미완료,진행중,완료,해당없음"</x:formula1>
    </x:dataValidation>
  </x:dataValidations>
  <x:pageMargins left="0.7" right="0.7" top="0.75" bottom="0.75" header="0.3" footer="0.3"/>
</x:worksheet>
</file>

<file path=xl/worksheets/sheet12.xml><?xml version="1.0" encoding="utf-8"?>
<x:worksheet xmlns:x="http://schemas.openxmlformats.org/spreadsheetml/2006/main">
  <x:sheetViews>
    <x:sheetView workbookViewId="0">
      <x:pane ySplit="3" topLeftCell="A4" activePane="bottomLeft" state="frozen"/>
    </x:sheetView>
  </x:sheetViews>
  <x:sheetFormatPr defaultRowHeight="15"/>
  <x:cols>
    <x:col min="1" max="1" width="11" customWidth="1"/>
    <x:col min="2" max="2" width="30" customWidth="1"/>
    <x:col min="3" max="3" width="16" customWidth="1"/>
    <x:col min="4" max="4" width="12" customWidth="1"/>
    <x:col min="5" max="5" width="40" customWidth="1"/>
    <x:col min="6" max="6" width="42" customWidth="1"/>
    <x:col min="7" max="7" width="4" customWidth="1"/>
    <x:col min="8" max="8" width="18" customWidth="1"/>
    <x:col min="9" max="12" width="12" customWidth="1"/>
  </x:cols>
  <x:sheetData>
    <x:row r="1">
      <x:c r="A1" s="98" t="s">
        <x:v>983</x:v>
      </x:c>
      <x:c r="B1" s="98"/>
      <x:c r="C1" s="98"/>
      <x:c r="D1" s="98"/>
      <x:c r="E1" s="98"/>
      <x:c r="F1" s="98"/>
      <x:c r="G1" s="98"/>
      <x:c r="H1" s="98"/>
      <x:c r="I1" s="98"/>
      <x:c r="J1" s="98"/>
      <x:c r="K1" s="98"/>
      <x:c r="L1" s="98"/>
    </x:row>
    <x:row r="2">
      <x:c r="A2" s="98"/>
      <x:c r="B2" s="98"/>
      <x:c r="C2" s="98"/>
      <x:c r="D2" s="98"/>
      <x:c r="E2" s="98"/>
      <x:c r="F2" s="98"/>
      <x:c r="G2" s="98"/>
      <x:c r="H2" s="98"/>
      <x:c r="I2" s="98"/>
      <x:c r="J2" s="98"/>
      <x:c r="K2" s="98"/>
      <x:c r="L2" s="98"/>
    </x:row>
    <x:row r="3">
      <x:c r="A3" s="99" t="s">
        <x:v>984</x:v>
      </x:c>
      <x:c r="B3" s="100"/>
      <x:c r="C3" s="100"/>
      <x:c r="D3" s="100"/>
      <x:c r="E3" s="100"/>
      <x:c r="F3" s="100"/>
      <x:c r="G3" s="100"/>
      <x:c r="H3" s="100"/>
      <x:c r="I3" s="100"/>
      <x:c r="J3" s="100"/>
      <x:c r="K3" s="100"/>
      <x:c r="L3" s="101"/>
    </x:row>
    <x:row r="5">
      <x:c r="A5" s="102" t="str">
        <x:v>원문 평가코드행</x:v>
      </x:c>
      <x:c r="B5" s="103"/>
      <x:c r="C5" s="102" t="str">
        <x:v>실증확인 코드</x:v>
      </x:c>
      <x:c r="D5" s="103"/>
      <x:c r="E5" s="102" t="str">
        <x:v>미확인 코드</x:v>
      </x:c>
      <x:c r="F5" s="103"/>
      <x:c r="G5" s="102" t="str">
        <x:v>최우선 업무완료</x:v>
      </x:c>
      <x:c r="H5" s="103"/>
      <x:c r="I5" s="102" t="str">
        <x:v>증빙패키지 확보</x:v>
      </x:c>
      <x:c r="J5" s="103"/>
      <x:c r="K5" s="102" t="str">
        <x:v>모의심사 적합</x:v>
      </x:c>
      <x:c r="L5" s="103"/>
    </x:row>
    <x:row r="6">
      <x:c r="A6" s="104" t="n">
        <x:f>COUNTA('21_코드별_심사실행'!A7:A49)</x:f>
        <x:v>43</x:v>
      </x:c>
      <x:c r="B6" s="105"/>
      <x:c r="C6" s="108" t="n">
        <x:f>COUNTIF('21_코드별_심사실행'!P7:P49,"증빙확인")</x:f>
        <x:v>0</x:v>
      </x:c>
      <x:c r="D6" s="109"/>
      <x:c r="E6" s="112" t="n">
        <x:f>A6-C6</x:f>
        <x:v>43</x:v>
      </x:c>
      <x:c r="F6" s="113"/>
      <x:c r="G6" s="116" t="n">
        <x:f>COUNTIF('17_사용자_최우선'!H7:H26,"완료")</x:f>
        <x:v>2</x:v>
      </x:c>
      <x:c r="H6" s="117"/>
      <x:c r="I6" s="108" t="n">
        <x:f>COUNTIF('08_최종_증빙패키지'!E7:E34,"증빙확보")</x:f>
        <x:v>0</x:v>
      </x:c>
      <x:c r="J6" s="109"/>
      <x:c r="K6" s="120" t="n">
        <x:f>COUNTIF('09_모의심사_최종'!G5:G24,"적합")</x:f>
        <x:v>0</x:v>
      </x:c>
      <x:c r="L6" s="121"/>
    </x:row>
    <x:row r="7">
      <x:c r="A7" s="106"/>
      <x:c r="B7" s="107"/>
      <x:c r="C7" s="110"/>
      <x:c r="D7" s="111"/>
      <x:c r="E7" s="114"/>
      <x:c r="F7" s="115"/>
      <x:c r="G7" s="118"/>
      <x:c r="H7" s="119"/>
      <x:c r="I7" s="110"/>
      <x:c r="J7" s="111"/>
      <x:c r="K7" s="122"/>
      <x:c r="L7" s="123"/>
    </x:row>
    <x:row r="9">
      <x:c r="A9" s="124" t="str">
        <x:v>확인배점 준비율</x:v>
      </x:c>
      <x:c r="B9" s="125"/>
      <x:c r="C9" s="125"/>
      <x:c r="D9" s="126"/>
      <x:c r="E9" s="130" t="n">
        <x:f>'25_3단계_진척관리'!L7</x:f>
        <x:v>0</x:v>
      </x:c>
      <x:c r="F9" s="131"/>
      <x:c r="G9" s="131"/>
      <x:c r="H9" s="132"/>
      <x:c r="I9" s="136" t="str">
        <x:f>IF(AND(COUNTIF(D13:D22,"PASS")=10,SUM('21_코드별_심사실행'!Q7:Q49)=SUM('21_코드별_심사실행'!D7:D49),COUNTIF('08_최종_증빙패키지'!E7:E34,"증빙확보")=28,COUNTIF('17_사용자_최우선'!H7:H26,"완료")=20,COUNTIF('28_검증_CAPA_연계'!R7:R127,"적합확인")+COUNTIF('28_검증_CAPA_연계'!R7:R127,"시정조치 종결")=121,COUNTIF('29_6동2동_현장점검'!M7:M22,"확인완료")=16,COUNTIF('31_동별공정_LOT연계'!L7:L24,"확인완료")=18,COUNTIF('32_2동_기밀검사_실증'!K7:K26,"검증완료")=20),"READY","NOT READY")</x:f>
        <x:v>NOT READY</x:v>
      </x:c>
      <x:c r="J9" s="137"/>
      <x:c r="K9" s="137"/>
      <x:c r="L9" s="138"/>
    </x:row>
    <x:row r="10">
      <x:c r="A10" s="127"/>
      <x:c r="B10" s="128"/>
      <x:c r="C10" s="128"/>
      <x:c r="D10" s="129"/>
      <x:c r="E10" s="133"/>
      <x:c r="F10" s="134"/>
      <x:c r="G10" s="134"/>
      <x:c r="H10" s="135"/>
      <x:c r="I10" s="139"/>
      <x:c r="J10" s="140"/>
      <x:c r="K10" s="140"/>
      <x:c r="L10" s="141"/>
    </x:row>
    <x:row r="12">
      <x:c r="A12" s="240" t="s">
        <x:v>536</x:v>
      </x:c>
      <x:c r="B12" s="240" t="s">
        <x:v>985</x:v>
      </x:c>
      <x:c r="C12" s="240" t="s">
        <x:v>986</x:v>
      </x:c>
      <x:c r="D12" s="240" t="s">
        <x:v>987</x:v>
      </x:c>
      <x:c r="E12" s="240" t="s">
        <x:v>988</x:v>
      </x:c>
      <x:c r="F12" s="240" t="s">
        <x:v>71</x:v>
      </x:c>
    </x:row>
    <x:row r="13" ht="25.5">
      <x:c r="A13" s="186" t="s">
        <x:v>989</x:v>
      </x:c>
      <x:c r="B13" s="186" t="s">
        <x:v>990</x:v>
      </x:c>
      <x:c r="C13" s="186" t="str">
        <x:v>평가자료 확보·공식 최신성/6-12/229건 검증 대기</x:v>
      </x:c>
      <x:c r="D13" s="1386" t="str">
        <x:f>IF(AND('17_사용자_최우선'!H9="완료",'17_사용자_최우선'!I9&lt;&gt;"",'17_사용자_최우선'!H10="완료",'17_사용자_최우선'!I10&lt;&gt;"",'17_사용자_최우선'!H11="완료",'17_사용자_최우선'!I11&lt;&gt;""),"PASS","STOP")</x:f>
        <x:v>STOP</x:v>
      </x:c>
      <x:c r="E13" s="186" t="s">
        <x:v>991</x:v>
      </x:c>
      <x:c r="F13" s="186" t="s">
        <x:v>992</x:v>
      </x:c>
      <x:c r="H13" s="2" t="s">
        <x:v>993</x:v>
      </x:c>
      <x:c r="I13" s="3" t="s">
        <x:v>994</x:v>
      </x:c>
    </x:row>
    <x:row r="14" ht="51">
      <x:c r="A14" s="186" t="s">
        <x:v>995</x:v>
      </x:c>
      <x:c r="B14" s="186" t="s">
        <x:v>996</x:v>
      </x:c>
      <x:c r="C14" s="186" t="str">
        <x:v>RG3 HEV / 6동 자동가공 → 2동 자동 브레이징(자동2호기)·기밀검사 / 품번 2종</x:v>
      </x:c>
      <x:c r="D14" s="1386" t="str">
        <x:f>IF(AND('17_사용자_최우선'!H7="완료",'17_사용자_최우선'!H8="완료"),"PASS","STOP")</x:f>
        <x:v>PASS</x:v>
      </x:c>
      <x:c r="E14" s="186" t="str">
        <x:v>사용자 제공 동별 공정범위 확정. 6동 내부 작업순서·설비대장 ID는 현장 검증 필요</x:v>
      </x:c>
      <x:c r="F14" s="186" t="str">
        <x:v>G2는 대상 차종·품번·동별 주공정 범위 확인만 인정; 실증은 G3/G4 별도</x:v>
      </x:c>
      <x:c r="H14" s="243" t="s">
        <x:v>481</x:v>
      </x:c>
      <x:c r="I14" s="245" t="n">
        <x:f>COUNTIF('05_2단계_증빙판정'!C2:C23,"증빙확보")</x:f>
        <x:v>0</x:v>
      </x:c>
    </x:row>
    <x:row r="15" ht="25.5">
      <x:c r="A15" s="186" t="s">
        <x:v>997</x:v>
      </x:c>
      <x:c r="B15" s="186" t="str">
        <x:v>원문 43개 코드행(배점 42개)·Flow-PFMEA-CP-WI 검증</x:v>
      </x:c>
      <x:c r="C15" s="186" t="str">
        <x:f>COUNTIF('21_코드별_심사실행'!P7:P49,"증빙확인")&amp;"/43 코드행 + 도면 사내대조 "&amp;COUNTIFS('23_도면_사내대조'!G7:G24,"일치",'23_도면_사내대조'!H7:H24,"&lt;&gt;",'23_도면_사내대조'!K7:K24,"&lt;&gt;")&amp;"/18건"</x:f>
        <x:v>0/43 코드행 + 도면 사내대조 0/18건</x:v>
      </x:c>
      <x:c r="D15" s="1386" t="str">
        <x:f>IF(AND(COUNTIF('21_코드별_심사실행'!P7:P49,"증빙확인")=43,COUNTIFS('23_도면_사내대조'!G7:G24,"일치",'23_도면_사내대조'!H7:H24,"&lt;&gt;",'23_도면_사내대조'!K7:K24,"&lt;&gt;")=18),"PASS","STOP")</x:f>
        <x:v>STOP</x:v>
      </x:c>
      <x:c r="E15" s="186" t="str">
        <x:v>21시트 객관증빙·현장대조(6동·2동/2품번) + 23시트 기밀도면 내부확인</x:v>
      </x:c>
      <x:c r="F15" s="186" t="str">
        <x:v>43개 코드행 증빙확인(6-12 무배점 포함) + 관련 Flow/PFMEA/CP/WI 대조</x:v>
      </x:c>
      <x:c r="H15" s="246" t="s">
        <x:v>75</x:v>
      </x:c>
      <x:c r="I15" s="247" t="n">
        <x:f>COUNTIF('05_2단계_증빙판정'!C2:C23,"보완필요")</x:f>
        <x:v>22</x:v>
      </x:c>
    </x:row>
    <x:row r="16" ht="25.5">
      <x:c r="A16" s="186" t="s">
        <x:v>998</x:v>
      </x:c>
      <x:c r="B16" s="186" t="str">
        <x:v>2동 자동2호기 브레이징 승인조건·기밀검사 실증 및 동별 현장대조</x:v>
      </x:c>
      <x:c r="C16" s="186" t="str">
        <x:f>COUNTIF('32_2동_기밀검사_실증'!K7:K26,"검증완료")&amp;"/20 기밀실증, "&amp;COUNTIF('36_전자검사_관리기준'!K7:K20,"검증완료")&amp;"/14 전자관리, "&amp;COUNTIF('37_전자검사LOT_원본대사'!Y7:Y8,"전자로그 실증완료")&amp;"/2 실제LOT 로그"</x:f>
        <x:v>0/20 기밀실증, 0/14 전자관리, 0/2 실제LOT 로그</x:v>
      </x:c>
      <x:c r="D16" s="1386" t="str">
        <x:f>IF(AND(COUNTIFS('22_2동_브레이징_점검'!N7:N50,"종결",'22_2동_브레이징_점검'!H7:H50,"적합",'22_2동_브레이징_점검'!I7:I50,"&lt;&gt;",'22_2동_브레이징_점검'!L7:L50,"&lt;&gt;",'22_2동_브레이징_점검'!M7:M50,"&lt;&gt;")=44,COUNTIFS('21_코드별_심사실행'!C7:C49,"1-5",'21_코드별_심사실행'!P7:P49,"증빙확인")=1,COUNTIFS('21_코드별_심사실행'!C7:C49,"2-9",'21_코드별_심사실행'!P7:P49,"증빙확인")=1,COUNTIF('29_6동2동_현장점검'!M7:M22,"확인완료")=16,COUNTIF('32_2동_기밀검사_실증'!K7:K26,"검증완료")=20,COUNTIF('31_동별공정_LOT연계'!L7:L24,"확인완료")=18,COUNTIF('36_전자검사_관리기준'!K7:K20,"검증완료")=14,COUNTIF('37_전자검사LOT_원본대사'!Y7:Y8,"전자로그 실증완료")=2),"PASS","STOP")</x:f>
        <x:v>STOP</x:v>
      </x:c>
      <x:c r="E16" s="1095" t="str">
        <x:v>2동 브레이징 승인조건 + 기밀검사 20건 + 전자관리 14건 + LOT 로그 2건 현장실증</x:v>
      </x:c>
      <x:c r="F16" s="1095" t="str">
        <x:v>실제 2동 에어 리크 테스터 로그·LOT·승인조건·수량 대사와 브레이징 실적 대조</x:v>
      </x:c>
      <x:c r="H16" s="248" t="s">
        <x:v>15</x:v>
      </x:c>
      <x:c r="I16" s="250" t="n">
        <x:f>COUNTIF('05_2단계_증빙판정'!C2:C23,"미확인")</x:f>
        <x:v>0</x:v>
      </x:c>
    </x:row>
    <x:row r="17">
      <x:c r="A17" s="186" t="s">
        <x:v>999</x:v>
      </x:c>
      <x:c r="B17" s="186" t="s">
        <x:v>1000</x:v>
      </x:c>
      <x:c r="C17" s="186" t="str">
        <x:f>COUNTIF('08_최종_증빙패키지'!E19:E20,"증빙확보")&amp;"/2 MSA·SPC"</x:f>
        <x:v>0/2 MSA·SPC</x:v>
      </x:c>
      <x:c r="D17" s="1386" t="str">
        <x:f>IF(AND('08_최종_증빙패키지'!E19="증빙확보",'08_최종_증빙패키지'!E20="증빙확보"),"PASS","STOP")</x:f>
        <x:v>STOP</x:v>
      </x:c>
      <x:c r="E17" s="186" t="s">
        <x:v>1001</x:v>
      </x:c>
      <x:c r="F17" s="186" t="s">
        <x:v>1002</x:v>
      </x:c>
    </x:row>
    <x:row r="18">
      <x:c r="A18" s="186" t="s">
        <x:v>1003</x:v>
      </x:c>
      <x:c r="B18" s="186" t="s">
        <x:v>617</x:v>
      </x:c>
      <x:c r="C18" s="186" t="str">
        <x:f>IF('08_최종_증빙패키지'!E27="증빙확보","실제 LOT 증빙확인","실제 LOT 미확인")</x:f>
        <x:v>실제 LOT 미확인</x:v>
      </x:c>
      <x:c r="D18" s="1386" t="str">
        <x:f>IF('08_최종_증빙패키지'!E27="증빙확보","PASS","STOP")</x:f>
        <x:v>STOP</x:v>
      </x:c>
      <x:c r="E18" s="186" t="s">
        <x:v>1004</x:v>
      </x:c>
      <x:c r="F18" s="186" t="s">
        <x:v>1005</x:v>
      </x:c>
    </x:row>
    <x:row r="19">
      <x:c r="A19" s="186" t="s">
        <x:v>1006</x:v>
      </x:c>
      <x:c r="B19" s="186" t="s">
        <x:v>1007</x:v>
      </x:c>
      <x:c r="C19" s="186" t="str">
        <x:f>COUNTIFS('24_부서별_자료회수'!I7:I22,"검토완료",'24_부서별_자료회수'!H7:H22,"&lt;&gt;",'24_부서별_자료회수'!J7:J22,"&lt;&gt;",'24_부서별_자료회수'!K7:K22,"&lt;&gt;")&amp;"/16 자료회수 검증"</x:f>
        <x:v>0/16 자료회수 검증</x:v>
      </x:c>
      <x:c r="D19" s="1386" t="str">
        <x:f>IF(COUNTIFS('24_부서별_자료회수'!I7:I22,"검토완료",'24_부서별_자료회수'!H7:H22,"&lt;&gt;",'24_부서별_자료회수'!J7:J22,"&lt;&gt;",'24_부서별_자료회수'!K7:K22,"&lt;&gt;")=16,"PASS","STOP")</x:f>
        <x:v>STOP</x:v>
      </x:c>
      <x:c r="E19" s="186" t="s">
        <x:v>1008</x:v>
      </x:c>
      <x:c r="F19" s="186" t="s">
        <x:v>1009</x:v>
      </x:c>
    </x:row>
    <x:row r="20">
      <x:c r="A20" s="186" t="s">
        <x:v>1010</x:v>
      </x:c>
      <x:c r="B20" s="186" t="s">
        <x:v>1011</x:v>
      </x:c>
      <x:c r="C20" s="186" t="str">
        <x:f>COUNTIF('08_최종_증빙패키지'!E25:E26,"증빙확보")&amp;"/2 부적합·4M"</x:f>
        <x:v>0/2 부적합·4M</x:v>
      </x:c>
      <x:c r="D20" s="1386" t="str">
        <x:f>IF(AND('08_최종_증빙패키지'!E25="증빙확보",'08_최종_증빙패키지'!E26="증빙확보"),"PASS","STOP")</x:f>
        <x:v>STOP</x:v>
      </x:c>
      <x:c r="E20" s="186" t="s">
        <x:v>1012</x:v>
      </x:c>
      <x:c r="F20" s="186" t="s">
        <x:v>1013</x:v>
      </x:c>
    </x:row>
    <x:row r="21">
      <x:c r="A21" s="186" t="s">
        <x:v>1014</x:v>
      </x:c>
      <x:c r="B21" s="186" t="s">
        <x:v>1015</x:v>
      </x:c>
      <x:c r="C21" s="186" t="str">
        <x:f>IF('08_최종_증빙패키지'!E32="증빙확보","승인·배포 자료 검증","승인·배포 미확인")</x:f>
        <x:v>승인·배포 미확인</x:v>
      </x:c>
      <x:c r="D21" s="1386" t="str">
        <x:f>IF(AND('08_최종_증빙패키지'!E32="증빙확보",'17_사용자_최우선'!H24="완료",'17_사용자_최우선'!I24&lt;&gt;""),"PASS","STOP")</x:f>
        <x:v>STOP</x:v>
      </x:c>
      <x:c r="E21" s="186" t="s">
        <x:v>1016</x:v>
      </x:c>
      <x:c r="F21" s="186" t="s">
        <x:v>1017</x:v>
      </x:c>
    </x:row>
    <x:row r="22">
      <x:c r="A22" s="186" t="s">
        <x:v>1018</x:v>
      </x:c>
      <x:c r="B22" s="186" t="s">
        <x:v>1019</x:v>
      </x:c>
      <x:c r="C22" s="186" t="str">
        <x:f>COUNTIF('09_모의심사_최종'!G5:G24,"적합")&amp;"/20 모의심사 + "&amp;COUNTIF('38_전자기록_심사시연'!K7:K14,"시연완료")&amp;"/8 원본 조회시연"</x:f>
        <x:v>0/20 모의심사 + 0/8 원본 조회시연</x:v>
      </x:c>
      <x:c r="D22" s="1386" t="str">
        <x:f>IF(AND(COUNTIFS('09_모의심사_최종'!G5:G24,"적합",'09_모의심사_최종'!F5:F24,"&lt;&gt;",'09_모의심사_최종'!F5:F24,"&lt;&gt;[확인]")=20,COUNTIF('38_전자기록_심사시연'!K7:K14,"시연완료")=8),"PASS","STOP")</x:f>
        <x:v>STOP</x:v>
      </x:c>
      <x:c r="E22" s="1095" t="str">
        <x:v>20문항 현장 모의심사 + 에어 리크 로그 전자자료 조회시연 8항목</x:v>
      </x:c>
      <x:c r="F22" s="1095" t="s">
        <x:v>1020</x:v>
      </x:c>
    </x:row>
    <x:row r="25">
      <x:c r="A25" s="142" t="s">
        <x:v>1021</x:v>
      </x:c>
      <x:c r="B25" s="143"/>
      <x:c r="C25" s="143"/>
      <x:c r="D25" s="143"/>
      <x:c r="E25" s="143"/>
      <x:c r="F25" s="144"/>
    </x:row>
    <x:row r="26">
      <x:c r="A26" s="267" t="str">
        <x:v>Rev.09 현행 최종판정: 기존 원문 43행 증빙 / 10개 Gate PASS / 증빙패키지 28개 / 사용자 20업무 + 28시트 121건 CAPA 검증 + 29시트 16건 + 31시트 LOT 18건 + 32시트 2동 기밀 20건 + 36시트 전자데이터 점검 14건 + 37시트 2품번 실제 전자로그 대사 + 38시트 조회시연 8건이 모두 검증된 경우에만 READY. 별도 종이 기밀검사성적서 요구 아님; 보관 중인 설비 원본로그를 사내에서 제시.</x:v>
      </x:c>
      <x:c r="B26" s="268"/>
      <x:c r="C26" s="268"/>
      <x:c r="D26" s="268"/>
      <x:c r="E26" s="268"/>
      <x:c r="F26" s="269"/>
    </x:row>
    <x:row r="27">
      <x:c r="A27" s="270"/>
      <x:c r="B27" s="271"/>
      <x:c r="C27" s="271"/>
      <x:c r="D27" s="271"/>
      <x:c r="E27" s="271"/>
      <x:c r="F27" s="272"/>
    </x:row>
    <x:row r="28">
      <x:c r="A28" s="270"/>
      <x:c r="B28" s="271"/>
      <x:c r="C28" s="271"/>
      <x:c r="D28" s="271"/>
      <x:c r="E28" s="271"/>
      <x:c r="F28" s="272"/>
    </x:row>
    <x:row r="29">
      <x:c r="A29" s="270"/>
      <x:c r="B29" s="271"/>
      <x:c r="C29" s="271"/>
      <x:c r="D29" s="271"/>
      <x:c r="E29" s="271"/>
      <x:c r="F29" s="272"/>
    </x:row>
    <x:row r="30">
      <x:c r="A30" s="273"/>
      <x:c r="B30" s="274"/>
      <x:c r="C30" s="274"/>
      <x:c r="D30" s="274"/>
      <x:c r="E30" s="274"/>
      <x:c r="F30" s="275"/>
    </x:row>
    <x:row r="33">
      <x:c r="A33" s="145" t="str">
        <x:v>Rev.09 진행순서: 39 대시보드 → 36 전자로그 보존관리 → 37 품번별 실제 LOT 로그대사 → 38 전자 조회시연 → 32 기밀검사 20건 → 21/22/23/24/28/29/31 실제 실증 → 09 모의심사 → 11 최종 준비판정. 보안도면·기밀 로그를 외부 업로드하지 않습니다.</x:v>
      </x:c>
      <x:c r="B33" s="146"/>
      <x:c r="C33" s="146"/>
      <x:c r="D33" s="146"/>
      <x:c r="E33" s="146"/>
      <x:c r="F33" s="147"/>
    </x:row>
    <x:row r="34">
      <x:c r="A34" s="148"/>
      <x:c r="B34" s="149"/>
      <x:c r="C34" s="149"/>
      <x:c r="D34" s="149"/>
      <x:c r="E34" s="149"/>
      <x:c r="F34" s="150"/>
    </x:row>
    <x:row r="35">
      <x:c r="A35" s="151"/>
      <x:c r="B35" s="152"/>
      <x:c r="C35" s="152"/>
      <x:c r="D35" s="152"/>
      <x:c r="E35" s="152"/>
      <x:c r="F35" s="153"/>
    </x:row>
  </x:sheetData>
  <x:mergeCells>
    <x:mergeCell ref="A33:F35"/>
    <x:mergeCell ref="A9:D10"/>
    <x:mergeCell ref="E9:H10"/>
    <x:mergeCell ref="I9:L10"/>
    <x:mergeCell ref="A25:F25"/>
    <x:mergeCell ref="A26:F30"/>
    <x:mergeCell ref="A1:L2"/>
    <x:mergeCell ref="A3:L3"/>
    <x:mergeCell ref="A5:B5"/>
    <x:mergeCell ref="A6:B7"/>
    <x:mergeCell ref="C5:D5"/>
    <x:mergeCell ref="C6:D7"/>
    <x:mergeCell ref="E5:F5"/>
    <x:mergeCell ref="E6:F7"/>
    <x:mergeCell ref="G5:H5"/>
    <x:mergeCell ref="G6:H7"/>
    <x:mergeCell ref="I5:J5"/>
    <x:mergeCell ref="I6:J7"/>
    <x:mergeCell ref="K5:L5"/>
    <x:mergeCell ref="K6:L7"/>
  </x:mergeCells>
  <x:conditionalFormatting sqref="I9:L10">
    <x:cfRule type="expression" dxfId="11" priority="1">
      <x:formula>$I$9="READY"</x:formula>
    </x:cfRule>
    <x:cfRule type="expression" dxfId="10" priority="2">
      <x:formula>$I$9="NOT READY"</x:formula>
    </x:cfRule>
  </x:conditionalFormatting>
  <x:conditionalFormatting sqref="D15:D15">
    <x:cfRule type="expression" dxfId="44" priority="6">
      <x:formula>D15="PASS"</x:formula>
    </x:cfRule>
  </x:conditionalFormatting>
  <x:conditionalFormatting sqref="D13:D22">
    <x:cfRule type="expression" dxfId="52" priority="7">
      <x:formula>D13="PASS"</x:formula>
    </x:cfRule>
    <x:cfRule type="expression" dxfId="53" priority="8">
      <x:formula>D13="STOP"</x:formula>
    </x:cfRule>
  </x:conditionalFormatting>
  <x:dataValidations count="1">
    <x:dataValidation type="list" sqref="D13:D22">
      <x:formula1>"STOP,CONDITIONAL,PASS,N/A"</x:formula1>
    </x:dataValidation>
  </x:dataValidations>
  <x:pageMargins left="0.7" right="0.7" top="0.75" bottom="0.75" header="0.3" footer="0.3"/>
  <x:drawing xmlns:r="http://schemas.openxmlformats.org/officeDocument/2006/relationships" r:id="R28167538c2ce4c9c"/>
</x:worksheet>
</file>

<file path=xl/worksheets/sheet13.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customWidth="1"/>
    <x:col min="2" max="2" width="40" customWidth="1"/>
    <x:col min="3" max="3" width="20" customWidth="1"/>
    <x:col min="4" max="4" width="30" customWidth="1"/>
    <x:col min="5" max="5" width="24" customWidth="1"/>
    <x:col min="6" max="6" width="20" customWidth="1"/>
    <x:col min="7" max="7" width="12" customWidth="1"/>
    <x:col min="8" max="8" width="26" customWidth="1"/>
  </x:cols>
  <x:sheetData>
    <x:row r="1">
      <x:c r="A1" s="252" t="s">
        <x:v>1022</x:v>
      </x:c>
      <x:c r="B1" s="252"/>
      <x:c r="C1" s="252"/>
      <x:c r="D1" s="252"/>
      <x:c r="E1" s="252"/>
      <x:c r="F1" s="252"/>
      <x:c r="G1" s="252"/>
      <x:c r="H1" s="252"/>
    </x:row>
    <x:row r="2">
      <x:c r="A2" s="252"/>
      <x:c r="B2" s="252"/>
      <x:c r="C2" s="252"/>
      <x:c r="D2" s="252"/>
      <x:c r="E2" s="252"/>
      <x:c r="F2" s="252"/>
      <x:c r="G2" s="252"/>
      <x:c r="H2" s="252"/>
    </x:row>
    <x:row r="4">
      <x:c r="A4" s="2" t="s">
        <x:v>64</x:v>
      </x:c>
      <x:c r="B4" s="4" t="s">
        <x:v>1023</x:v>
      </x:c>
      <x:c r="C4" s="4" t="s">
        <x:v>1024</x:v>
      </x:c>
      <x:c r="D4" s="4" t="s">
        <x:v>1025</x:v>
      </x:c>
      <x:c r="E4" s="4" t="s">
        <x:v>1026</x:v>
      </x:c>
      <x:c r="F4" s="4" t="s">
        <x:v>359</x:v>
      </x:c>
      <x:c r="G4" s="4" t="s">
        <x:v>1027</x:v>
      </x:c>
      <x:c r="H4" s="3" t="s">
        <x:v>642</x:v>
      </x:c>
    </x:row>
    <x:row r="5" ht="25.5">
      <x:c r="A5" s="243" t="s">
        <x:v>1028</x:v>
      </x:c>
      <x:c r="B5" s="244" t="s">
        <x:v>1029</x:v>
      </x:c>
      <x:c r="C5" s="244" t="s">
        <x:v>1030</x:v>
      </x:c>
      <x:c r="D5" s="244" t="s">
        <x:v>1031</x:v>
      </x:c>
      <x:c r="E5" s="244" t="s">
        <x:v>1032</x:v>
      </x:c>
      <x:c r="F5" s="244" t="s">
        <x:v>235</x:v>
      </x:c>
      <x:c r="G5" s="244" t="s">
        <x:v>1033</x:v>
      </x:c>
      <x:c r="H5" s="245"/>
    </x:row>
    <x:row r="6">
      <x:c r="A6" s="246" t="s">
        <x:v>1028</x:v>
      </x:c>
      <x:c r="B6" s="235" t="s">
        <x:v>883</x:v>
      </x:c>
      <x:c r="C6" s="235" t="s">
        <x:v>1034</x:v>
      </x:c>
      <x:c r="D6" s="235" t="s">
        <x:v>1035</x:v>
      </x:c>
      <x:c r="E6" s="235" t="s">
        <x:v>1036</x:v>
      </x:c>
      <x:c r="F6" s="235" t="s">
        <x:v>235</x:v>
      </x:c>
      <x:c r="G6" s="235" t="s">
        <x:v>1037</x:v>
      </x:c>
      <x:c r="H6" s="247"/>
    </x:row>
    <x:row r="7">
      <x:c r="A7" s="246" t="s">
        <x:v>1028</x:v>
      </x:c>
      <x:c r="B7" s="235" t="s">
        <x:v>1038</x:v>
      </x:c>
      <x:c r="C7" s="235" t="s">
        <x:v>1039</x:v>
      </x:c>
      <x:c r="D7" s="235" t="s">
        <x:v>1040</x:v>
      </x:c>
      <x:c r="E7" s="235" t="s">
        <x:v>1041</x:v>
      </x:c>
      <x:c r="F7" s="235" t="s">
        <x:v>799</x:v>
      </x:c>
      <x:c r="G7" s="235" t="s">
        <x:v>1037</x:v>
      </x:c>
      <x:c r="H7" s="247"/>
    </x:row>
    <x:row r="8">
      <x:c r="A8" s="246" t="str">
        <x:v>전자 원본 + 인쇄 보조</x:v>
      </x:c>
      <x:c r="B8" s="235" t="str">
        <x:v>최근 6동 공정검사 자료·2동 에어 리크 테스트기 전자로그·MSA·SPC</x:v>
      </x:c>
      <x:c r="C8" s="235" t="str">
        <x:v>원본 사내 조회/인쇄 가능한 자료만 출력</x:v>
      </x:c>
      <x:c r="D8" s="235" t="str">
        <x:v>검사 LOT·조건·측정값·PASS/FAIL·설비ID 사내 대조</x:v>
      </x:c>
      <x:c r="E8" s="235" t="str">
        <x:v>2동 기밀검사/검사기록 객관적 증거</x:v>
      </x:c>
      <x:c r="F8" s="235" t="str">
        <x:v>품질</x:v>
      </x:c>
      <x:c r="G8" s="235" t="str">
        <x:v>미준비</x:v>
      </x:c>
      <x:c r="H8" s="247" t="str">
        <x:v>기밀검사는 종이 성적서 별도 보관 없음(설비 전자 원본로그 조회로 대응)</x:v>
      </x:c>
    </x:row>
    <x:row r="9">
      <x:c r="A9" s="246" t="s">
        <x:v>1028</x:v>
      </x:c>
      <x:c r="B9" s="235" t="s">
        <x:v>1042</x:v>
      </x:c>
      <x:c r="C9" s="235" t="s">
        <x:v>1043</x:v>
      </x:c>
      <x:c r="D9" s="235" t="s">
        <x:v>1044</x:v>
      </x:c>
      <x:c r="E9" s="235" t="s">
        <x:v>1041</x:v>
      </x:c>
      <x:c r="F9" s="235" t="s">
        <x:v>335</x:v>
      </x:c>
      <x:c r="G9" s="235" t="s">
        <x:v>1037</x:v>
      </x:c>
      <x:c r="H9" s="247"/>
    </x:row>
    <x:row r="10">
      <x:c r="A10" s="246" t="s">
        <x:v>1028</x:v>
      </x:c>
      <x:c r="B10" s="235" t="s">
        <x:v>1045</x:v>
      </x:c>
      <x:c r="C10" s="235" t="s">
        <x:v>1043</x:v>
      </x:c>
      <x:c r="D10" s="235" t="s">
        <x:v>1046</x:v>
      </x:c>
      <x:c r="E10" s="235" t="s">
        <x:v>1047</x:v>
      </x:c>
      <x:c r="F10" s="235" t="s">
        <x:v>324</x:v>
      </x:c>
      <x:c r="G10" s="235" t="s">
        <x:v>1037</x:v>
      </x:c>
      <x:c r="H10" s="247"/>
    </x:row>
    <x:row r="11">
      <x:c r="A11" s="246" t="s">
        <x:v>1028</x:v>
      </x:c>
      <x:c r="B11" s="235" t="s">
        <x:v>1048</x:v>
      </x:c>
      <x:c r="C11" s="235" t="s">
        <x:v>1049</x:v>
      </x:c>
      <x:c r="D11" s="235" t="s">
        <x:v>1050</x:v>
      </x:c>
      <x:c r="E11" s="235" t="s">
        <x:v>1051</x:v>
      </x:c>
      <x:c r="F11" s="235" t="s">
        <x:v>235</x:v>
      </x:c>
      <x:c r="G11" s="235" t="s">
        <x:v>1037</x:v>
      </x:c>
      <x:c r="H11" s="247"/>
    </x:row>
    <x:row r="12">
      <x:c r="A12" s="246" t="s">
        <x:v>1028</x:v>
      </x:c>
      <x:c r="B12" s="235" t="s">
        <x:v>1052</x:v>
      </x:c>
      <x:c r="C12" s="235" t="s">
        <x:v>1053</x:v>
      </x:c>
      <x:c r="D12" s="235" t="s">
        <x:v>1054</x:v>
      </x:c>
      <x:c r="E12" s="235" t="s">
        <x:v>1055</x:v>
      </x:c>
      <x:c r="F12" s="235" t="s">
        <x:v>1056</x:v>
      </x:c>
      <x:c r="G12" s="235" t="s">
        <x:v>1037</x:v>
      </x:c>
      <x:c r="H12" s="247"/>
    </x:row>
    <x:row r="13">
      <x:c r="A13" s="246" t="s">
        <x:v>1057</x:v>
      </x:c>
      <x:c r="B13" s="235" t="s">
        <x:v>1058</x:v>
      </x:c>
      <x:c r="C13" s="235" t="s">
        <x:v>1059</x:v>
      </x:c>
      <x:c r="D13" s="235" t="s">
        <x:v>1060</x:v>
      </x:c>
      <x:c r="E13" s="235" t="s">
        <x:v>1061</x:v>
      </x:c>
      <x:c r="F13" s="235" t="s">
        <x:v>235</x:v>
      </x:c>
      <x:c r="G13" s="235" t="s">
        <x:v>1037</x:v>
      </x:c>
      <x:c r="H13" s="247"/>
    </x:row>
    <x:row r="14">
      <x:c r="A14" s="246" t="s">
        <x:v>1057</x:v>
      </x:c>
      <x:c r="B14" s="235" t="s">
        <x:v>1062</x:v>
      </x:c>
      <x:c r="C14" s="235" t="s">
        <x:v>1063</x:v>
      </x:c>
      <x:c r="D14" s="235" t="s">
        <x:v>1064</x:v>
      </x:c>
      <x:c r="E14" s="235" t="s">
        <x:v>1065</x:v>
      </x:c>
      <x:c r="F14" s="235" t="s">
        <x:v>752</x:v>
      </x:c>
      <x:c r="G14" s="235" t="s">
        <x:v>1037</x:v>
      </x:c>
      <x:c r="H14" s="247"/>
    </x:row>
    <x:row r="15">
      <x:c r="A15" s="246" t="s">
        <x:v>688</x:v>
      </x:c>
      <x:c r="B15" s="235" t="s">
        <x:v>1066</x:v>
      </x:c>
      <x:c r="C15" s="235" t="s">
        <x:v>688</x:v>
      </x:c>
      <x:c r="D15" s="235" t="s">
        <x:v>1067</x:v>
      </x:c>
      <x:c r="E15" s="235" t="s">
        <x:v>1041</x:v>
      </x:c>
      <x:c r="F15" s="235" t="s">
        <x:v>799</x:v>
      </x:c>
      <x:c r="G15" s="235" t="s">
        <x:v>15</x:v>
      </x:c>
      <x:c r="H15" s="247"/>
    </x:row>
    <x:row r="16">
      <x:c r="A16" s="246" t="s">
        <x:v>688</x:v>
      </x:c>
      <x:c r="B16" s="235" t="s">
        <x:v>1068</x:v>
      </x:c>
      <x:c r="C16" s="235" t="s">
        <x:v>688</x:v>
      </x:c>
      <x:c r="D16" s="235" t="s">
        <x:v>1069</x:v>
      </x:c>
      <x:c r="E16" s="235" t="s">
        <x:v>1041</x:v>
      </x:c>
      <x:c r="F16" s="235" t="s">
        <x:v>335</x:v>
      </x:c>
      <x:c r="G16" s="235" t="s">
        <x:v>15</x:v>
      </x:c>
      <x:c r="H16" s="247"/>
    </x:row>
    <x:row r="17">
      <x:c r="A17" s="246" t="s">
        <x:v>688</x:v>
      </x:c>
      <x:c r="B17" s="235" t="s">
        <x:v>1070</x:v>
      </x:c>
      <x:c r="C17" s="235" t="s">
        <x:v>688</x:v>
      </x:c>
      <x:c r="D17" s="235" t="s">
        <x:v>1071</x:v>
      </x:c>
      <x:c r="E17" s="235" t="s">
        <x:v>1041</x:v>
      </x:c>
      <x:c r="F17" s="235" t="s">
        <x:v>235</x:v>
      </x:c>
      <x:c r="G17" s="235" t="s">
        <x:v>15</x:v>
      </x:c>
      <x:c r="H17" s="247"/>
    </x:row>
    <x:row r="18">
      <x:c r="A18" s="246" t="s">
        <x:v>688</x:v>
      </x:c>
      <x:c r="B18" s="235" t="s">
        <x:v>1072</x:v>
      </x:c>
      <x:c r="C18" s="235" t="s">
        <x:v>688</x:v>
      </x:c>
      <x:c r="D18" s="235" t="s">
        <x:v>1073</x:v>
      </x:c>
      <x:c r="E18" s="235" t="s">
        <x:v>1074</x:v>
      </x:c>
      <x:c r="F18" s="235" t="s">
        <x:v>687</x:v>
      </x:c>
      <x:c r="G18" s="235" t="s">
        <x:v>15</x:v>
      </x:c>
      <x:c r="H18" s="247"/>
    </x:row>
    <x:row r="19">
      <x:c r="A19" s="246" t="s">
        <x:v>1075</x:v>
      </x:c>
      <x:c r="B19" s="235" t="s">
        <x:v>1076</x:v>
      </x:c>
      <x:c r="C19" s="235" t="s">
        <x:v>688</x:v>
      </x:c>
      <x:c r="D19" s="235" t="s">
        <x:v>1077</x:v>
      </x:c>
      <x:c r="E19" s="235" t="s">
        <x:v>1078</x:v>
      </x:c>
      <x:c r="F19" s="235" t="s">
        <x:v>799</x:v>
      </x:c>
      <x:c r="G19" s="235" t="s">
        <x:v>15</x:v>
      </x:c>
      <x:c r="H19" s="247"/>
    </x:row>
    <x:row r="20">
      <x:c r="A20" s="248" t="s">
        <x:v>1079</x:v>
      </x:c>
      <x:c r="B20" s="249" t="s">
        <x:v>1080</x:v>
      </x:c>
      <x:c r="C20" s="249" t="s">
        <x:v>1079</x:v>
      </x:c>
      <x:c r="D20" s="249" t="s">
        <x:v>1081</x:v>
      </x:c>
      <x:c r="E20" s="249" t="s">
        <x:v>1082</x:v>
      </x:c>
      <x:c r="F20" s="249" t="s">
        <x:v>235</x:v>
      </x:c>
      <x:c r="G20" s="249" t="s">
        <x:v>15</x:v>
      </x:c>
      <x:c r="H20" s="250"/>
    </x:row>
  </x:sheetData>
  <x:mergeCells>
    <x:mergeCell ref="A1:H2"/>
  </x:mergeCells>
  <x:conditionalFormatting sqref="G5:G20">
    <x:cfRule type="expression" dxfId="9" priority="1">
      <x:formula>G5="완료"</x:formula>
    </x:cfRule>
    <x:cfRule type="expression" dxfId="8" priority="2">
      <x:formula>G5="미준비"</x:formula>
    </x:cfRule>
  </x:conditionalFormatting>
  <x:dataValidations count="1">
    <x:dataValidation type="list" sqref="G5:G20">
      <x:formula1>"미준비,준비중,완료,미확인"</x:formula1>
    </x:dataValidation>
  </x:dataValidations>
  <x:pageMargins left="0.7" right="0.7" top="0.75" bottom="0.75" header="0.3" footer="0.3"/>
</x:worksheet>
</file>

<file path=xl/worksheets/sheet1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6" customWidth="1"/>
    <x:col min="2" max="2" width="18" customWidth="1"/>
    <x:col min="3" max="3" width="12" customWidth="1"/>
    <x:col min="4" max="4" width="10" customWidth="1"/>
    <x:col min="5" max="5" width="39" customWidth="1"/>
    <x:col min="6" max="7" width="13" customWidth="1"/>
    <x:col min="8" max="8" width="25" customWidth="1"/>
    <x:col min="9" max="9" width="24" customWidth="1"/>
    <x:col min="10" max="10" width="16" customWidth="1"/>
    <x:col min="11" max="11" width="39" customWidth="1"/>
    <x:col min="12" max="12" width="32" customWidth="1"/>
    <x:col min="13" max="13" width="14" customWidth="1"/>
    <x:col min="14" max="14" width="35" customWidth="1"/>
    <x:col min="15" max="15" width="19" customWidth="1"/>
    <x:col min="16" max="16" width="46" customWidth="1"/>
  </x:cols>
  <x:sheetData>
    <x:row r="1">
      <x:c r="A1" s="154" t="s">
        <x:v>1083</x:v>
      </x:c>
      <x:c r="B1" s="154"/>
      <x:c r="C1" s="154"/>
      <x:c r="D1" s="154"/>
      <x:c r="E1" s="154"/>
      <x:c r="F1" s="154"/>
      <x:c r="G1" s="154"/>
      <x:c r="H1" s="154"/>
      <x:c r="I1" s="154"/>
      <x:c r="J1" s="154"/>
      <x:c r="K1" s="154"/>
      <x:c r="L1" s="154"/>
      <x:c r="M1" s="154"/>
      <x:c r="N1" s="154"/>
      <x:c r="O1" s="154"/>
      <x:c r="P1" s="154"/>
    </x:row>
    <x:row r="2">
      <x:c r="A2" s="154"/>
      <x:c r="B2" s="154"/>
      <x:c r="C2" s="154"/>
      <x:c r="D2" s="154"/>
      <x:c r="E2" s="154"/>
      <x:c r="F2" s="154"/>
      <x:c r="G2" s="154"/>
      <x:c r="H2" s="154"/>
      <x:c r="I2" s="154"/>
      <x:c r="J2" s="154"/>
      <x:c r="K2" s="154"/>
      <x:c r="L2" s="154"/>
      <x:c r="M2" s="154"/>
      <x:c r="N2" s="154"/>
      <x:c r="O2" s="154"/>
      <x:c r="P2" s="154"/>
    </x:row>
    <x:row r="3">
      <x:c r="A3" s="155" t="str">
        <x:v>원문 평가코드·배점(A:I 및 P열)은 보존합니다. Rev.05부터 J:O는 21_코드별_심사실행을 자동 조회하는 영역으로, 여기에 증빙 상태나 점수를 직접 입력하지 않습니다. 원문 6-12 중복 및 229건 산정 문제는 원본 확인 대상입니다.</x:v>
      </x:c>
      <x:c r="B3" s="156"/>
      <x:c r="C3" s="156"/>
      <x:c r="D3" s="156"/>
      <x:c r="E3" s="156"/>
      <x:c r="F3" s="156"/>
      <x:c r="G3" s="156"/>
      <x:c r="H3" s="156"/>
      <x:c r="I3" s="156"/>
      <x:c r="J3" s="156"/>
      <x:c r="K3" s="156"/>
      <x:c r="L3" s="156"/>
      <x:c r="M3" s="156"/>
      <x:c r="N3" s="156"/>
      <x:c r="O3" s="156"/>
      <x:c r="P3" s="157"/>
    </x:row>
    <x:row r="4">
      <x:c r="A4" s="158"/>
      <x:c r="B4" s="159"/>
      <x:c r="C4" s="159"/>
      <x:c r="D4" s="159"/>
      <x:c r="E4" s="159"/>
      <x:c r="F4" s="159"/>
      <x:c r="G4" s="159"/>
      <x:c r="H4" s="159"/>
      <x:c r="I4" s="159"/>
      <x:c r="J4" s="159"/>
      <x:c r="K4" s="159"/>
      <x:c r="L4" s="159"/>
      <x:c r="M4" s="159"/>
      <x:c r="N4" s="159"/>
      <x:c r="O4" s="159"/>
      <x:c r="P4" s="160"/>
    </x:row>
    <x:row r="6" ht="25.5">
      <x:c r="A6" s="5" t="s">
        <x:v>1084</x:v>
      </x:c>
      <x:c r="B6" s="6" t="s">
        <x:v>1085</x:v>
      </x:c>
      <x:c r="C6" s="6" t="s">
        <x:v>1086</x:v>
      </x:c>
      <x:c r="D6" s="6" t="s">
        <x:v>1087</x:v>
      </x:c>
      <x:c r="E6" s="6" t="s">
        <x:v>1088</x:v>
      </x:c>
      <x:c r="F6" s="6" t="s">
        <x:v>1089</x:v>
      </x:c>
      <x:c r="G6" s="6" t="s">
        <x:v>1090</x:v>
      </x:c>
      <x:c r="H6" s="6" t="s">
        <x:v>1091</x:v>
      </x:c>
      <x:c r="I6" s="6" t="s">
        <x:v>1092</x:v>
      </x:c>
      <x:c r="J6" s="6" t="str">
        <x:v>실행판정(21시트 연계)</x:v>
      </x:c>
      <x:c r="K6" s="6" t="str">
        <x:v>증빙번호·사내 위치(조회)</x:v>
      </x:c>
      <x:c r="L6" s="6" t="str">
        <x:v>문서·현장 대조(조회)</x:v>
      </x:c>
      <x:c r="M6" s="6" t="str">
        <x:v>확인배점(내부 자동)</x:v>
      </x:c>
      <x:c r="N6" s="6" t="str">
        <x:v>미흡·시정조치(조회)</x:v>
      </x:c>
      <x:c r="O6" s="6" t="str">
        <x:v>확인자·확인일(조회)</x:v>
      </x:c>
      <x:c r="P6" s="7" t="s">
        <x:v>1093</x:v>
      </x:c>
    </x:row>
    <x:row r="7">
      <x:c r="A7" s="28">
        <x:v>1</x:v>
      </x:c>
      <x:c r="B7" s="29" t="s">
        <x:v>1094</x:v>
      </x:c>
      <x:c r="C7" s="29" t="s">
        <x:v>1095</x:v>
      </x:c>
      <x:c r="D7" s="29">
        <x:v>20</x:v>
      </x:c>
      <x:c r="E7" s="9" t="s">
        <x:v>1096</x:v>
      </x:c>
      <x:c r="F7" s="9">
        <x:v>6</x:v>
      </x:c>
      <x:c r="G7" s="9">
        <x:v>5</x:v>
      </x:c>
      <x:c r="H7" s="9" t="s">
        <x:v>385</x:v>
      </x:c>
      <x:c r="I7" s="9" t="s">
        <x:v>452</x:v>
      </x:c>
      <x:c r="J7" s="1374" t="str">
        <x:f>IF('21_코드별_심사실행'!P7="증빙확인","증빙확보",IF('21_코드별_심사실행'!P7="비적용검토","비적용검토","미검증"))</x:f>
        <x:v>미검증</x:v>
      </x:c>
      <x:c r="K7" s="1375" t="str">
        <x:f>IF('21_코드별_심사실행'!J7="","",'21_코드별_심사실행'!J7)</x:f>
      </x:c>
      <x:c r="L7" s="1374" t="str">
        <x:f>IF(AND('21_코드별_심사실행'!K7="일치",'21_코드별_심사실행'!L7="일치",'21_코드별_심사실행'!M7="확인"),"일치","미확인")</x:f>
        <x:v>미확인</x:v>
      </x:c>
      <x:c r="M7" s="1383" t="n">
        <x:f>'21_코드별_심사실행'!Q7</x:f>
        <x:v>0</x:v>
      </x:c>
      <x:c r="N7" s="1374" t="str">
        <x:f>IF('21_코드별_심사실행'!R7="","",'21_코드별_심사실행'!R7)</x:f>
      </x:c>
      <x:c r="O7" s="1374" t="str">
        <x:f>IF(OR('21_코드별_심사실행'!N7="",'21_코드별_심사실행'!O7=""),"",'21_코드별_심사실행'!N7&amp;" / "&amp;IF(ISNUMBER('21_코드별_심사실행'!O7),TEXT('21_코드별_심사실행'!O7,"yyyy-mm-dd"),'21_코드별_심사실행'!O7))</x:f>
      </x:c>
      <x:c r="P7" s="10" t="s">
        <x:v>1097</x:v>
      </x:c>
    </x:row>
    <x:row r="8" ht="38.25">
      <x:c r="A8" s="30">
        <x:v>2</x:v>
      </x:c>
      <x:c r="B8" s="31" t="s">
        <x:v>1094</x:v>
      </x:c>
      <x:c r="C8" s="31" t="s">
        <x:v>1098</x:v>
      </x:c>
      <x:c r="D8" s="31">
        <x:v>20</x:v>
      </x:c>
      <x:c r="E8" s="1" t="s">
        <x:v>1099</x:v>
      </x:c>
      <x:c r="F8" s="1">
        <x:v>5</x:v>
      </x:c>
      <x:c r="G8" s="1">
        <x:v>5</x:v>
      </x:c>
      <x:c r="H8" s="1" t="s">
        <x:v>1100</x:v>
      </x:c>
      <x:c r="I8" s="1" t="s">
        <x:v>1101</x:v>
      </x:c>
      <x:c r="J8" s="1377" t="str">
        <x:f>IF('21_코드별_심사실행'!P8="증빙확인","증빙확보",IF('21_코드별_심사실행'!P8="비적용검토","비적용검토","미검증"))</x:f>
        <x:v>미검증</x:v>
      </x:c>
      <x:c r="K8" s="1378" t="str">
        <x:f>IF('21_코드별_심사실행'!J8="","",'21_코드별_심사실행'!J8)</x:f>
      </x:c>
      <x:c r="L8" s="1377" t="str">
        <x:f>IF(AND('21_코드별_심사실행'!K8="일치",'21_코드별_심사실행'!L8="일치",'21_코드별_심사실행'!M8="확인"),"일치","미확인")</x:f>
        <x:v>미확인</x:v>
      </x:c>
      <x:c r="M8" s="1384" t="n">
        <x:f>'21_코드별_심사실행'!Q8</x:f>
        <x:v>0</x:v>
      </x:c>
      <x:c r="N8" s="1377" t="str">
        <x:f>IF('21_코드별_심사실행'!R8="","",'21_코드별_심사실행'!R8)</x:f>
      </x:c>
      <x:c r="O8" s="1377" t="str">
        <x:f>IF(OR('21_코드별_심사실행'!N8="",'21_코드별_심사실행'!O8=""),"",'21_코드별_심사실행'!N8&amp;" / "&amp;IF(ISNUMBER('21_코드별_심사실행'!O8),TEXT('21_코드별_심사실행'!O8,"yyyy-mm-dd"),'21_코드별_심사실행'!O8))</x:f>
      </x:c>
      <x:c r="P8" s="12" t="s">
        <x:v>1102</x:v>
      </x:c>
    </x:row>
    <x:row r="9" ht="25.5">
      <x:c r="A9" s="30">
        <x:v>3</x:v>
      </x:c>
      <x:c r="B9" s="31" t="s">
        <x:v>1094</x:v>
      </x:c>
      <x:c r="C9" s="31" t="s">
        <x:v>1103</x:v>
      </x:c>
      <x:c r="D9" s="31">
        <x:v>10</x:v>
      </x:c>
      <x:c r="E9" s="1" t="s">
        <x:v>1104</x:v>
      </x:c>
      <x:c r="F9" s="1">
        <x:v>3</x:v>
      </x:c>
      <x:c r="G9" s="1">
        <x:v>5</x:v>
      </x:c>
      <x:c r="H9" s="1" t="s">
        <x:v>1100</x:v>
      </x:c>
      <x:c r="I9" s="1" t="s">
        <x:v>1101</x:v>
      </x:c>
      <x:c r="J9" s="1377" t="str">
        <x:f>IF('21_코드별_심사실행'!P9="증빙확인","증빙확보",IF('21_코드별_심사실행'!P9="비적용검토","비적용검토","미검증"))</x:f>
        <x:v>미검증</x:v>
      </x:c>
      <x:c r="K9" s="1378" t="str">
        <x:f>IF('21_코드별_심사실행'!J9="","",'21_코드별_심사실행'!J9)</x:f>
      </x:c>
      <x:c r="L9" s="1377" t="str">
        <x:f>IF(AND('21_코드별_심사실행'!K9="일치",'21_코드별_심사실행'!L9="일치",'21_코드별_심사실행'!M9="확인"),"일치","미확인")</x:f>
        <x:v>미확인</x:v>
      </x:c>
      <x:c r="M9" s="1384" t="n">
        <x:f>'21_코드별_심사실행'!Q9</x:f>
        <x:v>0</x:v>
      </x:c>
      <x:c r="N9" s="1377" t="str">
        <x:f>IF('21_코드별_심사실행'!R9="","",'21_코드별_심사실행'!R9)</x:f>
      </x:c>
      <x:c r="O9" s="1377" t="str">
        <x:f>IF(OR('21_코드별_심사실행'!N9="",'21_코드별_심사실행'!O9=""),"",'21_코드별_심사실행'!N9&amp;" / "&amp;IF(ISNUMBER('21_코드별_심사실행'!O9),TEXT('21_코드별_심사실행'!O9,"yyyy-mm-dd"),'21_코드별_심사실행'!O9))</x:f>
      </x:c>
      <x:c r="P9" s="12" t="s">
        <x:v>1105</x:v>
      </x:c>
    </x:row>
    <x:row r="10" ht="25.5">
      <x:c r="A10" s="30">
        <x:v>4</x:v>
      </x:c>
      <x:c r="B10" s="31" t="s">
        <x:v>1094</x:v>
      </x:c>
      <x:c r="C10" s="31" t="s">
        <x:v>1106</x:v>
      </x:c>
      <x:c r="D10" s="31">
        <x:v>20</x:v>
      </x:c>
      <x:c r="E10" s="1" t="s">
        <x:v>1107</x:v>
      </x:c>
      <x:c r="F10" s="1">
        <x:v>7</x:v>
      </x:c>
      <x:c r="G10" s="1">
        <x:v>6</x:v>
      </x:c>
      <x:c r="H10" s="1" t="s">
        <x:v>1100</x:v>
      </x:c>
      <x:c r="I10" s="1" t="s">
        <x:v>1101</x:v>
      </x:c>
      <x:c r="J10" s="1377" t="str">
        <x:f>IF('21_코드별_심사실행'!P10="증빙확인","증빙확보",IF('21_코드별_심사실행'!P10="비적용검토","비적용검토","미검증"))</x:f>
        <x:v>미검증</x:v>
      </x:c>
      <x:c r="K10" s="1378" t="str">
        <x:f>IF('21_코드별_심사실행'!J10="","",'21_코드별_심사실행'!J10)</x:f>
      </x:c>
      <x:c r="L10" s="1377" t="str">
        <x:f>IF(AND('21_코드별_심사실행'!K10="일치",'21_코드별_심사실행'!L10="일치",'21_코드별_심사실행'!M10="확인"),"일치","미확인")</x:f>
        <x:v>미확인</x:v>
      </x:c>
      <x:c r="M10" s="1384" t="n">
        <x:f>'21_코드별_심사실행'!Q10</x:f>
        <x:v>0</x:v>
      </x:c>
      <x:c r="N10" s="1377" t="str">
        <x:f>IF('21_코드별_심사실행'!R10="","",'21_코드별_심사실행'!R10)</x:f>
      </x:c>
      <x:c r="O10" s="1377" t="str">
        <x:f>IF(OR('21_코드별_심사실행'!N10="",'21_코드별_심사실행'!O10=""),"",'21_코드별_심사실행'!N10&amp;" / "&amp;IF(ISNUMBER('21_코드별_심사실행'!O10),TEXT('21_코드별_심사실행'!O10,"yyyy-mm-dd"),'21_코드별_심사실행'!O10))</x:f>
      </x:c>
      <x:c r="P10" s="12" t="s">
        <x:v>1108</x:v>
      </x:c>
    </x:row>
    <x:row r="11" ht="25.5">
      <x:c r="A11" s="30">
        <x:v>5</x:v>
      </x:c>
      <x:c r="B11" s="31" t="s">
        <x:v>1094</x:v>
      </x:c>
      <x:c r="C11" s="31" t="s">
        <x:v>1109</x:v>
      </x:c>
      <x:c r="D11" s="31">
        <x:v>70</x:v>
      </x:c>
      <x:c r="E11" s="1" t="s">
        <x:v>1110</x:v>
      </x:c>
      <x:c r="F11" s="1">
        <x:v>1</x:v>
      </x:c>
      <x:c r="G11" s="1">
        <x:v>8</x:v>
      </x:c>
      <x:c r="H11" s="1" t="s">
        <x:v>391</x:v>
      </x:c>
      <x:c r="I11" s="1" t="s">
        <x:v>1111</x:v>
      </x:c>
      <x:c r="J11" s="1377" t="str">
        <x:f>IF('21_코드별_심사실행'!P11="증빙확인","증빙확보",IF('21_코드별_심사실행'!P11="비적용검토","비적용검토","미검증"))</x:f>
        <x:v>미검증</x:v>
      </x:c>
      <x:c r="K11" s="1378" t="str">
        <x:f>IF('21_코드별_심사실행'!J11="","",'21_코드별_심사실행'!J11)</x:f>
      </x:c>
      <x:c r="L11" s="1377" t="str">
        <x:f>IF(AND('21_코드별_심사실행'!K11="일치",'21_코드별_심사실행'!L11="일치",'21_코드별_심사실행'!M11="확인"),"일치","미확인")</x:f>
        <x:v>미확인</x:v>
      </x:c>
      <x:c r="M11" s="1384" t="n">
        <x:f>'21_코드별_심사실행'!Q11</x:f>
        <x:v>0</x:v>
      </x:c>
      <x:c r="N11" s="1377" t="str">
        <x:f>IF('21_코드별_심사실행'!R11="","",'21_코드별_심사실행'!R11)</x:f>
      </x:c>
      <x:c r="O11" s="1377" t="str">
        <x:f>IF(OR('21_코드별_심사실행'!N11="",'21_코드별_심사실행'!O11=""),"",'21_코드별_심사실행'!N11&amp;" / "&amp;IF(ISNUMBER('21_코드별_심사실행'!O11),TEXT('21_코드별_심사실행'!O11,"yyyy-mm-dd"),'21_코드별_심사실행'!O11))</x:f>
      </x:c>
      <x:c r="P11" s="12" t="s">
        <x:v>1112</x:v>
      </x:c>
    </x:row>
    <x:row r="12" ht="25.5">
      <x:c r="A12" s="30">
        <x:v>6</x:v>
      </x:c>
      <x:c r="B12" s="31" t="s">
        <x:v>1113</x:v>
      </x:c>
      <x:c r="C12" s="31" t="s">
        <x:v>1114</x:v>
      </x:c>
      <x:c r="D12" s="31">
        <x:v>40</x:v>
      </x:c>
      <x:c r="E12" s="1" t="s">
        <x:v>1115</x:v>
      </x:c>
      <x:c r="F12" s="1">
        <x:v>9</x:v>
      </x:c>
      <x:c r="G12" s="1">
        <x:v>8</x:v>
      </x:c>
      <x:c r="H12" s="1" t="s">
        <x:v>1116</x:v>
      </x:c>
      <x:c r="I12" s="1" t="s">
        <x:v>1117</x:v>
      </x:c>
      <x:c r="J12" s="1377" t="str">
        <x:f>IF('21_코드별_심사실행'!P12="증빙확인","증빙확보",IF('21_코드별_심사실행'!P12="비적용검토","비적용검토","미검증"))</x:f>
        <x:v>미검증</x:v>
      </x:c>
      <x:c r="K12" s="1378" t="str">
        <x:f>IF('21_코드별_심사실행'!J12="","",'21_코드별_심사실행'!J12)</x:f>
      </x:c>
      <x:c r="L12" s="1377" t="str">
        <x:f>IF(AND('21_코드별_심사실행'!K12="일치",'21_코드별_심사실행'!L12="일치",'21_코드별_심사실행'!M12="확인"),"일치","미확인")</x:f>
        <x:v>미확인</x:v>
      </x:c>
      <x:c r="M12" s="1384" t="n">
        <x:f>'21_코드별_심사실행'!Q12</x:f>
        <x:v>0</x:v>
      </x:c>
      <x:c r="N12" s="1377" t="str">
        <x:f>IF('21_코드별_심사실행'!R12="","",'21_코드별_심사실행'!R12)</x:f>
      </x:c>
      <x:c r="O12" s="1377" t="str">
        <x:f>IF(OR('21_코드별_심사실행'!N12="",'21_코드별_심사실행'!O12=""),"",'21_코드별_심사실행'!N12&amp;" / "&amp;IF(ISNUMBER('21_코드별_심사실행'!O12),TEXT('21_코드별_심사실행'!O12,"yyyy-mm-dd"),'21_코드별_심사실행'!O12))</x:f>
      </x:c>
      <x:c r="P12" s="12" t="s">
        <x:v>1118</x:v>
      </x:c>
    </x:row>
    <x:row r="13" ht="38.25">
      <x:c r="A13" s="30">
        <x:v>7</x:v>
      </x:c>
      <x:c r="B13" s="31" t="s">
        <x:v>1113</x:v>
      </x:c>
      <x:c r="C13" s="31" t="s">
        <x:v>1119</x:v>
      </x:c>
      <x:c r="D13" s="31">
        <x:v>30</x:v>
      </x:c>
      <x:c r="E13" s="1" t="s">
        <x:v>1120</x:v>
      </x:c>
      <x:c r="F13" s="1">
        <x:v>2</x:v>
      </x:c>
      <x:c r="G13" s="1">
        <x:v>5</x:v>
      </x:c>
      <x:c r="H13" s="1" t="s">
        <x:v>1121</x:v>
      </x:c>
      <x:c r="I13" s="1" t="s">
        <x:v>1122</x:v>
      </x:c>
      <x:c r="J13" s="1377" t="str">
        <x:f>IF('21_코드별_심사실행'!P13="증빙확인","증빙확보",IF('21_코드별_심사실행'!P13="비적용검토","비적용검토","미검증"))</x:f>
        <x:v>미검증</x:v>
      </x:c>
      <x:c r="K13" s="1378" t="str">
        <x:f>IF('21_코드별_심사실행'!J13="","",'21_코드별_심사실행'!J13)</x:f>
      </x:c>
      <x:c r="L13" s="1377" t="str">
        <x:f>IF(AND('21_코드별_심사실행'!K13="일치",'21_코드별_심사실행'!L13="일치",'21_코드별_심사실행'!M13="확인"),"일치","미확인")</x:f>
        <x:v>미확인</x:v>
      </x:c>
      <x:c r="M13" s="1384" t="n">
        <x:f>'21_코드별_심사실행'!Q13</x:f>
        <x:v>0</x:v>
      </x:c>
      <x:c r="N13" s="1377" t="str">
        <x:f>IF('21_코드별_심사실행'!R13="","",'21_코드별_심사실행'!R13)</x:f>
      </x:c>
      <x:c r="O13" s="1377" t="str">
        <x:f>IF(OR('21_코드별_심사실행'!N13="",'21_코드별_심사실행'!O13=""),"",'21_코드별_심사실행'!N13&amp;" / "&amp;IF(ISNUMBER('21_코드별_심사실행'!O13),TEXT('21_코드별_심사실행'!O13,"yyyy-mm-dd"),'21_코드별_심사실행'!O13))</x:f>
      </x:c>
      <x:c r="P13" s="12" t="s">
        <x:v>1123</x:v>
      </x:c>
    </x:row>
    <x:row r="14" ht="25.5">
      <x:c r="A14" s="30">
        <x:v>8</x:v>
      </x:c>
      <x:c r="B14" s="31" t="s">
        <x:v>1113</x:v>
      </x:c>
      <x:c r="C14" s="31" t="s">
        <x:v>1124</x:v>
      </x:c>
      <x:c r="D14" s="31">
        <x:v>20</x:v>
      </x:c>
      <x:c r="E14" s="1" t="s">
        <x:v>1125</x:v>
      </x:c>
      <x:c r="F14" s="1">
        <x:v>5</x:v>
      </x:c>
      <x:c r="G14" s="1">
        <x:v>4</x:v>
      </x:c>
      <x:c r="H14" s="1" t="s">
        <x:v>1126</x:v>
      </x:c>
      <x:c r="I14" s="1" t="s">
        <x:v>452</x:v>
      </x:c>
      <x:c r="J14" s="1377" t="str">
        <x:f>IF('21_코드별_심사실행'!P14="증빙확인","증빙확보",IF('21_코드별_심사실행'!P14="비적용검토","비적용검토","미검증"))</x:f>
        <x:v>미검증</x:v>
      </x:c>
      <x:c r="K14" s="1378" t="str">
        <x:f>IF('21_코드별_심사실행'!J14="","",'21_코드별_심사실행'!J14)</x:f>
      </x:c>
      <x:c r="L14" s="1377" t="str">
        <x:f>IF(AND('21_코드별_심사실행'!K14="일치",'21_코드별_심사실행'!L14="일치",'21_코드별_심사실행'!M14="확인"),"일치","미확인")</x:f>
        <x:v>미확인</x:v>
      </x:c>
      <x:c r="M14" s="1384" t="n">
        <x:f>'21_코드별_심사실행'!Q14</x:f>
        <x:v>0</x:v>
      </x:c>
      <x:c r="N14" s="1377" t="str">
        <x:f>IF('21_코드별_심사실행'!R14="","",'21_코드별_심사실행'!R14)</x:f>
      </x:c>
      <x:c r="O14" s="1377" t="str">
        <x:f>IF(OR('21_코드별_심사실행'!N14="",'21_코드별_심사실행'!O14=""),"",'21_코드별_심사실행'!N14&amp;" / "&amp;IF(ISNUMBER('21_코드별_심사실행'!O14),TEXT('21_코드별_심사실행'!O14,"yyyy-mm-dd"),'21_코드별_심사실행'!O14))</x:f>
      </x:c>
      <x:c r="P14" s="12" t="s">
        <x:v>1127</x:v>
      </x:c>
    </x:row>
    <x:row r="15" ht="38.25">
      <x:c r="A15" s="30">
        <x:v>9</x:v>
      </x:c>
      <x:c r="B15" s="31" t="s">
        <x:v>1113</x:v>
      </x:c>
      <x:c r="C15" s="31" t="s">
        <x:v>1128</x:v>
      </x:c>
      <x:c r="D15" s="31">
        <x:v>30</x:v>
      </x:c>
      <x:c r="E15" s="1" t="s">
        <x:v>1129</x:v>
      </x:c>
      <x:c r="F15" s="1">
        <x:v>4</x:v>
      </x:c>
      <x:c r="G15" s="1">
        <x:v>4</x:v>
      </x:c>
      <x:c r="H15" s="1" t="s">
        <x:v>1130</x:v>
      </x:c>
      <x:c r="I15" s="1" t="s">
        <x:v>1122</x:v>
      </x:c>
      <x:c r="J15" s="1377" t="str">
        <x:f>IF('21_코드별_심사실행'!P15="증빙확인","증빙확보",IF('21_코드별_심사실행'!P15="비적용검토","비적용검토","미검증"))</x:f>
        <x:v>미검증</x:v>
      </x:c>
      <x:c r="K15" s="1378" t="str">
        <x:f>IF('21_코드별_심사실행'!J15="","",'21_코드별_심사실행'!J15)</x:f>
      </x:c>
      <x:c r="L15" s="1377" t="str">
        <x:f>IF(AND('21_코드별_심사실행'!K15="일치",'21_코드별_심사실행'!L15="일치",'21_코드별_심사실행'!M15="확인"),"일치","미확인")</x:f>
        <x:v>미확인</x:v>
      </x:c>
      <x:c r="M15" s="1384" t="n">
        <x:f>'21_코드별_심사실행'!Q15</x:f>
        <x:v>0</x:v>
      </x:c>
      <x:c r="N15" s="1377" t="str">
        <x:f>IF('21_코드별_심사실행'!R15="","",'21_코드별_심사실행'!R15)</x:f>
      </x:c>
      <x:c r="O15" s="1377" t="str">
        <x:f>IF(OR('21_코드별_심사실행'!N15="",'21_코드별_심사실행'!O15=""),"",'21_코드별_심사실행'!N15&amp;" / "&amp;IF(ISNUMBER('21_코드별_심사실행'!O15),TEXT('21_코드별_심사실행'!O15,"yyyy-mm-dd"),'21_코드별_심사실행'!O15))</x:f>
      </x:c>
      <x:c r="P15" s="12" t="s">
        <x:v>1131</x:v>
      </x:c>
    </x:row>
    <x:row r="16" ht="38.25">
      <x:c r="A16" s="30">
        <x:v>10</x:v>
      </x:c>
      <x:c r="B16" s="31" t="s">
        <x:v>1113</x:v>
      </x:c>
      <x:c r="C16" s="31" t="s">
        <x:v>1132</x:v>
      </x:c>
      <x:c r="D16" s="31">
        <x:v>20</x:v>
      </x:c>
      <x:c r="E16" s="1" t="s">
        <x:v>1133</x:v>
      </x:c>
      <x:c r="F16" s="1">
        <x:v>10</x:v>
      </x:c>
      <x:c r="G16" s="1">
        <x:v>11</x:v>
      </x:c>
      <x:c r="H16" s="1" t="s">
        <x:v>1134</x:v>
      </x:c>
      <x:c r="I16" s="1" t="s">
        <x:v>1135</x:v>
      </x:c>
      <x:c r="J16" s="1377" t="str">
        <x:f>IF('21_코드별_심사실행'!P16="증빙확인","증빙확보",IF('21_코드별_심사실행'!P16="비적용검토","비적용검토","미검증"))</x:f>
        <x:v>미검증</x:v>
      </x:c>
      <x:c r="K16" s="1378" t="str">
        <x:f>IF('21_코드별_심사실행'!J16="","",'21_코드별_심사실행'!J16)</x:f>
      </x:c>
      <x:c r="L16" s="1377" t="str">
        <x:f>IF(AND('21_코드별_심사실행'!K16="일치",'21_코드별_심사실행'!L16="일치",'21_코드별_심사실행'!M16="확인"),"일치","미확인")</x:f>
        <x:v>미확인</x:v>
      </x:c>
      <x:c r="M16" s="1384" t="n">
        <x:f>'21_코드별_심사실행'!Q16</x:f>
        <x:v>0</x:v>
      </x:c>
      <x:c r="N16" s="1377" t="str">
        <x:f>IF('21_코드별_심사실행'!R16="","",'21_코드별_심사실행'!R16)</x:f>
      </x:c>
      <x:c r="O16" s="1377" t="str">
        <x:f>IF(OR('21_코드별_심사실행'!N16="",'21_코드별_심사실행'!O16=""),"",'21_코드별_심사실행'!N16&amp;" / "&amp;IF(ISNUMBER('21_코드별_심사실행'!O16),TEXT('21_코드별_심사실행'!O16,"yyyy-mm-dd"),'21_코드별_심사실행'!O16))</x:f>
      </x:c>
      <x:c r="P16" s="12" t="s">
        <x:v>1136</x:v>
      </x:c>
    </x:row>
    <x:row r="17" ht="25.5">
      <x:c r="A17" s="30">
        <x:v>11</x:v>
      </x:c>
      <x:c r="B17" s="31" t="s">
        <x:v>1113</x:v>
      </x:c>
      <x:c r="C17" s="31" t="s">
        <x:v>1137</x:v>
      </x:c>
      <x:c r="D17" s="31">
        <x:v>20</x:v>
      </x:c>
      <x:c r="E17" s="1" t="s">
        <x:v>1138</x:v>
      </x:c>
      <x:c r="F17" s="1">
        <x:v>4</x:v>
      </x:c>
      <x:c r="G17" s="1">
        <x:v>3</x:v>
      </x:c>
      <x:c r="H17" s="1" t="s">
        <x:v>1139</x:v>
      </x:c>
      <x:c r="I17" s="1" t="s">
        <x:v>1135</x:v>
      </x:c>
      <x:c r="J17" s="1377" t="str">
        <x:f>IF('21_코드별_심사실행'!P17="증빙확인","증빙확보",IF('21_코드별_심사실행'!P17="비적용검토","비적용검토","미검증"))</x:f>
        <x:v>미검증</x:v>
      </x:c>
      <x:c r="K17" s="1378" t="str">
        <x:f>IF('21_코드별_심사실행'!J17="","",'21_코드별_심사실행'!J17)</x:f>
      </x:c>
      <x:c r="L17" s="1377" t="str">
        <x:f>IF(AND('21_코드별_심사실행'!K17="일치",'21_코드별_심사실행'!L17="일치",'21_코드별_심사실행'!M17="확인"),"일치","미확인")</x:f>
        <x:v>미확인</x:v>
      </x:c>
      <x:c r="M17" s="1384" t="n">
        <x:f>'21_코드별_심사실행'!Q17</x:f>
        <x:v>0</x:v>
      </x:c>
      <x:c r="N17" s="1377" t="str">
        <x:f>IF('21_코드별_심사실행'!R17="","",'21_코드별_심사실행'!R17)</x:f>
      </x:c>
      <x:c r="O17" s="1377" t="str">
        <x:f>IF(OR('21_코드별_심사실행'!N17="",'21_코드별_심사실행'!O17=""),"",'21_코드별_심사실행'!N17&amp;" / "&amp;IF(ISNUMBER('21_코드별_심사실행'!O17),TEXT('21_코드별_심사실행'!O17,"yyyy-mm-dd"),'21_코드별_심사실행'!O17))</x:f>
      </x:c>
      <x:c r="P17" s="12" t="s">
        <x:v>1140</x:v>
      </x:c>
    </x:row>
    <x:row r="18">
      <x:c r="A18" s="30">
        <x:v>12</x:v>
      </x:c>
      <x:c r="B18" s="31" t="s">
        <x:v>1113</x:v>
      </x:c>
      <x:c r="C18" s="31" t="s">
        <x:v>1141</x:v>
      </x:c>
      <x:c r="D18" s="31">
        <x:v>50</x:v>
      </x:c>
      <x:c r="E18" s="1" t="s">
        <x:v>1142</x:v>
      </x:c>
      <x:c r="F18" s="1">
        <x:v>8</x:v>
      </x:c>
      <x:c r="G18" s="1">
        <x:v>7</x:v>
      </x:c>
      <x:c r="H18" s="1" t="s">
        <x:v>385</x:v>
      </x:c>
      <x:c r="I18" s="1" t="s">
        <x:v>452</x:v>
      </x:c>
      <x:c r="J18" s="1377" t="str">
        <x:f>IF('21_코드별_심사실행'!P18="증빙확인","증빙확보",IF('21_코드별_심사실행'!P18="비적용검토","비적용검토","미검증"))</x:f>
        <x:v>미검증</x:v>
      </x:c>
      <x:c r="K18" s="1378" t="str">
        <x:f>IF('21_코드별_심사실행'!J18="","",'21_코드별_심사실행'!J18)</x:f>
      </x:c>
      <x:c r="L18" s="1377" t="str">
        <x:f>IF(AND('21_코드별_심사실행'!K18="일치",'21_코드별_심사실행'!L18="일치",'21_코드별_심사실행'!M18="확인"),"일치","미확인")</x:f>
        <x:v>미확인</x:v>
      </x:c>
      <x:c r="M18" s="1384" t="n">
        <x:f>'21_코드별_심사실행'!Q18</x:f>
        <x:v>0</x:v>
      </x:c>
      <x:c r="N18" s="1377" t="str">
        <x:f>IF('21_코드별_심사실행'!R18="","",'21_코드별_심사실행'!R18)</x:f>
      </x:c>
      <x:c r="O18" s="1377" t="str">
        <x:f>IF(OR('21_코드별_심사실행'!N18="",'21_코드별_심사실행'!O18=""),"",'21_코드별_심사실행'!N18&amp;" / "&amp;IF(ISNUMBER('21_코드별_심사실행'!O18),TEXT('21_코드별_심사실행'!O18,"yyyy-mm-dd"),'21_코드별_심사실행'!O18))</x:f>
      </x:c>
      <x:c r="P18" s="12" t="s">
        <x:v>1143</x:v>
      </x:c>
    </x:row>
    <x:row r="19" ht="25.5">
      <x:c r="A19" s="30">
        <x:v>13</x:v>
      </x:c>
      <x:c r="B19" s="31" t="s">
        <x:v>1113</x:v>
      </x:c>
      <x:c r="C19" s="31" t="s">
        <x:v>1144</x:v>
      </x:c>
      <x:c r="D19" s="31">
        <x:v>50</x:v>
      </x:c>
      <x:c r="E19" s="1" t="s">
        <x:v>1145</x:v>
      </x:c>
      <x:c r="F19" s="1">
        <x:v>1</x:v>
      </x:c>
      <x:c r="G19" s="1">
        <x:v>6</x:v>
      </x:c>
      <x:c r="H19" s="1" t="s">
        <x:v>1139</x:v>
      </x:c>
      <x:c r="I19" s="1" t="s">
        <x:v>1135</x:v>
      </x:c>
      <x:c r="J19" s="1377" t="str">
        <x:f>IF('21_코드별_심사실행'!P19="증빙확인","증빙확보",IF('21_코드별_심사실행'!P19="비적용검토","비적용검토","미검증"))</x:f>
        <x:v>미검증</x:v>
      </x:c>
      <x:c r="K19" s="1378" t="str">
        <x:f>IF('21_코드별_심사실행'!J19="","",'21_코드별_심사실행'!J19)</x:f>
      </x:c>
      <x:c r="L19" s="1377" t="str">
        <x:f>IF(AND('21_코드별_심사실행'!K19="일치",'21_코드별_심사실행'!L19="일치",'21_코드별_심사실행'!M19="확인"),"일치","미확인")</x:f>
        <x:v>미확인</x:v>
      </x:c>
      <x:c r="M19" s="1384" t="n">
        <x:f>'21_코드별_심사실행'!Q19</x:f>
        <x:v>0</x:v>
      </x:c>
      <x:c r="N19" s="1377" t="str">
        <x:f>IF('21_코드별_심사실행'!R19="","",'21_코드별_심사실행'!R19)</x:f>
      </x:c>
      <x:c r="O19" s="1377" t="str">
        <x:f>IF(OR('21_코드별_심사실행'!N19="",'21_코드별_심사실행'!O19=""),"",'21_코드별_심사실행'!N19&amp;" / "&amp;IF(ISNUMBER('21_코드별_심사실행'!O19),TEXT('21_코드별_심사실행'!O19,"yyyy-mm-dd"),'21_코드별_심사실행'!O19))</x:f>
      </x:c>
      <x:c r="P19" s="12" t="s">
        <x:v>1146</x:v>
      </x:c>
    </x:row>
    <x:row r="20" ht="25.5">
      <x:c r="A20" s="30">
        <x:v>14</x:v>
      </x:c>
      <x:c r="B20" s="31" t="s">
        <x:v>1113</x:v>
      </x:c>
      <x:c r="C20" s="31" t="s">
        <x:v>1147</x:v>
      </x:c>
      <x:c r="D20" s="31">
        <x:v>50</x:v>
      </x:c>
      <x:c r="E20" s="1" t="s">
        <x:v>1148</x:v>
      </x:c>
      <x:c r="F20" s="1">
        <x:v>1</x:v>
      </x:c>
      <x:c r="G20" s="1">
        <x:v>7</x:v>
      </x:c>
      <x:c r="H20" s="1" t="s">
        <x:v>1149</x:v>
      </x:c>
      <x:c r="I20" s="1" t="s">
        <x:v>452</x:v>
      </x:c>
      <x:c r="J20" s="1377" t="str">
        <x:f>IF('21_코드별_심사실행'!P20="증빙확인","증빙확보",IF('21_코드별_심사실행'!P20="비적용검토","비적용검토","미검증"))</x:f>
        <x:v>미검증</x:v>
      </x:c>
      <x:c r="K20" s="1378" t="str">
        <x:f>IF('21_코드별_심사실행'!J20="","",'21_코드별_심사실행'!J20)</x:f>
      </x:c>
      <x:c r="L20" s="1377" t="str">
        <x:f>IF(AND('21_코드별_심사실행'!K20="일치",'21_코드별_심사실행'!L20="일치",'21_코드별_심사실행'!M20="확인"),"일치","미확인")</x:f>
        <x:v>미확인</x:v>
      </x:c>
      <x:c r="M20" s="1384" t="n">
        <x:f>'21_코드별_심사실행'!Q20</x:f>
        <x:v>0</x:v>
      </x:c>
      <x:c r="N20" s="1377" t="str">
        <x:f>IF('21_코드별_심사실행'!R20="","",'21_코드별_심사실행'!R20)</x:f>
      </x:c>
      <x:c r="O20" s="1377" t="str">
        <x:f>IF(OR('21_코드별_심사실행'!N20="",'21_코드별_심사실행'!O20=""),"",'21_코드별_심사실행'!N20&amp;" / "&amp;IF(ISNUMBER('21_코드별_심사실행'!O20),TEXT('21_코드별_심사실행'!O20,"yyyy-mm-dd"),'21_코드별_심사실행'!O20))</x:f>
      </x:c>
      <x:c r="P20" s="12" t="s">
        <x:v>1150</x:v>
      </x:c>
    </x:row>
    <x:row r="21" ht="25.5">
      <x:c r="A21" s="30">
        <x:v>15</x:v>
      </x:c>
      <x:c r="B21" s="31" t="s">
        <x:v>127</x:v>
      </x:c>
      <x:c r="C21" s="31" t="s">
        <x:v>1151</x:v>
      </x:c>
      <x:c r="D21" s="31">
        <x:v>30</x:v>
      </x:c>
      <x:c r="E21" s="1" t="s">
        <x:v>1152</x:v>
      </x:c>
      <x:c r="F21" s="1">
        <x:v>6</x:v>
      </x:c>
      <x:c r="G21" s="1">
        <x:v>4</x:v>
      </x:c>
      <x:c r="H21" s="1" t="s">
        <x:v>1153</x:v>
      </x:c>
      <x:c r="I21" s="1" t="s">
        <x:v>1111</x:v>
      </x:c>
      <x:c r="J21" s="1377" t="str">
        <x:f>IF('21_코드별_심사실행'!P21="증빙확인","증빙확보",IF('21_코드별_심사실행'!P21="비적용검토","비적용검토","미검증"))</x:f>
        <x:v>미검증</x:v>
      </x:c>
      <x:c r="K21" s="1378" t="str">
        <x:f>IF('21_코드별_심사실행'!J21="","",'21_코드별_심사실행'!J21)</x:f>
      </x:c>
      <x:c r="L21" s="1377" t="str">
        <x:f>IF(AND('21_코드별_심사실행'!K21="일치",'21_코드별_심사실행'!L21="일치",'21_코드별_심사실행'!M21="확인"),"일치","미확인")</x:f>
        <x:v>미확인</x:v>
      </x:c>
      <x:c r="M21" s="1384" t="n">
        <x:f>'21_코드별_심사실행'!Q21</x:f>
        <x:v>0</x:v>
      </x:c>
      <x:c r="N21" s="1377" t="str">
        <x:f>IF('21_코드별_심사실행'!R21="","",'21_코드별_심사실행'!R21)</x:f>
      </x:c>
      <x:c r="O21" s="1377" t="str">
        <x:f>IF(OR('21_코드별_심사실행'!N21="",'21_코드별_심사실행'!O21=""),"",'21_코드별_심사실행'!N21&amp;" / "&amp;IF(ISNUMBER('21_코드별_심사실행'!O21),TEXT('21_코드별_심사실행'!O21,"yyyy-mm-dd"),'21_코드별_심사실행'!O21))</x:f>
      </x:c>
      <x:c r="P21" s="12" t="s">
        <x:v>1154</x:v>
      </x:c>
    </x:row>
    <x:row r="22" ht="25.5">
      <x:c r="A22" s="30">
        <x:v>16</x:v>
      </x:c>
      <x:c r="B22" s="31" t="s">
        <x:v>127</x:v>
      </x:c>
      <x:c r="C22" s="31" t="s">
        <x:v>1155</x:v>
      </x:c>
      <x:c r="D22" s="31">
        <x:v>30</x:v>
      </x:c>
      <x:c r="E22" s="1" t="s">
        <x:v>1156</x:v>
      </x:c>
      <x:c r="F22" s="1">
        <x:v>11</x:v>
      </x:c>
      <x:c r="G22" s="1">
        <x:v>11</x:v>
      </x:c>
      <x:c r="H22" s="1" t="s">
        <x:v>1157</x:v>
      </x:c>
      <x:c r="I22" s="1" t="s">
        <x:v>335</x:v>
      </x:c>
      <x:c r="J22" s="1377" t="str">
        <x:f>IF('21_코드별_심사실행'!P22="증빙확인","증빙확보",IF('21_코드별_심사실행'!P22="비적용검토","비적용검토","미검증"))</x:f>
        <x:v>미검증</x:v>
      </x:c>
      <x:c r="K22" s="1378" t="str">
        <x:f>IF('21_코드별_심사실행'!J22="","",'21_코드별_심사실행'!J22)</x:f>
      </x:c>
      <x:c r="L22" s="1377" t="str">
        <x:f>IF(AND('21_코드별_심사실행'!K22="일치",'21_코드별_심사실행'!L22="일치",'21_코드별_심사실행'!M22="확인"),"일치","미확인")</x:f>
        <x:v>미확인</x:v>
      </x:c>
      <x:c r="M22" s="1384" t="n">
        <x:f>'21_코드별_심사실행'!Q22</x:f>
        <x:v>0</x:v>
      </x:c>
      <x:c r="N22" s="1377" t="str">
        <x:f>IF('21_코드별_심사실행'!R22="","",'21_코드별_심사실행'!R22)</x:f>
      </x:c>
      <x:c r="O22" s="1377" t="str">
        <x:f>IF(OR('21_코드별_심사실행'!N22="",'21_코드별_심사실행'!O22=""),"",'21_코드별_심사실행'!N22&amp;" / "&amp;IF(ISNUMBER('21_코드별_심사실행'!O22),TEXT('21_코드별_심사실행'!O22,"yyyy-mm-dd"),'21_코드별_심사실행'!O22))</x:f>
      </x:c>
      <x:c r="P22" s="12" t="s">
        <x:v>1158</x:v>
      </x:c>
    </x:row>
    <x:row r="23" ht="38.25">
      <x:c r="A23" s="30">
        <x:v>17</x:v>
      </x:c>
      <x:c r="B23" s="31" t="s">
        <x:v>127</x:v>
      </x:c>
      <x:c r="C23" s="31" t="s">
        <x:v>1159</x:v>
      </x:c>
      <x:c r="D23" s="31">
        <x:v>30</x:v>
      </x:c>
      <x:c r="E23" s="1" t="s">
        <x:v>1160</x:v>
      </x:c>
      <x:c r="F23" s="1">
        <x:v>6</x:v>
      </x:c>
      <x:c r="G23" s="1">
        <x:v>3</x:v>
      </x:c>
      <x:c r="H23" s="1" t="s">
        <x:v>1161</x:v>
      </x:c>
      <x:c r="I23" s="1" t="s">
        <x:v>1162</x:v>
      </x:c>
      <x:c r="J23" s="1377" t="str">
        <x:f>IF('21_코드별_심사실행'!P23="증빙확인","증빙확보",IF('21_코드별_심사실행'!P23="비적용검토","비적용검토","미검증"))</x:f>
        <x:v>미검증</x:v>
      </x:c>
      <x:c r="K23" s="1378" t="str">
        <x:f>IF('21_코드별_심사실행'!J23="","",'21_코드별_심사실행'!J23)</x:f>
      </x:c>
      <x:c r="L23" s="1377" t="str">
        <x:f>IF(AND('21_코드별_심사실행'!K23="일치",'21_코드별_심사실행'!L23="일치",'21_코드별_심사실행'!M23="확인"),"일치","미확인")</x:f>
        <x:v>미확인</x:v>
      </x:c>
      <x:c r="M23" s="1384" t="n">
        <x:f>'21_코드별_심사실행'!Q23</x:f>
        <x:v>0</x:v>
      </x:c>
      <x:c r="N23" s="1377" t="str">
        <x:f>IF('21_코드별_심사실행'!R23="","",'21_코드별_심사실행'!R23)</x:f>
      </x:c>
      <x:c r="O23" s="1377" t="str">
        <x:f>IF(OR('21_코드별_심사실행'!N23="",'21_코드별_심사실행'!O23=""),"",'21_코드별_심사실행'!N23&amp;" / "&amp;IF(ISNUMBER('21_코드별_심사실행'!O23),TEXT('21_코드별_심사실행'!O23,"yyyy-mm-dd"),'21_코드별_심사실행'!O23))</x:f>
      </x:c>
      <x:c r="P23" s="12" t="s">
        <x:v>1163</x:v>
      </x:c>
    </x:row>
    <x:row r="24" ht="25.5">
      <x:c r="A24" s="30">
        <x:v>18</x:v>
      </x:c>
      <x:c r="B24" s="31" t="s">
        <x:v>127</x:v>
      </x:c>
      <x:c r="C24" s="31" t="s">
        <x:v>1164</x:v>
      </x:c>
      <x:c r="D24" s="31">
        <x:v>20</x:v>
      </x:c>
      <x:c r="E24" s="1" t="s">
        <x:v>1165</x:v>
      </x:c>
      <x:c r="F24" s="1">
        <x:v>1</x:v>
      </x:c>
      <x:c r="G24" s="1">
        <x:v>3</x:v>
      </x:c>
      <x:c r="H24" s="1" t="s">
        <x:v>1157</x:v>
      </x:c>
      <x:c r="I24" s="1" t="s">
        <x:v>335</x:v>
      </x:c>
      <x:c r="J24" s="1377" t="str">
        <x:f>IF('21_코드별_심사실행'!P24="증빙확인","증빙확보",IF('21_코드별_심사실행'!P24="비적용검토","비적용검토","미검증"))</x:f>
        <x:v>미검증</x:v>
      </x:c>
      <x:c r="K24" s="1378" t="str">
        <x:f>IF('21_코드별_심사실행'!J24="","",'21_코드별_심사실행'!J24)</x:f>
      </x:c>
      <x:c r="L24" s="1377" t="str">
        <x:f>IF(AND('21_코드별_심사실행'!K24="일치",'21_코드별_심사실행'!L24="일치",'21_코드별_심사실행'!M24="확인"),"일치","미확인")</x:f>
        <x:v>미확인</x:v>
      </x:c>
      <x:c r="M24" s="1384" t="n">
        <x:f>'21_코드별_심사실행'!Q24</x:f>
        <x:v>0</x:v>
      </x:c>
      <x:c r="N24" s="1377" t="str">
        <x:f>IF('21_코드별_심사실행'!R24="","",'21_코드별_심사실행'!R24)</x:f>
      </x:c>
      <x:c r="O24" s="1377" t="str">
        <x:f>IF(OR('21_코드별_심사실행'!N24="",'21_코드별_심사실행'!O24=""),"",'21_코드별_심사실행'!N24&amp;" / "&amp;IF(ISNUMBER('21_코드별_심사실행'!O24),TEXT('21_코드별_심사실행'!O24,"yyyy-mm-dd"),'21_코드별_심사실행'!O24))</x:f>
      </x:c>
      <x:c r="P24" s="12" t="s">
        <x:v>1166</x:v>
      </x:c>
    </x:row>
    <x:row r="25" ht="38.25">
      <x:c r="A25" s="30">
        <x:v>19</x:v>
      </x:c>
      <x:c r="B25" s="31" t="s">
        <x:v>127</x:v>
      </x:c>
      <x:c r="C25" s="31" t="s">
        <x:v>1167</x:v>
      </x:c>
      <x:c r="D25" s="31">
        <x:v>30</x:v>
      </x:c>
      <x:c r="E25" s="1" t="s">
        <x:v>1168</x:v>
      </x:c>
      <x:c r="F25" s="1">
        <x:v>10</x:v>
      </x:c>
      <x:c r="G25" s="1">
        <x:v>3</x:v>
      </x:c>
      <x:c r="H25" s="1" t="s">
        <x:v>1157</x:v>
      </x:c>
      <x:c r="I25" s="1" t="s">
        <x:v>1162</x:v>
      </x:c>
      <x:c r="J25" s="1377" t="str">
        <x:f>IF('21_코드별_심사실행'!P25="증빙확인","증빙확보",IF('21_코드별_심사실행'!P25="비적용검토","비적용검토","미검증"))</x:f>
        <x:v>미검증</x:v>
      </x:c>
      <x:c r="K25" s="1378" t="str">
        <x:f>IF('21_코드별_심사실행'!J25="","",'21_코드별_심사실행'!J25)</x:f>
      </x:c>
      <x:c r="L25" s="1377" t="str">
        <x:f>IF(AND('21_코드별_심사실행'!K25="일치",'21_코드별_심사실행'!L25="일치",'21_코드별_심사실행'!M25="확인"),"일치","미확인")</x:f>
        <x:v>미확인</x:v>
      </x:c>
      <x:c r="M25" s="1384" t="n">
        <x:f>'21_코드별_심사실행'!Q25</x:f>
        <x:v>0</x:v>
      </x:c>
      <x:c r="N25" s="1377" t="str">
        <x:f>IF('21_코드별_심사실행'!R25="","",'21_코드별_심사실행'!R25)</x:f>
      </x:c>
      <x:c r="O25" s="1377" t="str">
        <x:f>IF(OR('21_코드별_심사실행'!N25="",'21_코드별_심사실행'!O25=""),"",'21_코드별_심사실행'!N25&amp;" / "&amp;IF(ISNUMBER('21_코드별_심사실행'!O25),TEXT('21_코드별_심사실행'!O25,"yyyy-mm-dd"),'21_코드별_심사실행'!O25))</x:f>
      </x:c>
      <x:c r="P25" s="12" t="s">
        <x:v>1169</x:v>
      </x:c>
    </x:row>
    <x:row r="26" ht="25.5">
      <x:c r="A26" s="30">
        <x:v>20</x:v>
      </x:c>
      <x:c r="B26" s="31" t="s">
        <x:v>127</x:v>
      </x:c>
      <x:c r="C26" s="31" t="s">
        <x:v>1170</x:v>
      </x:c>
      <x:c r="D26" s="31">
        <x:v>20</x:v>
      </x:c>
      <x:c r="E26" s="1" t="s">
        <x:v>1171</x:v>
      </x:c>
      <x:c r="F26" s="1">
        <x:v>1</x:v>
      </x:c>
      <x:c r="G26" s="1">
        <x:v>4</x:v>
      </x:c>
      <x:c r="H26" s="1" t="s">
        <x:v>1172</x:v>
      </x:c>
      <x:c r="I26" s="1" t="s">
        <x:v>1162</x:v>
      </x:c>
      <x:c r="J26" s="1377" t="str">
        <x:f>IF('21_코드별_심사실행'!P26="증빙확인","증빙확보",IF('21_코드별_심사실행'!P26="비적용검토","비적용검토","미검증"))</x:f>
        <x:v>미검증</x:v>
      </x:c>
      <x:c r="K26" s="1378" t="str">
        <x:f>IF('21_코드별_심사실행'!J26="","",'21_코드별_심사실행'!J26)</x:f>
      </x:c>
      <x:c r="L26" s="1377" t="str">
        <x:f>IF(AND('21_코드별_심사실행'!K26="일치",'21_코드별_심사실행'!L26="일치",'21_코드별_심사실행'!M26="확인"),"일치","미확인")</x:f>
        <x:v>미확인</x:v>
      </x:c>
      <x:c r="M26" s="1384" t="n">
        <x:f>'21_코드별_심사실행'!Q26</x:f>
        <x:v>0</x:v>
      </x:c>
      <x:c r="N26" s="1377" t="str">
        <x:f>IF('21_코드별_심사실행'!R26="","",'21_코드별_심사실행'!R26)</x:f>
      </x:c>
      <x:c r="O26" s="1377" t="str">
        <x:f>IF(OR('21_코드별_심사실행'!N26="",'21_코드별_심사실행'!O26=""),"",'21_코드별_심사실행'!N26&amp;" / "&amp;IF(ISNUMBER('21_코드별_심사실행'!O26),TEXT('21_코드별_심사실행'!O26,"yyyy-mm-dd"),'21_코드별_심사실행'!O26))</x:f>
      </x:c>
      <x:c r="P26" s="12" t="s">
        <x:v>1173</x:v>
      </x:c>
    </x:row>
    <x:row r="27" ht="25.5">
      <x:c r="A27" s="30">
        <x:v>21</x:v>
      </x:c>
      <x:c r="B27" s="31" t="s">
        <x:v>1174</x:v>
      </x:c>
      <x:c r="C27" s="31" t="s">
        <x:v>1175</x:v>
      </x:c>
      <x:c r="D27" s="31">
        <x:v>30</x:v>
      </x:c>
      <x:c r="E27" s="1" t="s">
        <x:v>1176</x:v>
      </x:c>
      <x:c r="F27" s="1">
        <x:v>1</x:v>
      </x:c>
      <x:c r="G27" s="1">
        <x:v>6</x:v>
      </x:c>
      <x:c r="H27" s="1" t="s">
        <x:v>1172</x:v>
      </x:c>
      <x:c r="I27" s="1" t="s">
        <x:v>1162</x:v>
      </x:c>
      <x:c r="J27" s="1377" t="str">
        <x:f>IF('21_코드별_심사실행'!P27="증빙확인","증빙확보",IF('21_코드별_심사실행'!P27="비적용검토","비적용검토","미검증"))</x:f>
        <x:v>미검증</x:v>
      </x:c>
      <x:c r="K27" s="1378" t="str">
        <x:f>IF('21_코드별_심사실행'!J27="","",'21_코드별_심사실행'!J27)</x:f>
      </x:c>
      <x:c r="L27" s="1377" t="str">
        <x:f>IF(AND('21_코드별_심사실행'!K27="일치",'21_코드별_심사실행'!L27="일치",'21_코드별_심사실행'!M27="확인"),"일치","미확인")</x:f>
        <x:v>미확인</x:v>
      </x:c>
      <x:c r="M27" s="1384" t="n">
        <x:f>'21_코드별_심사실행'!Q27</x:f>
        <x:v>0</x:v>
      </x:c>
      <x:c r="N27" s="1377" t="str">
        <x:f>IF('21_코드별_심사실행'!R27="","",'21_코드별_심사실행'!R27)</x:f>
      </x:c>
      <x:c r="O27" s="1377" t="str">
        <x:f>IF(OR('21_코드별_심사실행'!N27="",'21_코드별_심사실행'!O27=""),"",'21_코드별_심사실행'!N27&amp;" / "&amp;IF(ISNUMBER('21_코드별_심사실행'!O27),TEXT('21_코드별_심사실행'!O27,"yyyy-mm-dd"),'21_코드별_심사실행'!O27))</x:f>
      </x:c>
      <x:c r="P27" s="12" t="s">
        <x:v>1177</x:v>
      </x:c>
    </x:row>
    <x:row r="28" ht="25.5">
      <x:c r="A28" s="30">
        <x:v>22</x:v>
      </x:c>
      <x:c r="B28" s="31" t="s">
        <x:v>1174</x:v>
      </x:c>
      <x:c r="C28" s="31" t="s">
        <x:v>1178</x:v>
      </x:c>
      <x:c r="D28" s="31">
        <x:v>30</x:v>
      </x:c>
      <x:c r="E28" s="1" t="s">
        <x:v>1179</x:v>
      </x:c>
      <x:c r="F28" s="1">
        <x:v>6</x:v>
      </x:c>
      <x:c r="G28" s="1">
        <x:v>5</x:v>
      </x:c>
      <x:c r="H28" s="1" t="s">
        <x:v>1172</x:v>
      </x:c>
      <x:c r="I28" s="1" t="s">
        <x:v>1162</x:v>
      </x:c>
      <x:c r="J28" s="1377" t="str">
        <x:f>IF('21_코드별_심사실행'!P28="증빙확인","증빙확보",IF('21_코드별_심사실행'!P28="비적용검토","비적용검토","미검증"))</x:f>
        <x:v>미검증</x:v>
      </x:c>
      <x:c r="K28" s="1378" t="str">
        <x:f>IF('21_코드별_심사실행'!J28="","",'21_코드별_심사실행'!J28)</x:f>
      </x:c>
      <x:c r="L28" s="1377" t="str">
        <x:f>IF(AND('21_코드별_심사실행'!K28="일치",'21_코드별_심사실행'!L28="일치",'21_코드별_심사실행'!M28="확인"),"일치","미확인")</x:f>
        <x:v>미확인</x:v>
      </x:c>
      <x:c r="M28" s="1384" t="n">
        <x:f>'21_코드별_심사실행'!Q28</x:f>
        <x:v>0</x:v>
      </x:c>
      <x:c r="N28" s="1377" t="str">
        <x:f>IF('21_코드별_심사실행'!R28="","",'21_코드별_심사실행'!R28)</x:f>
      </x:c>
      <x:c r="O28" s="1377" t="str">
        <x:f>IF(OR('21_코드별_심사실행'!N28="",'21_코드별_심사실행'!O28=""),"",'21_코드별_심사실행'!N28&amp;" / "&amp;IF(ISNUMBER('21_코드별_심사실행'!O28),TEXT('21_코드별_심사실행'!O28,"yyyy-mm-dd"),'21_코드별_심사실행'!O28))</x:f>
      </x:c>
      <x:c r="P28" s="12" t="s">
        <x:v>1180</x:v>
      </x:c>
    </x:row>
    <x:row r="29" ht="25.5">
      <x:c r="A29" s="30">
        <x:v>23</x:v>
      </x:c>
      <x:c r="B29" s="31" t="s">
        <x:v>1174</x:v>
      </x:c>
      <x:c r="C29" s="31" t="s">
        <x:v>1181</x:v>
      </x:c>
      <x:c r="D29" s="31">
        <x:v>10</x:v>
      </x:c>
      <x:c r="E29" s="1" t="s">
        <x:v>1182</x:v>
      </x:c>
      <x:c r="F29" s="1">
        <x:v>2</x:v>
      </x:c>
      <x:c r="G29" s="1">
        <x:v>2</x:v>
      </x:c>
      <x:c r="H29" s="1" t="s">
        <x:v>1153</x:v>
      </x:c>
      <x:c r="I29" s="1" t="s">
        <x:v>1183</x:v>
      </x:c>
      <x:c r="J29" s="1377" t="str">
        <x:f>IF('21_코드별_심사실행'!P29="증빙확인","증빙확보",IF('21_코드별_심사실행'!P29="비적용검토","비적용검토","미검증"))</x:f>
        <x:v>미검증</x:v>
      </x:c>
      <x:c r="K29" s="1378" t="str">
        <x:f>IF('21_코드별_심사실행'!J29="","",'21_코드별_심사실행'!J29)</x:f>
      </x:c>
      <x:c r="L29" s="1377" t="str">
        <x:f>IF(AND('21_코드별_심사실행'!K29="일치",'21_코드별_심사실행'!L29="일치",'21_코드별_심사실행'!M29="확인"),"일치","미확인")</x:f>
        <x:v>미확인</x:v>
      </x:c>
      <x:c r="M29" s="1384" t="n">
        <x:f>'21_코드별_심사실행'!Q29</x:f>
        <x:v>0</x:v>
      </x:c>
      <x:c r="N29" s="1377" t="str">
        <x:f>IF('21_코드별_심사실행'!R29="","",'21_코드별_심사실행'!R29)</x:f>
      </x:c>
      <x:c r="O29" s="1377" t="str">
        <x:f>IF(OR('21_코드별_심사실행'!N29="",'21_코드별_심사실행'!O29=""),"",'21_코드별_심사실행'!N29&amp;" / "&amp;IF(ISNUMBER('21_코드별_심사실행'!O29),TEXT('21_코드별_심사실행'!O29,"yyyy-mm-dd"),'21_코드별_심사실행'!O29))</x:f>
      </x:c>
      <x:c r="P29" s="12" t="s">
        <x:v>1184</x:v>
      </x:c>
    </x:row>
    <x:row r="30" ht="25.5">
      <x:c r="A30" s="30">
        <x:v>24</x:v>
      </x:c>
      <x:c r="B30" s="31" t="s">
        <x:v>1174</x:v>
      </x:c>
      <x:c r="C30" s="31" t="s">
        <x:v>1185</x:v>
      </x:c>
      <x:c r="D30" s="31">
        <x:v>10</x:v>
      </x:c>
      <x:c r="E30" s="1" t="s">
        <x:v>1186</x:v>
      </x:c>
      <x:c r="F30" s="1">
        <x:v>4</x:v>
      </x:c>
      <x:c r="G30" s="1">
        <x:v>3</x:v>
      </x:c>
      <x:c r="H30" s="1" t="s">
        <x:v>1187</x:v>
      </x:c>
      <x:c r="I30" s="1" t="s">
        <x:v>1162</x:v>
      </x:c>
      <x:c r="J30" s="1377" t="str">
        <x:f>IF('21_코드별_심사실행'!P30="증빙확인","증빙확보",IF('21_코드별_심사실행'!P30="비적용검토","비적용검토","미검증"))</x:f>
        <x:v>미검증</x:v>
      </x:c>
      <x:c r="K30" s="1378" t="str">
        <x:f>IF('21_코드별_심사실행'!J30="","",'21_코드별_심사실행'!J30)</x:f>
      </x:c>
      <x:c r="L30" s="1377" t="str">
        <x:f>IF(AND('21_코드별_심사실행'!K30="일치",'21_코드별_심사실행'!L30="일치",'21_코드별_심사실행'!M30="확인"),"일치","미확인")</x:f>
        <x:v>미확인</x:v>
      </x:c>
      <x:c r="M30" s="1384" t="n">
        <x:f>'21_코드별_심사실행'!Q30</x:f>
        <x:v>0</x:v>
      </x:c>
      <x:c r="N30" s="1377" t="str">
        <x:f>IF('21_코드별_심사실행'!R30="","",'21_코드별_심사실행'!R30)</x:f>
      </x:c>
      <x:c r="O30" s="1377" t="str">
        <x:f>IF(OR('21_코드별_심사실행'!N30="",'21_코드별_심사실행'!O30=""),"",'21_코드별_심사실행'!N30&amp;" / "&amp;IF(ISNUMBER('21_코드별_심사실행'!O30),TEXT('21_코드별_심사실행'!O30,"yyyy-mm-dd"),'21_코드별_심사실행'!O30))</x:f>
      </x:c>
      <x:c r="P30" s="12" t="s">
        <x:v>1188</x:v>
      </x:c>
    </x:row>
    <x:row r="31" ht="25.5">
      <x:c r="A31" s="30">
        <x:v>25</x:v>
      </x:c>
      <x:c r="B31" s="31" t="s">
        <x:v>1174</x:v>
      </x:c>
      <x:c r="C31" s="31" t="s">
        <x:v>1189</x:v>
      </x:c>
      <x:c r="D31" s="31">
        <x:v>10</x:v>
      </x:c>
      <x:c r="E31" s="1" t="s">
        <x:v>1190</x:v>
      </x:c>
      <x:c r="F31" s="1">
        <x:v>1</x:v>
      </x:c>
      <x:c r="G31" s="1">
        <x:v>3</x:v>
      </x:c>
      <x:c r="H31" s="1" t="s">
        <x:v>1191</x:v>
      </x:c>
      <x:c r="I31" s="1" t="s">
        <x:v>1162</x:v>
      </x:c>
      <x:c r="J31" s="1377" t="str">
        <x:f>IF('21_코드별_심사실행'!P31="증빙확인","증빙확보",IF('21_코드별_심사실행'!P31="비적용검토","비적용검토","미검증"))</x:f>
        <x:v>미검증</x:v>
      </x:c>
      <x:c r="K31" s="1378" t="str">
        <x:f>IF('21_코드별_심사실행'!J31="","",'21_코드별_심사실행'!J31)</x:f>
      </x:c>
      <x:c r="L31" s="1377" t="str">
        <x:f>IF(AND('21_코드별_심사실행'!K31="일치",'21_코드별_심사실행'!L31="일치",'21_코드별_심사실행'!M31="확인"),"일치","미확인")</x:f>
        <x:v>미확인</x:v>
      </x:c>
      <x:c r="M31" s="1384" t="n">
        <x:f>'21_코드별_심사실행'!Q31</x:f>
        <x:v>0</x:v>
      </x:c>
      <x:c r="N31" s="1377" t="str">
        <x:f>IF('21_코드별_심사실행'!R31="","",'21_코드별_심사실행'!R31)</x:f>
      </x:c>
      <x:c r="O31" s="1377" t="str">
        <x:f>IF(OR('21_코드별_심사실행'!N31="",'21_코드별_심사실행'!O31=""),"",'21_코드별_심사실행'!N31&amp;" / "&amp;IF(ISNUMBER('21_코드별_심사실행'!O31),TEXT('21_코드별_심사실행'!O31,"yyyy-mm-dd"),'21_코드별_심사실행'!O31))</x:f>
      </x:c>
      <x:c r="P31" s="12" t="s">
        <x:v>1192</x:v>
      </x:c>
    </x:row>
    <x:row r="32" ht="38.25">
      <x:c r="A32" s="30">
        <x:v>26</x:v>
      </x:c>
      <x:c r="B32" s="31" t="s">
        <x:v>1193</x:v>
      </x:c>
      <x:c r="C32" s="31" t="s">
        <x:v>1194</x:v>
      </x:c>
      <x:c r="D32" s="31">
        <x:v>30</x:v>
      </x:c>
      <x:c r="E32" s="1" t="s">
        <x:v>1195</x:v>
      </x:c>
      <x:c r="F32" s="1">
        <x:v>8</x:v>
      </x:c>
      <x:c r="G32" s="1">
        <x:v>9</x:v>
      </x:c>
      <x:c r="H32" s="1" t="s">
        <x:v>1196</x:v>
      </x:c>
      <x:c r="I32" s="1" t="s">
        <x:v>1197</x:v>
      </x:c>
      <x:c r="J32" s="1377" t="str">
        <x:f>IF('21_코드별_심사실행'!P32="증빙확인","증빙확보",IF('21_코드별_심사실행'!P32="비적용검토","비적용검토","미검증"))</x:f>
        <x:v>미검증</x:v>
      </x:c>
      <x:c r="K32" s="1378" t="str">
        <x:f>IF('21_코드별_심사실행'!J32="","",'21_코드별_심사실행'!J32)</x:f>
      </x:c>
      <x:c r="L32" s="1377" t="str">
        <x:f>IF(AND('21_코드별_심사실행'!K32="일치",'21_코드별_심사실행'!L32="일치",'21_코드별_심사실행'!M32="확인"),"일치","미확인")</x:f>
        <x:v>미확인</x:v>
      </x:c>
      <x:c r="M32" s="1384" t="n">
        <x:f>'21_코드별_심사실행'!Q32</x:f>
        <x:v>0</x:v>
      </x:c>
      <x:c r="N32" s="1377" t="str">
        <x:f>IF('21_코드별_심사실행'!R32="","",'21_코드별_심사실행'!R32)</x:f>
      </x:c>
      <x:c r="O32" s="1377" t="str">
        <x:f>IF(OR('21_코드별_심사실행'!N32="",'21_코드별_심사실행'!O32=""),"",'21_코드별_심사실행'!N32&amp;" / "&amp;IF(ISNUMBER('21_코드별_심사실행'!O32),TEXT('21_코드별_심사실행'!O32,"yyyy-mm-dd"),'21_코드별_심사실행'!O32))</x:f>
      </x:c>
      <x:c r="P32" s="12" t="s">
        <x:v>1198</x:v>
      </x:c>
    </x:row>
    <x:row r="33" ht="25.5">
      <x:c r="A33" s="30">
        <x:v>27</x:v>
      </x:c>
      <x:c r="B33" s="31" t="s">
        <x:v>1193</x:v>
      </x:c>
      <x:c r="C33" s="31" t="s">
        <x:v>1199</x:v>
      </x:c>
      <x:c r="D33" s="31">
        <x:v>20</x:v>
      </x:c>
      <x:c r="E33" s="1" t="s">
        <x:v>1200</x:v>
      </x:c>
      <x:c r="F33" s="1">
        <x:v>6</x:v>
      </x:c>
      <x:c r="G33" s="1">
        <x:v>13</x:v>
      </x:c>
      <x:c r="H33" s="1" t="s">
        <x:v>1196</x:v>
      </x:c>
      <x:c r="I33" s="1" t="s">
        <x:v>1197</x:v>
      </x:c>
      <x:c r="J33" s="1377" t="str">
        <x:f>IF('21_코드별_심사실행'!P33="증빙확인","증빙확보",IF('21_코드별_심사실행'!P33="비적용검토","비적용검토","미검증"))</x:f>
        <x:v>미검증</x:v>
      </x:c>
      <x:c r="K33" s="1378" t="str">
        <x:f>IF('21_코드별_심사실행'!J33="","",'21_코드별_심사실행'!J33)</x:f>
      </x:c>
      <x:c r="L33" s="1377" t="str">
        <x:f>IF(AND('21_코드별_심사실행'!K33="일치",'21_코드별_심사실행'!L33="일치",'21_코드별_심사실행'!M33="확인"),"일치","미확인")</x:f>
        <x:v>미확인</x:v>
      </x:c>
      <x:c r="M33" s="1384" t="n">
        <x:f>'21_코드별_심사실행'!Q33</x:f>
        <x:v>0</x:v>
      </x:c>
      <x:c r="N33" s="1377" t="str">
        <x:f>IF('21_코드별_심사실행'!R33="","",'21_코드별_심사실행'!R33)</x:f>
      </x:c>
      <x:c r="O33" s="1377" t="str">
        <x:f>IF(OR('21_코드별_심사실행'!N33="",'21_코드별_심사실행'!O33=""),"",'21_코드별_심사실행'!N33&amp;" / "&amp;IF(ISNUMBER('21_코드별_심사실행'!O33),TEXT('21_코드별_심사실행'!O33,"yyyy-mm-dd"),'21_코드별_심사실행'!O33))</x:f>
      </x:c>
      <x:c r="P33" s="12" t="s">
        <x:v>1201</x:v>
      </x:c>
    </x:row>
    <x:row r="34" ht="25.5">
      <x:c r="A34" s="30">
        <x:v>28</x:v>
      </x:c>
      <x:c r="B34" s="31" t="s">
        <x:v>1193</x:v>
      </x:c>
      <x:c r="C34" s="31" t="s">
        <x:v>1202</x:v>
      </x:c>
      <x:c r="D34" s="31">
        <x:v>20</x:v>
      </x:c>
      <x:c r="E34" s="1" t="s">
        <x:v>1203</x:v>
      </x:c>
      <x:c r="F34" s="1">
        <x:v>4</x:v>
      </x:c>
      <x:c r="G34" s="1">
        <x:v>5</x:v>
      </x:c>
      <x:c r="H34" s="1" t="s">
        <x:v>1196</x:v>
      </x:c>
      <x:c r="I34" s="1" t="s">
        <x:v>1197</x:v>
      </x:c>
      <x:c r="J34" s="1377" t="str">
        <x:f>IF('21_코드별_심사실행'!P34="증빙확인","증빙확보",IF('21_코드별_심사실행'!P34="비적용검토","비적용검토","미검증"))</x:f>
        <x:v>미검증</x:v>
      </x:c>
      <x:c r="K34" s="1378" t="str">
        <x:f>IF('21_코드별_심사실행'!J34="","",'21_코드별_심사실행'!J34)</x:f>
      </x:c>
      <x:c r="L34" s="1377" t="str">
        <x:f>IF(AND('21_코드별_심사실행'!K34="일치",'21_코드별_심사실행'!L34="일치",'21_코드별_심사실행'!M34="확인"),"일치","미확인")</x:f>
        <x:v>미확인</x:v>
      </x:c>
      <x:c r="M34" s="1384" t="n">
        <x:f>'21_코드별_심사실행'!Q34</x:f>
        <x:v>0</x:v>
      </x:c>
      <x:c r="N34" s="1377" t="str">
        <x:f>IF('21_코드별_심사실행'!R34="","",'21_코드별_심사실행'!R34)</x:f>
      </x:c>
      <x:c r="O34" s="1377" t="str">
        <x:f>IF(OR('21_코드별_심사실행'!N34="",'21_코드별_심사실행'!O34=""),"",'21_코드별_심사실행'!N34&amp;" / "&amp;IF(ISNUMBER('21_코드별_심사실행'!O34),TEXT('21_코드별_심사실행'!O34,"yyyy-mm-dd"),'21_코드별_심사실행'!O34))</x:f>
      </x:c>
      <x:c r="P34" s="12" t="s">
        <x:v>1204</x:v>
      </x:c>
    </x:row>
    <x:row r="35" ht="25.5">
      <x:c r="A35" s="30">
        <x:v>29</x:v>
      </x:c>
      <x:c r="B35" s="31" t="s">
        <x:v>1193</x:v>
      </x:c>
      <x:c r="C35" s="31" t="s">
        <x:v>1205</x:v>
      </x:c>
      <x:c r="D35" s="31">
        <x:v>20</x:v>
      </x:c>
      <x:c r="E35" s="1" t="s">
        <x:v>1206</x:v>
      </x:c>
      <x:c r="F35" s="1">
        <x:v>8</x:v>
      </x:c>
      <x:c r="G35" s="1">
        <x:v>6</x:v>
      </x:c>
      <x:c r="H35" s="1" t="s">
        <x:v>1207</x:v>
      </x:c>
      <x:c r="I35" s="1" t="s">
        <x:v>1208</x:v>
      </x:c>
      <x:c r="J35" s="1377" t="str">
        <x:f>IF('21_코드별_심사실행'!P35="증빙확인","증빙확보",IF('21_코드별_심사실행'!P35="비적용검토","비적용검토","미검증"))</x:f>
        <x:v>미검증</x:v>
      </x:c>
      <x:c r="K35" s="1378" t="str">
        <x:f>IF('21_코드별_심사실행'!J35="","",'21_코드별_심사실행'!J35)</x:f>
      </x:c>
      <x:c r="L35" s="1377" t="str">
        <x:f>IF(AND('21_코드별_심사실행'!K35="일치",'21_코드별_심사실행'!L35="일치",'21_코드별_심사실행'!M35="확인"),"일치","미확인")</x:f>
        <x:v>미확인</x:v>
      </x:c>
      <x:c r="M35" s="1384" t="n">
        <x:f>'21_코드별_심사실행'!Q35</x:f>
        <x:v>0</x:v>
      </x:c>
      <x:c r="N35" s="1377" t="str">
        <x:f>IF('21_코드별_심사실행'!R35="","",'21_코드별_심사실행'!R35)</x:f>
      </x:c>
      <x:c r="O35" s="1377" t="str">
        <x:f>IF(OR('21_코드별_심사실행'!N35="",'21_코드별_심사실행'!O35=""),"",'21_코드별_심사실행'!N35&amp;" / "&amp;IF(ISNUMBER('21_코드별_심사실행'!O35),TEXT('21_코드별_심사실행'!O35,"yyyy-mm-dd"),'21_코드별_심사실행'!O35))</x:f>
      </x:c>
      <x:c r="P35" s="12" t="s">
        <x:v>1209</x:v>
      </x:c>
    </x:row>
    <x:row r="36" ht="25.5">
      <x:c r="A36" s="30">
        <x:v>30</x:v>
      </x:c>
      <x:c r="B36" s="31" t="s">
        <x:v>1210</x:v>
      </x:c>
      <x:c r="C36" s="31" t="s">
        <x:v>1211</x:v>
      </x:c>
      <x:c r="D36" s="31">
        <x:v>30</x:v>
      </x:c>
      <x:c r="E36" s="1" t="s">
        <x:v>1212</x:v>
      </x:c>
      <x:c r="F36" s="1">
        <x:v>11</x:v>
      </x:c>
      <x:c r="G36" s="1">
        <x:v>12</x:v>
      </x:c>
      <x:c r="H36" s="1" t="s">
        <x:v>1172</x:v>
      </x:c>
      <x:c r="I36" s="1" t="s">
        <x:v>1162</x:v>
      </x:c>
      <x:c r="J36" s="1377" t="str">
        <x:f>IF('21_코드별_심사실행'!P36="증빙확인","증빙확보",IF('21_코드별_심사실행'!P36="비적용검토","비적용검토","미검증"))</x:f>
        <x:v>미검증</x:v>
      </x:c>
      <x:c r="K36" s="1378" t="str">
        <x:f>IF('21_코드별_심사실행'!J36="","",'21_코드별_심사실행'!J36)</x:f>
      </x:c>
      <x:c r="L36" s="1377" t="str">
        <x:f>IF(AND('21_코드별_심사실행'!K36="일치",'21_코드별_심사실행'!L36="일치",'21_코드별_심사실행'!M36="확인"),"일치","미확인")</x:f>
        <x:v>미확인</x:v>
      </x:c>
      <x:c r="M36" s="1384" t="n">
        <x:f>'21_코드별_심사실행'!Q36</x:f>
        <x:v>0</x:v>
      </x:c>
      <x:c r="N36" s="1377" t="str">
        <x:f>IF('21_코드별_심사실행'!R36="","",'21_코드별_심사실행'!R36)</x:f>
      </x:c>
      <x:c r="O36" s="1377" t="str">
        <x:f>IF(OR('21_코드별_심사실행'!N36="",'21_코드별_심사실행'!O36=""),"",'21_코드별_심사실행'!N36&amp;" / "&amp;IF(ISNUMBER('21_코드별_심사실행'!O36),TEXT('21_코드별_심사실행'!O36,"yyyy-mm-dd"),'21_코드별_심사실행'!O36))</x:f>
      </x:c>
      <x:c r="P36" s="12" t="s">
        <x:v>1213</x:v>
      </x:c>
    </x:row>
    <x:row r="37" ht="25.5">
      <x:c r="A37" s="30">
        <x:v>31</x:v>
      </x:c>
      <x:c r="B37" s="31" t="s">
        <x:v>1210</x:v>
      </x:c>
      <x:c r="C37" s="31" t="s">
        <x:v>1214</x:v>
      </x:c>
      <x:c r="D37" s="31">
        <x:v>20</x:v>
      </x:c>
      <x:c r="E37" s="1" t="s">
        <x:v>1215</x:v>
      </x:c>
      <x:c r="F37" s="1">
        <x:v>6</x:v>
      </x:c>
      <x:c r="G37" s="1">
        <x:v>4</x:v>
      </x:c>
      <x:c r="H37" s="1" t="s">
        <x:v>1216</x:v>
      </x:c>
      <x:c r="I37" s="1" t="s">
        <x:v>1135</x:v>
      </x:c>
      <x:c r="J37" s="1377" t="str">
        <x:f>IF('21_코드별_심사실행'!P37="증빙확인","증빙확보",IF('21_코드별_심사실행'!P37="비적용검토","비적용검토","미검증"))</x:f>
        <x:v>미검증</x:v>
      </x:c>
      <x:c r="K37" s="1378" t="str">
        <x:f>IF('21_코드별_심사실행'!J37="","",'21_코드별_심사실행'!J37)</x:f>
      </x:c>
      <x:c r="L37" s="1377" t="str">
        <x:f>IF(AND('21_코드별_심사실행'!K37="일치",'21_코드별_심사실행'!L37="일치",'21_코드별_심사실행'!M37="확인"),"일치","미확인")</x:f>
        <x:v>미확인</x:v>
      </x:c>
      <x:c r="M37" s="1384" t="n">
        <x:f>'21_코드별_심사실행'!Q37</x:f>
        <x:v>0</x:v>
      </x:c>
      <x:c r="N37" s="1377" t="str">
        <x:f>IF('21_코드별_심사실행'!R37="","",'21_코드별_심사실행'!R37)</x:f>
      </x:c>
      <x:c r="O37" s="1377" t="str">
        <x:f>IF(OR('21_코드별_심사실행'!N37="",'21_코드별_심사실행'!O37=""),"",'21_코드별_심사실행'!N37&amp;" / "&amp;IF(ISNUMBER('21_코드별_심사실행'!O37),TEXT('21_코드별_심사실행'!O37,"yyyy-mm-dd"),'21_코드별_심사실행'!O37))</x:f>
      </x:c>
      <x:c r="P37" s="12" t="s">
        <x:v>1217</x:v>
      </x:c>
    </x:row>
    <x:row r="38" ht="38.25">
      <x:c r="A38" s="30">
        <x:v>32</x:v>
      </x:c>
      <x:c r="B38" s="31" t="s">
        <x:v>1210</x:v>
      </x:c>
      <x:c r="C38" s="31" t="s">
        <x:v>1218</x:v>
      </x:c>
      <x:c r="D38" s="31">
        <x:v>20</x:v>
      </x:c>
      <x:c r="E38" s="1" t="s">
        <x:v>1219</x:v>
      </x:c>
      <x:c r="F38" s="1">
        <x:v>4</x:v>
      </x:c>
      <x:c r="G38" s="1">
        <x:v>5</x:v>
      </x:c>
      <x:c r="H38" s="1" t="s">
        <x:v>1216</x:v>
      </x:c>
      <x:c r="I38" s="1" t="s">
        <x:v>1135</x:v>
      </x:c>
      <x:c r="J38" s="1377" t="str">
        <x:f>IF('21_코드별_심사실행'!P38="증빙확인","증빙확보",IF('21_코드별_심사실행'!P38="비적용검토","비적용검토","미검증"))</x:f>
        <x:v>미검증</x:v>
      </x:c>
      <x:c r="K38" s="1378" t="str">
        <x:f>IF('21_코드별_심사실행'!J38="","",'21_코드별_심사실행'!J38)</x:f>
      </x:c>
      <x:c r="L38" s="1377" t="str">
        <x:f>IF(AND('21_코드별_심사실행'!K38="일치",'21_코드별_심사실행'!L38="일치",'21_코드별_심사실행'!M38="확인"),"일치","미확인")</x:f>
        <x:v>미확인</x:v>
      </x:c>
      <x:c r="M38" s="1384" t="n">
        <x:f>'21_코드별_심사실행'!Q38</x:f>
        <x:v>0</x:v>
      </x:c>
      <x:c r="N38" s="1377" t="str">
        <x:f>IF('21_코드별_심사실행'!R38="","",'21_코드별_심사실행'!R38)</x:f>
      </x:c>
      <x:c r="O38" s="1377" t="str">
        <x:f>IF(OR('21_코드별_심사실행'!N38="",'21_코드별_심사실행'!O38=""),"",'21_코드별_심사실행'!N38&amp;" / "&amp;IF(ISNUMBER('21_코드별_심사실행'!O38),TEXT('21_코드별_심사실행'!O38,"yyyy-mm-dd"),'21_코드별_심사실행'!O38))</x:f>
      </x:c>
      <x:c r="P38" s="12" t="s">
        <x:v>1220</x:v>
      </x:c>
    </x:row>
    <x:row r="39" ht="38.25">
      <x:c r="A39" s="30">
        <x:v>33</x:v>
      </x:c>
      <x:c r="B39" s="31" t="s">
        <x:v>1210</x:v>
      </x:c>
      <x:c r="C39" s="31" t="s">
        <x:v>1221</x:v>
      </x:c>
      <x:c r="D39" s="31">
        <x:v>10</x:v>
      </x:c>
      <x:c r="E39" s="1" t="s">
        <x:v>1222</x:v>
      </x:c>
      <x:c r="F39" s="1">
        <x:v>4</x:v>
      </x:c>
      <x:c r="G39" s="1">
        <x:v>5</x:v>
      </x:c>
      <x:c r="H39" s="1" t="s">
        <x:v>1216</x:v>
      </x:c>
      <x:c r="I39" s="1" t="s">
        <x:v>1135</x:v>
      </x:c>
      <x:c r="J39" s="1377" t="str">
        <x:f>IF('21_코드별_심사실행'!P39="증빙확인","증빙확보",IF('21_코드별_심사실행'!P39="비적용검토","비적용검토","미검증"))</x:f>
        <x:v>미검증</x:v>
      </x:c>
      <x:c r="K39" s="1378" t="str">
        <x:f>IF('21_코드별_심사실행'!J39="","",'21_코드별_심사실행'!J39)</x:f>
      </x:c>
      <x:c r="L39" s="1377" t="str">
        <x:f>IF(AND('21_코드별_심사실행'!K39="일치",'21_코드별_심사실행'!L39="일치",'21_코드별_심사실행'!M39="확인"),"일치","미확인")</x:f>
        <x:v>미확인</x:v>
      </x:c>
      <x:c r="M39" s="1384" t="n">
        <x:f>'21_코드별_심사실행'!Q39</x:f>
        <x:v>0</x:v>
      </x:c>
      <x:c r="N39" s="1377" t="str">
        <x:f>IF('21_코드별_심사실행'!R39="","",'21_코드별_심사실행'!R39)</x:f>
      </x:c>
      <x:c r="O39" s="1377" t="str">
        <x:f>IF(OR('21_코드별_심사실행'!N39="",'21_코드별_심사실행'!O39=""),"",'21_코드별_심사실행'!N39&amp;" / "&amp;IF(ISNUMBER('21_코드별_심사실행'!O39),TEXT('21_코드별_심사실행'!O39,"yyyy-mm-dd"),'21_코드별_심사실행'!O39))</x:f>
      </x:c>
      <x:c r="P39" s="12" t="s">
        <x:v>1223</x:v>
      </x:c>
    </x:row>
    <x:row r="40" ht="25.5">
      <x:c r="A40" s="30">
        <x:v>34</x:v>
      </x:c>
      <x:c r="B40" s="31" t="s">
        <x:v>1210</x:v>
      </x:c>
      <x:c r="C40" s="31" t="s">
        <x:v>1224</x:v>
      </x:c>
      <x:c r="D40" s="31">
        <x:v>20</x:v>
      </x:c>
      <x:c r="E40" s="1" t="s">
        <x:v>1225</x:v>
      </x:c>
      <x:c r="F40" s="1">
        <x:v>14</x:v>
      </x:c>
      <x:c r="G40" s="1">
        <x:v>10</x:v>
      </x:c>
      <x:c r="H40" s="1" t="s">
        <x:v>385</x:v>
      </x:c>
      <x:c r="I40" s="1" t="s">
        <x:v>452</x:v>
      </x:c>
      <x:c r="J40" s="1377" t="str">
        <x:f>IF('21_코드별_심사실행'!P40="증빙확인","증빙확보",IF('21_코드별_심사실행'!P40="비적용검토","비적용검토","미검증"))</x:f>
        <x:v>미검증</x:v>
      </x:c>
      <x:c r="K40" s="1378" t="str">
        <x:f>IF('21_코드별_심사실행'!J40="","",'21_코드별_심사실행'!J40)</x:f>
      </x:c>
      <x:c r="L40" s="1377" t="str">
        <x:f>IF(AND('21_코드별_심사실행'!K40="일치",'21_코드별_심사실행'!L40="일치",'21_코드별_심사실행'!M40="확인"),"일치","미확인")</x:f>
        <x:v>미확인</x:v>
      </x:c>
      <x:c r="M40" s="1384" t="n">
        <x:f>'21_코드별_심사실행'!Q40</x:f>
        <x:v>0</x:v>
      </x:c>
      <x:c r="N40" s="1377" t="str">
        <x:f>IF('21_코드별_심사실행'!R40="","",'21_코드별_심사실행'!R40)</x:f>
      </x:c>
      <x:c r="O40" s="1377" t="str">
        <x:f>IF(OR('21_코드별_심사실행'!N40="",'21_코드별_심사실행'!O40=""),"",'21_코드별_심사실행'!N40&amp;" / "&amp;IF(ISNUMBER('21_코드별_심사실행'!O40),TEXT('21_코드별_심사실행'!O40,"yyyy-mm-dd"),'21_코드별_심사실행'!O40))</x:f>
      </x:c>
      <x:c r="P40" s="12" t="s">
        <x:v>1226</x:v>
      </x:c>
    </x:row>
    <x:row r="41" ht="25.5">
      <x:c r="A41" s="30">
        <x:v>35</x:v>
      </x:c>
      <x:c r="B41" s="31" t="s">
        <x:v>1210</x:v>
      </x:c>
      <x:c r="C41" s="31" t="s">
        <x:v>1227</x:v>
      </x:c>
      <x:c r="D41" s="31">
        <x:v>10</x:v>
      </x:c>
      <x:c r="E41" s="1" t="s">
        <x:v>1228</x:v>
      </x:c>
      <x:c r="F41" s="1">
        <x:v>4</x:v>
      </x:c>
      <x:c r="G41" s="1">
        <x:v>4</x:v>
      </x:c>
      <x:c r="H41" s="1" t="s">
        <x:v>1139</x:v>
      </x:c>
      <x:c r="I41" s="1" t="s">
        <x:v>1135</x:v>
      </x:c>
      <x:c r="J41" s="1377" t="str">
        <x:f>IF('21_코드별_심사실행'!P41="증빙확인","증빙확보",IF('21_코드별_심사실행'!P41="비적용검토","비적용검토","미검증"))</x:f>
        <x:v>미검증</x:v>
      </x:c>
      <x:c r="K41" s="1378" t="str">
        <x:f>IF('21_코드별_심사실행'!J41="","",'21_코드별_심사실행'!J41)</x:f>
      </x:c>
      <x:c r="L41" s="1377" t="str">
        <x:f>IF(AND('21_코드별_심사실행'!K41="일치",'21_코드별_심사실행'!L41="일치",'21_코드별_심사실행'!M41="확인"),"일치","미확인")</x:f>
        <x:v>미확인</x:v>
      </x:c>
      <x:c r="M41" s="1384" t="n">
        <x:f>'21_코드별_심사실행'!Q41</x:f>
        <x:v>0</x:v>
      </x:c>
      <x:c r="N41" s="1377" t="str">
        <x:f>IF('21_코드별_심사실행'!R41="","",'21_코드별_심사실행'!R41)</x:f>
      </x:c>
      <x:c r="O41" s="1377" t="str">
        <x:f>IF(OR('21_코드별_심사실행'!N41="",'21_코드별_심사실행'!O41=""),"",'21_코드별_심사실행'!N41&amp;" / "&amp;IF(ISNUMBER('21_코드별_심사실행'!O41),TEXT('21_코드별_심사실행'!O41,"yyyy-mm-dd"),'21_코드별_심사실행'!O41))</x:f>
      </x:c>
      <x:c r="P41" s="12" t="s">
        <x:v>1229</x:v>
      </x:c>
    </x:row>
    <x:row r="42" ht="38.25">
      <x:c r="A42" s="30">
        <x:v>36</x:v>
      </x:c>
      <x:c r="B42" s="31" t="s">
        <x:v>1210</x:v>
      </x:c>
      <x:c r="C42" s="31" t="s">
        <x:v>1230</x:v>
      </x:c>
      <x:c r="D42" s="31">
        <x:v>20</x:v>
      </x:c>
      <x:c r="E42" s="1" t="s">
        <x:v>1231</x:v>
      </x:c>
      <x:c r="F42" s="1">
        <x:v>5</x:v>
      </x:c>
      <x:c r="G42" s="1">
        <x:v>5</x:v>
      </x:c>
      <x:c r="H42" s="1" t="s">
        <x:v>1216</x:v>
      </x:c>
      <x:c r="I42" s="1" t="s">
        <x:v>1135</x:v>
      </x:c>
      <x:c r="J42" s="1377" t="str">
        <x:f>IF('21_코드별_심사실행'!P42="증빙확인","증빙확보",IF('21_코드별_심사실행'!P42="비적용검토","비적용검토","미검증"))</x:f>
        <x:v>미검증</x:v>
      </x:c>
      <x:c r="K42" s="1378" t="str">
        <x:f>IF('21_코드별_심사실행'!J42="","",'21_코드별_심사실행'!J42)</x:f>
      </x:c>
      <x:c r="L42" s="1377" t="str">
        <x:f>IF(AND('21_코드별_심사실행'!K42="일치",'21_코드별_심사실행'!L42="일치",'21_코드별_심사실행'!M42="확인"),"일치","미확인")</x:f>
        <x:v>미확인</x:v>
      </x:c>
      <x:c r="M42" s="1384" t="n">
        <x:f>'21_코드별_심사실행'!Q42</x:f>
        <x:v>0</x:v>
      </x:c>
      <x:c r="N42" s="1377" t="str">
        <x:f>IF('21_코드별_심사실행'!R42="","",'21_코드별_심사실행'!R42)</x:f>
      </x:c>
      <x:c r="O42" s="1377" t="str">
        <x:f>IF(OR('21_코드별_심사실행'!N42="",'21_코드별_심사실행'!O42=""),"",'21_코드별_심사실행'!N42&amp;" / "&amp;IF(ISNUMBER('21_코드별_심사실행'!O42),TEXT('21_코드별_심사실행'!O42,"yyyy-mm-dd"),'21_코드별_심사실행'!O42))</x:f>
      </x:c>
      <x:c r="P42" s="12" t="s">
        <x:v>1232</x:v>
      </x:c>
    </x:row>
    <x:row r="43" ht="25.5">
      <x:c r="A43" s="30">
        <x:v>37</x:v>
      </x:c>
      <x:c r="B43" s="31" t="s">
        <x:v>1210</x:v>
      </x:c>
      <x:c r="C43" s="31" t="s">
        <x:v>1233</x:v>
      </x:c>
      <x:c r="D43" s="31">
        <x:v>20</x:v>
      </x:c>
      <x:c r="E43" s="1" t="s">
        <x:v>1234</x:v>
      </x:c>
      <x:c r="F43" s="1">
        <x:v>4</x:v>
      </x:c>
      <x:c r="G43" s="1">
        <x:v>5</x:v>
      </x:c>
      <x:c r="H43" s="1" t="s">
        <x:v>1235</x:v>
      </x:c>
      <x:c r="I43" s="1" t="s">
        <x:v>1135</x:v>
      </x:c>
      <x:c r="J43" s="1377" t="str">
        <x:f>IF('21_코드별_심사실행'!P43="증빙확인","증빙확보",IF('21_코드별_심사실행'!P43="비적용검토","비적용검토","미검증"))</x:f>
        <x:v>미검증</x:v>
      </x:c>
      <x:c r="K43" s="1378" t="str">
        <x:f>IF('21_코드별_심사실행'!J43="","",'21_코드별_심사실행'!J43)</x:f>
      </x:c>
      <x:c r="L43" s="1377" t="str">
        <x:f>IF(AND('21_코드별_심사실행'!K43="일치",'21_코드별_심사실행'!L43="일치",'21_코드별_심사실행'!M43="확인"),"일치","미확인")</x:f>
        <x:v>미확인</x:v>
      </x:c>
      <x:c r="M43" s="1384" t="n">
        <x:f>'21_코드별_심사실행'!Q43</x:f>
        <x:v>0</x:v>
      </x:c>
      <x:c r="N43" s="1377" t="str">
        <x:f>IF('21_코드별_심사실행'!R43="","",'21_코드별_심사실행'!R43)</x:f>
      </x:c>
      <x:c r="O43" s="1377" t="str">
        <x:f>IF(OR('21_코드별_심사실행'!N43="",'21_코드별_심사실행'!O43=""),"",'21_코드별_심사실행'!N43&amp;" / "&amp;IF(ISNUMBER('21_코드별_심사실행'!O43),TEXT('21_코드별_심사실행'!O43,"yyyy-mm-dd"),'21_코드별_심사실행'!O43))</x:f>
      </x:c>
      <x:c r="P43" s="12" t="s">
        <x:v>1236</x:v>
      </x:c>
    </x:row>
    <x:row r="44" ht="25.5">
      <x:c r="A44" s="30">
        <x:v>38</x:v>
      </x:c>
      <x:c r="B44" s="31" t="s">
        <x:v>1210</x:v>
      </x:c>
      <x:c r="C44" s="31" t="s">
        <x:v>1237</x:v>
      </x:c>
      <x:c r="D44" s="31">
        <x:v>10</x:v>
      </x:c>
      <x:c r="E44" s="1" t="s">
        <x:v>1238</x:v>
      </x:c>
      <x:c r="F44" s="1">
        <x:v>2</x:v>
      </x:c>
      <x:c r="G44" s="1">
        <x:v>4</x:v>
      </x:c>
      <x:c r="H44" s="1" t="s">
        <x:v>1172</x:v>
      </x:c>
      <x:c r="I44" s="1" t="s">
        <x:v>1162</x:v>
      </x:c>
      <x:c r="J44" s="1377" t="str">
        <x:f>IF('21_코드별_심사실행'!P44="증빙확인","증빙확보",IF('21_코드별_심사실행'!P44="비적용검토","비적용검토","미검증"))</x:f>
        <x:v>미검증</x:v>
      </x:c>
      <x:c r="K44" s="1378" t="str">
        <x:f>IF('21_코드별_심사실행'!J44="","",'21_코드별_심사실행'!J44)</x:f>
      </x:c>
      <x:c r="L44" s="1377" t="str">
        <x:f>IF(AND('21_코드별_심사실행'!K44="일치",'21_코드별_심사실행'!L44="일치",'21_코드별_심사실행'!M44="확인"),"일치","미확인")</x:f>
        <x:v>미확인</x:v>
      </x:c>
      <x:c r="M44" s="1384" t="n">
        <x:f>'21_코드별_심사실행'!Q44</x:f>
        <x:v>0</x:v>
      </x:c>
      <x:c r="N44" s="1377" t="str">
        <x:f>IF('21_코드별_심사실행'!R44="","",'21_코드별_심사실행'!R44)</x:f>
      </x:c>
      <x:c r="O44" s="1377" t="str">
        <x:f>IF(OR('21_코드별_심사실행'!N44="",'21_코드별_심사실행'!O44=""),"",'21_코드별_심사실행'!N44&amp;" / "&amp;IF(ISNUMBER('21_코드별_심사실행'!O44),TEXT('21_코드별_심사실행'!O44,"yyyy-mm-dd"),'21_코드별_심사실행'!O44))</x:f>
      </x:c>
      <x:c r="P44" s="12" t="s">
        <x:v>1239</x:v>
      </x:c>
    </x:row>
    <x:row r="45" ht="25.5">
      <x:c r="A45" s="30">
        <x:v>39</x:v>
      </x:c>
      <x:c r="B45" s="31" t="s">
        <x:v>1210</x:v>
      </x:c>
      <x:c r="C45" s="31" t="s">
        <x:v>1240</x:v>
      </x:c>
      <x:c r="D45" s="31">
        <x:v>10</x:v>
      </x:c>
      <x:c r="E45" s="1" t="s">
        <x:v>1241</x:v>
      </x:c>
      <x:c r="F45" s="1">
        <x:v>3</x:v>
      </x:c>
      <x:c r="G45" s="1">
        <x:v>5</x:v>
      </x:c>
      <x:c r="H45" s="1" t="s">
        <x:v>1172</x:v>
      </x:c>
      <x:c r="I45" s="1" t="s">
        <x:v>1162</x:v>
      </x:c>
      <x:c r="J45" s="1377" t="str">
        <x:f>IF('21_코드별_심사실행'!P45="증빙확인","증빙확보",IF('21_코드별_심사실행'!P45="비적용검토","비적용검토","미검증"))</x:f>
        <x:v>미검증</x:v>
      </x:c>
      <x:c r="K45" s="1378" t="str">
        <x:f>IF('21_코드별_심사실행'!J45="","",'21_코드별_심사실행'!J45)</x:f>
      </x:c>
      <x:c r="L45" s="1377" t="str">
        <x:f>IF(AND('21_코드별_심사실행'!K45="일치",'21_코드별_심사실행'!L45="일치",'21_코드별_심사실행'!M45="확인"),"일치","미확인")</x:f>
        <x:v>미확인</x:v>
      </x:c>
      <x:c r="M45" s="1384" t="n">
        <x:f>'21_코드별_심사실행'!Q45</x:f>
        <x:v>0</x:v>
      </x:c>
      <x:c r="N45" s="1377" t="str">
        <x:f>IF('21_코드별_심사실행'!R45="","",'21_코드별_심사실행'!R45)</x:f>
      </x:c>
      <x:c r="O45" s="1377" t="str">
        <x:f>IF(OR('21_코드별_심사실행'!N45="",'21_코드별_심사실행'!O45=""),"",'21_코드별_심사실행'!N45&amp;" / "&amp;IF(ISNUMBER('21_코드별_심사실행'!O45),TEXT('21_코드별_심사실행'!O45,"yyyy-mm-dd"),'21_코드별_심사실행'!O45))</x:f>
      </x:c>
      <x:c r="P45" s="12" t="s">
        <x:v>1242</x:v>
      </x:c>
    </x:row>
    <x:row r="46" ht="25.5">
      <x:c r="A46" s="30">
        <x:v>40</x:v>
      </x:c>
      <x:c r="B46" s="31" t="s">
        <x:v>1210</x:v>
      </x:c>
      <x:c r="C46" s="31" t="s">
        <x:v>1243</x:v>
      </x:c>
      <x:c r="D46" s="31">
        <x:v>10</x:v>
      </x:c>
      <x:c r="E46" s="1" t="s">
        <x:v>1244</x:v>
      </x:c>
      <x:c r="F46" s="1">
        <x:v>3</x:v>
      </x:c>
      <x:c r="G46" s="1">
        <x:v>3</x:v>
      </x:c>
      <x:c r="H46" s="1" t="s">
        <x:v>1139</x:v>
      </x:c>
      <x:c r="I46" s="1" t="s">
        <x:v>1135</x:v>
      </x:c>
      <x:c r="J46" s="1377" t="str">
        <x:f>IF('21_코드별_심사실행'!P46="증빙확인","증빙확보",IF('21_코드별_심사실행'!P46="비적용검토","비적용검토","미검증"))</x:f>
        <x:v>미검증</x:v>
      </x:c>
      <x:c r="K46" s="1378" t="str">
        <x:f>IF('21_코드별_심사실행'!J46="","",'21_코드별_심사실행'!J46)</x:f>
      </x:c>
      <x:c r="L46" s="1377" t="str">
        <x:f>IF(AND('21_코드별_심사실행'!K46="일치",'21_코드별_심사실행'!L46="일치",'21_코드별_심사실행'!M46="확인"),"일치","미확인")</x:f>
        <x:v>미확인</x:v>
      </x:c>
      <x:c r="M46" s="1384" t="n">
        <x:f>'21_코드별_심사실행'!Q46</x:f>
        <x:v>0</x:v>
      </x:c>
      <x:c r="N46" s="1377" t="str">
        <x:f>IF('21_코드별_심사실행'!R46="","",'21_코드별_심사실행'!R46)</x:f>
      </x:c>
      <x:c r="O46" s="1377" t="str">
        <x:f>IF(OR('21_코드별_심사실행'!N46="",'21_코드별_심사실행'!O46=""),"",'21_코드별_심사실행'!N46&amp;" / "&amp;IF(ISNUMBER('21_코드별_심사실행'!O46),TEXT('21_코드별_심사실행'!O46,"yyyy-mm-dd"),'21_코드별_심사실행'!O46))</x:f>
      </x:c>
      <x:c r="P46" s="12" t="s">
        <x:v>1245</x:v>
      </x:c>
    </x:row>
    <x:row r="47" ht="25.5">
      <x:c r="A47" s="30">
        <x:v>41</x:v>
      </x:c>
      <x:c r="B47" s="31" t="s">
        <x:v>1210</x:v>
      </x:c>
      <x:c r="C47" s="31" t="s">
        <x:v>1246</x:v>
      </x:c>
      <x:c r="D47" s="31"/>
      <x:c r="E47" s="1" t="s">
        <x:v>1247</x:v>
      </x:c>
      <x:c r="F47" s="1">
        <x:v>6</x:v>
      </x:c>
      <x:c r="G47" s="1">
        <x:v>6</x:v>
      </x:c>
      <x:c r="H47" s="1" t="s">
        <x:v>1100</x:v>
      </x:c>
      <x:c r="I47" s="1" t="s">
        <x:v>1101</x:v>
      </x:c>
      <x:c r="J47" s="1377" t="str">
        <x:f>IF('21_코드별_심사실행'!P47="증빙확인","증빙확보",IF('21_코드별_심사실행'!P47="비적용검토","비적용검토","미검증"))</x:f>
        <x:v>미검증</x:v>
      </x:c>
      <x:c r="K47" s="1378" t="str">
        <x:f>IF('21_코드별_심사실행'!J47="","",'21_코드별_심사실행'!J47)</x:f>
      </x:c>
      <x:c r="L47" s="1377" t="str">
        <x:f>IF(AND('21_코드별_심사실행'!K47="일치",'21_코드별_심사실행'!L47="일치",'21_코드별_심사실행'!M47="확인"),"일치","미확인")</x:f>
        <x:v>미확인</x:v>
      </x:c>
      <x:c r="M47" s="1384" t="n">
        <x:f>'21_코드별_심사실행'!Q47</x:f>
        <x:v>0</x:v>
      </x:c>
      <x:c r="N47" s="1377" t="str">
        <x:f>IF('21_코드별_심사실행'!R47="","",'21_코드별_심사실행'!R47)</x:f>
      </x:c>
      <x:c r="O47" s="1377" t="str">
        <x:f>IF(OR('21_코드별_심사실행'!N47="",'21_코드별_심사실행'!O47=""),"",'21_코드별_심사실행'!N47&amp;" / "&amp;IF(ISNUMBER('21_코드별_심사실행'!O47),TEXT('21_코드별_심사실행'!O47,"yyyy-mm-dd"),'21_코드별_심사실행'!O47))</x:f>
      </x:c>
      <x:c r="P47" s="12" t="s">
        <x:v>1248</x:v>
      </x:c>
    </x:row>
    <x:row r="48" ht="38.25">
      <x:c r="A48" s="30">
        <x:v>42</x:v>
      </x:c>
      <x:c r="B48" s="31" t="s">
        <x:v>1210</x:v>
      </x:c>
      <x:c r="C48" s="31" t="s">
        <x:v>1246</x:v>
      </x:c>
      <x:c r="D48" s="31">
        <x:v>10</x:v>
      </x:c>
      <x:c r="E48" s="1" t="s">
        <x:v>1249</x:v>
      </x:c>
      <x:c r="F48" s="1">
        <x:v>1</x:v>
      </x:c>
      <x:c r="G48" s="1">
        <x:v>2</x:v>
      </x:c>
      <x:c r="H48" s="1" t="s">
        <x:v>1250</x:v>
      </x:c>
      <x:c r="I48" s="1" t="s">
        <x:v>1162</x:v>
      </x:c>
      <x:c r="J48" s="1377" t="str">
        <x:f>IF('21_코드별_심사실행'!P48="증빙확인","증빙확보",IF('21_코드별_심사실행'!P48="비적용검토","비적용검토","미검증"))</x:f>
        <x:v>미검증</x:v>
      </x:c>
      <x:c r="K48" s="1378" t="str">
        <x:f>IF('21_코드별_심사실행'!J48="","",'21_코드별_심사실행'!J48)</x:f>
      </x:c>
      <x:c r="L48" s="1377" t="str">
        <x:f>IF(AND('21_코드별_심사실행'!K48="일치",'21_코드별_심사실행'!L48="일치",'21_코드별_심사실행'!M48="확인"),"일치","미확인")</x:f>
        <x:v>미확인</x:v>
      </x:c>
      <x:c r="M48" s="1384" t="n">
        <x:f>'21_코드별_심사실행'!Q48</x:f>
        <x:v>0</x:v>
      </x:c>
      <x:c r="N48" s="1377" t="str">
        <x:f>IF('21_코드별_심사실행'!R48="","",'21_코드별_심사실행'!R48)</x:f>
      </x:c>
      <x:c r="O48" s="1377" t="str">
        <x:f>IF(OR('21_코드별_심사실행'!N48="",'21_코드별_심사실행'!O48=""),"",'21_코드별_심사실행'!N48&amp;" / "&amp;IF(ISNUMBER('21_코드별_심사실행'!O48),TEXT('21_코드별_심사실행'!O48,"yyyy-mm-dd"),'21_코드별_심사실행'!O48))</x:f>
      </x:c>
      <x:c r="P48" s="12" t="s">
        <x:v>1251</x:v>
      </x:c>
    </x:row>
    <x:row r="49" ht="51">
      <x:c r="A49" s="32">
        <x:v>43</x:v>
      </x:c>
      <x:c r="B49" s="33" t="s">
        <x:v>1210</x:v>
      </x:c>
      <x:c r="C49" s="33" t="s">
        <x:v>1252</x:v>
      </x:c>
      <x:c r="D49" s="33">
        <x:v>20</x:v>
      </x:c>
      <x:c r="E49" s="14" t="s">
        <x:v>1253</x:v>
      </x:c>
      <x:c r="F49" s="14">
        <x:v>10</x:v>
      </x:c>
      <x:c r="G49" s="14">
        <x:v>6</x:v>
      </x:c>
      <x:c r="H49" s="14" t="s">
        <x:v>1139</x:v>
      </x:c>
      <x:c r="I49" s="14" t="s">
        <x:v>1135</x:v>
      </x:c>
      <x:c r="J49" s="1380" t="str">
        <x:f>IF('21_코드별_심사실행'!P49="증빙확인","증빙확보",IF('21_코드별_심사실행'!P49="비적용검토","비적용검토","미검증"))</x:f>
        <x:v>미검증</x:v>
      </x:c>
      <x:c r="K49" s="1381" t="str">
        <x:f>IF('21_코드별_심사실행'!J49="","",'21_코드별_심사실행'!J49)</x:f>
      </x:c>
      <x:c r="L49" s="1380" t="str">
        <x:f>IF(AND('21_코드별_심사실행'!K49="일치",'21_코드별_심사실행'!L49="일치",'21_코드별_심사실행'!M49="확인"),"일치","미확인")</x:f>
        <x:v>미확인</x:v>
      </x:c>
      <x:c r="M49" s="1385" t="n">
        <x:f>'21_코드별_심사실행'!Q49</x:f>
        <x:v>0</x:v>
      </x:c>
      <x:c r="N49" s="1380" t="str">
        <x:f>IF('21_코드별_심사실행'!R49="","",'21_코드별_심사실행'!R49)</x:f>
      </x:c>
      <x:c r="O49" s="1380" t="str">
        <x:f>IF(OR('21_코드별_심사실행'!N49="",'21_코드별_심사실행'!O49=""),"",'21_코드별_심사실행'!N49&amp;" / "&amp;IF(ISNUMBER('21_코드별_심사실행'!O49),TEXT('21_코드별_심사실행'!O49,"yyyy-mm-dd"),'21_코드별_심사실행'!O49))</x:f>
      </x:c>
      <x:c r="P49" s="15" t="s">
        <x:v>1254</x:v>
      </x:c>
    </x:row>
  </x:sheetData>
  <x:mergeCells>
    <x:mergeCell ref="A1:P2"/>
    <x:mergeCell ref="A3:P4"/>
  </x:mergeCells>
  <x:conditionalFormatting sqref="J7:J49">
    <x:cfRule type="expression" dxfId="48" priority="1">
      <x:formula>J7="증빙확보"</x:formula>
    </x:cfRule>
    <x:cfRule type="expression" dxfId="49" priority="2">
      <x:formula>J7="미검증"</x:formula>
    </x:cfRule>
  </x:conditionalFormatting>
  <x:dataValidations count="1">
    <x:dataValidation type="list" sqref="J7:J49">
      <x:formula1>"미검증,수집중,검토중,증빙확보,보완필요,해당없음,원문 확인필요"</x:formula1>
    </x:dataValidation>
  </x:dataValidations>
  <x:pageMargins left="0.7" right="0.7" top="0.75" bottom="0.75" header="0.3" footer="0.3"/>
</x:worksheet>
</file>

<file path=xl/worksheets/sheet15.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7" customWidth="1"/>
    <x:col min="2" max="2" width="9" customWidth="1"/>
    <x:col min="3" max="3" width="18" customWidth="1"/>
    <x:col min="4" max="4" width="12" customWidth="1"/>
    <x:col min="5" max="5" width="10" customWidth="1"/>
    <x:col min="6" max="6" width="53" customWidth="1"/>
    <x:col min="7" max="7" width="43" customWidth="1"/>
    <x:col min="8" max="8" width="21" customWidth="1"/>
    <x:col min="9" max="9" width="16" customWidth="1"/>
    <x:col min="10" max="10" width="19" customWidth="1"/>
    <x:col min="11" max="11" width="34" customWidth="1"/>
    <x:col min="12" max="12" width="28" customWidth="1"/>
    <x:col min="13" max="13" width="13" customWidth="1"/>
    <x:col min="14" max="14" width="43" customWidth="1"/>
    <x:col min="15" max="15" width="20" customWidth="1"/>
    <x:col min="16" max="16" width="39" customWidth="1"/>
  </x:cols>
  <x:sheetData>
    <x:row r="1">
      <x:c r="A1" s="154" t="s">
        <x:v>1255</x:v>
      </x:c>
      <x:c r="B1" s="154"/>
      <x:c r="C1" s="154"/>
      <x:c r="D1" s="154"/>
      <x:c r="E1" s="154"/>
      <x:c r="F1" s="154"/>
      <x:c r="G1" s="154"/>
      <x:c r="H1" s="154"/>
      <x:c r="I1" s="154"/>
      <x:c r="J1" s="154"/>
      <x:c r="K1" s="154"/>
      <x:c r="L1" s="154"/>
      <x:c r="M1" s="154"/>
      <x:c r="N1" s="154"/>
      <x:c r="O1" s="154"/>
      <x:c r="P1" s="154"/>
    </x:row>
    <x:row r="2">
      <x:c r="A2" s="154"/>
      <x:c r="B2" s="154"/>
      <x:c r="C2" s="154"/>
      <x:c r="D2" s="154"/>
      <x:c r="E2" s="154"/>
      <x:c r="F2" s="154"/>
      <x:c r="G2" s="154"/>
      <x:c r="H2" s="154"/>
      <x:c r="I2" s="154"/>
      <x:c r="J2" s="154"/>
      <x:c r="K2" s="154"/>
      <x:c r="L2" s="154"/>
      <x:c r="M2" s="154"/>
      <x:c r="N2" s="154"/>
      <x:c r="O2" s="154"/>
      <x:c r="P2" s="154"/>
    </x:row>
    <x:row r="3">
      <x:c r="A3" s="155" t="s">
        <x:v>1256</x:v>
      </x:c>
      <x:c r="B3" s="156"/>
      <x:c r="C3" s="156"/>
      <x:c r="D3" s="156"/>
      <x:c r="E3" s="156"/>
      <x:c r="F3" s="156"/>
      <x:c r="G3" s="156"/>
      <x:c r="H3" s="156"/>
      <x:c r="I3" s="156"/>
      <x:c r="J3" s="156"/>
      <x:c r="K3" s="156"/>
      <x:c r="L3" s="156"/>
      <x:c r="M3" s="156"/>
      <x:c r="N3" s="156"/>
      <x:c r="O3" s="156"/>
      <x:c r="P3" s="157"/>
    </x:row>
    <x:row r="4">
      <x:c r="A4" s="158"/>
      <x:c r="B4" s="159"/>
      <x:c r="C4" s="159"/>
      <x:c r="D4" s="159"/>
      <x:c r="E4" s="159"/>
      <x:c r="F4" s="159"/>
      <x:c r="G4" s="159"/>
      <x:c r="H4" s="159"/>
      <x:c r="I4" s="159"/>
      <x:c r="J4" s="159"/>
      <x:c r="K4" s="159"/>
      <x:c r="L4" s="159"/>
      <x:c r="M4" s="159"/>
      <x:c r="N4" s="159"/>
      <x:c r="O4" s="159"/>
      <x:c r="P4" s="160"/>
    </x:row>
    <x:row r="6">
      <x:c r="A6" s="5" t="s">
        <x:v>1257</x:v>
      </x:c>
      <x:c r="B6" s="6" t="s">
        <x:v>1258</x:v>
      </x:c>
      <x:c r="C6" s="6" t="s">
        <x:v>1259</x:v>
      </x:c>
      <x:c r="D6" s="6" t="s">
        <x:v>1260</x:v>
      </x:c>
      <x:c r="E6" s="6" t="s">
        <x:v>1261</x:v>
      </x:c>
      <x:c r="F6" s="6" t="s">
        <x:v>1262</x:v>
      </x:c>
      <x:c r="G6" s="6" t="s">
        <x:v>1263</x:v>
      </x:c>
      <x:c r="H6" s="6" t="s">
        <x:v>1264</x:v>
      </x:c>
      <x:c r="I6" s="6" t="s">
        <x:v>1265</x:v>
      </x:c>
      <x:c r="J6" s="6" t="s">
        <x:v>1266</x:v>
      </x:c>
      <x:c r="K6" s="6" t="s">
        <x:v>1267</x:v>
      </x:c>
      <x:c r="L6" s="6" t="s">
        <x:v>1268</x:v>
      </x:c>
      <x:c r="M6" s="6" t="s">
        <x:v>1269</x:v>
      </x:c>
      <x:c r="N6" s="6" t="s">
        <x:v>1270</x:v>
      </x:c>
      <x:c r="O6" s="6" t="s">
        <x:v>1271</x:v>
      </x:c>
      <x:c r="P6" s="7" t="s">
        <x:v>1272</x:v>
      </x:c>
    </x:row>
    <x:row r="7" ht="25.5">
      <x:c r="A7" s="8">
        <x:v>1</x:v>
      </x:c>
      <x:c r="B7" s="9">
        <x:v>5</x:v>
      </x:c>
      <x:c r="C7" s="9" t="s">
        <x:v>1094</x:v>
      </x:c>
      <x:c r="D7" s="9" t="s">
        <x:v>1095</x:v>
      </x:c>
      <x:c r="E7" s="9">
        <x:v>1</x:v>
      </x:c>
      <x:c r="F7" s="9" t="s">
        <x:v>1273</x:v>
      </x:c>
      <x:c r="G7" s="9" t="s">
        <x:v>1274</x:v>
      </x:c>
      <x:c r="H7" s="9"/>
      <x:c r="I7" s="9" t="s">
        <x:v>1216</x:v>
      </x:c>
      <x:c r="J7" s="9" t="s">
        <x:v>1135</x:v>
      </x:c>
      <x:c r="K7" s="9" t="s">
        <x:v>1096</x:v>
      </x:c>
      <x:c r="L7" s="9"/>
      <x:c r="M7" s="19" t="s">
        <x:v>1275</x:v>
      </x:c>
      <x:c r="N7" s="16"/>
      <x:c r="O7" s="16"/>
      <x:c r="P7" s="20"/>
    </x:row>
    <x:row r="8">
      <x:c r="A8" s="11">
        <x:v>2</x:v>
      </x:c>
      <x:c r="B8" s="1">
        <x:v>6</x:v>
      </x:c>
      <x:c r="C8" s="1" t="s">
        <x:v>1094</x:v>
      </x:c>
      <x:c r="D8" s="1" t="s">
        <x:v>1095</x:v>
      </x:c>
      <x:c r="E8" s="1">
        <x:v>1</x:v>
      </x:c>
      <x:c r="F8" s="1" t="s">
        <x:v>1276</x:v>
      </x:c>
      <x:c r="G8" s="1" t="s">
        <x:v>1277</x:v>
      </x:c>
      <x:c r="H8" s="1"/>
      <x:c r="I8" s="1" t="s">
        <x:v>1216</x:v>
      </x:c>
      <x:c r="J8" s="1" t="s">
        <x:v>1135</x:v>
      </x:c>
      <x:c r="K8" s="1"/>
      <x:c r="L8" s="1"/>
      <x:c r="M8" s="21" t="s">
        <x:v>1275</x:v>
      </x:c>
      <x:c r="N8" s="17"/>
      <x:c r="O8" s="17"/>
      <x:c r="P8" s="22"/>
    </x:row>
    <x:row r="9">
      <x:c r="A9" s="11">
        <x:v>3</x:v>
      </x:c>
      <x:c r="B9" s="1">
        <x:v>7</x:v>
      </x:c>
      <x:c r="C9" s="1" t="s">
        <x:v>1094</x:v>
      </x:c>
      <x:c r="D9" s="1" t="s">
        <x:v>1095</x:v>
      </x:c>
      <x:c r="E9" s="1">
        <x:v>1</x:v>
      </x:c>
      <x:c r="F9" s="1" t="s">
        <x:v>1278</x:v>
      </x:c>
      <x:c r="G9" s="1" t="s">
        <x:v>1279</x:v>
      </x:c>
      <x:c r="H9" s="1" t="s">
        <x:v>1280</x:v>
      </x:c>
      <x:c r="I9" s="1" t="s">
        <x:v>1172</x:v>
      </x:c>
      <x:c r="J9" s="1" t="s">
        <x:v>1162</x:v>
      </x:c>
      <x:c r="K9" s="1"/>
      <x:c r="L9" s="1"/>
      <x:c r="M9" s="21" t="s">
        <x:v>1275</x:v>
      </x:c>
      <x:c r="N9" s="17"/>
      <x:c r="O9" s="17"/>
      <x:c r="P9" s="22"/>
    </x:row>
    <x:row r="10">
      <x:c r="A10" s="11">
        <x:v>4</x:v>
      </x:c>
      <x:c r="B10" s="1">
        <x:v>8</x:v>
      </x:c>
      <x:c r="C10" s="1" t="s">
        <x:v>1094</x:v>
      </x:c>
      <x:c r="D10" s="1" t="s">
        <x:v>1095</x:v>
      </x:c>
      <x:c r="E10" s="1">
        <x:v>1</x:v>
      </x:c>
      <x:c r="F10" s="1" t="s">
        <x:v>1281</x:v>
      </x:c>
      <x:c r="G10" s="1" t="s">
        <x:v>1282</x:v>
      </x:c>
      <x:c r="H10" s="1" t="s">
        <x:v>1280</x:v>
      </x:c>
      <x:c r="I10" s="1" t="s">
        <x:v>1172</x:v>
      </x:c>
      <x:c r="J10" s="1" t="s">
        <x:v>1162</x:v>
      </x:c>
      <x:c r="K10" s="1"/>
      <x:c r="L10" s="1"/>
      <x:c r="M10" s="21" t="s">
        <x:v>1275</x:v>
      </x:c>
      <x:c r="N10" s="17"/>
      <x:c r="O10" s="17"/>
      <x:c r="P10" s="22"/>
    </x:row>
    <x:row r="11">
      <x:c r="A11" s="11">
        <x:v>5</x:v>
      </x:c>
      <x:c r="B11" s="1">
        <x:v>9</x:v>
      </x:c>
      <x:c r="C11" s="1" t="s">
        <x:v>1094</x:v>
      </x:c>
      <x:c r="D11" s="1" t="s">
        <x:v>1095</x:v>
      </x:c>
      <x:c r="E11" s="1">
        <x:v>1</x:v>
      </x:c>
      <x:c r="F11" s="1" t="s">
        <x:v>1283</x:v>
      </x:c>
      <x:c r="G11" s="1" t="s">
        <x:v>1284</x:v>
      </x:c>
      <x:c r="H11" s="1"/>
      <x:c r="I11" s="1" t="s">
        <x:v>1216</x:v>
      </x:c>
      <x:c r="J11" s="1" t="s">
        <x:v>1135</x:v>
      </x:c>
      <x:c r="K11" s="1"/>
      <x:c r="L11" s="1"/>
      <x:c r="M11" s="21" t="s">
        <x:v>1275</x:v>
      </x:c>
      <x:c r="N11" s="17"/>
      <x:c r="O11" s="17"/>
      <x:c r="P11" s="22"/>
    </x:row>
    <x:row r="12" ht="25.5">
      <x:c r="A12" s="11">
        <x:v>6</x:v>
      </x:c>
      <x:c r="B12" s="1">
        <x:v>10</x:v>
      </x:c>
      <x:c r="C12" s="1" t="s">
        <x:v>1094</x:v>
      </x:c>
      <x:c r="D12" s="1" t="s">
        <x:v>1095</x:v>
      </x:c>
      <x:c r="E12" s="1">
        <x:v>1</x:v>
      </x:c>
      <x:c r="F12" s="1" t="s">
        <x:v>1285</x:v>
      </x:c>
      <x:c r="G12" s="1"/>
      <x:c r="H12" s="1"/>
      <x:c r="I12" s="1"/>
      <x:c r="J12" s="1"/>
      <x:c r="K12" s="1"/>
      <x:c r="L12" s="1"/>
      <x:c r="M12" s="21" t="s">
        <x:v>1275</x:v>
      </x:c>
      <x:c r="N12" s="17"/>
      <x:c r="O12" s="17"/>
      <x:c r="P12" s="22"/>
    </x:row>
    <x:row r="13">
      <x:c r="A13" s="11">
        <x:v>7</x:v>
      </x:c>
      <x:c r="B13" s="1">
        <x:v>11</x:v>
      </x:c>
      <x:c r="C13" s="1" t="s">
        <x:v>1094</x:v>
      </x:c>
      <x:c r="D13" s="1" t="s">
        <x:v>1098</x:v>
      </x:c>
      <x:c r="E13" s="1">
        <x:v>2</x:v>
      </x:c>
      <x:c r="F13" s="1" t="s">
        <x:v>1286</x:v>
      </x:c>
      <x:c r="G13" s="1" t="s">
        <x:v>1287</x:v>
      </x:c>
      <x:c r="H13" s="1" t="s">
        <x:v>1280</x:v>
      </x:c>
      <x:c r="I13" s="1" t="s">
        <x:v>1172</x:v>
      </x:c>
      <x:c r="J13" s="1" t="s">
        <x:v>1162</x:v>
      </x:c>
      <x:c r="K13" s="1" t="s">
        <x:v>1288</x:v>
      </x:c>
      <x:c r="L13" s="1"/>
      <x:c r="M13" s="21" t="s">
        <x:v>1275</x:v>
      </x:c>
      <x:c r="N13" s="17"/>
      <x:c r="O13" s="17"/>
      <x:c r="P13" s="22"/>
    </x:row>
    <x:row r="14">
      <x:c r="A14" s="11">
        <x:v>8</x:v>
      </x:c>
      <x:c r="B14" s="1">
        <x:v>12</x:v>
      </x:c>
      <x:c r="C14" s="1" t="s">
        <x:v>1094</x:v>
      </x:c>
      <x:c r="D14" s="1" t="s">
        <x:v>1098</x:v>
      </x:c>
      <x:c r="E14" s="1">
        <x:v>2</x:v>
      </x:c>
      <x:c r="F14" s="1" t="s">
        <x:v>1289</x:v>
      </x:c>
      <x:c r="G14" s="1" t="s">
        <x:v>1290</x:v>
      </x:c>
      <x:c r="H14" s="1"/>
      <x:c r="I14" s="1"/>
      <x:c r="J14" s="1"/>
      <x:c r="K14" s="1" t="s">
        <x:v>1291</x:v>
      </x:c>
      <x:c r="L14" s="1"/>
      <x:c r="M14" s="21" t="s">
        <x:v>1275</x:v>
      </x:c>
      <x:c r="N14" s="17"/>
      <x:c r="O14" s="17"/>
      <x:c r="P14" s="22"/>
    </x:row>
    <x:row r="15" ht="25.5">
      <x:c r="A15" s="11">
        <x:v>9</x:v>
      </x:c>
      <x:c r="B15" s="1">
        <x:v>13</x:v>
      </x:c>
      <x:c r="C15" s="1" t="s">
        <x:v>1094</x:v>
      </x:c>
      <x:c r="D15" s="1" t="s">
        <x:v>1098</x:v>
      </x:c>
      <x:c r="E15" s="1">
        <x:v>2</x:v>
      </x:c>
      <x:c r="F15" s="1" t="s">
        <x:v>1292</x:v>
      </x:c>
      <x:c r="G15" s="1" t="s">
        <x:v>1293</x:v>
      </x:c>
      <x:c r="H15" s="1" t="s">
        <x:v>1280</x:v>
      </x:c>
      <x:c r="I15" s="1"/>
      <x:c r="J15" s="1" t="s">
        <x:v>1162</x:v>
      </x:c>
      <x:c r="K15" s="1" t="s">
        <x:v>1294</x:v>
      </x:c>
      <x:c r="L15" s="1"/>
      <x:c r="M15" s="21" t="s">
        <x:v>1275</x:v>
      </x:c>
      <x:c r="N15" s="17"/>
      <x:c r="O15" s="17"/>
      <x:c r="P15" s="22"/>
    </x:row>
    <x:row r="16" ht="25.5">
      <x:c r="A16" s="11">
        <x:v>10</x:v>
      </x:c>
      <x:c r="B16" s="1">
        <x:v>14</x:v>
      </x:c>
      <x:c r="C16" s="1" t="s">
        <x:v>1094</x:v>
      </x:c>
      <x:c r="D16" s="1" t="s">
        <x:v>1098</x:v>
      </x:c>
      <x:c r="E16" s="1">
        <x:v>2</x:v>
      </x:c>
      <x:c r="F16" s="1" t="s">
        <x:v>1295</x:v>
      </x:c>
      <x:c r="G16" s="1" t="s">
        <x:v>1296</x:v>
      </x:c>
      <x:c r="H16" s="1" t="s">
        <x:v>1280</x:v>
      </x:c>
      <x:c r="I16" s="1" t="s">
        <x:v>1216</x:v>
      </x:c>
      <x:c r="J16" s="1" t="s">
        <x:v>1135</x:v>
      </x:c>
      <x:c r="K16" s="1"/>
      <x:c r="L16" s="1"/>
      <x:c r="M16" s="21" t="s">
        <x:v>1275</x:v>
      </x:c>
      <x:c r="N16" s="17"/>
      <x:c r="O16" s="17"/>
      <x:c r="P16" s="22"/>
    </x:row>
    <x:row r="17" ht="25.5">
      <x:c r="A17" s="11">
        <x:v>11</x:v>
      </x:c>
      <x:c r="B17" s="1">
        <x:v>15</x:v>
      </x:c>
      <x:c r="C17" s="1" t="s">
        <x:v>1094</x:v>
      </x:c>
      <x:c r="D17" s="1" t="s">
        <x:v>1098</x:v>
      </x:c>
      <x:c r="E17" s="1">
        <x:v>2</x:v>
      </x:c>
      <x:c r="F17" s="1" t="s">
        <x:v>1297</x:v>
      </x:c>
      <x:c r="G17" s="1" t="s">
        <x:v>1298</x:v>
      </x:c>
      <x:c r="H17" s="1"/>
      <x:c r="I17" s="1" t="s">
        <x:v>1172</x:v>
      </x:c>
      <x:c r="J17" s="1" t="s">
        <x:v>1162</x:v>
      </x:c>
      <x:c r="K17" s="1"/>
      <x:c r="L17" s="1"/>
      <x:c r="M17" s="21" t="s">
        <x:v>1275</x:v>
      </x:c>
      <x:c r="N17" s="17"/>
      <x:c r="O17" s="17"/>
      <x:c r="P17" s="22"/>
    </x:row>
    <x:row r="18" ht="25.5">
      <x:c r="A18" s="11">
        <x:v>12</x:v>
      </x:c>
      <x:c r="B18" s="1">
        <x:v>17</x:v>
      </x:c>
      <x:c r="C18" s="1" t="s">
        <x:v>1094</x:v>
      </x:c>
      <x:c r="D18" s="1" t="s">
        <x:v>1103</x:v>
      </x:c>
      <x:c r="E18" s="1">
        <x:v>3</x:v>
      </x:c>
      <x:c r="F18" s="1" t="s">
        <x:v>1299</x:v>
      </x:c>
      <x:c r="G18" s="1" t="s">
        <x:v>1300</x:v>
      </x:c>
      <x:c r="H18" s="1" t="s">
        <x:v>1280</x:v>
      </x:c>
      <x:c r="I18" s="1" t="s">
        <x:v>1172</x:v>
      </x:c>
      <x:c r="J18" s="1" t="s">
        <x:v>1162</x:v>
      </x:c>
      <x:c r="K18" s="1" t="s">
        <x:v>1301</x:v>
      </x:c>
      <x:c r="L18" s="1"/>
      <x:c r="M18" s="21" t="s">
        <x:v>1275</x:v>
      </x:c>
      <x:c r="N18" s="17"/>
      <x:c r="O18" s="17"/>
      <x:c r="P18" s="22"/>
    </x:row>
    <x:row r="19" ht="25.5">
      <x:c r="A19" s="11">
        <x:v>13</x:v>
      </x:c>
      <x:c r="B19" s="1">
        <x:v>18</x:v>
      </x:c>
      <x:c r="C19" s="1" t="s">
        <x:v>1094</x:v>
      </x:c>
      <x:c r="D19" s="1" t="s">
        <x:v>1103</x:v>
      </x:c>
      <x:c r="E19" s="1">
        <x:v>3</x:v>
      </x:c>
      <x:c r="F19" s="1" t="s">
        <x:v>1302</x:v>
      </x:c>
      <x:c r="G19" s="1" t="s">
        <x:v>1303</x:v>
      </x:c>
      <x:c r="H19" s="1" t="s">
        <x:v>1280</x:v>
      </x:c>
      <x:c r="I19" s="1"/>
      <x:c r="J19" s="1" t="s">
        <x:v>1162</x:v>
      </x:c>
      <x:c r="K19" s="1" t="s">
        <x:v>1304</x:v>
      </x:c>
      <x:c r="L19" s="1"/>
      <x:c r="M19" s="21" t="s">
        <x:v>1275</x:v>
      </x:c>
      <x:c r="N19" s="17"/>
      <x:c r="O19" s="17"/>
      <x:c r="P19" s="22"/>
    </x:row>
    <x:row r="20" ht="25.5">
      <x:c r="A20" s="11">
        <x:v>14</x:v>
      </x:c>
      <x:c r="B20" s="1">
        <x:v>19</x:v>
      </x:c>
      <x:c r="C20" s="1" t="s">
        <x:v>1094</x:v>
      </x:c>
      <x:c r="D20" s="1" t="s">
        <x:v>1103</x:v>
      </x:c>
      <x:c r="E20" s="1">
        <x:v>3</x:v>
      </x:c>
      <x:c r="F20" s="1" t="s">
        <x:v>1305</x:v>
      </x:c>
      <x:c r="G20" s="1" t="s">
        <x:v>1306</x:v>
      </x:c>
      <x:c r="H20" s="1" t="s">
        <x:v>1280</x:v>
      </x:c>
      <x:c r="I20" s="1"/>
      <x:c r="J20" s="1" t="s">
        <x:v>1162</x:v>
      </x:c>
      <x:c r="K20" s="1"/>
      <x:c r="L20" s="1"/>
      <x:c r="M20" s="21" t="s">
        <x:v>1275</x:v>
      </x:c>
      <x:c r="N20" s="17"/>
      <x:c r="O20" s="17"/>
      <x:c r="P20" s="22"/>
    </x:row>
    <x:row r="21">
      <x:c r="A21" s="11">
        <x:v>15</x:v>
      </x:c>
      <x:c r="B21" s="1">
        <x:v>20</x:v>
      </x:c>
      <x:c r="C21" s="1" t="s">
        <x:v>1094</x:v>
      </x:c>
      <x:c r="D21" s="1" t="s">
        <x:v>1103</x:v>
      </x:c>
      <x:c r="E21" s="1">
        <x:v>3</x:v>
      </x:c>
      <x:c r="F21" s="1"/>
      <x:c r="G21" s="1" t="s">
        <x:v>1307</x:v>
      </x:c>
      <x:c r="H21" s="1" t="s">
        <x:v>1280</x:v>
      </x:c>
      <x:c r="I21" s="1" t="s">
        <x:v>1216</x:v>
      </x:c>
      <x:c r="J21" s="1" t="s">
        <x:v>1135</x:v>
      </x:c>
      <x:c r="K21" s="1"/>
      <x:c r="L21" s="1"/>
      <x:c r="M21" s="21" t="s">
        <x:v>1275</x:v>
      </x:c>
      <x:c r="N21" s="17"/>
      <x:c r="O21" s="17"/>
      <x:c r="P21" s="22"/>
    </x:row>
    <x:row r="22">
      <x:c r="A22" s="11">
        <x:v>16</x:v>
      </x:c>
      <x:c r="B22" s="1">
        <x:v>21</x:v>
      </x:c>
      <x:c r="C22" s="1" t="s">
        <x:v>1094</x:v>
      </x:c>
      <x:c r="D22" s="1" t="s">
        <x:v>1103</x:v>
      </x:c>
      <x:c r="E22" s="1">
        <x:v>3</x:v>
      </x:c>
      <x:c r="F22" s="1"/>
      <x:c r="G22" s="1" t="s">
        <x:v>1308</x:v>
      </x:c>
      <x:c r="H22" s="1" t="s">
        <x:v>1280</x:v>
      </x:c>
      <x:c r="I22" s="1"/>
      <x:c r="J22" s="1" t="s">
        <x:v>1135</x:v>
      </x:c>
      <x:c r="K22" s="1"/>
      <x:c r="L22" s="1"/>
      <x:c r="M22" s="21" t="s">
        <x:v>1275</x:v>
      </x:c>
      <x:c r="N22" s="17"/>
      <x:c r="O22" s="17"/>
      <x:c r="P22" s="22"/>
    </x:row>
    <x:row r="23">
      <x:c r="A23" s="11">
        <x:v>17</x:v>
      </x:c>
      <x:c r="B23" s="1">
        <x:v>22</x:v>
      </x:c>
      <x:c r="C23" s="1" t="s">
        <x:v>1094</x:v>
      </x:c>
      <x:c r="D23" s="1" t="s">
        <x:v>1106</x:v>
      </x:c>
      <x:c r="E23" s="1">
        <x:v>4</x:v>
      </x:c>
      <x:c r="F23" s="1" t="s">
        <x:v>1309</x:v>
      </x:c>
      <x:c r="G23" s="1" t="s">
        <x:v>1310</x:v>
      </x:c>
      <x:c r="H23" s="1"/>
      <x:c r="I23" s="1" t="s">
        <x:v>1172</x:v>
      </x:c>
      <x:c r="J23" s="1" t="s">
        <x:v>1162</x:v>
      </x:c>
      <x:c r="K23" s="1" t="s">
        <x:v>1311</x:v>
      </x:c>
      <x:c r="L23" s="1"/>
      <x:c r="M23" s="21" t="s">
        <x:v>1275</x:v>
      </x:c>
      <x:c r="N23" s="17"/>
      <x:c r="O23" s="17"/>
      <x:c r="P23" s="22"/>
    </x:row>
    <x:row r="24" ht="25.5">
      <x:c r="A24" s="11">
        <x:v>18</x:v>
      </x:c>
      <x:c r="B24" s="1">
        <x:v>23</x:v>
      </x:c>
      <x:c r="C24" s="1" t="s">
        <x:v>1094</x:v>
      </x:c>
      <x:c r="D24" s="1" t="s">
        <x:v>1106</x:v>
      </x:c>
      <x:c r="E24" s="1">
        <x:v>4</x:v>
      </x:c>
      <x:c r="F24" s="1" t="s">
        <x:v>1312</x:v>
      </x:c>
      <x:c r="G24" s="1" t="s">
        <x:v>1313</x:v>
      </x:c>
      <x:c r="H24" s="1"/>
      <x:c r="I24" s="1"/>
      <x:c r="J24" s="1" t="s">
        <x:v>1162</x:v>
      </x:c>
      <x:c r="K24" s="1" t="s">
        <x:v>1314</x:v>
      </x:c>
      <x:c r="L24" s="1"/>
      <x:c r="M24" s="21" t="s">
        <x:v>1275</x:v>
      </x:c>
      <x:c r="N24" s="17"/>
      <x:c r="O24" s="17"/>
      <x:c r="P24" s="22"/>
    </x:row>
    <x:row r="25">
      <x:c r="A25" s="11">
        <x:v>19</x:v>
      </x:c>
      <x:c r="B25" s="1">
        <x:v>24</x:v>
      </x:c>
      <x:c r="C25" s="1" t="s">
        <x:v>1094</x:v>
      </x:c>
      <x:c r="D25" s="1" t="s">
        <x:v>1106</x:v>
      </x:c>
      <x:c r="E25" s="1">
        <x:v>4</x:v>
      </x:c>
      <x:c r="F25" s="1" t="s">
        <x:v>1315</x:v>
      </x:c>
      <x:c r="G25" s="1" t="s">
        <x:v>1316</x:v>
      </x:c>
      <x:c r="H25" s="1" t="s">
        <x:v>1280</x:v>
      </x:c>
      <x:c r="I25" s="1"/>
      <x:c r="J25" s="1" t="s">
        <x:v>1162</x:v>
      </x:c>
      <x:c r="K25" s="1"/>
      <x:c r="L25" s="1"/>
      <x:c r="M25" s="21" t="s">
        <x:v>1275</x:v>
      </x:c>
      <x:c r="N25" s="17"/>
      <x:c r="O25" s="17"/>
      <x:c r="P25" s="22"/>
    </x:row>
    <x:row r="26" ht="25.5">
      <x:c r="A26" s="11">
        <x:v>20</x:v>
      </x:c>
      <x:c r="B26" s="1">
        <x:v>25</x:v>
      </x:c>
      <x:c r="C26" s="1" t="s">
        <x:v>1094</x:v>
      </x:c>
      <x:c r="D26" s="1" t="s">
        <x:v>1106</x:v>
      </x:c>
      <x:c r="E26" s="1">
        <x:v>4</x:v>
      </x:c>
      <x:c r="F26" s="1" t="s">
        <x:v>1317</x:v>
      </x:c>
      <x:c r="G26" s="1" t="s">
        <x:v>1318</x:v>
      </x:c>
      <x:c r="H26" s="1" t="s">
        <x:v>1280</x:v>
      </x:c>
      <x:c r="I26" s="1"/>
      <x:c r="J26" s="1" t="s">
        <x:v>1162</x:v>
      </x:c>
      <x:c r="K26" s="1"/>
      <x:c r="L26" s="1"/>
      <x:c r="M26" s="21" t="s">
        <x:v>1275</x:v>
      </x:c>
      <x:c r="N26" s="17"/>
      <x:c r="O26" s="17"/>
      <x:c r="P26" s="22"/>
    </x:row>
    <x:row r="27">
      <x:c r="A27" s="11">
        <x:v>21</x:v>
      </x:c>
      <x:c r="B27" s="1">
        <x:v>26</x:v>
      </x:c>
      <x:c r="C27" s="1" t="s">
        <x:v>1094</x:v>
      </x:c>
      <x:c r="D27" s="1" t="s">
        <x:v>1106</x:v>
      </x:c>
      <x:c r="E27" s="1">
        <x:v>4</x:v>
      </x:c>
      <x:c r="F27" s="1" t="s">
        <x:v>1319</x:v>
      </x:c>
      <x:c r="G27" s="1" t="s">
        <x:v>1320</x:v>
      </x:c>
      <x:c r="H27" s="1"/>
      <x:c r="I27" s="1" t="s">
        <x:v>1216</x:v>
      </x:c>
      <x:c r="J27" s="1" t="s">
        <x:v>1135</x:v>
      </x:c>
      <x:c r="K27" s="1"/>
      <x:c r="L27" s="1"/>
      <x:c r="M27" s="21" t="s">
        <x:v>1275</x:v>
      </x:c>
      <x:c r="N27" s="17"/>
      <x:c r="O27" s="17"/>
      <x:c r="P27" s="22"/>
    </x:row>
    <x:row r="28" ht="25.5">
      <x:c r="A28" s="11">
        <x:v>22</x:v>
      </x:c>
      <x:c r="B28" s="1">
        <x:v>27</x:v>
      </x:c>
      <x:c r="C28" s="1" t="s">
        <x:v>1094</x:v>
      </x:c>
      <x:c r="D28" s="1" t="s">
        <x:v>1106</x:v>
      </x:c>
      <x:c r="E28" s="1">
        <x:v>4</x:v>
      </x:c>
      <x:c r="F28" s="1" t="s">
        <x:v>1321</x:v>
      </x:c>
      <x:c r="G28" s="1" t="s">
        <x:v>1322</x:v>
      </x:c>
      <x:c r="H28" s="1"/>
      <x:c r="I28" s="1"/>
      <x:c r="J28" s="1" t="s">
        <x:v>1135</x:v>
      </x:c>
      <x:c r="K28" s="1"/>
      <x:c r="L28" s="1"/>
      <x:c r="M28" s="21" t="s">
        <x:v>1275</x:v>
      </x:c>
      <x:c r="N28" s="17"/>
      <x:c r="O28" s="17"/>
      <x:c r="P28" s="22"/>
    </x:row>
    <x:row r="29">
      <x:c r="A29" s="11">
        <x:v>23</x:v>
      </x:c>
      <x:c r="B29" s="1">
        <x:v>28</x:v>
      </x:c>
      <x:c r="C29" s="1" t="s">
        <x:v>1094</x:v>
      </x:c>
      <x:c r="D29" s="1" t="s">
        <x:v>1106</x:v>
      </x:c>
      <x:c r="E29" s="1">
        <x:v>4</x:v>
      </x:c>
      <x:c r="F29" s="1" t="s">
        <x:v>1323</x:v>
      </x:c>
      <x:c r="G29" s="1"/>
      <x:c r="H29" s="1"/>
      <x:c r="I29" s="1"/>
      <x:c r="J29" s="1"/>
      <x:c r="K29" s="1"/>
      <x:c r="L29" s="1"/>
      <x:c r="M29" s="21" t="s">
        <x:v>1275</x:v>
      </x:c>
      <x:c r="N29" s="17"/>
      <x:c r="O29" s="17"/>
      <x:c r="P29" s="22"/>
    </x:row>
    <x:row r="30" ht="204">
      <x:c r="A30" s="11">
        <x:v>24</x:v>
      </x:c>
      <x:c r="B30" s="1">
        <x:v>29</x:v>
      </x:c>
      <x:c r="C30" s="1" t="s">
        <x:v>1094</x:v>
      </x:c>
      <x:c r="D30" s="1" t="s">
        <x:v>1109</x:v>
      </x:c>
      <x:c r="E30" s="1">
        <x:v>5</x:v>
      </x:c>
      <x:c r="F30" s="1" t="s">
        <x:v>1324</x:v>
      </x:c>
      <x:c r="G30" s="1" t="s">
        <x:v>1325</x:v>
      </x:c>
      <x:c r="H30" s="1" t="s">
        <x:v>1280</x:v>
      </x:c>
      <x:c r="I30" s="1" t="s">
        <x:v>1172</x:v>
      </x:c>
      <x:c r="J30" s="1" t="s">
        <x:v>1162</x:v>
      </x:c>
      <x:c r="K30" s="1" t="s">
        <x:v>1326</x:v>
      </x:c>
      <x:c r="L30" s="1"/>
      <x:c r="M30" s="21" t="s">
        <x:v>1275</x:v>
      </x:c>
      <x:c r="N30" s="17"/>
      <x:c r="O30" s="17"/>
      <x:c r="P30" s="22"/>
    </x:row>
    <x:row r="31">
      <x:c r="A31" s="11">
        <x:v>25</x:v>
      </x:c>
      <x:c r="B31" s="1">
        <x:v>30</x:v>
      </x:c>
      <x:c r="C31" s="1" t="s">
        <x:v>1094</x:v>
      </x:c>
      <x:c r="D31" s="1" t="s">
        <x:v>1109</x:v>
      </x:c>
      <x:c r="E31" s="1">
        <x:v>5</x:v>
      </x:c>
      <x:c r="F31" s="1"/>
      <x:c r="G31" s="1" t="s">
        <x:v>1327</x:v>
      </x:c>
      <x:c r="H31" s="1" t="s">
        <x:v>1280</x:v>
      </x:c>
      <x:c r="I31" s="1"/>
      <x:c r="J31" s="1" t="s">
        <x:v>1162</x:v>
      </x:c>
      <x:c r="K31" s="1" t="s">
        <x:v>1328</x:v>
      </x:c>
      <x:c r="L31" s="1"/>
      <x:c r="M31" s="21" t="s">
        <x:v>1275</x:v>
      </x:c>
      <x:c r="N31" s="17"/>
      <x:c r="O31" s="17"/>
      <x:c r="P31" s="22"/>
    </x:row>
    <x:row r="32">
      <x:c r="A32" s="11">
        <x:v>26</x:v>
      </x:c>
      <x:c r="B32" s="1">
        <x:v>31</x:v>
      </x:c>
      <x:c r="C32" s="1" t="s">
        <x:v>1094</x:v>
      </x:c>
      <x:c r="D32" s="1" t="s">
        <x:v>1109</x:v>
      </x:c>
      <x:c r="E32" s="1">
        <x:v>5</x:v>
      </x:c>
      <x:c r="F32" s="1"/>
      <x:c r="G32" s="1" t="s">
        <x:v>1329</x:v>
      </x:c>
      <x:c r="H32" s="1"/>
      <x:c r="I32" s="1"/>
      <x:c r="J32" s="1"/>
      <x:c r="K32" s="1"/>
      <x:c r="L32" s="1"/>
      <x:c r="M32" s="21" t="s">
        <x:v>1275</x:v>
      </x:c>
      <x:c r="N32" s="17"/>
      <x:c r="O32" s="17"/>
      <x:c r="P32" s="22"/>
    </x:row>
    <x:row r="33">
      <x:c r="A33" s="11">
        <x:v>27</x:v>
      </x:c>
      <x:c r="B33" s="1">
        <x:v>32</x:v>
      </x:c>
      <x:c r="C33" s="1" t="s">
        <x:v>1094</x:v>
      </x:c>
      <x:c r="D33" s="1" t="s">
        <x:v>1109</x:v>
      </x:c>
      <x:c r="E33" s="1">
        <x:v>5</x:v>
      </x:c>
      <x:c r="F33" s="1"/>
      <x:c r="G33" s="1" t="s">
        <x:v>1330</x:v>
      </x:c>
      <x:c r="H33" s="1" t="s">
        <x:v>1280</x:v>
      </x:c>
      <x:c r="I33" s="1" t="s">
        <x:v>1157</x:v>
      </x:c>
      <x:c r="J33" s="1" t="s">
        <x:v>335</x:v>
      </x:c>
      <x:c r="K33" s="1"/>
      <x:c r="L33" s="1"/>
      <x:c r="M33" s="21" t="s">
        <x:v>1275</x:v>
      </x:c>
      <x:c r="N33" s="17"/>
      <x:c r="O33" s="17"/>
      <x:c r="P33" s="22"/>
    </x:row>
    <x:row r="34">
      <x:c r="A34" s="11">
        <x:v>28</x:v>
      </x:c>
      <x:c r="B34" s="1">
        <x:v>33</x:v>
      </x:c>
      <x:c r="C34" s="1" t="s">
        <x:v>1094</x:v>
      </x:c>
      <x:c r="D34" s="1" t="s">
        <x:v>1109</x:v>
      </x:c>
      <x:c r="E34" s="1">
        <x:v>5</x:v>
      </x:c>
      <x:c r="F34" s="1"/>
      <x:c r="G34" s="1" t="s">
        <x:v>1331</x:v>
      </x:c>
      <x:c r="H34" s="1" t="s">
        <x:v>1280</x:v>
      </x:c>
      <x:c r="I34" s="1"/>
      <x:c r="J34" s="1" t="s">
        <x:v>335</x:v>
      </x:c>
      <x:c r="K34" s="1"/>
      <x:c r="L34" s="1"/>
      <x:c r="M34" s="21" t="s">
        <x:v>1275</x:v>
      </x:c>
      <x:c r="N34" s="17"/>
      <x:c r="O34" s="17"/>
      <x:c r="P34" s="22"/>
    </x:row>
    <x:row r="35">
      <x:c r="A35" s="11">
        <x:v>29</x:v>
      </x:c>
      <x:c r="B35" s="1">
        <x:v>34</x:v>
      </x:c>
      <x:c r="C35" s="1" t="s">
        <x:v>1094</x:v>
      </x:c>
      <x:c r="D35" s="1" t="s">
        <x:v>1109</x:v>
      </x:c>
      <x:c r="E35" s="1">
        <x:v>5</x:v>
      </x:c>
      <x:c r="F35" s="1"/>
      <x:c r="G35" s="1" t="s">
        <x:v>1332</x:v>
      </x:c>
      <x:c r="H35" s="1"/>
      <x:c r="I35" s="1"/>
      <x:c r="J35" s="1" t="s">
        <x:v>335</x:v>
      </x:c>
      <x:c r="K35" s="1"/>
      <x:c r="L35" s="1"/>
      <x:c r="M35" s="21" t="s">
        <x:v>1275</x:v>
      </x:c>
      <x:c r="N35" s="17"/>
      <x:c r="O35" s="17"/>
      <x:c r="P35" s="22"/>
    </x:row>
    <x:row r="36">
      <x:c r="A36" s="11">
        <x:v>30</x:v>
      </x:c>
      <x:c r="B36" s="1">
        <x:v>35</x:v>
      </x:c>
      <x:c r="C36" s="1" t="s">
        <x:v>1094</x:v>
      </x:c>
      <x:c r="D36" s="1" t="s">
        <x:v>1109</x:v>
      </x:c>
      <x:c r="E36" s="1">
        <x:v>5</x:v>
      </x:c>
      <x:c r="F36" s="1"/>
      <x:c r="G36" s="1" t="s">
        <x:v>1333</x:v>
      </x:c>
      <x:c r="H36" s="1"/>
      <x:c r="I36" s="1"/>
      <x:c r="J36" s="1"/>
      <x:c r="K36" s="1"/>
      <x:c r="L36" s="1"/>
      <x:c r="M36" s="21" t="s">
        <x:v>1275</x:v>
      </x:c>
      <x:c r="N36" s="17"/>
      <x:c r="O36" s="17"/>
      <x:c r="P36" s="22"/>
    </x:row>
    <x:row r="37">
      <x:c r="A37" s="11">
        <x:v>31</x:v>
      </x:c>
      <x:c r="B37" s="1">
        <x:v>36</x:v>
      </x:c>
      <x:c r="C37" s="1" t="s">
        <x:v>1094</x:v>
      </x:c>
      <x:c r="D37" s="1" t="s">
        <x:v>1109</x:v>
      </x:c>
      <x:c r="E37" s="1">
        <x:v>5</x:v>
      </x:c>
      <x:c r="F37" s="1"/>
      <x:c r="G37" s="1" t="s">
        <x:v>1334</x:v>
      </x:c>
      <x:c r="H37" s="1"/>
      <x:c r="I37" s="1" t="s">
        <x:v>1157</x:v>
      </x:c>
      <x:c r="J37" s="1" t="s">
        <x:v>335</x:v>
      </x:c>
      <x:c r="K37" s="1"/>
      <x:c r="L37" s="1"/>
      <x:c r="M37" s="21" t="s">
        <x:v>1275</x:v>
      </x:c>
      <x:c r="N37" s="17"/>
      <x:c r="O37" s="17"/>
      <x:c r="P37" s="22"/>
    </x:row>
    <x:row r="38" ht="25.5">
      <x:c r="A38" s="11">
        <x:v>32</x:v>
      </x:c>
      <x:c r="B38" s="1">
        <x:v>40</x:v>
      </x:c>
      <x:c r="C38" s="1" t="s">
        <x:v>1113</x:v>
      </x:c>
      <x:c r="D38" s="1" t="s">
        <x:v>1114</x:v>
      </x:c>
      <x:c r="E38" s="1">
        <x:v>6</x:v>
      </x:c>
      <x:c r="F38" s="1" t="s">
        <x:v>1335</x:v>
      </x:c>
      <x:c r="G38" s="1" t="s">
        <x:v>1336</x:v>
      </x:c>
      <x:c r="H38" s="1"/>
      <x:c r="I38" s="1" t="s">
        <x:v>1116</x:v>
      </x:c>
      <x:c r="J38" s="1" t="s">
        <x:v>1117</x:v>
      </x:c>
      <x:c r="K38" s="1" t="s">
        <x:v>1337</x:v>
      </x:c>
      <x:c r="L38" s="1"/>
      <x:c r="M38" s="21" t="s">
        <x:v>1275</x:v>
      </x:c>
      <x:c r="N38" s="17"/>
      <x:c r="O38" s="17"/>
      <x:c r="P38" s="22"/>
    </x:row>
    <x:row r="39" ht="25.5">
      <x:c r="A39" s="11">
        <x:v>33</x:v>
      </x:c>
      <x:c r="B39" s="1">
        <x:v>41</x:v>
      </x:c>
      <x:c r="C39" s="1" t="s">
        <x:v>1113</x:v>
      </x:c>
      <x:c r="D39" s="1" t="s">
        <x:v>1114</x:v>
      </x:c>
      <x:c r="E39" s="1">
        <x:v>6</x:v>
      </x:c>
      <x:c r="F39" s="1" t="s">
        <x:v>1338</x:v>
      </x:c>
      <x:c r="G39" s="1" t="s">
        <x:v>1339</x:v>
      </x:c>
      <x:c r="H39" s="1"/>
      <x:c r="I39" s="1"/>
      <x:c r="J39" s="1" t="s">
        <x:v>1117</x:v>
      </x:c>
      <x:c r="K39" s="1" t="s">
        <x:v>1340</x:v>
      </x:c>
      <x:c r="L39" s="1"/>
      <x:c r="M39" s="21" t="s">
        <x:v>1275</x:v>
      </x:c>
      <x:c r="N39" s="17"/>
      <x:c r="O39" s="17"/>
      <x:c r="P39" s="22"/>
    </x:row>
    <x:row r="40" ht="25.5">
      <x:c r="A40" s="11">
        <x:v>34</x:v>
      </x:c>
      <x:c r="B40" s="1">
        <x:v>42</x:v>
      </x:c>
      <x:c r="C40" s="1" t="s">
        <x:v>1113</x:v>
      </x:c>
      <x:c r="D40" s="1" t="s">
        <x:v>1114</x:v>
      </x:c>
      <x:c r="E40" s="1">
        <x:v>6</x:v>
      </x:c>
      <x:c r="F40" s="1" t="s">
        <x:v>1341</x:v>
      </x:c>
      <x:c r="G40" s="1" t="s">
        <x:v>1342</x:v>
      </x:c>
      <x:c r="H40" s="1" t="s">
        <x:v>1280</x:v>
      </x:c>
      <x:c r="I40" s="1"/>
      <x:c r="J40" s="1" t="s">
        <x:v>1117</x:v>
      </x:c>
      <x:c r="K40" s="1"/>
      <x:c r="L40" s="1"/>
      <x:c r="M40" s="21" t="s">
        <x:v>1275</x:v>
      </x:c>
      <x:c r="N40" s="17"/>
      <x:c r="O40" s="17"/>
      <x:c r="P40" s="22"/>
    </x:row>
    <x:row r="41" ht="25.5">
      <x:c r="A41" s="11">
        <x:v>35</x:v>
      </x:c>
      <x:c r="B41" s="1">
        <x:v>43</x:v>
      </x:c>
      <x:c r="C41" s="1" t="s">
        <x:v>1113</x:v>
      </x:c>
      <x:c r="D41" s="1" t="s">
        <x:v>1114</x:v>
      </x:c>
      <x:c r="E41" s="1">
        <x:v>6</x:v>
      </x:c>
      <x:c r="F41" s="1" t="s">
        <x:v>1343</x:v>
      </x:c>
      <x:c r="G41" s="1" t="s">
        <x:v>1344</x:v>
      </x:c>
      <x:c r="H41" s="1"/>
      <x:c r="I41" s="1"/>
      <x:c r="J41" s="1" t="s">
        <x:v>1117</x:v>
      </x:c>
      <x:c r="K41" s="1"/>
      <x:c r="L41" s="1"/>
      <x:c r="M41" s="21" t="s">
        <x:v>1275</x:v>
      </x:c>
      <x:c r="N41" s="17"/>
      <x:c r="O41" s="17"/>
      <x:c r="P41" s="22"/>
    </x:row>
    <x:row r="42">
      <x:c r="A42" s="11">
        <x:v>36</x:v>
      </x:c>
      <x:c r="B42" s="1">
        <x:v>44</x:v>
      </x:c>
      <x:c r="C42" s="1" t="s">
        <x:v>1113</x:v>
      </x:c>
      <x:c r="D42" s="1" t="s">
        <x:v>1114</x:v>
      </x:c>
      <x:c r="E42" s="1">
        <x:v>6</x:v>
      </x:c>
      <x:c r="F42" s="1" t="s">
        <x:v>1345</x:v>
      </x:c>
      <x:c r="G42" s="1" t="s">
        <x:v>1346</x:v>
      </x:c>
      <x:c r="H42" s="1"/>
      <x:c r="I42" s="1"/>
      <x:c r="J42" s="1" t="s">
        <x:v>1117</x:v>
      </x:c>
      <x:c r="K42" s="1"/>
      <x:c r="L42" s="1"/>
      <x:c r="M42" s="21" t="s">
        <x:v>1275</x:v>
      </x:c>
      <x:c r="N42" s="17"/>
      <x:c r="O42" s="17"/>
      <x:c r="P42" s="22"/>
    </x:row>
    <x:row r="43" ht="25.5">
      <x:c r="A43" s="11">
        <x:v>37</x:v>
      </x:c>
      <x:c r="B43" s="1">
        <x:v>45</x:v>
      </x:c>
      <x:c r="C43" s="1" t="s">
        <x:v>1113</x:v>
      </x:c>
      <x:c r="D43" s="1" t="s">
        <x:v>1114</x:v>
      </x:c>
      <x:c r="E43" s="1">
        <x:v>6</x:v>
      </x:c>
      <x:c r="F43" s="1" t="s">
        <x:v>1347</x:v>
      </x:c>
      <x:c r="G43" s="1" t="s">
        <x:v>1348</x:v>
      </x:c>
      <x:c r="H43" s="1" t="s">
        <x:v>1280</x:v>
      </x:c>
      <x:c r="I43" s="1"/>
      <x:c r="J43" s="1" t="s">
        <x:v>1117</x:v>
      </x:c>
      <x:c r="K43" s="1"/>
      <x:c r="L43" s="1"/>
      <x:c r="M43" s="21" t="s">
        <x:v>1275</x:v>
      </x:c>
      <x:c r="N43" s="17"/>
      <x:c r="O43" s="17"/>
      <x:c r="P43" s="22"/>
    </x:row>
    <x:row r="44">
      <x:c r="A44" s="11">
        <x:v>38</x:v>
      </x:c>
      <x:c r="B44" s="1">
        <x:v>46</x:v>
      </x:c>
      <x:c r="C44" s="1" t="s">
        <x:v>1113</x:v>
      </x:c>
      <x:c r="D44" s="1" t="s">
        <x:v>1114</x:v>
      </x:c>
      <x:c r="E44" s="1">
        <x:v>6</x:v>
      </x:c>
      <x:c r="F44" s="1" t="s">
        <x:v>1349</x:v>
      </x:c>
      <x:c r="G44" s="1" t="s">
        <x:v>1350</x:v>
      </x:c>
      <x:c r="H44" s="1"/>
      <x:c r="I44" s="1"/>
      <x:c r="J44" s="1" t="s">
        <x:v>1117</x:v>
      </x:c>
      <x:c r="K44" s="1"/>
      <x:c r="L44" s="1"/>
      <x:c r="M44" s="21" t="s">
        <x:v>1275</x:v>
      </x:c>
      <x:c r="N44" s="17"/>
      <x:c r="O44" s="17"/>
      <x:c r="P44" s="22"/>
    </x:row>
    <x:row r="45" ht="25.5">
      <x:c r="A45" s="11">
        <x:v>39</x:v>
      </x:c>
      <x:c r="B45" s="1">
        <x:v>47</x:v>
      </x:c>
      <x:c r="C45" s="1" t="s">
        <x:v>1113</x:v>
      </x:c>
      <x:c r="D45" s="1" t="s">
        <x:v>1114</x:v>
      </x:c>
      <x:c r="E45" s="1">
        <x:v>6</x:v>
      </x:c>
      <x:c r="F45" s="1" t="s">
        <x:v>1351</x:v>
      </x:c>
      <x:c r="G45" s="1" t="s">
        <x:v>1352</x:v>
      </x:c>
      <x:c r="H45" s="1" t="s">
        <x:v>1280</x:v>
      </x:c>
      <x:c r="I45" s="1"/>
      <x:c r="J45" s="1" t="s">
        <x:v>1117</x:v>
      </x:c>
      <x:c r="K45" s="1"/>
      <x:c r="L45" s="1"/>
      <x:c r="M45" s="21" t="s">
        <x:v>1275</x:v>
      </x:c>
      <x:c r="N45" s="17"/>
      <x:c r="O45" s="17"/>
      <x:c r="P45" s="22"/>
    </x:row>
    <x:row r="46">
      <x:c r="A46" s="11">
        <x:v>40</x:v>
      </x:c>
      <x:c r="B46" s="1">
        <x:v>48</x:v>
      </x:c>
      <x:c r="C46" s="1" t="s">
        <x:v>1113</x:v>
      </x:c>
      <x:c r="D46" s="1" t="s">
        <x:v>1114</x:v>
      </x:c>
      <x:c r="E46" s="1">
        <x:v>6</x:v>
      </x:c>
      <x:c r="F46" s="1" t="s">
        <x:v>1353</x:v>
      </x:c>
      <x:c r="G46" s="1"/>
      <x:c r="H46" s="1"/>
      <x:c r="I46" s="1"/>
      <x:c r="J46" s="1"/>
      <x:c r="K46" s="1"/>
      <x:c r="L46" s="1"/>
      <x:c r="M46" s="21" t="s">
        <x:v>1275</x:v>
      </x:c>
      <x:c r="N46" s="17"/>
      <x:c r="O46" s="17"/>
      <x:c r="P46" s="22"/>
    </x:row>
    <x:row r="47">
      <x:c r="A47" s="11">
        <x:v>41</x:v>
      </x:c>
      <x:c r="B47" s="1">
        <x:v>49</x:v>
      </x:c>
      <x:c r="C47" s="1" t="s">
        <x:v>1113</x:v>
      </x:c>
      <x:c r="D47" s="1" t="s">
        <x:v>1119</x:v>
      </x:c>
      <x:c r="E47" s="1">
        <x:v>7</x:v>
      </x:c>
      <x:c r="F47" s="1" t="s">
        <x:v>1354</x:v>
      </x:c>
      <x:c r="G47" s="1" t="s">
        <x:v>1355</x:v>
      </x:c>
      <x:c r="H47" s="1"/>
      <x:c r="I47" s="1" t="s">
        <x:v>1139</x:v>
      </x:c>
      <x:c r="J47" s="1" t="s">
        <x:v>1135</x:v>
      </x:c>
      <x:c r="K47" s="1" t="s">
        <x:v>1356</x:v>
      </x:c>
      <x:c r="L47" s="1"/>
      <x:c r="M47" s="21" t="s">
        <x:v>1275</x:v>
      </x:c>
      <x:c r="N47" s="17"/>
      <x:c r="O47" s="17"/>
      <x:c r="P47" s="22"/>
    </x:row>
    <x:row r="48">
      <x:c r="A48" s="11">
        <x:v>42</x:v>
      </x:c>
      <x:c r="B48" s="1">
        <x:v>50</x:v>
      </x:c>
      <x:c r="C48" s="1" t="s">
        <x:v>1113</x:v>
      </x:c>
      <x:c r="D48" s="1" t="s">
        <x:v>1119</x:v>
      </x:c>
      <x:c r="E48" s="1">
        <x:v>7</x:v>
      </x:c>
      <x:c r="F48" s="1" t="s">
        <x:v>1357</x:v>
      </x:c>
      <x:c r="G48" s="1" t="s">
        <x:v>1358</x:v>
      </x:c>
      <x:c r="H48" s="1" t="s">
        <x:v>1280</x:v>
      </x:c>
      <x:c r="I48" s="1" t="s">
        <x:v>1359</x:v>
      </x:c>
      <x:c r="J48" s="1" t="s">
        <x:v>1117</x:v>
      </x:c>
      <x:c r="K48" s="1" t="s">
        <x:v>1360</x:v>
      </x:c>
      <x:c r="L48" s="1"/>
      <x:c r="M48" s="21" t="s">
        <x:v>1275</x:v>
      </x:c>
      <x:c r="N48" s="17"/>
      <x:c r="O48" s="17"/>
      <x:c r="P48" s="22"/>
    </x:row>
    <x:row r="49">
      <x:c r="A49" s="11">
        <x:v>43</x:v>
      </x:c>
      <x:c r="B49" s="1">
        <x:v>51</x:v>
      </x:c>
      <x:c r="C49" s="1" t="s">
        <x:v>1113</x:v>
      </x:c>
      <x:c r="D49" s="1" t="s">
        <x:v>1119</x:v>
      </x:c>
      <x:c r="E49" s="1">
        <x:v>7</x:v>
      </x:c>
      <x:c r="F49" s="1"/>
      <x:c r="G49" s="1" t="s">
        <x:v>1361</x:v>
      </x:c>
      <x:c r="H49" s="1" t="s">
        <x:v>1280</x:v>
      </x:c>
      <x:c r="I49" s="1" t="s">
        <x:v>1139</x:v>
      </x:c>
      <x:c r="J49" s="1" t="s">
        <x:v>1135</x:v>
      </x:c>
      <x:c r="K49" s="1" t="s">
        <x:v>1362</x:v>
      </x:c>
      <x:c r="L49" s="1"/>
      <x:c r="M49" s="21" t="s">
        <x:v>1275</x:v>
      </x:c>
      <x:c r="N49" s="17"/>
      <x:c r="O49" s="17"/>
      <x:c r="P49" s="22"/>
    </x:row>
    <x:row r="50">
      <x:c r="A50" s="11">
        <x:v>44</x:v>
      </x:c>
      <x:c r="B50" s="1">
        <x:v>52</x:v>
      </x:c>
      <x:c r="C50" s="1" t="s">
        <x:v>1113</x:v>
      </x:c>
      <x:c r="D50" s="1" t="s">
        <x:v>1119</x:v>
      </x:c>
      <x:c r="E50" s="1">
        <x:v>7</x:v>
      </x:c>
      <x:c r="F50" s="1"/>
      <x:c r="G50" s="1" t="s">
        <x:v>1363</x:v>
      </x:c>
      <x:c r="H50" s="1"/>
      <x:c r="I50" s="1" t="s">
        <x:v>1216</x:v>
      </x:c>
      <x:c r="J50" s="1" t="s">
        <x:v>1135</x:v>
      </x:c>
      <x:c r="K50" s="1"/>
      <x:c r="L50" s="1"/>
      <x:c r="M50" s="21" t="s">
        <x:v>1275</x:v>
      </x:c>
      <x:c r="N50" s="17"/>
      <x:c r="O50" s="17"/>
      <x:c r="P50" s="22"/>
    </x:row>
    <x:row r="51">
      <x:c r="A51" s="11">
        <x:v>45</x:v>
      </x:c>
      <x:c r="B51" s="1">
        <x:v>53</x:v>
      </x:c>
      <x:c r="C51" s="1" t="s">
        <x:v>1113</x:v>
      </x:c>
      <x:c r="D51" s="1" t="s">
        <x:v>1119</x:v>
      </x:c>
      <x:c r="E51" s="1">
        <x:v>7</x:v>
      </x:c>
      <x:c r="F51" s="1"/>
      <x:c r="G51" s="1" t="s">
        <x:v>1364</x:v>
      </x:c>
      <x:c r="H51" s="1"/>
      <x:c r="I51" s="1" t="s">
        <x:v>1139</x:v>
      </x:c>
      <x:c r="J51" s="1" t="s">
        <x:v>1135</x:v>
      </x:c>
      <x:c r="K51" s="1"/>
      <x:c r="L51" s="1"/>
      <x:c r="M51" s="21" t="s">
        <x:v>1275</x:v>
      </x:c>
      <x:c r="N51" s="17"/>
      <x:c r="O51" s="17"/>
      <x:c r="P51" s="22"/>
    </x:row>
    <x:row r="52">
      <x:c r="A52" s="11">
        <x:v>46</x:v>
      </x:c>
      <x:c r="B52" s="1">
        <x:v>54</x:v>
      </x:c>
      <x:c r="C52" s="1" t="s">
        <x:v>1113</x:v>
      </x:c>
      <x:c r="D52" s="1" t="s">
        <x:v>1124</x:v>
      </x:c>
      <x:c r="E52" s="1">
        <x:v>8</x:v>
      </x:c>
      <x:c r="F52" s="1" t="s">
        <x:v>1365</x:v>
      </x:c>
      <x:c r="G52" s="1" t="s">
        <x:v>1366</x:v>
      </x:c>
      <x:c r="H52" s="1"/>
      <x:c r="I52" s="1" t="s">
        <x:v>1139</x:v>
      </x:c>
      <x:c r="J52" s="1" t="s">
        <x:v>1135</x:v>
      </x:c>
      <x:c r="K52" s="1" t="s">
        <x:v>1367</x:v>
      </x:c>
      <x:c r="L52" s="1"/>
      <x:c r="M52" s="21" t="s">
        <x:v>1275</x:v>
      </x:c>
      <x:c r="N52" s="17"/>
      <x:c r="O52" s="17"/>
      <x:c r="P52" s="22"/>
    </x:row>
    <x:row r="53" ht="25.5">
      <x:c r="A53" s="11">
        <x:v>47</x:v>
      </x:c>
      <x:c r="B53" s="1">
        <x:v>55</x:v>
      </x:c>
      <x:c r="C53" s="1" t="s">
        <x:v>1113</x:v>
      </x:c>
      <x:c r="D53" s="1" t="s">
        <x:v>1124</x:v>
      </x:c>
      <x:c r="E53" s="1">
        <x:v>8</x:v>
      </x:c>
      <x:c r="F53" s="1" t="s">
        <x:v>1368</x:v>
      </x:c>
      <x:c r="G53" s="1" t="s">
        <x:v>1369</x:v>
      </x:c>
      <x:c r="H53" s="1" t="s">
        <x:v>1280</x:v>
      </x:c>
      <x:c r="I53" s="1" t="s">
        <x:v>1139</x:v>
      </x:c>
      <x:c r="J53" s="1" t="s">
        <x:v>1135</x:v>
      </x:c>
      <x:c r="K53" s="1" t="s">
        <x:v>1370</x:v>
      </x:c>
      <x:c r="L53" s="1"/>
      <x:c r="M53" s="21" t="s">
        <x:v>1275</x:v>
      </x:c>
      <x:c r="N53" s="17"/>
      <x:c r="O53" s="17"/>
      <x:c r="P53" s="22"/>
    </x:row>
    <x:row r="54">
      <x:c r="A54" s="11">
        <x:v>48</x:v>
      </x:c>
      <x:c r="B54" s="1">
        <x:v>56</x:v>
      </x:c>
      <x:c r="C54" s="1" t="s">
        <x:v>1113</x:v>
      </x:c>
      <x:c r="D54" s="1" t="s">
        <x:v>1124</x:v>
      </x:c>
      <x:c r="E54" s="1">
        <x:v>8</x:v>
      </x:c>
      <x:c r="F54" s="1" t="s">
        <x:v>1371</x:v>
      </x:c>
      <x:c r="G54" s="1" t="s">
        <x:v>1372</x:v>
      </x:c>
      <x:c r="H54" s="1" t="s">
        <x:v>1280</x:v>
      </x:c>
      <x:c r="I54" s="1" t="s">
        <x:v>1172</x:v>
      </x:c>
      <x:c r="J54" s="1" t="s">
        <x:v>1162</x:v>
      </x:c>
      <x:c r="K54" s="1"/>
      <x:c r="L54" s="1"/>
      <x:c r="M54" s="21" t="s">
        <x:v>1275</x:v>
      </x:c>
      <x:c r="N54" s="17"/>
      <x:c r="O54" s="17"/>
      <x:c r="P54" s="22"/>
    </x:row>
    <x:row r="55" ht="25.5">
      <x:c r="A55" s="11">
        <x:v>49</x:v>
      </x:c>
      <x:c r="B55" s="1">
        <x:v>57</x:v>
      </x:c>
      <x:c r="C55" s="1" t="s">
        <x:v>1113</x:v>
      </x:c>
      <x:c r="D55" s="1" t="s">
        <x:v>1124</x:v>
      </x:c>
      <x:c r="E55" s="1">
        <x:v>8</x:v>
      </x:c>
      <x:c r="F55" s="1" t="s">
        <x:v>1373</x:v>
      </x:c>
      <x:c r="G55" s="1" t="s">
        <x:v>1374</x:v>
      </x:c>
      <x:c r="H55" s="1" t="s">
        <x:v>1280</x:v>
      </x:c>
      <x:c r="I55" s="1" t="s">
        <x:v>1139</x:v>
      </x:c>
      <x:c r="J55" s="1" t="s">
        <x:v>1135</x:v>
      </x:c>
      <x:c r="K55" s="1"/>
      <x:c r="L55" s="1"/>
      <x:c r="M55" s="21" t="s">
        <x:v>1275</x:v>
      </x:c>
      <x:c r="N55" s="17"/>
      <x:c r="O55" s="17"/>
      <x:c r="P55" s="22"/>
    </x:row>
    <x:row r="56">
      <x:c r="A56" s="11">
        <x:v>50</x:v>
      </x:c>
      <x:c r="B56" s="1">
        <x:v>58</x:v>
      </x:c>
      <x:c r="C56" s="1" t="s">
        <x:v>1113</x:v>
      </x:c>
      <x:c r="D56" s="1" t="s">
        <x:v>1124</x:v>
      </x:c>
      <x:c r="E56" s="1">
        <x:v>8</x:v>
      </x:c>
      <x:c r="F56" s="1" t="s">
        <x:v>1375</x:v>
      </x:c>
      <x:c r="G56" s="1"/>
      <x:c r="H56" s="1"/>
      <x:c r="I56" s="1"/>
      <x:c r="J56" s="1"/>
      <x:c r="K56" s="1"/>
      <x:c r="L56" s="1"/>
      <x:c r="M56" s="21" t="s">
        <x:v>1275</x:v>
      </x:c>
      <x:c r="N56" s="17"/>
      <x:c r="O56" s="17"/>
      <x:c r="P56" s="22"/>
    </x:row>
    <x:row r="57">
      <x:c r="A57" s="11">
        <x:v>51</x:v>
      </x:c>
      <x:c r="B57" s="1">
        <x:v>59</x:v>
      </x:c>
      <x:c r="C57" s="1" t="s">
        <x:v>1113</x:v>
      </x:c>
      <x:c r="D57" s="1" t="s">
        <x:v>1128</x:v>
      </x:c>
      <x:c r="E57" s="1">
        <x:v>9</x:v>
      </x:c>
      <x:c r="F57" s="1" t="s">
        <x:v>1376</x:v>
      </x:c>
      <x:c r="G57" s="1" t="s">
        <x:v>1377</x:v>
      </x:c>
      <x:c r="H57" s="1"/>
      <x:c r="I57" s="1" t="s">
        <x:v>1216</x:v>
      </x:c>
      <x:c r="J57" s="1" t="s">
        <x:v>1135</x:v>
      </x:c>
      <x:c r="K57" s="1" t="s">
        <x:v>1378</x:v>
      </x:c>
      <x:c r="L57" s="1"/>
      <x:c r="M57" s="21" t="s">
        <x:v>1275</x:v>
      </x:c>
      <x:c r="N57" s="17"/>
      <x:c r="O57" s="17"/>
      <x:c r="P57" s="22"/>
    </x:row>
    <x:row r="58" ht="25.5">
      <x:c r="A58" s="11">
        <x:v>52</x:v>
      </x:c>
      <x:c r="B58" s="1">
        <x:v>60</x:v>
      </x:c>
      <x:c r="C58" s="1" t="s">
        <x:v>1113</x:v>
      </x:c>
      <x:c r="D58" s="1" t="s">
        <x:v>1128</x:v>
      </x:c>
      <x:c r="E58" s="1">
        <x:v>9</x:v>
      </x:c>
      <x:c r="F58" s="1" t="s">
        <x:v>1379</x:v>
      </x:c>
      <x:c r="G58" s="1" t="s">
        <x:v>1380</x:v>
      </x:c>
      <x:c r="H58" s="1"/>
      <x:c r="I58" s="1" t="s">
        <x:v>1216</x:v>
      </x:c>
      <x:c r="J58" s="1" t="s">
        <x:v>1135</x:v>
      </x:c>
      <x:c r="K58" s="1" t="s">
        <x:v>1294</x:v>
      </x:c>
      <x:c r="L58" s="1"/>
      <x:c r="M58" s="21" t="s">
        <x:v>1275</x:v>
      </x:c>
      <x:c r="N58" s="17"/>
      <x:c r="O58" s="17"/>
      <x:c r="P58" s="22"/>
    </x:row>
    <x:row r="59" ht="25.5">
      <x:c r="A59" s="11">
        <x:v>53</x:v>
      </x:c>
      <x:c r="B59" s="1">
        <x:v>61</x:v>
      </x:c>
      <x:c r="C59" s="1" t="s">
        <x:v>1113</x:v>
      </x:c>
      <x:c r="D59" s="1" t="s">
        <x:v>1128</x:v>
      </x:c>
      <x:c r="E59" s="1">
        <x:v>9</x:v>
      </x:c>
      <x:c r="F59" s="1" t="s">
        <x:v>1381</x:v>
      </x:c>
      <x:c r="G59" s="1" t="s">
        <x:v>1382</x:v>
      </x:c>
      <x:c r="H59" s="1"/>
      <x:c r="I59" s="1" t="s">
        <x:v>1359</x:v>
      </x:c>
      <x:c r="J59" s="1" t="s">
        <x:v>1117</x:v>
      </x:c>
      <x:c r="K59" s="1" t="s">
        <x:v>1383</x:v>
      </x:c>
      <x:c r="L59" s="1"/>
      <x:c r="M59" s="21" t="s">
        <x:v>1275</x:v>
      </x:c>
      <x:c r="N59" s="17"/>
      <x:c r="O59" s="17"/>
      <x:c r="P59" s="22"/>
    </x:row>
    <x:row r="60" ht="25.5">
      <x:c r="A60" s="11">
        <x:v>54</x:v>
      </x:c>
      <x:c r="B60" s="1">
        <x:v>62</x:v>
      </x:c>
      <x:c r="C60" s="1" t="s">
        <x:v>1113</x:v>
      </x:c>
      <x:c r="D60" s="1" t="s">
        <x:v>1128</x:v>
      </x:c>
      <x:c r="E60" s="1">
        <x:v>9</x:v>
      </x:c>
      <x:c r="F60" s="1" t="s">
        <x:v>1384</x:v>
      </x:c>
      <x:c r="G60" s="1" t="s">
        <x:v>1385</x:v>
      </x:c>
      <x:c r="H60" s="1"/>
      <x:c r="I60" s="1" t="s">
        <x:v>1359</x:v>
      </x:c>
      <x:c r="J60" s="1" t="s">
        <x:v>1117</x:v>
      </x:c>
      <x:c r="K60" s="1"/>
      <x:c r="L60" s="1"/>
      <x:c r="M60" s="21" t="s">
        <x:v>1275</x:v>
      </x:c>
      <x:c r="N60" s="17"/>
      <x:c r="O60" s="17"/>
      <x:c r="P60" s="22"/>
    </x:row>
    <x:row r="61" ht="25.5">
      <x:c r="A61" s="11">
        <x:v>55</x:v>
      </x:c>
      <x:c r="B61" s="1">
        <x:v>63</x:v>
      </x:c>
      <x:c r="C61" s="1" t="s">
        <x:v>1113</x:v>
      </x:c>
      <x:c r="D61" s="1" t="s">
        <x:v>1132</x:v>
      </x:c>
      <x:c r="E61" s="1">
        <x:v>10</x:v>
      </x:c>
      <x:c r="F61" s="1" t="s">
        <x:v>1386</x:v>
      </x:c>
      <x:c r="G61" s="1" t="s">
        <x:v>1387</x:v>
      </x:c>
      <x:c r="H61" s="1"/>
      <x:c r="I61" s="1" t="s">
        <x:v>1139</x:v>
      </x:c>
      <x:c r="J61" s="1" t="s">
        <x:v>1135</x:v>
      </x:c>
      <x:c r="K61" s="1" t="s">
        <x:v>1388</x:v>
      </x:c>
      <x:c r="L61" s="1"/>
      <x:c r="M61" s="21" t="s">
        <x:v>1275</x:v>
      </x:c>
      <x:c r="N61" s="17"/>
      <x:c r="O61" s="17"/>
      <x:c r="P61" s="22"/>
    </x:row>
    <x:row r="62" ht="25.5">
      <x:c r="A62" s="11">
        <x:v>56</x:v>
      </x:c>
      <x:c r="B62" s="1">
        <x:v>64</x:v>
      </x:c>
      <x:c r="C62" s="1" t="s">
        <x:v>1113</x:v>
      </x:c>
      <x:c r="D62" s="1" t="s">
        <x:v>1132</x:v>
      </x:c>
      <x:c r="E62" s="1">
        <x:v>10</x:v>
      </x:c>
      <x:c r="F62" s="1" t="s">
        <x:v>1389</x:v>
      </x:c>
      <x:c r="G62" s="1" t="s">
        <x:v>1390</x:v>
      </x:c>
      <x:c r="H62" s="1"/>
      <x:c r="I62" s="1" t="s">
        <x:v>1139</x:v>
      </x:c>
      <x:c r="J62" s="1" t="s">
        <x:v>1135</x:v>
      </x:c>
      <x:c r="K62" s="1" t="s">
        <x:v>1391</x:v>
      </x:c>
      <x:c r="L62" s="1"/>
      <x:c r="M62" s="21" t="s">
        <x:v>1275</x:v>
      </x:c>
      <x:c r="N62" s="17"/>
      <x:c r="O62" s="17"/>
      <x:c r="P62" s="22"/>
    </x:row>
    <x:row r="63" ht="25.5">
      <x:c r="A63" s="11">
        <x:v>57</x:v>
      </x:c>
      <x:c r="B63" s="1">
        <x:v>65</x:v>
      </x:c>
      <x:c r="C63" s="1" t="s">
        <x:v>1113</x:v>
      </x:c>
      <x:c r="D63" s="1" t="s">
        <x:v>1132</x:v>
      </x:c>
      <x:c r="E63" s="1">
        <x:v>10</x:v>
      </x:c>
      <x:c r="F63" s="1" t="s">
        <x:v>1392</x:v>
      </x:c>
      <x:c r="G63" s="1" t="s">
        <x:v>1393</x:v>
      </x:c>
      <x:c r="H63" s="1"/>
      <x:c r="I63" s="1" t="s">
        <x:v>1139</x:v>
      </x:c>
      <x:c r="J63" s="1" t="s">
        <x:v>1135</x:v>
      </x:c>
      <x:c r="K63" s="1" t="s">
        <x:v>1394</x:v>
      </x:c>
      <x:c r="L63" s="1"/>
      <x:c r="M63" s="21" t="s">
        <x:v>1275</x:v>
      </x:c>
      <x:c r="N63" s="17"/>
      <x:c r="O63" s="17"/>
      <x:c r="P63" s="22"/>
    </x:row>
    <x:row r="64">
      <x:c r="A64" s="11">
        <x:v>58</x:v>
      </x:c>
      <x:c r="B64" s="1">
        <x:v>66</x:v>
      </x:c>
      <x:c r="C64" s="1" t="s">
        <x:v>1113</x:v>
      </x:c>
      <x:c r="D64" s="1" t="s">
        <x:v>1132</x:v>
      </x:c>
      <x:c r="E64" s="1">
        <x:v>10</x:v>
      </x:c>
      <x:c r="F64" s="1" t="s">
        <x:v>1395</x:v>
      </x:c>
      <x:c r="G64" s="1" t="s">
        <x:v>1396</x:v>
      </x:c>
      <x:c r="H64" s="1"/>
      <x:c r="I64" s="1" t="s">
        <x:v>1139</x:v>
      </x:c>
      <x:c r="J64" s="1" t="s">
        <x:v>1135</x:v>
      </x:c>
      <x:c r="K64" s="1"/>
      <x:c r="L64" s="1"/>
      <x:c r="M64" s="21" t="s">
        <x:v>1275</x:v>
      </x:c>
      <x:c r="N64" s="17"/>
      <x:c r="O64" s="17"/>
      <x:c r="P64" s="22"/>
    </x:row>
    <x:row r="65">
      <x:c r="A65" s="11">
        <x:v>59</x:v>
      </x:c>
      <x:c r="B65" s="1">
        <x:v>67</x:v>
      </x:c>
      <x:c r="C65" s="1" t="s">
        <x:v>1113</x:v>
      </x:c>
      <x:c r="D65" s="1" t="s">
        <x:v>1132</x:v>
      </x:c>
      <x:c r="E65" s="1">
        <x:v>10</x:v>
      </x:c>
      <x:c r="F65" s="1"/>
      <x:c r="G65" s="1" t="s">
        <x:v>1397</x:v>
      </x:c>
      <x:c r="H65" s="1"/>
      <x:c r="I65" s="1" t="s">
        <x:v>1139</x:v>
      </x:c>
      <x:c r="J65" s="1" t="s">
        <x:v>1135</x:v>
      </x:c>
      <x:c r="K65" s="1"/>
      <x:c r="L65" s="1"/>
      <x:c r="M65" s="21" t="s">
        <x:v>1275</x:v>
      </x:c>
      <x:c r="N65" s="17"/>
      <x:c r="O65" s="17"/>
      <x:c r="P65" s="22"/>
    </x:row>
    <x:row r="66">
      <x:c r="A66" s="11">
        <x:v>60</x:v>
      </x:c>
      <x:c r="B66" s="1">
        <x:v>68</x:v>
      </x:c>
      <x:c r="C66" s="1" t="s">
        <x:v>1113</x:v>
      </x:c>
      <x:c r="D66" s="1" t="s">
        <x:v>1132</x:v>
      </x:c>
      <x:c r="E66" s="1">
        <x:v>10</x:v>
      </x:c>
      <x:c r="F66" s="1" t="s">
        <x:v>1398</x:v>
      </x:c>
      <x:c r="G66" s="1" t="s">
        <x:v>1399</x:v>
      </x:c>
      <x:c r="H66" s="1"/>
      <x:c r="I66" s="1" t="s">
        <x:v>1400</x:v>
      </x:c>
      <x:c r="J66" s="1" t="s">
        <x:v>1135</x:v>
      </x:c>
      <x:c r="K66" s="1"/>
      <x:c r="L66" s="1"/>
      <x:c r="M66" s="21" t="s">
        <x:v>1275</x:v>
      </x:c>
      <x:c r="N66" s="17"/>
      <x:c r="O66" s="17"/>
      <x:c r="P66" s="22"/>
    </x:row>
    <x:row r="67">
      <x:c r="A67" s="11">
        <x:v>61</x:v>
      </x:c>
      <x:c r="B67" s="1">
        <x:v>69</x:v>
      </x:c>
      <x:c r="C67" s="1" t="s">
        <x:v>1113</x:v>
      </x:c>
      <x:c r="D67" s="1" t="s">
        <x:v>1132</x:v>
      </x:c>
      <x:c r="E67" s="1">
        <x:v>10</x:v>
      </x:c>
      <x:c r="F67" s="1" t="s">
        <x:v>1401</x:v>
      </x:c>
      <x:c r="G67" s="1" t="s">
        <x:v>1402</x:v>
      </x:c>
      <x:c r="H67" s="1"/>
      <x:c r="I67" s="1" t="s">
        <x:v>1400</x:v>
      </x:c>
      <x:c r="J67" s="1" t="s">
        <x:v>1135</x:v>
      </x:c>
      <x:c r="K67" s="1"/>
      <x:c r="L67" s="1"/>
      <x:c r="M67" s="21" t="s">
        <x:v>1275</x:v>
      </x:c>
      <x:c r="N67" s="17"/>
      <x:c r="O67" s="17"/>
      <x:c r="P67" s="22"/>
    </x:row>
    <x:row r="68" ht="25.5">
      <x:c r="A68" s="11">
        <x:v>62</x:v>
      </x:c>
      <x:c r="B68" s="1">
        <x:v>70</x:v>
      </x:c>
      <x:c r="C68" s="1" t="s">
        <x:v>1113</x:v>
      </x:c>
      <x:c r="D68" s="1" t="s">
        <x:v>1132</x:v>
      </x:c>
      <x:c r="E68" s="1">
        <x:v>10</x:v>
      </x:c>
      <x:c r="F68" s="1" t="s">
        <x:v>1403</x:v>
      </x:c>
      <x:c r="G68" s="1" t="s">
        <x:v>1404</x:v>
      </x:c>
      <x:c r="H68" s="1"/>
      <x:c r="I68" s="1" t="s">
        <x:v>1400</x:v>
      </x:c>
      <x:c r="J68" s="1" t="s">
        <x:v>1135</x:v>
      </x:c>
      <x:c r="K68" s="1"/>
      <x:c r="L68" s="1"/>
      <x:c r="M68" s="21" t="s">
        <x:v>1275</x:v>
      </x:c>
      <x:c r="N68" s="17"/>
      <x:c r="O68" s="17"/>
      <x:c r="P68" s="22"/>
    </x:row>
    <x:row r="69">
      <x:c r="A69" s="11">
        <x:v>63</x:v>
      </x:c>
      <x:c r="B69" s="1">
        <x:v>71</x:v>
      </x:c>
      <x:c r="C69" s="1" t="s">
        <x:v>1113</x:v>
      </x:c>
      <x:c r="D69" s="1" t="s">
        <x:v>1132</x:v>
      </x:c>
      <x:c r="E69" s="1">
        <x:v>10</x:v>
      </x:c>
      <x:c r="F69" s="1" t="s">
        <x:v>1405</x:v>
      </x:c>
      <x:c r="G69" s="1" t="s">
        <x:v>1406</x:v>
      </x:c>
      <x:c r="H69" s="1"/>
      <x:c r="I69" s="1" t="s">
        <x:v>1400</x:v>
      </x:c>
      <x:c r="J69" s="1" t="s">
        <x:v>1135</x:v>
      </x:c>
      <x:c r="K69" s="1"/>
      <x:c r="L69" s="1"/>
      <x:c r="M69" s="21" t="s">
        <x:v>1275</x:v>
      </x:c>
      <x:c r="N69" s="17"/>
      <x:c r="O69" s="17"/>
      <x:c r="P69" s="22"/>
    </x:row>
    <x:row r="70" ht="25.5">
      <x:c r="A70" s="11">
        <x:v>64</x:v>
      </x:c>
      <x:c r="B70" s="1">
        <x:v>72</x:v>
      </x:c>
      <x:c r="C70" s="1" t="s">
        <x:v>1113</x:v>
      </x:c>
      <x:c r="D70" s="1" t="s">
        <x:v>1132</x:v>
      </x:c>
      <x:c r="E70" s="1">
        <x:v>10</x:v>
      </x:c>
      <x:c r="F70" s="1" t="s">
        <x:v>1407</x:v>
      </x:c>
      <x:c r="G70" s="1" t="s">
        <x:v>1408</x:v>
      </x:c>
      <x:c r="H70" s="1" t="s">
        <x:v>1280</x:v>
      </x:c>
      <x:c r="I70" s="1" t="s">
        <x:v>1400</x:v>
      </x:c>
      <x:c r="J70" s="1" t="s">
        <x:v>1135</x:v>
      </x:c>
      <x:c r="K70" s="1"/>
      <x:c r="L70" s="1"/>
      <x:c r="M70" s="21" t="s">
        <x:v>1275</x:v>
      </x:c>
      <x:c r="N70" s="17"/>
      <x:c r="O70" s="17"/>
      <x:c r="P70" s="22"/>
    </x:row>
    <x:row r="71">
      <x:c r="A71" s="11">
        <x:v>65</x:v>
      </x:c>
      <x:c r="B71" s="1">
        <x:v>73</x:v>
      </x:c>
      <x:c r="C71" s="1" t="s">
        <x:v>1113</x:v>
      </x:c>
      <x:c r="D71" s="1" t="s">
        <x:v>1132</x:v>
      </x:c>
      <x:c r="E71" s="1">
        <x:v>10</x:v>
      </x:c>
      <x:c r="F71" s="1" t="s">
        <x:v>1409</x:v>
      </x:c>
      <x:c r="G71" s="1" t="s">
        <x:v>1410</x:v>
      </x:c>
      <x:c r="H71" s="1" t="s">
        <x:v>1280</x:v>
      </x:c>
      <x:c r="I71" s="1" t="s">
        <x:v>1400</x:v>
      </x:c>
      <x:c r="J71" s="1" t="s">
        <x:v>1135</x:v>
      </x:c>
      <x:c r="K71" s="1"/>
      <x:c r="L71" s="1"/>
      <x:c r="M71" s="21" t="s">
        <x:v>1275</x:v>
      </x:c>
      <x:c r="N71" s="17"/>
      <x:c r="O71" s="17"/>
      <x:c r="P71" s="22"/>
    </x:row>
    <x:row r="72">
      <x:c r="A72" s="11">
        <x:v>66</x:v>
      </x:c>
      <x:c r="B72" s="1">
        <x:v>74</x:v>
      </x:c>
      <x:c r="C72" s="1" t="s">
        <x:v>1113</x:v>
      </x:c>
      <x:c r="D72" s="1" t="s">
        <x:v>1137</x:v>
      </x:c>
      <x:c r="E72" s="1">
        <x:v>11</x:v>
      </x:c>
      <x:c r="F72" s="1" t="s">
        <x:v>1411</x:v>
      </x:c>
      <x:c r="G72" s="1" t="s">
        <x:v>1412</x:v>
      </x:c>
      <x:c r="H72" s="1"/>
      <x:c r="I72" s="1" t="s">
        <x:v>1139</x:v>
      </x:c>
      <x:c r="J72" s="1" t="s">
        <x:v>1135</x:v>
      </x:c>
      <x:c r="K72" s="1" t="s">
        <x:v>1413</x:v>
      </x:c>
      <x:c r="L72" s="1"/>
      <x:c r="M72" s="21" t="s">
        <x:v>1275</x:v>
      </x:c>
      <x:c r="N72" s="17"/>
      <x:c r="O72" s="17"/>
      <x:c r="P72" s="22"/>
    </x:row>
    <x:row r="73" ht="25.5">
      <x:c r="A73" s="11">
        <x:v>67</x:v>
      </x:c>
      <x:c r="B73" s="1">
        <x:v>75</x:v>
      </x:c>
      <x:c r="C73" s="1" t="s">
        <x:v>1113</x:v>
      </x:c>
      <x:c r="D73" s="1" t="s">
        <x:v>1137</x:v>
      </x:c>
      <x:c r="E73" s="1">
        <x:v>11</x:v>
      </x:c>
      <x:c r="F73" s="1" t="s">
        <x:v>1414</x:v>
      </x:c>
      <x:c r="G73" s="1" t="s">
        <x:v>1415</x:v>
      </x:c>
      <x:c r="H73" s="1"/>
      <x:c r="I73" s="1" t="s">
        <x:v>1139</x:v>
      </x:c>
      <x:c r="J73" s="1" t="s">
        <x:v>1135</x:v>
      </x:c>
      <x:c r="K73" s="1" t="s">
        <x:v>1416</x:v>
      </x:c>
      <x:c r="L73" s="1"/>
      <x:c r="M73" s="21" t="s">
        <x:v>1275</x:v>
      </x:c>
      <x:c r="N73" s="17"/>
      <x:c r="O73" s="17"/>
      <x:c r="P73" s="22"/>
    </x:row>
    <x:row r="74" ht="25.5">
      <x:c r="A74" s="11">
        <x:v>68</x:v>
      </x:c>
      <x:c r="B74" s="1">
        <x:v>76</x:v>
      </x:c>
      <x:c r="C74" s="1" t="s">
        <x:v>1113</x:v>
      </x:c>
      <x:c r="D74" s="1" t="s">
        <x:v>1137</x:v>
      </x:c>
      <x:c r="E74" s="1">
        <x:v>11</x:v>
      </x:c>
      <x:c r="F74" s="1" t="s">
        <x:v>1417</x:v>
      </x:c>
      <x:c r="G74" s="1" t="s">
        <x:v>1418</x:v>
      </x:c>
      <x:c r="H74" s="1"/>
      <x:c r="I74" s="1" t="s">
        <x:v>1139</x:v>
      </x:c>
      <x:c r="J74" s="1" t="s">
        <x:v>1135</x:v>
      </x:c>
      <x:c r="K74" s="1"/>
      <x:c r="L74" s="1"/>
      <x:c r="M74" s="21" t="s">
        <x:v>1275</x:v>
      </x:c>
      <x:c r="N74" s="17"/>
      <x:c r="O74" s="17"/>
      <x:c r="P74" s="22"/>
    </x:row>
    <x:row r="75">
      <x:c r="A75" s="11">
        <x:v>69</x:v>
      </x:c>
      <x:c r="B75" s="1">
        <x:v>77</x:v>
      </x:c>
      <x:c r="C75" s="1" t="s">
        <x:v>1113</x:v>
      </x:c>
      <x:c r="D75" s="1" t="s">
        <x:v>1137</x:v>
      </x:c>
      <x:c r="E75" s="1">
        <x:v>11</x:v>
      </x:c>
      <x:c r="F75" s="1" t="s">
        <x:v>1419</x:v>
      </x:c>
      <x:c r="G75" s="1"/>
      <x:c r="H75" s="1"/>
      <x:c r="I75" s="1"/>
      <x:c r="J75" s="1"/>
      <x:c r="K75" s="1"/>
      <x:c r="L75" s="1"/>
      <x:c r="M75" s="21" t="s">
        <x:v>1275</x:v>
      </x:c>
      <x:c r="N75" s="17"/>
      <x:c r="O75" s="17"/>
      <x:c r="P75" s="22"/>
    </x:row>
    <x:row r="76" ht="25.5">
      <x:c r="A76" s="11">
        <x:v>70</x:v>
      </x:c>
      <x:c r="B76" s="1">
        <x:v>78</x:v>
      </x:c>
      <x:c r="C76" s="1" t="s">
        <x:v>1113</x:v>
      </x:c>
      <x:c r="D76" s="1" t="s">
        <x:v>1141</x:v>
      </x:c>
      <x:c r="E76" s="1">
        <x:v>12</x:v>
      </x:c>
      <x:c r="F76" s="1" t="s">
        <x:v>1420</x:v>
      </x:c>
      <x:c r="G76" s="1" t="s">
        <x:v>1421</x:v>
      </x:c>
      <x:c r="H76" s="1" t="s">
        <x:v>1280</x:v>
      </x:c>
      <x:c r="I76" s="1" t="s">
        <x:v>1216</x:v>
      </x:c>
      <x:c r="J76" s="1" t="s">
        <x:v>1135</x:v>
      </x:c>
      <x:c r="K76" s="1" t="s">
        <x:v>1142</x:v>
      </x:c>
      <x:c r="L76" s="1"/>
      <x:c r="M76" s="21" t="s">
        <x:v>1275</x:v>
      </x:c>
      <x:c r="N76" s="17"/>
      <x:c r="O76" s="17"/>
      <x:c r="P76" s="22"/>
    </x:row>
    <x:row r="77">
      <x:c r="A77" s="11">
        <x:v>71</x:v>
      </x:c>
      <x:c r="B77" s="1">
        <x:v>79</x:v>
      </x:c>
      <x:c r="C77" s="1" t="s">
        <x:v>1113</x:v>
      </x:c>
      <x:c r="D77" s="1" t="s">
        <x:v>1141</x:v>
      </x:c>
      <x:c r="E77" s="1">
        <x:v>12</x:v>
      </x:c>
      <x:c r="F77" s="1" t="s">
        <x:v>1422</x:v>
      </x:c>
      <x:c r="G77" s="1" t="s">
        <x:v>1423</x:v>
      </x:c>
      <x:c r="H77" s="1" t="s">
        <x:v>1280</x:v>
      </x:c>
      <x:c r="I77" s="1" t="s">
        <x:v>1216</x:v>
      </x:c>
      <x:c r="J77" s="1" t="s">
        <x:v>1135</x:v>
      </x:c>
      <x:c r="K77" s="1"/>
      <x:c r="L77" s="1"/>
      <x:c r="M77" s="21" t="s">
        <x:v>1275</x:v>
      </x:c>
      <x:c r="N77" s="17"/>
      <x:c r="O77" s="17"/>
      <x:c r="P77" s="22"/>
    </x:row>
    <x:row r="78">
      <x:c r="A78" s="11">
        <x:v>72</x:v>
      </x:c>
      <x:c r="B78" s="1">
        <x:v>80</x:v>
      </x:c>
      <x:c r="C78" s="1" t="s">
        <x:v>1113</x:v>
      </x:c>
      <x:c r="D78" s="1" t="s">
        <x:v>1141</x:v>
      </x:c>
      <x:c r="E78" s="1">
        <x:v>12</x:v>
      </x:c>
      <x:c r="F78" s="1" t="s">
        <x:v>1424</x:v>
      </x:c>
      <x:c r="G78" s="1" t="s">
        <x:v>1425</x:v>
      </x:c>
      <x:c r="H78" s="1" t="s">
        <x:v>1280</x:v>
      </x:c>
      <x:c r="I78" s="1" t="s">
        <x:v>1216</x:v>
      </x:c>
      <x:c r="J78" s="1" t="s">
        <x:v>1135</x:v>
      </x:c>
      <x:c r="K78" s="1"/>
      <x:c r="L78" s="1"/>
      <x:c r="M78" s="21" t="s">
        <x:v>1275</x:v>
      </x:c>
      <x:c r="N78" s="17"/>
      <x:c r="O78" s="17"/>
      <x:c r="P78" s="22"/>
    </x:row>
    <x:row r="79" ht="25.5">
      <x:c r="A79" s="11">
        <x:v>73</x:v>
      </x:c>
      <x:c r="B79" s="1">
        <x:v>81</x:v>
      </x:c>
      <x:c r="C79" s="1" t="s">
        <x:v>1113</x:v>
      </x:c>
      <x:c r="D79" s="1" t="s">
        <x:v>1141</x:v>
      </x:c>
      <x:c r="E79" s="1">
        <x:v>12</x:v>
      </x:c>
      <x:c r="F79" s="1" t="s">
        <x:v>1426</x:v>
      </x:c>
      <x:c r="G79" s="1" t="s">
        <x:v>1427</x:v>
      </x:c>
      <x:c r="H79" s="1" t="s">
        <x:v>1280</x:v>
      </x:c>
      <x:c r="I79" s="1" t="s">
        <x:v>1216</x:v>
      </x:c>
      <x:c r="J79" s="1" t="s">
        <x:v>1135</x:v>
      </x:c>
      <x:c r="K79" s="1"/>
      <x:c r="L79" s="1"/>
      <x:c r="M79" s="21" t="s">
        <x:v>1275</x:v>
      </x:c>
      <x:c r="N79" s="17"/>
      <x:c r="O79" s="17"/>
      <x:c r="P79" s="22"/>
    </x:row>
    <x:row r="80" ht="25.5">
      <x:c r="A80" s="11">
        <x:v>74</x:v>
      </x:c>
      <x:c r="B80" s="1">
        <x:v>82</x:v>
      </x:c>
      <x:c r="C80" s="1" t="s">
        <x:v>1113</x:v>
      </x:c>
      <x:c r="D80" s="1" t="s">
        <x:v>1141</x:v>
      </x:c>
      <x:c r="E80" s="1">
        <x:v>12</x:v>
      </x:c>
      <x:c r="F80" s="1" t="s">
        <x:v>1428</x:v>
      </x:c>
      <x:c r="G80" s="1"/>
      <x:c r="H80" s="1"/>
      <x:c r="I80" s="1" t="s">
        <x:v>1216</x:v>
      </x:c>
      <x:c r="J80" s="1"/>
      <x:c r="K80" s="1"/>
      <x:c r="L80" s="1"/>
      <x:c r="M80" s="21" t="s">
        <x:v>1275</x:v>
      </x:c>
      <x:c r="N80" s="17"/>
      <x:c r="O80" s="17"/>
      <x:c r="P80" s="22"/>
    </x:row>
    <x:row r="81" ht="25.5">
      <x:c r="A81" s="11">
        <x:v>75</x:v>
      </x:c>
      <x:c r="B81" s="1">
        <x:v>83</x:v>
      </x:c>
      <x:c r="C81" s="1" t="s">
        <x:v>1113</x:v>
      </x:c>
      <x:c r="D81" s="1" t="s">
        <x:v>1141</x:v>
      </x:c>
      <x:c r="E81" s="1">
        <x:v>12</x:v>
      </x:c>
      <x:c r="F81" s="1" t="s">
        <x:v>1429</x:v>
      </x:c>
      <x:c r="G81" s="1" t="s">
        <x:v>1423</x:v>
      </x:c>
      <x:c r="H81" s="1"/>
      <x:c r="I81" s="1" t="s">
        <x:v>1216</x:v>
      </x:c>
      <x:c r="J81" s="1" t="s">
        <x:v>1135</x:v>
      </x:c>
      <x:c r="K81" s="1"/>
      <x:c r="L81" s="1"/>
      <x:c r="M81" s="21" t="s">
        <x:v>1275</x:v>
      </x:c>
      <x:c r="N81" s="17"/>
      <x:c r="O81" s="17"/>
      <x:c r="P81" s="22"/>
    </x:row>
    <x:row r="82" ht="25.5">
      <x:c r="A82" s="11">
        <x:v>76</x:v>
      </x:c>
      <x:c r="B82" s="1">
        <x:v>84</x:v>
      </x:c>
      <x:c r="C82" s="1" t="s">
        <x:v>1113</x:v>
      </x:c>
      <x:c r="D82" s="1" t="s">
        <x:v>1141</x:v>
      </x:c>
      <x:c r="E82" s="1">
        <x:v>12</x:v>
      </x:c>
      <x:c r="F82" s="1" t="s">
        <x:v>1430</x:v>
      </x:c>
      <x:c r="G82" s="1" t="s">
        <x:v>1431</x:v>
      </x:c>
      <x:c r="H82" s="1"/>
      <x:c r="I82" s="1" t="s">
        <x:v>1216</x:v>
      </x:c>
      <x:c r="J82" s="1" t="s">
        <x:v>1135</x:v>
      </x:c>
      <x:c r="K82" s="1"/>
      <x:c r="L82" s="1"/>
      <x:c r="M82" s="21" t="s">
        <x:v>1275</x:v>
      </x:c>
      <x:c r="N82" s="17"/>
      <x:c r="O82" s="17"/>
      <x:c r="P82" s="22"/>
    </x:row>
    <x:row r="83">
      <x:c r="A83" s="11">
        <x:v>77</x:v>
      </x:c>
      <x:c r="B83" s="1">
        <x:v>85</x:v>
      </x:c>
      <x:c r="C83" s="1" t="s">
        <x:v>1113</x:v>
      </x:c>
      <x:c r="D83" s="1" t="s">
        <x:v>1141</x:v>
      </x:c>
      <x:c r="E83" s="1">
        <x:v>12</x:v>
      </x:c>
      <x:c r="F83" s="1" t="s">
        <x:v>1432</x:v>
      </x:c>
      <x:c r="G83" s="1" t="s">
        <x:v>1433</x:v>
      </x:c>
      <x:c r="H83" s="1"/>
      <x:c r="I83" s="1" t="s">
        <x:v>1172</x:v>
      </x:c>
      <x:c r="J83" s="1" t="s">
        <x:v>1162</x:v>
      </x:c>
      <x:c r="K83" s="1"/>
      <x:c r="L83" s="1"/>
      <x:c r="M83" s="21" t="s">
        <x:v>1275</x:v>
      </x:c>
      <x:c r="N83" s="17"/>
      <x:c r="O83" s="17"/>
      <x:c r="P83" s="22"/>
    </x:row>
    <x:row r="84">
      <x:c r="A84" s="11">
        <x:v>78</x:v>
      </x:c>
      <x:c r="B84" s="1">
        <x:v>86</x:v>
      </x:c>
      <x:c r="C84" s="1" t="s">
        <x:v>1113</x:v>
      </x:c>
      <x:c r="D84" s="1" t="s">
        <x:v>1144</x:v>
      </x:c>
      <x:c r="E84" s="1">
        <x:v>13</x:v>
      </x:c>
      <x:c r="F84" s="1" t="s">
        <x:v>1434</x:v>
      </x:c>
      <x:c r="G84" s="1" t="s">
        <x:v>1435</x:v>
      </x:c>
      <x:c r="H84" s="1" t="s">
        <x:v>1280</x:v>
      </x:c>
      <x:c r="I84" s="1" t="s">
        <x:v>1139</x:v>
      </x:c>
      <x:c r="J84" s="1" t="s">
        <x:v>1135</x:v>
      </x:c>
      <x:c r="K84" s="1" t="s">
        <x:v>1436</x:v>
      </x:c>
      <x:c r="L84" s="1"/>
      <x:c r="M84" s="21" t="s">
        <x:v>1275</x:v>
      </x:c>
      <x:c r="N84" s="17"/>
      <x:c r="O84" s="17"/>
      <x:c r="P84" s="22"/>
    </x:row>
    <x:row r="85">
      <x:c r="A85" s="11">
        <x:v>79</x:v>
      </x:c>
      <x:c r="B85" s="1">
        <x:v>87</x:v>
      </x:c>
      <x:c r="C85" s="1" t="s">
        <x:v>1113</x:v>
      </x:c>
      <x:c r="D85" s="1" t="s">
        <x:v>1144</x:v>
      </x:c>
      <x:c r="E85" s="1">
        <x:v>13</x:v>
      </x:c>
      <x:c r="F85" s="1"/>
      <x:c r="G85" s="1" t="s">
        <x:v>1437</x:v>
      </x:c>
      <x:c r="H85" s="1" t="s">
        <x:v>1280</x:v>
      </x:c>
      <x:c r="I85" s="1" t="s">
        <x:v>1139</x:v>
      </x:c>
      <x:c r="J85" s="1" t="s">
        <x:v>1135</x:v>
      </x:c>
      <x:c r="K85" s="1" t="s">
        <x:v>1438</x:v>
      </x:c>
      <x:c r="L85" s="1"/>
      <x:c r="M85" s="21" t="s">
        <x:v>1275</x:v>
      </x:c>
      <x:c r="N85" s="17"/>
      <x:c r="O85" s="17"/>
      <x:c r="P85" s="22"/>
    </x:row>
    <x:row r="86">
      <x:c r="A86" s="11">
        <x:v>80</x:v>
      </x:c>
      <x:c r="B86" s="1">
        <x:v>88</x:v>
      </x:c>
      <x:c r="C86" s="1" t="s">
        <x:v>1113</x:v>
      </x:c>
      <x:c r="D86" s="1" t="s">
        <x:v>1144</x:v>
      </x:c>
      <x:c r="E86" s="1">
        <x:v>13</x:v>
      </x:c>
      <x:c r="F86" s="1"/>
      <x:c r="G86" s="1" t="s">
        <x:v>1439</x:v>
      </x:c>
      <x:c r="H86" s="1" t="s">
        <x:v>1280</x:v>
      </x:c>
      <x:c r="I86" s="1" t="s">
        <x:v>1139</x:v>
      </x:c>
      <x:c r="J86" s="1" t="s">
        <x:v>1135</x:v>
      </x:c>
      <x:c r="K86" s="1"/>
      <x:c r="L86" s="1"/>
      <x:c r="M86" s="21" t="s">
        <x:v>1275</x:v>
      </x:c>
      <x:c r="N86" s="17"/>
      <x:c r="O86" s="17"/>
      <x:c r="P86" s="22"/>
    </x:row>
    <x:row r="87">
      <x:c r="A87" s="11">
        <x:v>81</x:v>
      </x:c>
      <x:c r="B87" s="1">
        <x:v>89</x:v>
      </x:c>
      <x:c r="C87" s="1" t="s">
        <x:v>1113</x:v>
      </x:c>
      <x:c r="D87" s="1" t="s">
        <x:v>1144</x:v>
      </x:c>
      <x:c r="E87" s="1">
        <x:v>13</x:v>
      </x:c>
      <x:c r="F87" s="1"/>
      <x:c r="G87" s="1" t="s">
        <x:v>1440</x:v>
      </x:c>
      <x:c r="H87" s="1" t="s">
        <x:v>1280</x:v>
      </x:c>
      <x:c r="I87" s="1" t="s">
        <x:v>1139</x:v>
      </x:c>
      <x:c r="J87" s="1" t="s">
        <x:v>1135</x:v>
      </x:c>
      <x:c r="K87" s="1"/>
      <x:c r="L87" s="1"/>
      <x:c r="M87" s="21" t="s">
        <x:v>1275</x:v>
      </x:c>
      <x:c r="N87" s="17"/>
      <x:c r="O87" s="17"/>
      <x:c r="P87" s="22"/>
    </x:row>
    <x:row r="88">
      <x:c r="A88" s="11">
        <x:v>82</x:v>
      </x:c>
      <x:c r="B88" s="1">
        <x:v>90</x:v>
      </x:c>
      <x:c r="C88" s="1" t="s">
        <x:v>1113</x:v>
      </x:c>
      <x:c r="D88" s="1" t="s">
        <x:v>1144</x:v>
      </x:c>
      <x:c r="E88" s="1">
        <x:v>13</x:v>
      </x:c>
      <x:c r="F88" s="1"/>
      <x:c r="G88" s="1" t="s">
        <x:v>1441</x:v>
      </x:c>
      <x:c r="H88" s="1" t="s">
        <x:v>1280</x:v>
      </x:c>
      <x:c r="I88" s="1" t="s">
        <x:v>1139</x:v>
      </x:c>
      <x:c r="J88" s="1" t="s">
        <x:v>1135</x:v>
      </x:c>
      <x:c r="K88" s="1"/>
      <x:c r="L88" s="1"/>
      <x:c r="M88" s="21" t="s">
        <x:v>1275</x:v>
      </x:c>
      <x:c r="N88" s="17"/>
      <x:c r="O88" s="17"/>
      <x:c r="P88" s="22"/>
    </x:row>
    <x:row r="89">
      <x:c r="A89" s="11">
        <x:v>83</x:v>
      </x:c>
      <x:c r="B89" s="1">
        <x:v>91</x:v>
      </x:c>
      <x:c r="C89" s="1" t="s">
        <x:v>1113</x:v>
      </x:c>
      <x:c r="D89" s="1" t="s">
        <x:v>1144</x:v>
      </x:c>
      <x:c r="E89" s="1">
        <x:v>13</x:v>
      </x:c>
      <x:c r="F89" s="1"/>
      <x:c r="G89" s="1" t="s">
        <x:v>1442</x:v>
      </x:c>
      <x:c r="H89" s="1"/>
      <x:c r="I89" s="1"/>
      <x:c r="J89" s="1"/>
      <x:c r="K89" s="1"/>
      <x:c r="L89" s="1"/>
      <x:c r="M89" s="21" t="s">
        <x:v>1275</x:v>
      </x:c>
      <x:c r="N89" s="17"/>
      <x:c r="O89" s="17"/>
      <x:c r="P89" s="22"/>
    </x:row>
    <x:row r="90" ht="178.5">
      <x:c r="A90" s="11">
        <x:v>84</x:v>
      </x:c>
      <x:c r="B90" s="1">
        <x:v>92</x:v>
      </x:c>
      <x:c r="C90" s="1" t="s">
        <x:v>1113</x:v>
      </x:c>
      <x:c r="D90" s="1" t="s">
        <x:v>1147</x:v>
      </x:c>
      <x:c r="E90" s="1">
        <x:v>14</x:v>
      </x:c>
      <x:c r="F90" s="1" t="s">
        <x:v>1443</x:v>
      </x:c>
      <x:c r="G90" s="1" t="s">
        <x:v>1444</x:v>
      </x:c>
      <x:c r="H90" s="1"/>
      <x:c r="I90" s="1" t="s">
        <x:v>1216</x:v>
      </x:c>
      <x:c r="J90" s="1" t="s">
        <x:v>1135</x:v>
      </x:c>
      <x:c r="K90" s="1" t="s">
        <x:v>1445</x:v>
      </x:c>
      <x:c r="L90" s="1"/>
      <x:c r="M90" s="21" t="s">
        <x:v>1275</x:v>
      </x:c>
      <x:c r="N90" s="17"/>
      <x:c r="O90" s="17"/>
      <x:c r="P90" s="22"/>
    </x:row>
    <x:row r="91">
      <x:c r="A91" s="11">
        <x:v>85</x:v>
      </x:c>
      <x:c r="B91" s="1">
        <x:v>93</x:v>
      </x:c>
      <x:c r="C91" s="1" t="s">
        <x:v>1113</x:v>
      </x:c>
      <x:c r="D91" s="1" t="s">
        <x:v>1147</x:v>
      </x:c>
      <x:c r="E91" s="1">
        <x:v>14</x:v>
      </x:c>
      <x:c r="F91" s="1"/>
      <x:c r="G91" s="1" t="s">
        <x:v>1446</x:v>
      </x:c>
      <x:c r="H91" s="1"/>
      <x:c r="I91" s="1" t="s">
        <x:v>1153</x:v>
      </x:c>
      <x:c r="J91" s="1" t="s">
        <x:v>1162</x:v>
      </x:c>
      <x:c r="K91" s="1" t="s">
        <x:v>1447</x:v>
      </x:c>
      <x:c r="L91" s="1"/>
      <x:c r="M91" s="21" t="s">
        <x:v>1275</x:v>
      </x:c>
      <x:c r="N91" s="17"/>
      <x:c r="O91" s="17"/>
      <x:c r="P91" s="22"/>
    </x:row>
    <x:row r="92">
      <x:c r="A92" s="11">
        <x:v>86</x:v>
      </x:c>
      <x:c r="B92" s="1">
        <x:v>94</x:v>
      </x:c>
      <x:c r="C92" s="1" t="s">
        <x:v>1113</x:v>
      </x:c>
      <x:c r="D92" s="1" t="s">
        <x:v>1147</x:v>
      </x:c>
      <x:c r="E92" s="1">
        <x:v>14</x:v>
      </x:c>
      <x:c r="F92" s="1"/>
      <x:c r="G92" s="1" t="s">
        <x:v>1446</x:v>
      </x:c>
      <x:c r="H92" s="1"/>
      <x:c r="I92" s="1" t="s">
        <x:v>1216</x:v>
      </x:c>
      <x:c r="J92" s="1" t="s">
        <x:v>1135</x:v>
      </x:c>
      <x:c r="K92" s="1"/>
      <x:c r="L92" s="1"/>
      <x:c r="M92" s="21" t="s">
        <x:v>1275</x:v>
      </x:c>
      <x:c r="N92" s="17"/>
      <x:c r="O92" s="17"/>
      <x:c r="P92" s="22"/>
    </x:row>
    <x:row r="93">
      <x:c r="A93" s="11">
        <x:v>87</x:v>
      </x:c>
      <x:c r="B93" s="1">
        <x:v>95</x:v>
      </x:c>
      <x:c r="C93" s="1" t="s">
        <x:v>1113</x:v>
      </x:c>
      <x:c r="D93" s="1" t="s">
        <x:v>1147</x:v>
      </x:c>
      <x:c r="E93" s="1">
        <x:v>14</x:v>
      </x:c>
      <x:c r="F93" s="1"/>
      <x:c r="G93" s="1"/>
      <x:c r="H93" s="1"/>
      <x:c r="I93" s="1" t="s">
        <x:v>1216</x:v>
      </x:c>
      <x:c r="J93" s="1" t="s">
        <x:v>1135</x:v>
      </x:c>
      <x:c r="K93" s="1"/>
      <x:c r="L93" s="1"/>
      <x:c r="M93" s="21" t="s">
        <x:v>1275</x:v>
      </x:c>
      <x:c r="N93" s="17"/>
      <x:c r="O93" s="17"/>
      <x:c r="P93" s="22"/>
    </x:row>
    <x:row r="94">
      <x:c r="A94" s="11">
        <x:v>88</x:v>
      </x:c>
      <x:c r="B94" s="1">
        <x:v>97</x:v>
      </x:c>
      <x:c r="C94" s="1" t="s">
        <x:v>1113</x:v>
      </x:c>
      <x:c r="D94" s="1" t="s">
        <x:v>1147</x:v>
      </x:c>
      <x:c r="E94" s="1">
        <x:v>14</x:v>
      </x:c>
      <x:c r="F94" s="1"/>
      <x:c r="G94" s="1" t="s">
        <x:v>1448</x:v>
      </x:c>
      <x:c r="H94" s="1"/>
      <x:c r="I94" s="1" t="s">
        <x:v>1153</x:v>
      </x:c>
      <x:c r="J94" s="1" t="s">
        <x:v>1162</x:v>
      </x:c>
      <x:c r="K94" s="1"/>
      <x:c r="L94" s="1"/>
      <x:c r="M94" s="21" t="s">
        <x:v>1275</x:v>
      </x:c>
      <x:c r="N94" s="17"/>
      <x:c r="O94" s="17"/>
      <x:c r="P94" s="22"/>
    </x:row>
    <x:row r="95">
      <x:c r="A95" s="11">
        <x:v>89</x:v>
      </x:c>
      <x:c r="B95" s="1">
        <x:v>98</x:v>
      </x:c>
      <x:c r="C95" s="1" t="s">
        <x:v>1113</x:v>
      </x:c>
      <x:c r="D95" s="1" t="s">
        <x:v>1147</x:v>
      </x:c>
      <x:c r="E95" s="1">
        <x:v>14</x:v>
      </x:c>
      <x:c r="F95" s="1"/>
      <x:c r="G95" s="1" t="s">
        <x:v>1449</x:v>
      </x:c>
      <x:c r="H95" s="1"/>
      <x:c r="I95" s="1" t="s">
        <x:v>1153</x:v>
      </x:c>
      <x:c r="J95" s="1" t="s">
        <x:v>1162</x:v>
      </x:c>
      <x:c r="K95" s="1"/>
      <x:c r="L95" s="1"/>
      <x:c r="M95" s="21" t="s">
        <x:v>1275</x:v>
      </x:c>
      <x:c r="N95" s="17"/>
      <x:c r="O95" s="17"/>
      <x:c r="P95" s="22"/>
    </x:row>
    <x:row r="96">
      <x:c r="A96" s="11">
        <x:v>90</x:v>
      </x:c>
      <x:c r="B96" s="1">
        <x:v>99</x:v>
      </x:c>
      <x:c r="C96" s="1" t="s">
        <x:v>1113</x:v>
      </x:c>
      <x:c r="D96" s="1" t="s">
        <x:v>1147</x:v>
      </x:c>
      <x:c r="E96" s="1">
        <x:v>14</x:v>
      </x:c>
      <x:c r="F96" s="1"/>
      <x:c r="G96" s="1" t="s">
        <x:v>1450</x:v>
      </x:c>
      <x:c r="H96" s="1"/>
      <x:c r="I96" s="1" t="s">
        <x:v>1153</x:v>
      </x:c>
      <x:c r="J96" s="1" t="s">
        <x:v>1162</x:v>
      </x:c>
      <x:c r="K96" s="1"/>
      <x:c r="L96" s="1"/>
      <x:c r="M96" s="21" t="s">
        <x:v>1275</x:v>
      </x:c>
      <x:c r="N96" s="17"/>
      <x:c r="O96" s="17"/>
      <x:c r="P96" s="22"/>
    </x:row>
    <x:row r="97">
      <x:c r="A97" s="11">
        <x:v>91</x:v>
      </x:c>
      <x:c r="B97" s="1">
        <x:v>100</x:v>
      </x:c>
      <x:c r="C97" s="1" t="s">
        <x:v>1113</x:v>
      </x:c>
      <x:c r="D97" s="1" t="s">
        <x:v>1147</x:v>
      </x:c>
      <x:c r="E97" s="1">
        <x:v>14</x:v>
      </x:c>
      <x:c r="F97" s="1"/>
      <x:c r="G97" s="1" t="s">
        <x:v>1451</x:v>
      </x:c>
      <x:c r="H97" s="1"/>
      <x:c r="I97" s="1" t="s">
        <x:v>1153</x:v>
      </x:c>
      <x:c r="J97" s="1" t="s">
        <x:v>1162</x:v>
      </x:c>
      <x:c r="K97" s="1"/>
      <x:c r="L97" s="1"/>
      <x:c r="M97" s="21" t="s">
        <x:v>1275</x:v>
      </x:c>
      <x:c r="N97" s="17"/>
      <x:c r="O97" s="17"/>
      <x:c r="P97" s="22"/>
    </x:row>
    <x:row r="98">
      <x:c r="A98" s="11">
        <x:v>92</x:v>
      </x:c>
      <x:c r="B98" s="1">
        <x:v>102</x:v>
      </x:c>
      <x:c r="C98" s="1" t="s">
        <x:v>127</x:v>
      </x:c>
      <x:c r="D98" s="1" t="s">
        <x:v>1151</x:v>
      </x:c>
      <x:c r="E98" s="1">
        <x:v>15</x:v>
      </x:c>
      <x:c r="F98" s="1" t="s">
        <x:v>1452</x:v>
      </x:c>
      <x:c r="G98" s="1" t="s">
        <x:v>1453</x:v>
      </x:c>
      <x:c r="H98" s="1"/>
      <x:c r="I98" s="1" t="s">
        <x:v>1153</x:v>
      </x:c>
      <x:c r="J98" s="1" t="s">
        <x:v>1162</x:v>
      </x:c>
      <x:c r="K98" s="1" t="s">
        <x:v>1454</x:v>
      </x:c>
      <x:c r="L98" s="1"/>
      <x:c r="M98" s="21" t="s">
        <x:v>1275</x:v>
      </x:c>
      <x:c r="N98" s="17"/>
      <x:c r="O98" s="17"/>
      <x:c r="P98" s="22"/>
    </x:row>
    <x:row r="99">
      <x:c r="A99" s="11">
        <x:v>93</x:v>
      </x:c>
      <x:c r="B99" s="1">
        <x:v>103</x:v>
      </x:c>
      <x:c r="C99" s="1" t="s">
        <x:v>127</x:v>
      </x:c>
      <x:c r="D99" s="1" t="s">
        <x:v>1151</x:v>
      </x:c>
      <x:c r="E99" s="1">
        <x:v>15</x:v>
      </x:c>
      <x:c r="F99" s="1" t="s">
        <x:v>1455</x:v>
      </x:c>
      <x:c r="G99" s="1" t="s">
        <x:v>1456</x:v>
      </x:c>
      <x:c r="H99" s="1" t="s">
        <x:v>1457</x:v>
      </x:c>
      <x:c r="I99" s="1" t="s">
        <x:v>1153</x:v>
      </x:c>
      <x:c r="J99" s="1" t="s">
        <x:v>1162</x:v>
      </x:c>
      <x:c r="K99" s="1" t="s">
        <x:v>1458</x:v>
      </x:c>
      <x:c r="L99" s="1"/>
      <x:c r="M99" s="21" t="s">
        <x:v>1275</x:v>
      </x:c>
      <x:c r="N99" s="17"/>
      <x:c r="O99" s="17"/>
      <x:c r="P99" s="22"/>
    </x:row>
    <x:row r="100" ht="25.5">
      <x:c r="A100" s="11">
        <x:v>94</x:v>
      </x:c>
      <x:c r="B100" s="1">
        <x:v>104</x:v>
      </x:c>
      <x:c r="C100" s="1" t="s">
        <x:v>127</x:v>
      </x:c>
      <x:c r="D100" s="1" t="s">
        <x:v>1151</x:v>
      </x:c>
      <x:c r="E100" s="1">
        <x:v>15</x:v>
      </x:c>
      <x:c r="F100" s="1" t="s">
        <x:v>1459</x:v>
      </x:c>
      <x:c r="G100" s="1" t="s">
        <x:v>1460</x:v>
      </x:c>
      <x:c r="H100" s="1"/>
      <x:c r="I100" s="1" t="s">
        <x:v>1153</x:v>
      </x:c>
      <x:c r="J100" s="1" t="s">
        <x:v>335</x:v>
      </x:c>
      <x:c r="K100" s="1"/>
      <x:c r="L100" s="1"/>
      <x:c r="M100" s="21" t="s">
        <x:v>1275</x:v>
      </x:c>
      <x:c r="N100" s="17"/>
      <x:c r="O100" s="17"/>
      <x:c r="P100" s="22"/>
    </x:row>
    <x:row r="101">
      <x:c r="A101" s="11">
        <x:v>95</x:v>
      </x:c>
      <x:c r="B101" s="1">
        <x:v>105</x:v>
      </x:c>
      <x:c r="C101" s="1" t="s">
        <x:v>127</x:v>
      </x:c>
      <x:c r="D101" s="1" t="s">
        <x:v>1151</x:v>
      </x:c>
      <x:c r="E101" s="1">
        <x:v>15</x:v>
      </x:c>
      <x:c r="F101" s="1" t="s">
        <x:v>1461</x:v>
      </x:c>
      <x:c r="G101" s="1" t="s">
        <x:v>1462</x:v>
      </x:c>
      <x:c r="H101" s="1"/>
      <x:c r="I101" s="1" t="s">
        <x:v>1153</x:v>
      </x:c>
      <x:c r="J101" s="1" t="s">
        <x:v>1162</x:v>
      </x:c>
      <x:c r="K101" s="1"/>
      <x:c r="L101" s="1"/>
      <x:c r="M101" s="21" t="s">
        <x:v>1275</x:v>
      </x:c>
      <x:c r="N101" s="17"/>
      <x:c r="O101" s="17"/>
      <x:c r="P101" s="22"/>
    </x:row>
    <x:row r="102">
      <x:c r="A102" s="11">
        <x:v>96</x:v>
      </x:c>
      <x:c r="B102" s="1">
        <x:v>106</x:v>
      </x:c>
      <x:c r="C102" s="1" t="s">
        <x:v>127</x:v>
      </x:c>
      <x:c r="D102" s="1" t="s">
        <x:v>1151</x:v>
      </x:c>
      <x:c r="E102" s="1">
        <x:v>15</x:v>
      </x:c>
      <x:c r="F102" s="1" t="s">
        <x:v>1463</x:v>
      </x:c>
      <x:c r="G102" s="1"/>
      <x:c r="H102" s="1"/>
      <x:c r="I102" s="1"/>
      <x:c r="J102" s="1"/>
      <x:c r="K102" s="1"/>
      <x:c r="L102" s="1"/>
      <x:c r="M102" s="21" t="s">
        <x:v>1275</x:v>
      </x:c>
      <x:c r="N102" s="17"/>
      <x:c r="O102" s="17"/>
      <x:c r="P102" s="22"/>
    </x:row>
    <x:row r="103">
      <x:c r="A103" s="11">
        <x:v>97</x:v>
      </x:c>
      <x:c r="B103" s="1">
        <x:v>107</x:v>
      </x:c>
      <x:c r="C103" s="1" t="s">
        <x:v>127</x:v>
      </x:c>
      <x:c r="D103" s="1" t="s">
        <x:v>1151</x:v>
      </x:c>
      <x:c r="E103" s="1">
        <x:v>15</x:v>
      </x:c>
      <x:c r="F103" s="1" t="s">
        <x:v>1464</x:v>
      </x:c>
      <x:c r="G103" s="1"/>
      <x:c r="H103" s="1"/>
      <x:c r="I103" s="1"/>
      <x:c r="J103" s="1"/>
      <x:c r="K103" s="1"/>
      <x:c r="L103" s="1"/>
      <x:c r="M103" s="21" t="s">
        <x:v>1275</x:v>
      </x:c>
      <x:c r="N103" s="17"/>
      <x:c r="O103" s="17"/>
      <x:c r="P103" s="22"/>
    </x:row>
    <x:row r="104" ht="25.5">
      <x:c r="A104" s="11">
        <x:v>98</x:v>
      </x:c>
      <x:c r="B104" s="1">
        <x:v>108</x:v>
      </x:c>
      <x:c r="C104" s="1" t="s">
        <x:v>127</x:v>
      </x:c>
      <x:c r="D104" s="1" t="s">
        <x:v>1155</x:v>
      </x:c>
      <x:c r="E104" s="1">
        <x:v>16</x:v>
      </x:c>
      <x:c r="F104" s="1" t="s">
        <x:v>1465</x:v>
      </x:c>
      <x:c r="G104" s="1" t="s">
        <x:v>1466</x:v>
      </x:c>
      <x:c r="H104" s="1"/>
      <x:c r="I104" s="1" t="s">
        <x:v>1157</x:v>
      </x:c>
      <x:c r="J104" s="1" t="s">
        <x:v>335</x:v>
      </x:c>
      <x:c r="K104" s="1" t="s">
        <x:v>1467</x:v>
      </x:c>
      <x:c r="L104" s="1"/>
      <x:c r="M104" s="21" t="s">
        <x:v>1275</x:v>
      </x:c>
      <x:c r="N104" s="17"/>
      <x:c r="O104" s="17"/>
      <x:c r="P104" s="22"/>
    </x:row>
    <x:row r="105">
      <x:c r="A105" s="11">
        <x:v>99</x:v>
      </x:c>
      <x:c r="B105" s="1">
        <x:v>109</x:v>
      </x:c>
      <x:c r="C105" s="1" t="s">
        <x:v>127</x:v>
      </x:c>
      <x:c r="D105" s="1" t="s">
        <x:v>1155</x:v>
      </x:c>
      <x:c r="E105" s="1">
        <x:v>16</x:v>
      </x:c>
      <x:c r="F105" s="1" t="s">
        <x:v>1468</x:v>
      </x:c>
      <x:c r="G105" s="1" t="s">
        <x:v>1469</x:v>
      </x:c>
      <x:c r="H105" s="1"/>
      <x:c r="I105" s="1" t="s">
        <x:v>1157</x:v>
      </x:c>
      <x:c r="J105" s="1" t="s">
        <x:v>335</x:v>
      </x:c>
      <x:c r="K105" s="1" t="s">
        <x:v>1458</x:v>
      </x:c>
      <x:c r="L105" s="1"/>
      <x:c r="M105" s="21" t="s">
        <x:v>1275</x:v>
      </x:c>
      <x:c r="N105" s="17"/>
      <x:c r="O105" s="17"/>
      <x:c r="P105" s="22"/>
    </x:row>
    <x:row r="106">
      <x:c r="A106" s="11">
        <x:v>100</x:v>
      </x:c>
      <x:c r="B106" s="1">
        <x:v>110</x:v>
      </x:c>
      <x:c r="C106" s="1" t="s">
        <x:v>127</x:v>
      </x:c>
      <x:c r="D106" s="1" t="s">
        <x:v>1155</x:v>
      </x:c>
      <x:c r="E106" s="1">
        <x:v>16</x:v>
      </x:c>
      <x:c r="F106" s="1" t="s">
        <x:v>1470</x:v>
      </x:c>
      <x:c r="G106" s="1" t="s">
        <x:v>1471</x:v>
      </x:c>
      <x:c r="H106" s="1"/>
      <x:c r="I106" s="1" t="s">
        <x:v>1157</x:v>
      </x:c>
      <x:c r="J106" s="1" t="s">
        <x:v>335</x:v>
      </x:c>
      <x:c r="K106" s="1"/>
      <x:c r="L106" s="1"/>
      <x:c r="M106" s="21" t="s">
        <x:v>1275</x:v>
      </x:c>
      <x:c r="N106" s="17"/>
      <x:c r="O106" s="17"/>
      <x:c r="P106" s="22"/>
    </x:row>
    <x:row r="107">
      <x:c r="A107" s="11">
        <x:v>101</x:v>
      </x:c>
      <x:c r="B107" s="1">
        <x:v>111</x:v>
      </x:c>
      <x:c r="C107" s="1" t="s">
        <x:v>127</x:v>
      </x:c>
      <x:c r="D107" s="1" t="s">
        <x:v>1155</x:v>
      </x:c>
      <x:c r="E107" s="1">
        <x:v>16</x:v>
      </x:c>
      <x:c r="F107" s="1" t="s">
        <x:v>1472</x:v>
      </x:c>
      <x:c r="G107" s="1" t="s">
        <x:v>1473</x:v>
      </x:c>
      <x:c r="H107" s="1" t="s">
        <x:v>1474</x:v>
      </x:c>
      <x:c r="I107" s="1" t="s">
        <x:v>1157</x:v>
      </x:c>
      <x:c r="J107" s="1" t="s">
        <x:v>335</x:v>
      </x:c>
      <x:c r="K107" s="1"/>
      <x:c r="L107" s="1"/>
      <x:c r="M107" s="21" t="s">
        <x:v>1275</x:v>
      </x:c>
      <x:c r="N107" s="17"/>
      <x:c r="O107" s="17"/>
      <x:c r="P107" s="22"/>
    </x:row>
    <x:row r="108">
      <x:c r="A108" s="11">
        <x:v>102</x:v>
      </x:c>
      <x:c r="B108" s="1">
        <x:v>112</x:v>
      </x:c>
      <x:c r="C108" s="1" t="s">
        <x:v>127</x:v>
      </x:c>
      <x:c r="D108" s="1" t="s">
        <x:v>1155</x:v>
      </x:c>
      <x:c r="E108" s="1">
        <x:v>16</x:v>
      </x:c>
      <x:c r="F108" s="1" t="s">
        <x:v>1475</x:v>
      </x:c>
      <x:c r="G108" s="1" t="s">
        <x:v>1476</x:v>
      </x:c>
      <x:c r="H108" s="1"/>
      <x:c r="I108" s="1" t="s">
        <x:v>1157</x:v>
      </x:c>
      <x:c r="J108" s="1" t="s">
        <x:v>335</x:v>
      </x:c>
      <x:c r="K108" s="1"/>
      <x:c r="L108" s="1"/>
      <x:c r="M108" s="21" t="s">
        <x:v>1275</x:v>
      </x:c>
      <x:c r="N108" s="17"/>
      <x:c r="O108" s="17"/>
      <x:c r="P108" s="22"/>
    </x:row>
    <x:row r="109" ht="25.5">
      <x:c r="A109" s="11">
        <x:v>103</x:v>
      </x:c>
      <x:c r="B109" s="1">
        <x:v>113</x:v>
      </x:c>
      <x:c r="C109" s="1" t="s">
        <x:v>127</x:v>
      </x:c>
      <x:c r="D109" s="1" t="s">
        <x:v>1155</x:v>
      </x:c>
      <x:c r="E109" s="1">
        <x:v>16</x:v>
      </x:c>
      <x:c r="F109" s="1" t="s">
        <x:v>1477</x:v>
      </x:c>
      <x:c r="G109" s="1" t="s">
        <x:v>1478</x:v>
      </x:c>
      <x:c r="H109" s="1"/>
      <x:c r="I109" s="1" t="s">
        <x:v>1157</x:v>
      </x:c>
      <x:c r="J109" s="1" t="s">
        <x:v>335</x:v>
      </x:c>
      <x:c r="K109" s="1"/>
      <x:c r="L109" s="1"/>
      <x:c r="M109" s="21" t="s">
        <x:v>1275</x:v>
      </x:c>
      <x:c r="N109" s="17"/>
      <x:c r="O109" s="17"/>
      <x:c r="P109" s="22"/>
    </x:row>
    <x:row r="110" ht="25.5">
      <x:c r="A110" s="11">
        <x:v>104</x:v>
      </x:c>
      <x:c r="B110" s="1">
        <x:v>114</x:v>
      </x:c>
      <x:c r="C110" s="1" t="s">
        <x:v>127</x:v>
      </x:c>
      <x:c r="D110" s="1" t="s">
        <x:v>1155</x:v>
      </x:c>
      <x:c r="E110" s="1">
        <x:v>16</x:v>
      </x:c>
      <x:c r="F110" s="1" t="s">
        <x:v>1479</x:v>
      </x:c>
      <x:c r="G110" s="1" t="s">
        <x:v>1480</x:v>
      </x:c>
      <x:c r="H110" s="1" t="s">
        <x:v>1481</x:v>
      </x:c>
      <x:c r="I110" s="1" t="s">
        <x:v>1157</x:v>
      </x:c>
      <x:c r="J110" s="1" t="s">
        <x:v>335</x:v>
      </x:c>
      <x:c r="K110" s="1"/>
      <x:c r="L110" s="1"/>
      <x:c r="M110" s="21" t="s">
        <x:v>1275</x:v>
      </x:c>
      <x:c r="N110" s="17"/>
      <x:c r="O110" s="17"/>
      <x:c r="P110" s="22"/>
    </x:row>
    <x:row r="111" ht="25.5">
      <x:c r="A111" s="11">
        <x:v>105</x:v>
      </x:c>
      <x:c r="B111" s="1">
        <x:v>115</x:v>
      </x:c>
      <x:c r="C111" s="1" t="s">
        <x:v>127</x:v>
      </x:c>
      <x:c r="D111" s="1" t="s">
        <x:v>1155</x:v>
      </x:c>
      <x:c r="E111" s="1">
        <x:v>16</x:v>
      </x:c>
      <x:c r="F111" s="1" t="s">
        <x:v>1482</x:v>
      </x:c>
      <x:c r="G111" s="1" t="s">
        <x:v>1483</x:v>
      </x:c>
      <x:c r="H111" s="1"/>
      <x:c r="I111" s="1" t="s">
        <x:v>1157</x:v>
      </x:c>
      <x:c r="J111" s="1" t="s">
        <x:v>335</x:v>
      </x:c>
      <x:c r="K111" s="1"/>
      <x:c r="L111" s="1"/>
      <x:c r="M111" s="21" t="s">
        <x:v>1275</x:v>
      </x:c>
      <x:c r="N111" s="17"/>
      <x:c r="O111" s="17"/>
      <x:c r="P111" s="22"/>
    </x:row>
    <x:row r="112" ht="25.5">
      <x:c r="A112" s="11">
        <x:v>106</x:v>
      </x:c>
      <x:c r="B112" s="1">
        <x:v>116</x:v>
      </x:c>
      <x:c r="C112" s="1" t="s">
        <x:v>127</x:v>
      </x:c>
      <x:c r="D112" s="1" t="s">
        <x:v>1155</x:v>
      </x:c>
      <x:c r="E112" s="1">
        <x:v>16</x:v>
      </x:c>
      <x:c r="F112" s="1" t="s">
        <x:v>1484</x:v>
      </x:c>
      <x:c r="G112" s="1" t="s">
        <x:v>1485</x:v>
      </x:c>
      <x:c r="H112" s="1"/>
      <x:c r="I112" s="1" t="s">
        <x:v>1157</x:v>
      </x:c>
      <x:c r="J112" s="1" t="s">
        <x:v>335</x:v>
      </x:c>
      <x:c r="K112" s="1"/>
      <x:c r="L112" s="1"/>
      <x:c r="M112" s="21" t="s">
        <x:v>1275</x:v>
      </x:c>
      <x:c r="N112" s="17"/>
      <x:c r="O112" s="17"/>
      <x:c r="P112" s="22"/>
    </x:row>
    <x:row r="113">
      <x:c r="A113" s="11">
        <x:v>107</x:v>
      </x:c>
      <x:c r="B113" s="1">
        <x:v>117</x:v>
      </x:c>
      <x:c r="C113" s="1" t="s">
        <x:v>127</x:v>
      </x:c>
      <x:c r="D113" s="1" t="s">
        <x:v>1155</x:v>
      </x:c>
      <x:c r="E113" s="1">
        <x:v>16</x:v>
      </x:c>
      <x:c r="F113" s="1" t="s">
        <x:v>1486</x:v>
      </x:c>
      <x:c r="G113" s="1" t="s">
        <x:v>1487</x:v>
      </x:c>
      <x:c r="H113" s="1"/>
      <x:c r="I113" s="1" t="s">
        <x:v>1157</x:v>
      </x:c>
      <x:c r="J113" s="1" t="s">
        <x:v>335</x:v>
      </x:c>
      <x:c r="K113" s="1"/>
      <x:c r="L113" s="1"/>
      <x:c r="M113" s="21" t="s">
        <x:v>1275</x:v>
      </x:c>
      <x:c r="N113" s="17"/>
      <x:c r="O113" s="17"/>
      <x:c r="P113" s="22"/>
    </x:row>
    <x:row r="114" ht="25.5">
      <x:c r="A114" s="11">
        <x:v>108</x:v>
      </x:c>
      <x:c r="B114" s="1">
        <x:v>118</x:v>
      </x:c>
      <x:c r="C114" s="1" t="s">
        <x:v>127</x:v>
      </x:c>
      <x:c r="D114" s="1" t="s">
        <x:v>1155</x:v>
      </x:c>
      <x:c r="E114" s="1">
        <x:v>16</x:v>
      </x:c>
      <x:c r="F114" s="1" t="s">
        <x:v>1488</x:v>
      </x:c>
      <x:c r="G114" s="1" t="s">
        <x:v>1489</x:v>
      </x:c>
      <x:c r="H114" s="1"/>
      <x:c r="I114" s="1" t="s">
        <x:v>1157</x:v>
      </x:c>
      <x:c r="J114" s="1" t="s">
        <x:v>335</x:v>
      </x:c>
      <x:c r="K114" s="1"/>
      <x:c r="L114" s="1"/>
      <x:c r="M114" s="21" t="s">
        <x:v>1275</x:v>
      </x:c>
      <x:c r="N114" s="17"/>
      <x:c r="O114" s="17"/>
      <x:c r="P114" s="22"/>
    </x:row>
    <x:row r="115" ht="25.5">
      <x:c r="A115" s="11">
        <x:v>109</x:v>
      </x:c>
      <x:c r="B115" s="1">
        <x:v>119</x:v>
      </x:c>
      <x:c r="C115" s="1" t="s">
        <x:v>127</x:v>
      </x:c>
      <x:c r="D115" s="1" t="s">
        <x:v>1159</x:v>
      </x:c>
      <x:c r="E115" s="1">
        <x:v>17</x:v>
      </x:c>
      <x:c r="F115" s="1" t="s">
        <x:v>1490</x:v>
      </x:c>
      <x:c r="G115" s="1" t="s">
        <x:v>1491</x:v>
      </x:c>
      <x:c r="H115" s="1"/>
      <x:c r="I115" s="1" t="s">
        <x:v>1161</x:v>
      </x:c>
      <x:c r="J115" s="1"/>
      <x:c r="K115" s="1" t="s">
        <x:v>1492</x:v>
      </x:c>
      <x:c r="L115" s="1" t="s">
        <x:v>1493</x:v>
      </x:c>
      <x:c r="M115" s="21" t="s">
        <x:v>1275</x:v>
      </x:c>
      <x:c r="N115" s="17"/>
      <x:c r="O115" s="17"/>
      <x:c r="P115" s="22"/>
    </x:row>
    <x:row r="116">
      <x:c r="A116" s="11">
        <x:v>110</x:v>
      </x:c>
      <x:c r="B116" s="1">
        <x:v>120</x:v>
      </x:c>
      <x:c r="C116" s="1" t="s">
        <x:v>127</x:v>
      </x:c>
      <x:c r="D116" s="1" t="s">
        <x:v>1159</x:v>
      </x:c>
      <x:c r="E116" s="1">
        <x:v>17</x:v>
      </x:c>
      <x:c r="F116" s="1" t="s">
        <x:v>1494</x:v>
      </x:c>
      <x:c r="G116" s="1" t="s">
        <x:v>1495</x:v>
      </x:c>
      <x:c r="H116" s="1"/>
      <x:c r="I116" s="1" t="s">
        <x:v>1161</x:v>
      </x:c>
      <x:c r="J116" s="1" t="s">
        <x:v>1162</x:v>
      </x:c>
      <x:c r="K116" s="1" t="s">
        <x:v>1496</x:v>
      </x:c>
      <x:c r="L116" s="1"/>
      <x:c r="M116" s="21" t="s">
        <x:v>1275</x:v>
      </x:c>
      <x:c r="N116" s="17"/>
      <x:c r="O116" s="17"/>
      <x:c r="P116" s="22"/>
    </x:row>
    <x:row r="117">
      <x:c r="A117" s="11">
        <x:v>111</x:v>
      </x:c>
      <x:c r="B117" s="1">
        <x:v>121</x:v>
      </x:c>
      <x:c r="C117" s="1" t="s">
        <x:v>127</x:v>
      </x:c>
      <x:c r="D117" s="1" t="s">
        <x:v>1159</x:v>
      </x:c>
      <x:c r="E117" s="1">
        <x:v>17</x:v>
      </x:c>
      <x:c r="F117" s="1" t="s">
        <x:v>1497</x:v>
      </x:c>
      <x:c r="G117" s="1" t="s">
        <x:v>1498</x:v>
      </x:c>
      <x:c r="H117" s="1"/>
      <x:c r="I117" s="1" t="s">
        <x:v>1161</x:v>
      </x:c>
      <x:c r="J117" s="1" t="s">
        <x:v>1162</x:v>
      </x:c>
      <x:c r="K117" s="1" t="s">
        <x:v>1499</x:v>
      </x:c>
      <x:c r="L117" s="1"/>
      <x:c r="M117" s="21" t="s">
        <x:v>1275</x:v>
      </x:c>
      <x:c r="N117" s="17"/>
      <x:c r="O117" s="17"/>
      <x:c r="P117" s="22"/>
    </x:row>
    <x:row r="118">
      <x:c r="A118" s="11">
        <x:v>112</x:v>
      </x:c>
      <x:c r="B118" s="1">
        <x:v>122</x:v>
      </x:c>
      <x:c r="C118" s="1" t="s">
        <x:v>127</x:v>
      </x:c>
      <x:c r="D118" s="1" t="s">
        <x:v>1159</x:v>
      </x:c>
      <x:c r="E118" s="1">
        <x:v>17</x:v>
      </x:c>
      <x:c r="F118" s="1" t="s">
        <x:v>1500</x:v>
      </x:c>
      <x:c r="G118" s="1"/>
      <x:c r="H118" s="1"/>
      <x:c r="I118" s="1"/>
      <x:c r="J118" s="1"/>
      <x:c r="K118" s="1"/>
      <x:c r="L118" s="1"/>
      <x:c r="M118" s="21" t="s">
        <x:v>1275</x:v>
      </x:c>
      <x:c r="N118" s="17"/>
      <x:c r="O118" s="17"/>
      <x:c r="P118" s="22"/>
    </x:row>
    <x:row r="119">
      <x:c r="A119" s="11">
        <x:v>113</x:v>
      </x:c>
      <x:c r="B119" s="1">
        <x:v>123</x:v>
      </x:c>
      <x:c r="C119" s="1" t="s">
        <x:v>127</x:v>
      </x:c>
      <x:c r="D119" s="1" t="s">
        <x:v>1159</x:v>
      </x:c>
      <x:c r="E119" s="1">
        <x:v>17</x:v>
      </x:c>
      <x:c r="F119" s="1" t="s">
        <x:v>1501</x:v>
      </x:c>
      <x:c r="G119" s="1"/>
      <x:c r="H119" s="1"/>
      <x:c r="I119" s="1"/>
      <x:c r="J119" s="1"/>
      <x:c r="K119" s="1"/>
      <x:c r="L119" s="1"/>
      <x:c r="M119" s="21" t="s">
        <x:v>1275</x:v>
      </x:c>
      <x:c r="N119" s="17"/>
      <x:c r="O119" s="17"/>
      <x:c r="P119" s="22"/>
    </x:row>
    <x:row r="120" ht="25.5">
      <x:c r="A120" s="11">
        <x:v>114</x:v>
      </x:c>
      <x:c r="B120" s="1">
        <x:v>124</x:v>
      </x:c>
      <x:c r="C120" s="1" t="s">
        <x:v>127</x:v>
      </x:c>
      <x:c r="D120" s="1" t="s">
        <x:v>1159</x:v>
      </x:c>
      <x:c r="E120" s="1">
        <x:v>17</x:v>
      </x:c>
      <x:c r="F120" s="1" t="s">
        <x:v>1502</x:v>
      </x:c>
      <x:c r="G120" s="1"/>
      <x:c r="H120" s="1"/>
      <x:c r="I120" s="1"/>
      <x:c r="J120" s="1"/>
      <x:c r="K120" s="1"/>
      <x:c r="L120" s="1"/>
      <x:c r="M120" s="21" t="s">
        <x:v>1275</x:v>
      </x:c>
      <x:c r="N120" s="17"/>
      <x:c r="O120" s="17"/>
      <x:c r="P120" s="22"/>
    </x:row>
    <x:row r="121" ht="76.5">
      <x:c r="A121" s="11">
        <x:v>115</x:v>
      </x:c>
      <x:c r="B121" s="1">
        <x:v>125</x:v>
      </x:c>
      <x:c r="C121" s="1" t="s">
        <x:v>127</x:v>
      </x:c>
      <x:c r="D121" s="1" t="s">
        <x:v>1164</x:v>
      </x:c>
      <x:c r="E121" s="1">
        <x:v>18</x:v>
      </x:c>
      <x:c r="F121" s="1" t="s">
        <x:v>1503</x:v>
      </x:c>
      <x:c r="G121" s="1" t="s">
        <x:v>1504</x:v>
      </x:c>
      <x:c r="H121" s="1"/>
      <x:c r="I121" s="1" t="s">
        <x:v>1157</x:v>
      </x:c>
      <x:c r="J121" s="1" t="s">
        <x:v>335</x:v>
      </x:c>
      <x:c r="K121" s="1" t="s">
        <x:v>1505</x:v>
      </x:c>
      <x:c r="L121" s="1"/>
      <x:c r="M121" s="21" t="s">
        <x:v>1275</x:v>
      </x:c>
      <x:c r="N121" s="17"/>
      <x:c r="O121" s="17"/>
      <x:c r="P121" s="22"/>
    </x:row>
    <x:row r="122">
      <x:c r="A122" s="11">
        <x:v>116</x:v>
      </x:c>
      <x:c r="B122" s="1">
        <x:v>126</x:v>
      </x:c>
      <x:c r="C122" s="1" t="s">
        <x:v>127</x:v>
      </x:c>
      <x:c r="D122" s="1" t="s">
        <x:v>1164</x:v>
      </x:c>
      <x:c r="E122" s="1">
        <x:v>18</x:v>
      </x:c>
      <x:c r="F122" s="1"/>
      <x:c r="G122" s="1" t="s">
        <x:v>1506</x:v>
      </x:c>
      <x:c r="H122" s="1"/>
      <x:c r="I122" s="1" t="s">
        <x:v>1157</x:v>
      </x:c>
      <x:c r="J122" s="1" t="s">
        <x:v>335</x:v>
      </x:c>
      <x:c r="K122" s="1" t="s">
        <x:v>1507</x:v>
      </x:c>
      <x:c r="L122" s="1"/>
      <x:c r="M122" s="21" t="s">
        <x:v>1275</x:v>
      </x:c>
      <x:c r="N122" s="17"/>
      <x:c r="O122" s="17"/>
      <x:c r="P122" s="22"/>
    </x:row>
    <x:row r="123">
      <x:c r="A123" s="11">
        <x:v>117</x:v>
      </x:c>
      <x:c r="B123" s="1">
        <x:v>127</x:v>
      </x:c>
      <x:c r="C123" s="1" t="s">
        <x:v>127</x:v>
      </x:c>
      <x:c r="D123" s="1" t="s">
        <x:v>1164</x:v>
      </x:c>
      <x:c r="E123" s="1">
        <x:v>18</x:v>
      </x:c>
      <x:c r="F123" s="1"/>
      <x:c r="G123" s="1" t="s">
        <x:v>1469</x:v>
      </x:c>
      <x:c r="H123" s="1"/>
      <x:c r="I123" s="1" t="s">
        <x:v>1157</x:v>
      </x:c>
      <x:c r="J123" s="1" t="s">
        <x:v>335</x:v>
      </x:c>
      <x:c r="K123" s="1"/>
      <x:c r="L123" s="1"/>
      <x:c r="M123" s="21" t="s">
        <x:v>1275</x:v>
      </x:c>
      <x:c r="N123" s="17"/>
      <x:c r="O123" s="17"/>
      <x:c r="P123" s="22"/>
    </x:row>
    <x:row r="124" ht="25.5">
      <x:c r="A124" s="11">
        <x:v>118</x:v>
      </x:c>
      <x:c r="B124" s="1">
        <x:v>129</x:v>
      </x:c>
      <x:c r="C124" s="1" t="s">
        <x:v>127</x:v>
      </x:c>
      <x:c r="D124" s="1" t="s">
        <x:v>1167</x:v>
      </x:c>
      <x:c r="E124" s="1">
        <x:v>19</x:v>
      </x:c>
      <x:c r="F124" s="1" t="s">
        <x:v>1508</x:v>
      </x:c>
      <x:c r="G124" s="1" t="s">
        <x:v>1491</x:v>
      </x:c>
      <x:c r="H124" s="1"/>
      <x:c r="I124" s="1" t="s">
        <x:v>1157</x:v>
      </x:c>
      <x:c r="J124" s="1"/>
      <x:c r="K124" s="1" t="s">
        <x:v>1509</x:v>
      </x:c>
      <x:c r="L124" s="1" t="s">
        <x:v>1510</x:v>
      </x:c>
      <x:c r="M124" s="21" t="s">
        <x:v>1275</x:v>
      </x:c>
      <x:c r="N124" s="17"/>
      <x:c r="O124" s="17"/>
      <x:c r="P124" s="22"/>
    </x:row>
    <x:row r="125">
      <x:c r="A125" s="11">
        <x:v>119</x:v>
      </x:c>
      <x:c r="B125" s="1">
        <x:v>130</x:v>
      </x:c>
      <x:c r="C125" s="1" t="s">
        <x:v>127</x:v>
      </x:c>
      <x:c r="D125" s="1" t="s">
        <x:v>1167</x:v>
      </x:c>
      <x:c r="E125" s="1">
        <x:v>19</x:v>
      </x:c>
      <x:c r="F125" s="1" t="s">
        <x:v>1511</x:v>
      </x:c>
      <x:c r="G125" s="1" t="s">
        <x:v>1495</x:v>
      </x:c>
      <x:c r="H125" s="1"/>
      <x:c r="I125" s="1" t="s">
        <x:v>1157</x:v>
      </x:c>
      <x:c r="J125" s="1" t="s">
        <x:v>1162</x:v>
      </x:c>
      <x:c r="K125" s="1" t="s">
        <x:v>1512</x:v>
      </x:c>
      <x:c r="L125" s="1"/>
      <x:c r="M125" s="21" t="s">
        <x:v>1275</x:v>
      </x:c>
      <x:c r="N125" s="17"/>
      <x:c r="O125" s="17"/>
      <x:c r="P125" s="22"/>
    </x:row>
    <x:row r="126">
      <x:c r="A126" s="11">
        <x:v>120</x:v>
      </x:c>
      <x:c r="B126" s="1">
        <x:v>131</x:v>
      </x:c>
      <x:c r="C126" s="1" t="s">
        <x:v>127</x:v>
      </x:c>
      <x:c r="D126" s="1" t="s">
        <x:v>1167</x:v>
      </x:c>
      <x:c r="E126" s="1">
        <x:v>19</x:v>
      </x:c>
      <x:c r="F126" s="1" t="s">
        <x:v>1513</x:v>
      </x:c>
      <x:c r="G126" s="1" t="s">
        <x:v>1514</x:v>
      </x:c>
      <x:c r="H126" s="1"/>
      <x:c r="I126" s="1" t="s">
        <x:v>1157</x:v>
      </x:c>
      <x:c r="J126" s="1"/>
      <x:c r="K126" s="1" t="s">
        <x:v>1515</x:v>
      </x:c>
      <x:c r="L126" s="1"/>
      <x:c r="M126" s="21" t="s">
        <x:v>1275</x:v>
      </x:c>
      <x:c r="N126" s="17"/>
      <x:c r="O126" s="17"/>
      <x:c r="P126" s="22"/>
    </x:row>
    <x:row r="127">
      <x:c r="A127" s="11">
        <x:v>121</x:v>
      </x:c>
      <x:c r="B127" s="1">
        <x:v>132</x:v>
      </x:c>
      <x:c r="C127" s="1" t="s">
        <x:v>127</x:v>
      </x:c>
      <x:c r="D127" s="1" t="s">
        <x:v>1167</x:v>
      </x:c>
      <x:c r="E127" s="1">
        <x:v>19</x:v>
      </x:c>
      <x:c r="F127" s="1" t="s">
        <x:v>1516</x:v>
      </x:c>
      <x:c r="G127" s="1"/>
      <x:c r="H127" s="1"/>
      <x:c r="I127" s="1"/>
      <x:c r="J127" s="1"/>
      <x:c r="K127" s="1"/>
      <x:c r="L127" s="1"/>
      <x:c r="M127" s="21" t="s">
        <x:v>1275</x:v>
      </x:c>
      <x:c r="N127" s="17"/>
      <x:c r="O127" s="17"/>
      <x:c r="P127" s="22"/>
    </x:row>
    <x:row r="128">
      <x:c r="A128" s="11">
        <x:v>122</x:v>
      </x:c>
      <x:c r="B128" s="1">
        <x:v>133</x:v>
      </x:c>
      <x:c r="C128" s="1" t="s">
        <x:v>127</x:v>
      </x:c>
      <x:c r="D128" s="1" t="s">
        <x:v>1167</x:v>
      </x:c>
      <x:c r="E128" s="1">
        <x:v>19</x:v>
      </x:c>
      <x:c r="F128" s="1" t="s">
        <x:v>1517</x:v>
      </x:c>
      <x:c r="G128" s="1"/>
      <x:c r="H128" s="1"/>
      <x:c r="I128" s="1"/>
      <x:c r="J128" s="1"/>
      <x:c r="K128" s="1"/>
      <x:c r="L128" s="1"/>
      <x:c r="M128" s="21" t="s">
        <x:v>1275</x:v>
      </x:c>
      <x:c r="N128" s="17"/>
      <x:c r="O128" s="17"/>
      <x:c r="P128" s="22"/>
    </x:row>
    <x:row r="129" ht="25.5">
      <x:c r="A129" s="11">
        <x:v>123</x:v>
      </x:c>
      <x:c r="B129" s="1">
        <x:v>134</x:v>
      </x:c>
      <x:c r="C129" s="1" t="s">
        <x:v>127</x:v>
      </x:c>
      <x:c r="D129" s="1" t="s">
        <x:v>1167</x:v>
      </x:c>
      <x:c r="E129" s="1">
        <x:v>19</x:v>
      </x:c>
      <x:c r="F129" s="1" t="s">
        <x:v>1518</x:v>
      </x:c>
      <x:c r="G129" s="1"/>
      <x:c r="H129" s="1"/>
      <x:c r="I129" s="1"/>
      <x:c r="J129" s="1"/>
      <x:c r="K129" s="1"/>
      <x:c r="L129" s="1"/>
      <x:c r="M129" s="21" t="s">
        <x:v>1275</x:v>
      </x:c>
      <x:c r="N129" s="17"/>
      <x:c r="O129" s="17"/>
      <x:c r="P129" s="22"/>
    </x:row>
    <x:row r="130" ht="25.5">
      <x:c r="A130" s="11">
        <x:v>124</x:v>
      </x:c>
      <x:c r="B130" s="1">
        <x:v>135</x:v>
      </x:c>
      <x:c r="C130" s="1" t="s">
        <x:v>127</x:v>
      </x:c>
      <x:c r="D130" s="1" t="s">
        <x:v>1167</x:v>
      </x:c>
      <x:c r="E130" s="1">
        <x:v>19</x:v>
      </x:c>
      <x:c r="F130" s="1" t="s">
        <x:v>1519</x:v>
      </x:c>
      <x:c r="G130" s="1"/>
      <x:c r="H130" s="1"/>
      <x:c r="I130" s="1"/>
      <x:c r="J130" s="1"/>
      <x:c r="K130" s="1"/>
      <x:c r="L130" s="1"/>
      <x:c r="M130" s="21" t="s">
        <x:v>1275</x:v>
      </x:c>
      <x:c r="N130" s="17"/>
      <x:c r="O130" s="17"/>
      <x:c r="P130" s="22"/>
    </x:row>
    <x:row r="131" ht="25.5">
      <x:c r="A131" s="11">
        <x:v>125</x:v>
      </x:c>
      <x:c r="B131" s="1">
        <x:v>136</x:v>
      </x:c>
      <x:c r="C131" s="1" t="s">
        <x:v>127</x:v>
      </x:c>
      <x:c r="D131" s="1" t="s">
        <x:v>1167</x:v>
      </x:c>
      <x:c r="E131" s="1">
        <x:v>19</x:v>
      </x:c>
      <x:c r="F131" s="1" t="s">
        <x:v>1520</x:v>
      </x:c>
      <x:c r="G131" s="1"/>
      <x:c r="H131" s="1"/>
      <x:c r="I131" s="1"/>
      <x:c r="J131" s="1"/>
      <x:c r="K131" s="1"/>
      <x:c r="L131" s="1"/>
      <x:c r="M131" s="21" t="s">
        <x:v>1275</x:v>
      </x:c>
      <x:c r="N131" s="17"/>
      <x:c r="O131" s="17"/>
      <x:c r="P131" s="22"/>
    </x:row>
    <x:row r="132">
      <x:c r="A132" s="11">
        <x:v>126</x:v>
      </x:c>
      <x:c r="B132" s="1">
        <x:v>137</x:v>
      </x:c>
      <x:c r="C132" s="1" t="s">
        <x:v>127</x:v>
      </x:c>
      <x:c r="D132" s="1" t="s">
        <x:v>1167</x:v>
      </x:c>
      <x:c r="E132" s="1">
        <x:v>19</x:v>
      </x:c>
      <x:c r="F132" s="1" t="s">
        <x:v>1521</x:v>
      </x:c>
      <x:c r="G132" s="1"/>
      <x:c r="H132" s="1"/>
      <x:c r="I132" s="1"/>
      <x:c r="J132" s="1"/>
      <x:c r="K132" s="1"/>
      <x:c r="L132" s="1"/>
      <x:c r="M132" s="21" t="s">
        <x:v>1275</x:v>
      </x:c>
      <x:c r="N132" s="17"/>
      <x:c r="O132" s="17"/>
      <x:c r="P132" s="22"/>
    </x:row>
    <x:row r="133" ht="25.5">
      <x:c r="A133" s="11">
        <x:v>127</x:v>
      </x:c>
      <x:c r="B133" s="1">
        <x:v>138</x:v>
      </x:c>
      <x:c r="C133" s="1" t="s">
        <x:v>127</x:v>
      </x:c>
      <x:c r="D133" s="1" t="s">
        <x:v>1167</x:v>
      </x:c>
      <x:c r="E133" s="1">
        <x:v>19</x:v>
      </x:c>
      <x:c r="F133" s="1" t="s">
        <x:v>1522</x:v>
      </x:c>
      <x:c r="G133" s="1"/>
      <x:c r="H133" s="1"/>
      <x:c r="I133" s="1"/>
      <x:c r="J133" s="1"/>
      <x:c r="K133" s="1"/>
      <x:c r="L133" s="1"/>
      <x:c r="M133" s="21" t="s">
        <x:v>1275</x:v>
      </x:c>
      <x:c r="N133" s="17"/>
      <x:c r="O133" s="17"/>
      <x:c r="P133" s="22"/>
    </x:row>
    <x:row r="134" ht="63.75">
      <x:c r="A134" s="11">
        <x:v>128</x:v>
      </x:c>
      <x:c r="B134" s="1">
        <x:v>139</x:v>
      </x:c>
      <x:c r="C134" s="1" t="s">
        <x:v>127</x:v>
      </x:c>
      <x:c r="D134" s="1" t="s">
        <x:v>1170</x:v>
      </x:c>
      <x:c r="E134" s="1">
        <x:v>20</x:v>
      </x:c>
      <x:c r="F134" s="1" t="s">
        <x:v>1523</x:v>
      </x:c>
      <x:c r="G134" s="1" t="s">
        <x:v>1524</x:v>
      </x:c>
      <x:c r="H134" s="1"/>
      <x:c r="I134" s="1" t="s">
        <x:v>1172</x:v>
      </x:c>
      <x:c r="J134" s="1" t="s">
        <x:v>1162</x:v>
      </x:c>
      <x:c r="K134" s="1" t="s">
        <x:v>1525</x:v>
      </x:c>
      <x:c r="L134" s="1"/>
      <x:c r="M134" s="21" t="s">
        <x:v>1275</x:v>
      </x:c>
      <x:c r="N134" s="17"/>
      <x:c r="O134" s="17"/>
      <x:c r="P134" s="22"/>
    </x:row>
    <x:row r="135">
      <x:c r="A135" s="11">
        <x:v>129</x:v>
      </x:c>
      <x:c r="B135" s="1">
        <x:v>140</x:v>
      </x:c>
      <x:c r="C135" s="1" t="s">
        <x:v>127</x:v>
      </x:c>
      <x:c r="D135" s="1" t="s">
        <x:v>1170</x:v>
      </x:c>
      <x:c r="E135" s="1">
        <x:v>20</x:v>
      </x:c>
      <x:c r="F135" s="1"/>
      <x:c r="G135" s="1" t="s">
        <x:v>1526</x:v>
      </x:c>
      <x:c r="H135" s="1"/>
      <x:c r="I135" s="1" t="s">
        <x:v>1172</x:v>
      </x:c>
      <x:c r="J135" s="1" t="s">
        <x:v>1162</x:v>
      </x:c>
      <x:c r="K135" s="1" t="s">
        <x:v>1527</x:v>
      </x:c>
      <x:c r="L135" s="1"/>
      <x:c r="M135" s="21" t="s">
        <x:v>1275</x:v>
      </x:c>
      <x:c r="N135" s="17"/>
      <x:c r="O135" s="17"/>
      <x:c r="P135" s="22"/>
    </x:row>
    <x:row r="136">
      <x:c r="A136" s="11">
        <x:v>130</x:v>
      </x:c>
      <x:c r="B136" s="1">
        <x:v>141</x:v>
      </x:c>
      <x:c r="C136" s="1" t="s">
        <x:v>127</x:v>
      </x:c>
      <x:c r="D136" s="1" t="s">
        <x:v>1170</x:v>
      </x:c>
      <x:c r="E136" s="1">
        <x:v>20</x:v>
      </x:c>
      <x:c r="F136" s="1"/>
      <x:c r="G136" s="1" t="s">
        <x:v>1528</x:v>
      </x:c>
      <x:c r="H136" s="1"/>
      <x:c r="I136" s="1" t="s">
        <x:v>1172</x:v>
      </x:c>
      <x:c r="J136" s="1" t="s">
        <x:v>1162</x:v>
      </x:c>
      <x:c r="K136" s="1"/>
      <x:c r="L136" s="1"/>
      <x:c r="M136" s="21" t="s">
        <x:v>1275</x:v>
      </x:c>
      <x:c r="N136" s="17"/>
      <x:c r="O136" s="17"/>
      <x:c r="P136" s="22"/>
    </x:row>
    <x:row r="137">
      <x:c r="A137" s="11">
        <x:v>131</x:v>
      </x:c>
      <x:c r="B137" s="1">
        <x:v>142</x:v>
      </x:c>
      <x:c r="C137" s="1" t="s">
        <x:v>127</x:v>
      </x:c>
      <x:c r="D137" s="1" t="s">
        <x:v>1170</x:v>
      </x:c>
      <x:c r="E137" s="1">
        <x:v>20</x:v>
      </x:c>
      <x:c r="F137" s="1"/>
      <x:c r="G137" s="1" t="s">
        <x:v>1529</x:v>
      </x:c>
      <x:c r="H137" s="1"/>
      <x:c r="I137" s="1" t="s">
        <x:v>1172</x:v>
      </x:c>
      <x:c r="J137" s="1" t="s">
        <x:v>1162</x:v>
      </x:c>
      <x:c r="K137" s="1"/>
      <x:c r="L137" s="1"/>
      <x:c r="M137" s="21" t="s">
        <x:v>1275</x:v>
      </x:c>
      <x:c r="N137" s="17"/>
      <x:c r="O137" s="17"/>
      <x:c r="P137" s="22"/>
    </x:row>
    <x:row r="138" ht="76.5">
      <x:c r="A138" s="11">
        <x:v>132</x:v>
      </x:c>
      <x:c r="B138" s="1">
        <x:v>143</x:v>
      </x:c>
      <x:c r="C138" s="1" t="s">
        <x:v>1174</x:v>
      </x:c>
      <x:c r="D138" s="1" t="s">
        <x:v>1175</x:v>
      </x:c>
      <x:c r="E138" s="1">
        <x:v>21</x:v>
      </x:c>
      <x:c r="F138" s="1" t="s">
        <x:v>1530</x:v>
      </x:c>
      <x:c r="G138" s="1" t="s">
        <x:v>1531</x:v>
      </x:c>
      <x:c r="H138" s="1"/>
      <x:c r="I138" s="1" t="s">
        <x:v>1172</x:v>
      </x:c>
      <x:c r="J138" s="1" t="s">
        <x:v>1162</x:v>
      </x:c>
      <x:c r="K138" s="1" t="s">
        <x:v>1532</x:v>
      </x:c>
      <x:c r="L138" s="1"/>
      <x:c r="M138" s="21" t="s">
        <x:v>1275</x:v>
      </x:c>
      <x:c r="N138" s="17"/>
      <x:c r="O138" s="17"/>
      <x:c r="P138" s="22"/>
    </x:row>
    <x:row r="139">
      <x:c r="A139" s="11">
        <x:v>133</x:v>
      </x:c>
      <x:c r="B139" s="1">
        <x:v>144</x:v>
      </x:c>
      <x:c r="C139" s="1" t="s">
        <x:v>1174</x:v>
      </x:c>
      <x:c r="D139" s="1" t="s">
        <x:v>1175</x:v>
      </x:c>
      <x:c r="E139" s="1">
        <x:v>21</x:v>
      </x:c>
      <x:c r="F139" s="1"/>
      <x:c r="G139" s="1" t="s">
        <x:v>1533</x:v>
      </x:c>
      <x:c r="H139" s="1"/>
      <x:c r="I139" s="1" t="s">
        <x:v>1172</x:v>
      </x:c>
      <x:c r="J139" s="1" t="s">
        <x:v>1162</x:v>
      </x:c>
      <x:c r="K139" s="1" t="s">
        <x:v>1534</x:v>
      </x:c>
      <x:c r="L139" s="1"/>
      <x:c r="M139" s="21" t="s">
        <x:v>1275</x:v>
      </x:c>
      <x:c r="N139" s="17"/>
      <x:c r="O139" s="17"/>
      <x:c r="P139" s="22"/>
    </x:row>
    <x:row r="140">
      <x:c r="A140" s="11">
        <x:v>134</x:v>
      </x:c>
      <x:c r="B140" s="1">
        <x:v>145</x:v>
      </x:c>
      <x:c r="C140" s="1" t="s">
        <x:v>1174</x:v>
      </x:c>
      <x:c r="D140" s="1" t="s">
        <x:v>1175</x:v>
      </x:c>
      <x:c r="E140" s="1">
        <x:v>21</x:v>
      </x:c>
      <x:c r="F140" s="1"/>
      <x:c r="G140" s="1" t="s">
        <x:v>1535</x:v>
      </x:c>
      <x:c r="H140" s="1"/>
      <x:c r="I140" s="1" t="s">
        <x:v>1172</x:v>
      </x:c>
      <x:c r="J140" s="1" t="s">
        <x:v>1162</x:v>
      </x:c>
      <x:c r="K140" s="1"/>
      <x:c r="L140" s="1"/>
      <x:c r="M140" s="21" t="s">
        <x:v>1275</x:v>
      </x:c>
      <x:c r="N140" s="17"/>
      <x:c r="O140" s="17"/>
      <x:c r="P140" s="22"/>
    </x:row>
    <x:row r="141">
      <x:c r="A141" s="11">
        <x:v>135</x:v>
      </x:c>
      <x:c r="B141" s="1">
        <x:v>146</x:v>
      </x:c>
      <x:c r="C141" s="1" t="s">
        <x:v>1174</x:v>
      </x:c>
      <x:c r="D141" s="1" t="s">
        <x:v>1175</x:v>
      </x:c>
      <x:c r="E141" s="1">
        <x:v>21</x:v>
      </x:c>
      <x:c r="F141" s="1"/>
      <x:c r="G141" s="1" t="s">
        <x:v>1536</x:v>
      </x:c>
      <x:c r="H141" s="1"/>
      <x:c r="I141" s="1" t="s">
        <x:v>1172</x:v>
      </x:c>
      <x:c r="J141" s="1" t="s">
        <x:v>1162</x:v>
      </x:c>
      <x:c r="K141" s="1"/>
      <x:c r="L141" s="1"/>
      <x:c r="M141" s="21" t="s">
        <x:v>1275</x:v>
      </x:c>
      <x:c r="N141" s="17"/>
      <x:c r="O141" s="17"/>
      <x:c r="P141" s="22"/>
    </x:row>
    <x:row r="142">
      <x:c r="A142" s="11">
        <x:v>136</x:v>
      </x:c>
      <x:c r="B142" s="1">
        <x:v>147</x:v>
      </x:c>
      <x:c r="C142" s="1" t="s">
        <x:v>1174</x:v>
      </x:c>
      <x:c r="D142" s="1" t="s">
        <x:v>1175</x:v>
      </x:c>
      <x:c r="E142" s="1">
        <x:v>21</x:v>
      </x:c>
      <x:c r="F142" s="1"/>
      <x:c r="G142" s="1" t="s">
        <x:v>1537</x:v>
      </x:c>
      <x:c r="H142" s="1"/>
      <x:c r="I142" s="1" t="s">
        <x:v>1172</x:v>
      </x:c>
      <x:c r="J142" s="1" t="s">
        <x:v>1162</x:v>
      </x:c>
      <x:c r="K142" s="1"/>
      <x:c r="L142" s="1"/>
      <x:c r="M142" s="21" t="s">
        <x:v>1275</x:v>
      </x:c>
      <x:c r="N142" s="17"/>
      <x:c r="O142" s="17"/>
      <x:c r="P142" s="22"/>
    </x:row>
    <x:row r="143">
      <x:c r="A143" s="11">
        <x:v>137</x:v>
      </x:c>
      <x:c r="B143" s="1">
        <x:v>148</x:v>
      </x:c>
      <x:c r="C143" s="1" t="s">
        <x:v>1174</x:v>
      </x:c>
      <x:c r="D143" s="1" t="s">
        <x:v>1175</x:v>
      </x:c>
      <x:c r="E143" s="1">
        <x:v>21</x:v>
      </x:c>
      <x:c r="F143" s="1"/>
      <x:c r="G143" s="1" t="s">
        <x:v>1538</x:v>
      </x:c>
      <x:c r="H143" s="1"/>
      <x:c r="I143" s="1" t="s">
        <x:v>1172</x:v>
      </x:c>
      <x:c r="J143" s="1" t="s">
        <x:v>1162</x:v>
      </x:c>
      <x:c r="K143" s="1"/>
      <x:c r="L143" s="1"/>
      <x:c r="M143" s="21" t="s">
        <x:v>1275</x:v>
      </x:c>
      <x:c r="N143" s="17"/>
      <x:c r="O143" s="17"/>
      <x:c r="P143" s="22"/>
    </x:row>
    <x:row r="144" ht="25.5">
      <x:c r="A144" s="11">
        <x:v>138</x:v>
      </x:c>
      <x:c r="B144" s="1">
        <x:v>149</x:v>
      </x:c>
      <x:c r="C144" s="1" t="s">
        <x:v>1174</x:v>
      </x:c>
      <x:c r="D144" s="1" t="s">
        <x:v>1178</x:v>
      </x:c>
      <x:c r="E144" s="1">
        <x:v>22</x:v>
      </x:c>
      <x:c r="F144" s="1" t="s">
        <x:v>1539</x:v>
      </x:c>
      <x:c r="G144" s="1" t="s">
        <x:v>1540</x:v>
      </x:c>
      <x:c r="H144" s="1"/>
      <x:c r="I144" s="1" t="s">
        <x:v>1172</x:v>
      </x:c>
      <x:c r="J144" s="1" t="s">
        <x:v>1162</x:v>
      </x:c>
      <x:c r="K144" s="1" t="s">
        <x:v>1541</x:v>
      </x:c>
      <x:c r="L144" s="1"/>
      <x:c r="M144" s="21" t="s">
        <x:v>1275</x:v>
      </x:c>
      <x:c r="N144" s="17"/>
      <x:c r="O144" s="17"/>
      <x:c r="P144" s="22"/>
    </x:row>
    <x:row r="145">
      <x:c r="A145" s="11">
        <x:v>139</x:v>
      </x:c>
      <x:c r="B145" s="1">
        <x:v>150</x:v>
      </x:c>
      <x:c r="C145" s="1" t="s">
        <x:v>1174</x:v>
      </x:c>
      <x:c r="D145" s="1" t="s">
        <x:v>1178</x:v>
      </x:c>
      <x:c r="E145" s="1">
        <x:v>22</x:v>
      </x:c>
      <x:c r="F145" s="1" t="s">
        <x:v>1542</x:v>
      </x:c>
      <x:c r="G145" s="1" t="s">
        <x:v>1543</x:v>
      </x:c>
      <x:c r="H145" s="1"/>
      <x:c r="I145" s="1" t="s">
        <x:v>1172</x:v>
      </x:c>
      <x:c r="J145" s="1" t="s">
        <x:v>1162</x:v>
      </x:c>
      <x:c r="K145" s="1" t="s">
        <x:v>1340</x:v>
      </x:c>
      <x:c r="L145" s="1"/>
      <x:c r="M145" s="21" t="s">
        <x:v>1275</x:v>
      </x:c>
      <x:c r="N145" s="17"/>
      <x:c r="O145" s="17"/>
      <x:c r="P145" s="22"/>
    </x:row>
    <x:row r="146" ht="25.5">
      <x:c r="A146" s="11">
        <x:v>140</x:v>
      </x:c>
      <x:c r="B146" s="1">
        <x:v>151</x:v>
      </x:c>
      <x:c r="C146" s="1" t="s">
        <x:v>1174</x:v>
      </x:c>
      <x:c r="D146" s="1" t="s">
        <x:v>1178</x:v>
      </x:c>
      <x:c r="E146" s="1">
        <x:v>22</x:v>
      </x:c>
      <x:c r="F146" s="1" t="s">
        <x:v>1544</x:v>
      </x:c>
      <x:c r="G146" s="1" t="s">
        <x:v>1545</x:v>
      </x:c>
      <x:c r="H146" s="1"/>
      <x:c r="I146" s="1" t="s">
        <x:v>1172</x:v>
      </x:c>
      <x:c r="J146" s="1" t="s">
        <x:v>1162</x:v>
      </x:c>
      <x:c r="K146" s="1"/>
      <x:c r="L146" s="1"/>
      <x:c r="M146" s="21" t="s">
        <x:v>1275</x:v>
      </x:c>
      <x:c r="N146" s="17"/>
      <x:c r="O146" s="17"/>
      <x:c r="P146" s="22"/>
    </x:row>
    <x:row r="147" ht="25.5">
      <x:c r="A147" s="11">
        <x:v>141</x:v>
      </x:c>
      <x:c r="B147" s="1">
        <x:v>152</x:v>
      </x:c>
      <x:c r="C147" s="1" t="s">
        <x:v>1174</x:v>
      </x:c>
      <x:c r="D147" s="1" t="s">
        <x:v>1178</x:v>
      </x:c>
      <x:c r="E147" s="1">
        <x:v>22</x:v>
      </x:c>
      <x:c r="F147" s="1" t="s">
        <x:v>1546</x:v>
      </x:c>
      <x:c r="G147" s="1" t="s">
        <x:v>1547</x:v>
      </x:c>
      <x:c r="H147" s="1"/>
      <x:c r="I147" s="1" t="s">
        <x:v>1172</x:v>
      </x:c>
      <x:c r="J147" s="1" t="s">
        <x:v>1162</x:v>
      </x:c>
      <x:c r="K147" s="1"/>
      <x:c r="L147" s="1"/>
      <x:c r="M147" s="21" t="s">
        <x:v>1275</x:v>
      </x:c>
      <x:c r="N147" s="17"/>
      <x:c r="O147" s="17"/>
      <x:c r="P147" s="22"/>
    </x:row>
    <x:row r="148">
      <x:c r="A148" s="11">
        <x:v>142</x:v>
      </x:c>
      <x:c r="B148" s="1">
        <x:v>153</x:v>
      </x:c>
      <x:c r="C148" s="1" t="s">
        <x:v>1174</x:v>
      </x:c>
      <x:c r="D148" s="1" t="s">
        <x:v>1178</x:v>
      </x:c>
      <x:c r="E148" s="1">
        <x:v>22</x:v>
      </x:c>
      <x:c r="F148" s="1" t="s">
        <x:v>1548</x:v>
      </x:c>
      <x:c r="G148" s="1" t="s">
        <x:v>1549</x:v>
      </x:c>
      <x:c r="H148" s="1"/>
      <x:c r="I148" s="1" t="s">
        <x:v>1172</x:v>
      </x:c>
      <x:c r="J148" s="1" t="s">
        <x:v>1162</x:v>
      </x:c>
      <x:c r="K148" s="1"/>
      <x:c r="L148" s="1"/>
      <x:c r="M148" s="21" t="s">
        <x:v>1275</x:v>
      </x:c>
      <x:c r="N148" s="17"/>
      <x:c r="O148" s="17"/>
      <x:c r="P148" s="22"/>
    </x:row>
    <x:row r="149">
      <x:c r="A149" s="11">
        <x:v>143</x:v>
      </x:c>
      <x:c r="B149" s="1">
        <x:v>154</x:v>
      </x:c>
      <x:c r="C149" s="1" t="s">
        <x:v>1174</x:v>
      </x:c>
      <x:c r="D149" s="1" t="s">
        <x:v>1178</x:v>
      </x:c>
      <x:c r="E149" s="1">
        <x:v>22</x:v>
      </x:c>
      <x:c r="F149" s="1" t="s">
        <x:v>1550</x:v>
      </x:c>
      <x:c r="G149" s="1"/>
      <x:c r="H149" s="1"/>
      <x:c r="I149" s="1"/>
      <x:c r="J149" s="1"/>
      <x:c r="K149" s="1"/>
      <x:c r="L149" s="1"/>
      <x:c r="M149" s="21" t="s">
        <x:v>1275</x:v>
      </x:c>
      <x:c r="N149" s="17"/>
      <x:c r="O149" s="17"/>
      <x:c r="P149" s="22"/>
    </x:row>
    <x:row r="150">
      <x:c r="A150" s="11">
        <x:v>144</x:v>
      </x:c>
      <x:c r="B150" s="1">
        <x:v>155</x:v>
      </x:c>
      <x:c r="C150" s="1" t="s">
        <x:v>1174</x:v>
      </x:c>
      <x:c r="D150" s="1" t="s">
        <x:v>1181</x:v>
      </x:c>
      <x:c r="E150" s="1">
        <x:v>23</x:v>
      </x:c>
      <x:c r="F150" s="1" t="s">
        <x:v>1551</x:v>
      </x:c>
      <x:c r="G150" s="1" t="s">
        <x:v>1552</x:v>
      </x:c>
      <x:c r="H150" s="1"/>
      <x:c r="I150" s="1" t="s">
        <x:v>1153</x:v>
      </x:c>
      <x:c r="J150" s="1" t="s">
        <x:v>1553</x:v>
      </x:c>
      <x:c r="K150" s="1" t="s">
        <x:v>1554</x:v>
      </x:c>
      <x:c r="L150" s="1"/>
      <x:c r="M150" s="21" t="s">
        <x:v>1275</x:v>
      </x:c>
      <x:c r="N150" s="17"/>
      <x:c r="O150" s="17"/>
      <x:c r="P150" s="22"/>
    </x:row>
    <x:row r="151">
      <x:c r="A151" s="11">
        <x:v>145</x:v>
      </x:c>
      <x:c r="B151" s="1">
        <x:v>156</x:v>
      </x:c>
      <x:c r="C151" s="1" t="s">
        <x:v>1174</x:v>
      </x:c>
      <x:c r="D151" s="1" t="s">
        <x:v>1181</x:v>
      </x:c>
      <x:c r="E151" s="1">
        <x:v>23</x:v>
      </x:c>
      <x:c r="F151" s="1" t="s">
        <x:v>1550</x:v>
      </x:c>
      <x:c r="G151" s="1" t="s">
        <x:v>1555</x:v>
      </x:c>
      <x:c r="H151" s="1"/>
      <x:c r="I151" s="1" t="s">
        <x:v>1153</x:v>
      </x:c>
      <x:c r="J151" s="1" t="s">
        <x:v>1556</x:v>
      </x:c>
      <x:c r="K151" s="1" t="s">
        <x:v>1340</x:v>
      </x:c>
      <x:c r="L151" s="1"/>
      <x:c r="M151" s="21" t="s">
        <x:v>1275</x:v>
      </x:c>
      <x:c r="N151" s="17"/>
      <x:c r="O151" s="17"/>
      <x:c r="P151" s="22"/>
    </x:row>
    <x:row r="152" ht="25.5">
      <x:c r="A152" s="11">
        <x:v>146</x:v>
      </x:c>
      <x:c r="B152" s="1">
        <x:v>158</x:v>
      </x:c>
      <x:c r="C152" s="1" t="s">
        <x:v>1174</x:v>
      </x:c>
      <x:c r="D152" s="1" t="s">
        <x:v>1185</x:v>
      </x:c>
      <x:c r="E152" s="1">
        <x:v>24</x:v>
      </x:c>
      <x:c r="F152" s="1" t="s">
        <x:v>1557</x:v>
      </x:c>
      <x:c r="G152" s="1" t="s">
        <x:v>1558</x:v>
      </x:c>
      <x:c r="H152" s="1"/>
      <x:c r="I152" s="1" t="s">
        <x:v>1172</x:v>
      </x:c>
      <x:c r="J152" s="1" t="s">
        <x:v>1162</x:v>
      </x:c>
      <x:c r="K152" s="1" t="s">
        <x:v>1559</x:v>
      </x:c>
      <x:c r="L152" s="1"/>
      <x:c r="M152" s="21" t="s">
        <x:v>1275</x:v>
      </x:c>
      <x:c r="N152" s="17"/>
      <x:c r="O152" s="17"/>
      <x:c r="P152" s="22"/>
    </x:row>
    <x:row r="153">
      <x:c r="A153" s="11">
        <x:v>147</x:v>
      </x:c>
      <x:c r="B153" s="1">
        <x:v>159</x:v>
      </x:c>
      <x:c r="C153" s="1" t="s">
        <x:v>1174</x:v>
      </x:c>
      <x:c r="D153" s="1" t="s">
        <x:v>1185</x:v>
      </x:c>
      <x:c r="E153" s="1">
        <x:v>24</x:v>
      </x:c>
      <x:c r="F153" s="1" t="s">
        <x:v>1560</x:v>
      </x:c>
      <x:c r="G153" s="1" t="s">
        <x:v>1561</x:v>
      </x:c>
      <x:c r="H153" s="1"/>
      <x:c r="I153" s="1" t="s">
        <x:v>1172</x:v>
      </x:c>
      <x:c r="J153" s="1" t="s">
        <x:v>1162</x:v>
      </x:c>
      <x:c r="K153" s="1" t="s">
        <x:v>1340</x:v>
      </x:c>
      <x:c r="L153" s="1"/>
      <x:c r="M153" s="21" t="s">
        <x:v>1275</x:v>
      </x:c>
      <x:c r="N153" s="17"/>
      <x:c r="O153" s="17"/>
      <x:c r="P153" s="22"/>
    </x:row>
    <x:row r="154" ht="25.5">
      <x:c r="A154" s="11">
        <x:v>148</x:v>
      </x:c>
      <x:c r="B154" s="1">
        <x:v>160</x:v>
      </x:c>
      <x:c r="C154" s="1" t="s">
        <x:v>1174</x:v>
      </x:c>
      <x:c r="D154" s="1" t="s">
        <x:v>1185</x:v>
      </x:c>
      <x:c r="E154" s="1">
        <x:v>24</x:v>
      </x:c>
      <x:c r="F154" s="1" t="s">
        <x:v>1562</x:v>
      </x:c>
      <x:c r="G154" s="1" t="s">
        <x:v>1563</x:v>
      </x:c>
      <x:c r="H154" s="1"/>
      <x:c r="I154" s="1" t="s">
        <x:v>1172</x:v>
      </x:c>
      <x:c r="J154" s="1" t="s">
        <x:v>1162</x:v>
      </x:c>
      <x:c r="K154" s="1"/>
      <x:c r="L154" s="1"/>
      <x:c r="M154" s="21" t="s">
        <x:v>1275</x:v>
      </x:c>
      <x:c r="N154" s="17"/>
      <x:c r="O154" s="17"/>
      <x:c r="P154" s="22"/>
    </x:row>
    <x:row r="155">
      <x:c r="A155" s="11">
        <x:v>149</x:v>
      </x:c>
      <x:c r="B155" s="1">
        <x:v>161</x:v>
      </x:c>
      <x:c r="C155" s="1" t="s">
        <x:v>1174</x:v>
      </x:c>
      <x:c r="D155" s="1" t="s">
        <x:v>1185</x:v>
      </x:c>
      <x:c r="E155" s="1">
        <x:v>24</x:v>
      </x:c>
      <x:c r="F155" s="1" t="s">
        <x:v>1550</x:v>
      </x:c>
      <x:c r="G155" s="1"/>
      <x:c r="H155" s="1"/>
      <x:c r="I155" s="1" t="s">
        <x:v>688</x:v>
      </x:c>
      <x:c r="J155" s="1"/>
      <x:c r="K155" s="1"/>
      <x:c r="L155" s="1"/>
      <x:c r="M155" s="21" t="s">
        <x:v>1275</x:v>
      </x:c>
      <x:c r="N155" s="17"/>
      <x:c r="O155" s="17"/>
      <x:c r="P155" s="22"/>
    </x:row>
    <x:row r="156" ht="25.5">
      <x:c r="A156" s="11">
        <x:v>150</x:v>
      </x:c>
      <x:c r="B156" s="1">
        <x:v>162</x:v>
      </x:c>
      <x:c r="C156" s="1" t="s">
        <x:v>1174</x:v>
      </x:c>
      <x:c r="D156" s="1" t="s">
        <x:v>1189</x:v>
      </x:c>
      <x:c r="E156" s="1">
        <x:v>25</x:v>
      </x:c>
      <x:c r="F156" s="1" t="s">
        <x:v>1564</x:v>
      </x:c>
      <x:c r="G156" s="1" t="s">
        <x:v>1565</x:v>
      </x:c>
      <x:c r="H156" s="1"/>
      <x:c r="I156" s="1" t="s">
        <x:v>1191</x:v>
      </x:c>
      <x:c r="J156" s="1" t="s">
        <x:v>1162</x:v>
      </x:c>
      <x:c r="K156" s="1" t="s">
        <x:v>1566</x:v>
      </x:c>
      <x:c r="L156" s="1" t="s">
        <x:v>1510</x:v>
      </x:c>
      <x:c r="M156" s="21" t="s">
        <x:v>1275</x:v>
      </x:c>
      <x:c r="N156" s="17"/>
      <x:c r="O156" s="17"/>
      <x:c r="P156" s="22"/>
    </x:row>
    <x:row r="157">
      <x:c r="A157" s="11">
        <x:v>151</x:v>
      </x:c>
      <x:c r="B157" s="1">
        <x:v>163</x:v>
      </x:c>
      <x:c r="C157" s="1" t="s">
        <x:v>1174</x:v>
      </x:c>
      <x:c r="D157" s="1" t="s">
        <x:v>1189</x:v>
      </x:c>
      <x:c r="E157" s="1">
        <x:v>25</x:v>
      </x:c>
      <x:c r="F157" s="1"/>
      <x:c r="G157" s="1" t="s">
        <x:v>1567</x:v>
      </x:c>
      <x:c r="H157" s="1"/>
      <x:c r="I157" s="1" t="s">
        <x:v>1191</x:v>
      </x:c>
      <x:c r="J157" s="1" t="s">
        <x:v>1162</x:v>
      </x:c>
      <x:c r="K157" s="1" t="s">
        <x:v>1340</x:v>
      </x:c>
      <x:c r="L157" s="1"/>
      <x:c r="M157" s="21" t="s">
        <x:v>1275</x:v>
      </x:c>
      <x:c r="N157" s="17"/>
      <x:c r="O157" s="17"/>
      <x:c r="P157" s="22"/>
    </x:row>
    <x:row r="158">
      <x:c r="A158" s="11">
        <x:v>152</x:v>
      </x:c>
      <x:c r="B158" s="1">
        <x:v>164</x:v>
      </x:c>
      <x:c r="C158" s="1" t="s">
        <x:v>1174</x:v>
      </x:c>
      <x:c r="D158" s="1" t="s">
        <x:v>1189</x:v>
      </x:c>
      <x:c r="E158" s="1">
        <x:v>25</x:v>
      </x:c>
      <x:c r="F158" s="1"/>
      <x:c r="G158" s="1" t="s">
        <x:v>1568</x:v>
      </x:c>
      <x:c r="H158" s="1"/>
      <x:c r="I158" s="1" t="s">
        <x:v>1191</x:v>
      </x:c>
      <x:c r="J158" s="1" t="s">
        <x:v>1162</x:v>
      </x:c>
      <x:c r="K158" s="1"/>
      <x:c r="L158" s="1"/>
      <x:c r="M158" s="21" t="s">
        <x:v>1275</x:v>
      </x:c>
      <x:c r="N158" s="17"/>
      <x:c r="O158" s="17"/>
      <x:c r="P158" s="22"/>
    </x:row>
    <x:row r="159">
      <x:c r="A159" s="11">
        <x:v>153</x:v>
      </x:c>
      <x:c r="B159" s="1">
        <x:v>165</x:v>
      </x:c>
      <x:c r="C159" s="1" t="s">
        <x:v>1193</x:v>
      </x:c>
      <x:c r="D159" s="1" t="s">
        <x:v>1194</x:v>
      </x:c>
      <x:c r="E159" s="1">
        <x:v>26</x:v>
      </x:c>
      <x:c r="F159" s="1" t="s">
        <x:v>1569</x:v>
      </x:c>
      <x:c r="G159" s="1" t="s">
        <x:v>1570</x:v>
      </x:c>
      <x:c r="H159" s="1" t="s">
        <x:v>1571</x:v>
      </x:c>
      <x:c r="I159" s="1" t="s">
        <x:v>1359</x:v>
      </x:c>
      <x:c r="J159" s="1" t="s">
        <x:v>1117</x:v>
      </x:c>
      <x:c r="K159" s="1" t="s">
        <x:v>1572</x:v>
      </x:c>
      <x:c r="L159" s="1" t="s">
        <x:v>1573</x:v>
      </x:c>
      <x:c r="M159" s="21" t="s">
        <x:v>1275</x:v>
      </x:c>
      <x:c r="N159" s="17"/>
      <x:c r="O159" s="17"/>
      <x:c r="P159" s="22"/>
    </x:row>
    <x:row r="160" ht="25.5">
      <x:c r="A160" s="11">
        <x:v>154</x:v>
      </x:c>
      <x:c r="B160" s="1">
        <x:v>166</x:v>
      </x:c>
      <x:c r="C160" s="1" t="s">
        <x:v>1193</x:v>
      </x:c>
      <x:c r="D160" s="1" t="s">
        <x:v>1194</x:v>
      </x:c>
      <x:c r="E160" s="1">
        <x:v>26</x:v>
      </x:c>
      <x:c r="F160" s="1" t="s">
        <x:v>1574</x:v>
      </x:c>
      <x:c r="G160" s="1" t="s">
        <x:v>1327</x:v>
      </x:c>
      <x:c r="H160" s="1" t="s">
        <x:v>1575</x:v>
      </x:c>
      <x:c r="I160" s="1" t="s">
        <x:v>1172</x:v>
      </x:c>
      <x:c r="J160" s="1" t="s">
        <x:v>1162</x:v>
      </x:c>
      <x:c r="K160" s="1" t="s">
        <x:v>1576</x:v>
      </x:c>
      <x:c r="L160" s="1"/>
      <x:c r="M160" s="21" t="s">
        <x:v>1275</x:v>
      </x:c>
      <x:c r="N160" s="17"/>
      <x:c r="O160" s="17"/>
      <x:c r="P160" s="22"/>
    </x:row>
    <x:row r="161">
      <x:c r="A161" s="11">
        <x:v>155</x:v>
      </x:c>
      <x:c r="B161" s="1">
        <x:v>167</x:v>
      </x:c>
      <x:c r="C161" s="1" t="s">
        <x:v>1193</x:v>
      </x:c>
      <x:c r="D161" s="1" t="s">
        <x:v>1194</x:v>
      </x:c>
      <x:c r="E161" s="1">
        <x:v>26</x:v>
      </x:c>
      <x:c r="F161" s="1" t="s">
        <x:v>1577</x:v>
      </x:c>
      <x:c r="G161" s="1" t="s">
        <x:v>1578</x:v>
      </x:c>
      <x:c r="H161" s="1" t="s">
        <x:v>1579</x:v>
      </x:c>
      <x:c r="I161" s="1" t="s">
        <x:v>1172</x:v>
      </x:c>
      <x:c r="J161" s="1" t="s">
        <x:v>1162</x:v>
      </x:c>
      <x:c r="K161" s="1" t="s">
        <x:v>1580</x:v>
      </x:c>
      <x:c r="L161" s="1"/>
      <x:c r="M161" s="21" t="s">
        <x:v>1275</x:v>
      </x:c>
      <x:c r="N161" s="17"/>
      <x:c r="O161" s="17"/>
      <x:c r="P161" s="22"/>
    </x:row>
    <x:row r="162" ht="25.5">
      <x:c r="A162" s="11">
        <x:v>156</x:v>
      </x:c>
      <x:c r="B162" s="1">
        <x:v>168</x:v>
      </x:c>
      <x:c r="C162" s="1" t="s">
        <x:v>1193</x:v>
      </x:c>
      <x:c r="D162" s="1" t="s">
        <x:v>1194</x:v>
      </x:c>
      <x:c r="E162" s="1">
        <x:v>26</x:v>
      </x:c>
      <x:c r="F162" s="1" t="s">
        <x:v>1581</x:v>
      </x:c>
      <x:c r="G162" s="1" t="s">
        <x:v>1327</x:v>
      </x:c>
      <x:c r="H162" s="1" t="s">
        <x:v>1582</x:v>
      </x:c>
      <x:c r="I162" s="1" t="s">
        <x:v>1172</x:v>
      </x:c>
      <x:c r="J162" s="1" t="s">
        <x:v>1162</x:v>
      </x:c>
      <x:c r="K162" s="1"/>
      <x:c r="L162" s="1"/>
      <x:c r="M162" s="21" t="s">
        <x:v>1275</x:v>
      </x:c>
      <x:c r="N162" s="17"/>
      <x:c r="O162" s="17"/>
      <x:c r="P162" s="22"/>
    </x:row>
    <x:row r="163">
      <x:c r="A163" s="11">
        <x:v>157</x:v>
      </x:c>
      <x:c r="B163" s="1">
        <x:v>169</x:v>
      </x:c>
      <x:c r="C163" s="1" t="s">
        <x:v>1193</x:v>
      </x:c>
      <x:c r="D163" s="1" t="s">
        <x:v>1194</x:v>
      </x:c>
      <x:c r="E163" s="1">
        <x:v>26</x:v>
      </x:c>
      <x:c r="F163" s="1" t="s">
        <x:v>1583</x:v>
      </x:c>
      <x:c r="G163" s="1" t="s">
        <x:v>1578</x:v>
      </x:c>
      <x:c r="H163" s="1" t="s">
        <x:v>1579</x:v>
      </x:c>
      <x:c r="I163" s="1" t="s">
        <x:v>1172</x:v>
      </x:c>
      <x:c r="J163" s="1" t="s">
        <x:v>1162</x:v>
      </x:c>
      <x:c r="K163" s="1"/>
      <x:c r="L163" s="1"/>
      <x:c r="M163" s="21" t="s">
        <x:v>1275</x:v>
      </x:c>
      <x:c r="N163" s="17"/>
      <x:c r="O163" s="17"/>
      <x:c r="P163" s="22"/>
    </x:row>
    <x:row r="164">
      <x:c r="A164" s="11">
        <x:v>158</x:v>
      </x:c>
      <x:c r="B164" s="1">
        <x:v>170</x:v>
      </x:c>
      <x:c r="C164" s="1" t="s">
        <x:v>1193</x:v>
      </x:c>
      <x:c r="D164" s="1" t="s">
        <x:v>1194</x:v>
      </x:c>
      <x:c r="E164" s="1">
        <x:v>26</x:v>
      </x:c>
      <x:c r="F164" s="1" t="s">
        <x:v>1584</x:v>
      </x:c>
      <x:c r="G164" s="1" t="s">
        <x:v>1585</x:v>
      </x:c>
      <x:c r="H164" s="1" t="s">
        <x:v>1582</x:v>
      </x:c>
      <x:c r="I164" s="1" t="s">
        <x:v>1359</x:v>
      </x:c>
      <x:c r="J164" s="1" t="s">
        <x:v>1117</x:v>
      </x:c>
      <x:c r="K164" s="1"/>
      <x:c r="L164" s="1"/>
      <x:c r="M164" s="21" t="s">
        <x:v>1275</x:v>
      </x:c>
      <x:c r="N164" s="17"/>
      <x:c r="O164" s="17"/>
      <x:c r="P164" s="22"/>
    </x:row>
    <x:row r="165">
      <x:c r="A165" s="11">
        <x:v>159</x:v>
      </x:c>
      <x:c r="B165" s="1">
        <x:v>171</x:v>
      </x:c>
      <x:c r="C165" s="1" t="s">
        <x:v>1193</x:v>
      </x:c>
      <x:c r="D165" s="1" t="s">
        <x:v>1194</x:v>
      </x:c>
      <x:c r="E165" s="1">
        <x:v>26</x:v>
      </x:c>
      <x:c r="F165" s="1" t="s">
        <x:v>1586</x:v>
      </x:c>
      <x:c r="G165" s="1" t="s">
        <x:v>1587</x:v>
      </x:c>
      <x:c r="H165" s="1" t="s">
        <x:v>1579</x:v>
      </x:c>
      <x:c r="I165" s="1" t="s">
        <x:v>1359</x:v>
      </x:c>
      <x:c r="J165" s="1" t="s">
        <x:v>1117</x:v>
      </x:c>
      <x:c r="K165" s="1"/>
      <x:c r="L165" s="1"/>
      <x:c r="M165" s="21" t="s">
        <x:v>1275</x:v>
      </x:c>
      <x:c r="N165" s="17"/>
      <x:c r="O165" s="17"/>
      <x:c r="P165" s="22"/>
    </x:row>
    <x:row r="166">
      <x:c r="A166" s="11">
        <x:v>160</x:v>
      </x:c>
      <x:c r="B166" s="1">
        <x:v>172</x:v>
      </x:c>
      <x:c r="C166" s="1" t="s">
        <x:v>1193</x:v>
      </x:c>
      <x:c r="D166" s="1" t="s">
        <x:v>1194</x:v>
      </x:c>
      <x:c r="E166" s="1">
        <x:v>26</x:v>
      </x:c>
      <x:c r="F166" s="1" t="s">
        <x:v>1588</x:v>
      </x:c>
      <x:c r="G166" s="1" t="s">
        <x:v>1589</x:v>
      </x:c>
      <x:c r="H166" s="1" t="s">
        <x:v>1590</x:v>
      </x:c>
      <x:c r="I166" s="1" t="s">
        <x:v>1172</x:v>
      </x:c>
      <x:c r="J166" s="1" t="s">
        <x:v>1162</x:v>
      </x:c>
      <x:c r="K166" s="1"/>
      <x:c r="L166" s="1"/>
      <x:c r="M166" s="21" t="s">
        <x:v>1275</x:v>
      </x:c>
      <x:c r="N166" s="17"/>
      <x:c r="O166" s="17"/>
      <x:c r="P166" s="22"/>
    </x:row>
    <x:row r="167">
      <x:c r="A167" s="11">
        <x:v>161</x:v>
      </x:c>
      <x:c r="B167" s="1">
        <x:v>173</x:v>
      </x:c>
      <x:c r="C167" s="1" t="s">
        <x:v>1193</x:v>
      </x:c>
      <x:c r="D167" s="1" t="s">
        <x:v>1194</x:v>
      </x:c>
      <x:c r="E167" s="1">
        <x:v>26</x:v>
      </x:c>
      <x:c r="F167" s="1"/>
      <x:c r="G167" s="1" t="s">
        <x:v>1591</x:v>
      </x:c>
      <x:c r="H167" s="1"/>
      <x:c r="I167" s="1" t="s">
        <x:v>1172</x:v>
      </x:c>
      <x:c r="J167" s="1" t="s">
        <x:v>1162</x:v>
      </x:c>
      <x:c r="K167" s="1"/>
      <x:c r="L167" s="1"/>
      <x:c r="M167" s="21" t="s">
        <x:v>1275</x:v>
      </x:c>
      <x:c r="N167" s="17"/>
      <x:c r="O167" s="17"/>
      <x:c r="P167" s="22"/>
    </x:row>
    <x:row r="168" ht="25.5">
      <x:c r="A168" s="11">
        <x:v>162</x:v>
      </x:c>
      <x:c r="B168" s="1">
        <x:v>174</x:v>
      </x:c>
      <x:c r="C168" s="1" t="s">
        <x:v>1193</x:v>
      </x:c>
      <x:c r="D168" s="1" t="s">
        <x:v>1199</x:v>
      </x:c>
      <x:c r="E168" s="1">
        <x:v>27</x:v>
      </x:c>
      <x:c r="F168" s="1" t="s">
        <x:v>1592</x:v>
      </x:c>
      <x:c r="G168" s="1" t="s">
        <x:v>1593</x:v>
      </x:c>
      <x:c r="H168" s="1"/>
      <x:c r="I168" s="1" t="s">
        <x:v>1359</x:v>
      </x:c>
      <x:c r="J168" s="1" t="s">
        <x:v>1117</x:v>
      </x:c>
      <x:c r="K168" s="1" t="s">
        <x:v>1594</x:v>
      </x:c>
      <x:c r="L168" s="1"/>
      <x:c r="M168" s="21" t="s">
        <x:v>1275</x:v>
      </x:c>
      <x:c r="N168" s="17"/>
      <x:c r="O168" s="17"/>
      <x:c r="P168" s="22"/>
    </x:row>
    <x:row r="169" ht="25.5">
      <x:c r="A169" s="11">
        <x:v>163</x:v>
      </x:c>
      <x:c r="B169" s="1">
        <x:v>175</x:v>
      </x:c>
      <x:c r="C169" s="1" t="s">
        <x:v>1193</x:v>
      </x:c>
      <x:c r="D169" s="1" t="s">
        <x:v>1199</x:v>
      </x:c>
      <x:c r="E169" s="1">
        <x:v>27</x:v>
      </x:c>
      <x:c r="F169" s="1" t="s">
        <x:v>1595</x:v>
      </x:c>
      <x:c r="G169" s="1" t="s">
        <x:v>1596</x:v>
      </x:c>
      <x:c r="H169" s="1"/>
      <x:c r="I169" s="1" t="s">
        <x:v>1359</x:v>
      </x:c>
      <x:c r="J169" s="1" t="s">
        <x:v>1117</x:v>
      </x:c>
      <x:c r="K169" s="1" t="s">
        <x:v>1294</x:v>
      </x:c>
      <x:c r="L169" s="1"/>
      <x:c r="M169" s="21" t="s">
        <x:v>1275</x:v>
      </x:c>
      <x:c r="N169" s="17"/>
      <x:c r="O169" s="17"/>
      <x:c r="P169" s="22"/>
    </x:row>
    <x:row r="170">
      <x:c r="A170" s="11">
        <x:v>164</x:v>
      </x:c>
      <x:c r="B170" s="1">
        <x:v>176</x:v>
      </x:c>
      <x:c r="C170" s="1" t="s">
        <x:v>1193</x:v>
      </x:c>
      <x:c r="D170" s="1" t="s">
        <x:v>1199</x:v>
      </x:c>
      <x:c r="E170" s="1">
        <x:v>27</x:v>
      </x:c>
      <x:c r="F170" s="1" t="s">
        <x:v>1597</x:v>
      </x:c>
      <x:c r="G170" s="1" t="s">
        <x:v>1598</x:v>
      </x:c>
      <x:c r="H170" s="1"/>
      <x:c r="I170" s="1" t="s">
        <x:v>1359</x:v>
      </x:c>
      <x:c r="J170" s="1" t="s">
        <x:v>1117</x:v>
      </x:c>
      <x:c r="K170" s="1"/>
      <x:c r="L170" s="1"/>
      <x:c r="M170" s="21" t="s">
        <x:v>1275</x:v>
      </x:c>
      <x:c r="N170" s="17"/>
      <x:c r="O170" s="17"/>
      <x:c r="P170" s="22"/>
    </x:row>
    <x:row r="171">
      <x:c r="A171" s="11">
        <x:v>165</x:v>
      </x:c>
      <x:c r="B171" s="1">
        <x:v>177</x:v>
      </x:c>
      <x:c r="C171" s="1" t="s">
        <x:v>1193</x:v>
      </x:c>
      <x:c r="D171" s="1" t="s">
        <x:v>1199</x:v>
      </x:c>
      <x:c r="E171" s="1">
        <x:v>27</x:v>
      </x:c>
      <x:c r="F171" s="1" t="s">
        <x:v>1599</x:v>
      </x:c>
      <x:c r="G171" s="1" t="s">
        <x:v>1600</x:v>
      </x:c>
      <x:c r="H171" s="1"/>
      <x:c r="I171" s="1" t="s">
        <x:v>1359</x:v>
      </x:c>
      <x:c r="J171" s="1" t="s">
        <x:v>1117</x:v>
      </x:c>
      <x:c r="K171" s="1"/>
      <x:c r="L171" s="1"/>
      <x:c r="M171" s="21" t="s">
        <x:v>1275</x:v>
      </x:c>
      <x:c r="N171" s="17"/>
      <x:c r="O171" s="17"/>
      <x:c r="P171" s="22"/>
    </x:row>
    <x:row r="172">
      <x:c r="A172" s="11">
        <x:v>166</x:v>
      </x:c>
      <x:c r="B172" s="1">
        <x:v>178</x:v>
      </x:c>
      <x:c r="C172" s="1" t="s">
        <x:v>1193</x:v>
      </x:c>
      <x:c r="D172" s="1" t="s">
        <x:v>1199</x:v>
      </x:c>
      <x:c r="E172" s="1">
        <x:v>27</x:v>
      </x:c>
      <x:c r="F172" s="1" t="s">
        <x:v>1601</x:v>
      </x:c>
      <x:c r="G172" s="1" t="s">
        <x:v>1602</x:v>
      </x:c>
      <x:c r="H172" s="1"/>
      <x:c r="I172" s="1" t="s">
        <x:v>1359</x:v>
      </x:c>
      <x:c r="J172" s="1" t="s">
        <x:v>1117</x:v>
      </x:c>
      <x:c r="K172" s="1"/>
      <x:c r="L172" s="1"/>
      <x:c r="M172" s="21" t="s">
        <x:v>1275</x:v>
      </x:c>
      <x:c r="N172" s="17"/>
      <x:c r="O172" s="17"/>
      <x:c r="P172" s="22"/>
    </x:row>
    <x:row r="173">
      <x:c r="A173" s="11">
        <x:v>167</x:v>
      </x:c>
      <x:c r="B173" s="1">
        <x:v>179</x:v>
      </x:c>
      <x:c r="C173" s="1" t="s">
        <x:v>1193</x:v>
      </x:c>
      <x:c r="D173" s="1" t="s">
        <x:v>1199</x:v>
      </x:c>
      <x:c r="E173" s="1">
        <x:v>27</x:v>
      </x:c>
      <x:c r="F173" s="1" t="s">
        <x:v>1603</x:v>
      </x:c>
      <x:c r="G173" s="1" t="s">
        <x:v>1604</x:v>
      </x:c>
      <x:c r="H173" s="1"/>
      <x:c r="I173" s="1" t="s">
        <x:v>1359</x:v>
      </x:c>
      <x:c r="J173" s="1" t="s">
        <x:v>1117</x:v>
      </x:c>
      <x:c r="K173" s="1"/>
      <x:c r="L173" s="1"/>
      <x:c r="M173" s="21" t="s">
        <x:v>1275</x:v>
      </x:c>
      <x:c r="N173" s="17"/>
      <x:c r="O173" s="17"/>
      <x:c r="P173" s="22"/>
    </x:row>
    <x:row r="174">
      <x:c r="A174" s="11">
        <x:v>168</x:v>
      </x:c>
      <x:c r="B174" s="1">
        <x:v>180</x:v>
      </x:c>
      <x:c r="C174" s="1" t="s">
        <x:v>1193</x:v>
      </x:c>
      <x:c r="D174" s="1" t="s">
        <x:v>1199</x:v>
      </x:c>
      <x:c r="E174" s="1">
        <x:v>27</x:v>
      </x:c>
      <x:c r="F174" s="1"/>
      <x:c r="G174" s="1" t="s">
        <x:v>1605</x:v>
      </x:c>
      <x:c r="H174" s="1"/>
      <x:c r="I174" s="1" t="s">
        <x:v>1359</x:v>
      </x:c>
      <x:c r="J174" s="1" t="s">
        <x:v>1117</x:v>
      </x:c>
      <x:c r="K174" s="1"/>
      <x:c r="L174" s="1"/>
      <x:c r="M174" s="21" t="s">
        <x:v>1275</x:v>
      </x:c>
      <x:c r="N174" s="17"/>
      <x:c r="O174" s="17"/>
      <x:c r="P174" s="22"/>
    </x:row>
    <x:row r="175">
      <x:c r="A175" s="11">
        <x:v>169</x:v>
      </x:c>
      <x:c r="B175" s="1">
        <x:v>181</x:v>
      </x:c>
      <x:c r="C175" s="1" t="s">
        <x:v>1193</x:v>
      </x:c>
      <x:c r="D175" s="1" t="s">
        <x:v>1199</x:v>
      </x:c>
      <x:c r="E175" s="1">
        <x:v>27</x:v>
      </x:c>
      <x:c r="F175" s="1"/>
      <x:c r="G175" s="1" t="s">
        <x:v>1606</x:v>
      </x:c>
      <x:c r="H175" s="1"/>
      <x:c r="I175" s="1" t="s">
        <x:v>1359</x:v>
      </x:c>
      <x:c r="J175" s="1" t="s">
        <x:v>1117</x:v>
      </x:c>
      <x:c r="K175" s="1"/>
      <x:c r="L175" s="1"/>
      <x:c r="M175" s="21" t="s">
        <x:v>1275</x:v>
      </x:c>
      <x:c r="N175" s="17"/>
      <x:c r="O175" s="17"/>
      <x:c r="P175" s="22"/>
    </x:row>
    <x:row r="176">
      <x:c r="A176" s="11">
        <x:v>170</x:v>
      </x:c>
      <x:c r="B176" s="1">
        <x:v>182</x:v>
      </x:c>
      <x:c r="C176" s="1" t="s">
        <x:v>1193</x:v>
      </x:c>
      <x:c r="D176" s="1" t="s">
        <x:v>1199</x:v>
      </x:c>
      <x:c r="E176" s="1">
        <x:v>27</x:v>
      </x:c>
      <x:c r="F176" s="1"/>
      <x:c r="G176" s="1" t="s">
        <x:v>1607</x:v>
      </x:c>
      <x:c r="H176" s="1"/>
      <x:c r="I176" s="1" t="s">
        <x:v>1172</x:v>
      </x:c>
      <x:c r="J176" s="1" t="s">
        <x:v>1162</x:v>
      </x:c>
      <x:c r="K176" s="1"/>
      <x:c r="L176" s="1"/>
      <x:c r="M176" s="21" t="s">
        <x:v>1275</x:v>
      </x:c>
      <x:c r="N176" s="17"/>
      <x:c r="O176" s="17"/>
      <x:c r="P176" s="22"/>
    </x:row>
    <x:row r="177">
      <x:c r="A177" s="11">
        <x:v>171</x:v>
      </x:c>
      <x:c r="B177" s="1">
        <x:v>183</x:v>
      </x:c>
      <x:c r="C177" s="1" t="s">
        <x:v>1193</x:v>
      </x:c>
      <x:c r="D177" s="1" t="s">
        <x:v>1199</x:v>
      </x:c>
      <x:c r="E177" s="1">
        <x:v>27</x:v>
      </x:c>
      <x:c r="F177" s="1"/>
      <x:c r="G177" s="1" t="s">
        <x:v>1608</x:v>
      </x:c>
      <x:c r="H177" s="1"/>
      <x:c r="I177" s="1" t="s">
        <x:v>1172</x:v>
      </x:c>
      <x:c r="J177" s="1" t="s">
        <x:v>1162</x:v>
      </x:c>
      <x:c r="K177" s="1"/>
      <x:c r="L177" s="1"/>
      <x:c r="M177" s="21" t="s">
        <x:v>1275</x:v>
      </x:c>
      <x:c r="N177" s="17"/>
      <x:c r="O177" s="17"/>
      <x:c r="P177" s="22"/>
    </x:row>
    <x:row r="178">
      <x:c r="A178" s="11">
        <x:v>172</x:v>
      </x:c>
      <x:c r="B178" s="1">
        <x:v>184</x:v>
      </x:c>
      <x:c r="C178" s="1" t="s">
        <x:v>1193</x:v>
      </x:c>
      <x:c r="D178" s="1" t="s">
        <x:v>1199</x:v>
      </x:c>
      <x:c r="E178" s="1">
        <x:v>27</x:v>
      </x:c>
      <x:c r="F178" s="1"/>
      <x:c r="G178" s="1" t="s">
        <x:v>1609</x:v>
      </x:c>
      <x:c r="H178" s="1"/>
      <x:c r="I178" s="1" t="s">
        <x:v>1172</x:v>
      </x:c>
      <x:c r="J178" s="1" t="s">
        <x:v>1162</x:v>
      </x:c>
      <x:c r="K178" s="1"/>
      <x:c r="L178" s="1"/>
      <x:c r="M178" s="21" t="s">
        <x:v>1275</x:v>
      </x:c>
      <x:c r="N178" s="17"/>
      <x:c r="O178" s="17"/>
      <x:c r="P178" s="22"/>
    </x:row>
    <x:row r="179">
      <x:c r="A179" s="11">
        <x:v>173</x:v>
      </x:c>
      <x:c r="B179" s="1">
        <x:v>185</x:v>
      </x:c>
      <x:c r="C179" s="1" t="s">
        <x:v>1193</x:v>
      </x:c>
      <x:c r="D179" s="1" t="s">
        <x:v>1199</x:v>
      </x:c>
      <x:c r="E179" s="1">
        <x:v>27</x:v>
      </x:c>
      <x:c r="F179" s="1"/>
      <x:c r="G179" s="1" t="s">
        <x:v>1610</x:v>
      </x:c>
      <x:c r="H179" s="1"/>
      <x:c r="I179" s="1" t="s">
        <x:v>1359</x:v>
      </x:c>
      <x:c r="J179" s="1" t="s">
        <x:v>1117</x:v>
      </x:c>
      <x:c r="K179" s="1"/>
      <x:c r="L179" s="1"/>
      <x:c r="M179" s="21" t="s">
        <x:v>1275</x:v>
      </x:c>
      <x:c r="N179" s="17"/>
      <x:c r="O179" s="17"/>
      <x:c r="P179" s="22"/>
    </x:row>
    <x:row r="180">
      <x:c r="A180" s="11">
        <x:v>174</x:v>
      </x:c>
      <x:c r="B180" s="1">
        <x:v>186</x:v>
      </x:c>
      <x:c r="C180" s="1" t="s">
        <x:v>1193</x:v>
      </x:c>
      <x:c r="D180" s="1" t="s">
        <x:v>1199</x:v>
      </x:c>
      <x:c r="E180" s="1">
        <x:v>27</x:v>
      </x:c>
      <x:c r="F180" s="1"/>
      <x:c r="G180" s="1" t="s">
        <x:v>1611</x:v>
      </x:c>
      <x:c r="H180" s="1"/>
      <x:c r="I180" s="1" t="s">
        <x:v>1359</x:v>
      </x:c>
      <x:c r="J180" s="1" t="s">
        <x:v>1117</x:v>
      </x:c>
      <x:c r="K180" s="1"/>
      <x:c r="L180" s="1"/>
      <x:c r="M180" s="21" t="s">
        <x:v>1275</x:v>
      </x:c>
      <x:c r="N180" s="17"/>
      <x:c r="O180" s="17"/>
      <x:c r="P180" s="22"/>
    </x:row>
    <x:row r="181">
      <x:c r="A181" s="11">
        <x:v>175</x:v>
      </x:c>
      <x:c r="B181" s="1">
        <x:v>187</x:v>
      </x:c>
      <x:c r="C181" s="1" t="s">
        <x:v>1193</x:v>
      </x:c>
      <x:c r="D181" s="1" t="s">
        <x:v>1202</x:v>
      </x:c>
      <x:c r="E181" s="1">
        <x:v>28</x:v>
      </x:c>
      <x:c r="F181" s="1" t="s">
        <x:v>1612</x:v>
      </x:c>
      <x:c r="G181" s="1" t="s">
        <x:v>1613</x:v>
      </x:c>
      <x:c r="H181" s="1"/>
      <x:c r="I181" s="1" t="s">
        <x:v>1359</x:v>
      </x:c>
      <x:c r="J181" s="1" t="s">
        <x:v>1117</x:v>
      </x:c>
      <x:c r="K181" s="1" t="s">
        <x:v>1614</x:v>
      </x:c>
      <x:c r="L181" s="1"/>
      <x:c r="M181" s="21" t="s">
        <x:v>1275</x:v>
      </x:c>
      <x:c r="N181" s="17"/>
      <x:c r="O181" s="17"/>
      <x:c r="P181" s="22"/>
    </x:row>
    <x:row r="182">
      <x:c r="A182" s="11">
        <x:v>176</x:v>
      </x:c>
      <x:c r="B182" s="1">
        <x:v>188</x:v>
      </x:c>
      <x:c r="C182" s="1" t="s">
        <x:v>1193</x:v>
      </x:c>
      <x:c r="D182" s="1" t="s">
        <x:v>1202</x:v>
      </x:c>
      <x:c r="E182" s="1">
        <x:v>28</x:v>
      </x:c>
      <x:c r="F182" s="1" t="s">
        <x:v>1615</x:v>
      </x:c>
      <x:c r="G182" s="1" t="s">
        <x:v>1602</x:v>
      </x:c>
      <x:c r="H182" s="1"/>
      <x:c r="I182" s="1" t="s">
        <x:v>1359</x:v>
      </x:c>
      <x:c r="J182" s="1" t="s">
        <x:v>1117</x:v>
      </x:c>
      <x:c r="K182" s="1" t="s">
        <x:v>1616</x:v>
      </x:c>
      <x:c r="L182" s="1"/>
      <x:c r="M182" s="21" t="s">
        <x:v>1275</x:v>
      </x:c>
      <x:c r="N182" s="17"/>
      <x:c r="O182" s="17"/>
      <x:c r="P182" s="22"/>
    </x:row>
    <x:row r="183" ht="25.5">
      <x:c r="A183" s="11">
        <x:v>177</x:v>
      </x:c>
      <x:c r="B183" s="1">
        <x:v>189</x:v>
      </x:c>
      <x:c r="C183" s="1" t="s">
        <x:v>1193</x:v>
      </x:c>
      <x:c r="D183" s="1" t="s">
        <x:v>1202</x:v>
      </x:c>
      <x:c r="E183" s="1">
        <x:v>28</x:v>
      </x:c>
      <x:c r="F183" s="1" t="s">
        <x:v>1617</x:v>
      </x:c>
      <x:c r="G183" s="1" t="s">
        <x:v>1604</x:v>
      </x:c>
      <x:c r="H183" s="1"/>
      <x:c r="I183" s="1" t="s">
        <x:v>1359</x:v>
      </x:c>
      <x:c r="J183" s="1" t="s">
        <x:v>1117</x:v>
      </x:c>
      <x:c r="K183" s="1"/>
      <x:c r="L183" s="1"/>
      <x:c r="M183" s="21" t="s">
        <x:v>1275</x:v>
      </x:c>
      <x:c r="N183" s="17"/>
      <x:c r="O183" s="17"/>
      <x:c r="P183" s="22"/>
    </x:row>
    <x:row r="184">
      <x:c r="A184" s="11">
        <x:v>178</x:v>
      </x:c>
      <x:c r="B184" s="1">
        <x:v>190</x:v>
      </x:c>
      <x:c r="C184" s="1" t="s">
        <x:v>1193</x:v>
      </x:c>
      <x:c r="D184" s="1" t="s">
        <x:v>1202</x:v>
      </x:c>
      <x:c r="E184" s="1">
        <x:v>28</x:v>
      </x:c>
      <x:c r="F184" s="1" t="s">
        <x:v>1618</x:v>
      </x:c>
      <x:c r="G184" s="1" t="s">
        <x:v>1606</x:v>
      </x:c>
      <x:c r="H184" s="1"/>
      <x:c r="I184" s="1" t="s">
        <x:v>1359</x:v>
      </x:c>
      <x:c r="J184" s="1" t="s">
        <x:v>1117</x:v>
      </x:c>
      <x:c r="K184" s="1"/>
      <x:c r="L184" s="1"/>
      <x:c r="M184" s="21" t="s">
        <x:v>1275</x:v>
      </x:c>
      <x:c r="N184" s="17"/>
      <x:c r="O184" s="17"/>
      <x:c r="P184" s="22"/>
    </x:row>
    <x:row r="185">
      <x:c r="A185" s="11">
        <x:v>179</x:v>
      </x:c>
      <x:c r="B185" s="1">
        <x:v>191</x:v>
      </x:c>
      <x:c r="C185" s="1" t="s">
        <x:v>1193</x:v>
      </x:c>
      <x:c r="D185" s="1" t="s">
        <x:v>1202</x:v>
      </x:c>
      <x:c r="E185" s="1">
        <x:v>28</x:v>
      </x:c>
      <x:c r="F185" s="1"/>
      <x:c r="G185" s="1" t="s">
        <x:v>1609</x:v>
      </x:c>
      <x:c r="H185" s="1"/>
      <x:c r="I185" s="1" t="s">
        <x:v>1172</x:v>
      </x:c>
      <x:c r="J185" s="1" t="s">
        <x:v>1162</x:v>
      </x:c>
      <x:c r="K185" s="1"/>
      <x:c r="L185" s="1"/>
      <x:c r="M185" s="21" t="s">
        <x:v>1275</x:v>
      </x:c>
      <x:c r="N185" s="17"/>
      <x:c r="O185" s="17"/>
      <x:c r="P185" s="22"/>
    </x:row>
    <x:row r="186" ht="25.5">
      <x:c r="A186" s="11">
        <x:v>180</x:v>
      </x:c>
      <x:c r="B186" s="1">
        <x:v>192</x:v>
      </x:c>
      <x:c r="C186" s="1" t="s">
        <x:v>1193</x:v>
      </x:c>
      <x:c r="D186" s="1" t="s">
        <x:v>1205</x:v>
      </x:c>
      <x:c r="E186" s="1">
        <x:v>29</x:v>
      </x:c>
      <x:c r="F186" s="1" t="s">
        <x:v>1619</x:v>
      </x:c>
      <x:c r="G186" s="1" t="s">
        <x:v>1620</x:v>
      </x:c>
      <x:c r="H186" s="1" t="s">
        <x:v>1280</x:v>
      </x:c>
      <x:c r="I186" s="1" t="s">
        <x:v>1172</x:v>
      </x:c>
      <x:c r="J186" s="1" t="s">
        <x:v>1162</x:v>
      </x:c>
      <x:c r="K186" s="1" t="s">
        <x:v>1621</x:v>
      </x:c>
      <x:c r="L186" s="1"/>
      <x:c r="M186" s="21" t="s">
        <x:v>1275</x:v>
      </x:c>
      <x:c r="N186" s="17"/>
      <x:c r="O186" s="17"/>
      <x:c r="P186" s="22"/>
    </x:row>
    <x:row r="187" ht="25.5">
      <x:c r="A187" s="11">
        <x:v>181</x:v>
      </x:c>
      <x:c r="B187" s="1">
        <x:v>193</x:v>
      </x:c>
      <x:c r="C187" s="1" t="s">
        <x:v>1193</x:v>
      </x:c>
      <x:c r="D187" s="1" t="s">
        <x:v>1205</x:v>
      </x:c>
      <x:c r="E187" s="1">
        <x:v>29</x:v>
      </x:c>
      <x:c r="F187" s="1" t="s">
        <x:v>1622</x:v>
      </x:c>
      <x:c r="G187" s="1" t="s">
        <x:v>1623</x:v>
      </x:c>
      <x:c r="H187" s="1" t="s">
        <x:v>1624</x:v>
      </x:c>
      <x:c r="I187" s="1" t="s">
        <x:v>1172</x:v>
      </x:c>
      <x:c r="J187" s="1" t="s">
        <x:v>1162</x:v>
      </x:c>
      <x:c r="K187" s="1" t="s">
        <x:v>1625</x:v>
      </x:c>
      <x:c r="L187" s="1"/>
      <x:c r="M187" s="21" t="s">
        <x:v>1275</x:v>
      </x:c>
      <x:c r="N187" s="17"/>
      <x:c r="O187" s="17"/>
      <x:c r="P187" s="22"/>
    </x:row>
    <x:row r="188">
      <x:c r="A188" s="11">
        <x:v>182</x:v>
      </x:c>
      <x:c r="B188" s="1">
        <x:v>194</x:v>
      </x:c>
      <x:c r="C188" s="1" t="s">
        <x:v>1193</x:v>
      </x:c>
      <x:c r="D188" s="1" t="s">
        <x:v>1205</x:v>
      </x:c>
      <x:c r="E188" s="1">
        <x:v>29</x:v>
      </x:c>
      <x:c r="F188" s="1" t="s">
        <x:v>1626</x:v>
      </x:c>
      <x:c r="G188" s="1" t="s">
        <x:v>1627</x:v>
      </x:c>
      <x:c r="H188" s="1" t="s">
        <x:v>1628</x:v>
      </x:c>
      <x:c r="I188" s="1" t="s">
        <x:v>1359</x:v>
      </x:c>
      <x:c r="J188" s="1" t="s">
        <x:v>1117</x:v>
      </x:c>
      <x:c r="K188" s="1"/>
      <x:c r="L188" s="1"/>
      <x:c r="M188" s="21" t="s">
        <x:v>1275</x:v>
      </x:c>
      <x:c r="N188" s="17"/>
      <x:c r="O188" s="17"/>
      <x:c r="P188" s="22"/>
    </x:row>
    <x:row r="189" ht="25.5">
      <x:c r="A189" s="11">
        <x:v>183</x:v>
      </x:c>
      <x:c r="B189" s="1">
        <x:v>195</x:v>
      </x:c>
      <x:c r="C189" s="1" t="s">
        <x:v>1193</x:v>
      </x:c>
      <x:c r="D189" s="1" t="s">
        <x:v>1205</x:v>
      </x:c>
      <x:c r="E189" s="1">
        <x:v>29</x:v>
      </x:c>
      <x:c r="F189" s="1" t="s">
        <x:v>1629</x:v>
      </x:c>
      <x:c r="G189" s="1" t="s">
        <x:v>1630</x:v>
      </x:c>
      <x:c r="H189" s="1"/>
      <x:c r="I189" s="1" t="s">
        <x:v>1359</x:v>
      </x:c>
      <x:c r="J189" s="1" t="s">
        <x:v>1117</x:v>
      </x:c>
      <x:c r="K189" s="1"/>
      <x:c r="L189" s="1"/>
      <x:c r="M189" s="21" t="s">
        <x:v>1275</x:v>
      </x:c>
      <x:c r="N189" s="17"/>
      <x:c r="O189" s="17"/>
      <x:c r="P189" s="22"/>
    </x:row>
    <x:row r="190" ht="25.5">
      <x:c r="A190" s="11">
        <x:v>184</x:v>
      </x:c>
      <x:c r="B190" s="1">
        <x:v>196</x:v>
      </x:c>
      <x:c r="C190" s="1" t="s">
        <x:v>1193</x:v>
      </x:c>
      <x:c r="D190" s="1" t="s">
        <x:v>1205</x:v>
      </x:c>
      <x:c r="E190" s="1">
        <x:v>29</x:v>
      </x:c>
      <x:c r="F190" s="1" t="s">
        <x:v>1631</x:v>
      </x:c>
      <x:c r="G190" s="1" t="s">
        <x:v>1632</x:v>
      </x:c>
      <x:c r="H190" s="1"/>
      <x:c r="I190" s="1" t="s">
        <x:v>1359</x:v>
      </x:c>
      <x:c r="J190" s="1" t="s">
        <x:v>1117</x:v>
      </x:c>
      <x:c r="K190" s="1"/>
      <x:c r="L190" s="1"/>
      <x:c r="M190" s="21" t="s">
        <x:v>1275</x:v>
      </x:c>
      <x:c r="N190" s="17"/>
      <x:c r="O190" s="17"/>
      <x:c r="P190" s="22"/>
    </x:row>
    <x:row r="191">
      <x:c r="A191" s="11">
        <x:v>185</x:v>
      </x:c>
      <x:c r="B191" s="1">
        <x:v>197</x:v>
      </x:c>
      <x:c r="C191" s="1" t="s">
        <x:v>1193</x:v>
      </x:c>
      <x:c r="D191" s="1" t="s">
        <x:v>1205</x:v>
      </x:c>
      <x:c r="E191" s="1">
        <x:v>29</x:v>
      </x:c>
      <x:c r="F191" s="1" t="s">
        <x:v>1633</x:v>
      </x:c>
      <x:c r="G191" s="1" t="s">
        <x:v>1634</x:v>
      </x:c>
      <x:c r="H191" s="1"/>
      <x:c r="I191" s="1" t="s">
        <x:v>1359</x:v>
      </x:c>
      <x:c r="J191" s="1" t="s">
        <x:v>1117</x:v>
      </x:c>
      <x:c r="K191" s="1"/>
      <x:c r="L191" s="1"/>
      <x:c r="M191" s="21" t="s">
        <x:v>1275</x:v>
      </x:c>
      <x:c r="N191" s="17"/>
      <x:c r="O191" s="17"/>
      <x:c r="P191" s="22"/>
    </x:row>
    <x:row r="192" ht="25.5">
      <x:c r="A192" s="11">
        <x:v>186</x:v>
      </x:c>
      <x:c r="B192" s="1">
        <x:v>198</x:v>
      </x:c>
      <x:c r="C192" s="1" t="s">
        <x:v>1193</x:v>
      </x:c>
      <x:c r="D192" s="1" t="s">
        <x:v>1205</x:v>
      </x:c>
      <x:c r="E192" s="1">
        <x:v>29</x:v>
      </x:c>
      <x:c r="F192" s="1" t="s">
        <x:v>1635</x:v>
      </x:c>
      <x:c r="G192" s="1"/>
      <x:c r="H192" s="1"/>
      <x:c r="I192" s="1"/>
      <x:c r="J192" s="1"/>
      <x:c r="K192" s="1"/>
      <x:c r="L192" s="1"/>
      <x:c r="M192" s="21" t="s">
        <x:v>1275</x:v>
      </x:c>
      <x:c r="N192" s="17"/>
      <x:c r="O192" s="17"/>
      <x:c r="P192" s="22"/>
    </x:row>
    <x:row r="193">
      <x:c r="A193" s="11">
        <x:v>187</x:v>
      </x:c>
      <x:c r="B193" s="1">
        <x:v>199</x:v>
      </x:c>
      <x:c r="C193" s="1" t="s">
        <x:v>1193</x:v>
      </x:c>
      <x:c r="D193" s="1" t="s">
        <x:v>1205</x:v>
      </x:c>
      <x:c r="E193" s="1">
        <x:v>29</x:v>
      </x:c>
      <x:c r="F193" s="1" t="s">
        <x:v>1636</x:v>
      </x:c>
      <x:c r="G193" s="1"/>
      <x:c r="H193" s="1"/>
      <x:c r="I193" s="1"/>
      <x:c r="J193" s="1"/>
      <x:c r="K193" s="1"/>
      <x:c r="L193" s="1"/>
      <x:c r="M193" s="21" t="s">
        <x:v>1275</x:v>
      </x:c>
      <x:c r="N193" s="17"/>
      <x:c r="O193" s="17"/>
      <x:c r="P193" s="22"/>
    </x:row>
    <x:row r="194">
      <x:c r="A194" s="11">
        <x:v>188</x:v>
      </x:c>
      <x:c r="B194" s="1">
        <x:v>200</x:v>
      </x:c>
      <x:c r="C194" s="1" t="s">
        <x:v>1210</x:v>
      </x:c>
      <x:c r="D194" s="1" t="s">
        <x:v>1211</x:v>
      </x:c>
      <x:c r="E194" s="1">
        <x:v>30</x:v>
      </x:c>
      <x:c r="F194" s="1" t="s">
        <x:v>1637</x:v>
      </x:c>
      <x:c r="G194" s="1" t="s">
        <x:v>1638</x:v>
      </x:c>
      <x:c r="H194" s="1"/>
      <x:c r="I194" s="1" t="s">
        <x:v>1172</x:v>
      </x:c>
      <x:c r="J194" s="1" t="s">
        <x:v>1162</x:v>
      </x:c>
      <x:c r="K194" s="1" t="s">
        <x:v>1639</x:v>
      </x:c>
      <x:c r="L194" s="1"/>
      <x:c r="M194" s="21" t="s">
        <x:v>1275</x:v>
      </x:c>
      <x:c r="N194" s="17"/>
      <x:c r="O194" s="17"/>
      <x:c r="P194" s="22"/>
    </x:row>
    <x:row r="195" ht="25.5">
      <x:c r="A195" s="11">
        <x:v>189</x:v>
      </x:c>
      <x:c r="B195" s="1">
        <x:v>201</x:v>
      </x:c>
      <x:c r="C195" s="1" t="s">
        <x:v>1210</x:v>
      </x:c>
      <x:c r="D195" s="1" t="s">
        <x:v>1211</x:v>
      </x:c>
      <x:c r="E195" s="1">
        <x:v>30</x:v>
      </x:c>
      <x:c r="F195" s="1" t="s">
        <x:v>1640</x:v>
      </x:c>
      <x:c r="G195" s="1" t="s">
        <x:v>1641</x:v>
      </x:c>
      <x:c r="H195" s="1"/>
      <x:c r="I195" s="1" t="s">
        <x:v>1172</x:v>
      </x:c>
      <x:c r="J195" s="1" t="s">
        <x:v>1162</x:v>
      </x:c>
      <x:c r="K195" s="1" t="s">
        <x:v>1642</x:v>
      </x:c>
      <x:c r="L195" s="1"/>
      <x:c r="M195" s="21" t="s">
        <x:v>1275</x:v>
      </x:c>
      <x:c r="N195" s="17"/>
      <x:c r="O195" s="17"/>
      <x:c r="P195" s="22"/>
    </x:row>
    <x:row r="196" ht="25.5">
      <x:c r="A196" s="11">
        <x:v>190</x:v>
      </x:c>
      <x:c r="B196" s="1">
        <x:v>202</x:v>
      </x:c>
      <x:c r="C196" s="1" t="s">
        <x:v>1210</x:v>
      </x:c>
      <x:c r="D196" s="1" t="s">
        <x:v>1211</x:v>
      </x:c>
      <x:c r="E196" s="1">
        <x:v>30</x:v>
      </x:c>
      <x:c r="F196" s="1" t="s">
        <x:v>1643</x:v>
      </x:c>
      <x:c r="G196" s="1" t="s">
        <x:v>1644</x:v>
      </x:c>
      <x:c r="H196" s="1"/>
      <x:c r="I196" s="1" t="s">
        <x:v>1172</x:v>
      </x:c>
      <x:c r="J196" s="1" t="s">
        <x:v>1162</x:v>
      </x:c>
      <x:c r="K196" s="1"/>
      <x:c r="L196" s="1"/>
      <x:c r="M196" s="21" t="s">
        <x:v>1275</x:v>
      </x:c>
      <x:c r="N196" s="17"/>
      <x:c r="O196" s="17"/>
      <x:c r="P196" s="22"/>
    </x:row>
    <x:row r="197">
      <x:c r="A197" s="11">
        <x:v>191</x:v>
      </x:c>
      <x:c r="B197" s="1">
        <x:v>203</x:v>
      </x:c>
      <x:c r="C197" s="1" t="s">
        <x:v>1210</x:v>
      </x:c>
      <x:c r="D197" s="1" t="s">
        <x:v>1211</x:v>
      </x:c>
      <x:c r="E197" s="1">
        <x:v>30</x:v>
      </x:c>
      <x:c r="F197" s="1" t="s">
        <x:v>1645</x:v>
      </x:c>
      <x:c r="G197" s="1" t="s">
        <x:v>1646</x:v>
      </x:c>
      <x:c r="H197" s="1"/>
      <x:c r="I197" s="1" t="s">
        <x:v>1172</x:v>
      </x:c>
      <x:c r="J197" s="1" t="s">
        <x:v>1162</x:v>
      </x:c>
      <x:c r="K197" s="1"/>
      <x:c r="L197" s="1"/>
      <x:c r="M197" s="21" t="s">
        <x:v>1275</x:v>
      </x:c>
      <x:c r="N197" s="17"/>
      <x:c r="O197" s="17"/>
      <x:c r="P197" s="22"/>
    </x:row>
    <x:row r="198" ht="25.5">
      <x:c r="A198" s="11">
        <x:v>192</x:v>
      </x:c>
      <x:c r="B198" s="1">
        <x:v>204</x:v>
      </x:c>
      <x:c r="C198" s="1" t="s">
        <x:v>1210</x:v>
      </x:c>
      <x:c r="D198" s="1" t="s">
        <x:v>1211</x:v>
      </x:c>
      <x:c r="E198" s="1">
        <x:v>30</x:v>
      </x:c>
      <x:c r="F198" s="1" t="s">
        <x:v>1647</x:v>
      </x:c>
      <x:c r="G198" s="1" t="s">
        <x:v>1648</x:v>
      </x:c>
      <x:c r="H198" s="1"/>
      <x:c r="I198" s="1" t="s">
        <x:v>1172</x:v>
      </x:c>
      <x:c r="J198" s="1" t="s">
        <x:v>1162</x:v>
      </x:c>
      <x:c r="K198" s="1"/>
      <x:c r="L198" s="1"/>
      <x:c r="M198" s="21" t="s">
        <x:v>1275</x:v>
      </x:c>
      <x:c r="N198" s="17"/>
      <x:c r="O198" s="17"/>
      <x:c r="P198" s="22"/>
    </x:row>
    <x:row r="199">
      <x:c r="A199" s="11">
        <x:v>193</x:v>
      </x:c>
      <x:c r="B199" s="1">
        <x:v>205</x:v>
      </x:c>
      <x:c r="C199" s="1" t="s">
        <x:v>1210</x:v>
      </x:c>
      <x:c r="D199" s="1" t="s">
        <x:v>1211</x:v>
      </x:c>
      <x:c r="E199" s="1">
        <x:v>30</x:v>
      </x:c>
      <x:c r="F199" s="1" t="s">
        <x:v>1649</x:v>
      </x:c>
      <x:c r="G199" s="1" t="s">
        <x:v>1650</x:v>
      </x:c>
      <x:c r="H199" s="1"/>
      <x:c r="I199" s="1" t="s">
        <x:v>1172</x:v>
      </x:c>
      <x:c r="J199" s="1" t="s">
        <x:v>1162</x:v>
      </x:c>
      <x:c r="K199" s="1"/>
      <x:c r="L199" s="1"/>
      <x:c r="M199" s="21" t="s">
        <x:v>1275</x:v>
      </x:c>
      <x:c r="N199" s="17"/>
      <x:c r="O199" s="17"/>
      <x:c r="P199" s="22"/>
    </x:row>
    <x:row r="200" ht="25.5">
      <x:c r="A200" s="11">
        <x:v>194</x:v>
      </x:c>
      <x:c r="B200" s="1">
        <x:v>206</x:v>
      </x:c>
      <x:c r="C200" s="1" t="s">
        <x:v>1210</x:v>
      </x:c>
      <x:c r="D200" s="1" t="s">
        <x:v>1211</x:v>
      </x:c>
      <x:c r="E200" s="1">
        <x:v>30</x:v>
      </x:c>
      <x:c r="F200" s="1" t="s">
        <x:v>1651</x:v>
      </x:c>
      <x:c r="G200" s="1" t="s">
        <x:v>1652</x:v>
      </x:c>
      <x:c r="H200" s="1"/>
      <x:c r="I200" s="1" t="s">
        <x:v>1172</x:v>
      </x:c>
      <x:c r="J200" s="1" t="s">
        <x:v>1162</x:v>
      </x:c>
      <x:c r="K200" s="1"/>
      <x:c r="L200" s="1"/>
      <x:c r="M200" s="21" t="s">
        <x:v>1275</x:v>
      </x:c>
      <x:c r="N200" s="17"/>
      <x:c r="O200" s="17"/>
      <x:c r="P200" s="22"/>
    </x:row>
    <x:row r="201" ht="25.5">
      <x:c r="A201" s="11">
        <x:v>195</x:v>
      </x:c>
      <x:c r="B201" s="1">
        <x:v>207</x:v>
      </x:c>
      <x:c r="C201" s="1" t="s">
        <x:v>1210</x:v>
      </x:c>
      <x:c r="D201" s="1" t="s">
        <x:v>1211</x:v>
      </x:c>
      <x:c r="E201" s="1">
        <x:v>30</x:v>
      </x:c>
      <x:c r="F201" s="1" t="s">
        <x:v>1653</x:v>
      </x:c>
      <x:c r="G201" s="1" t="s">
        <x:v>1654</x:v>
      </x:c>
      <x:c r="H201" s="1"/>
      <x:c r="I201" s="1" t="s">
        <x:v>1172</x:v>
      </x:c>
      <x:c r="J201" s="1" t="s">
        <x:v>1162</x:v>
      </x:c>
      <x:c r="K201" s="1"/>
      <x:c r="L201" s="1"/>
      <x:c r="M201" s="21" t="s">
        <x:v>1275</x:v>
      </x:c>
      <x:c r="N201" s="17"/>
      <x:c r="O201" s="17"/>
      <x:c r="P201" s="22"/>
    </x:row>
    <x:row r="202">
      <x:c r="A202" s="11">
        <x:v>196</x:v>
      </x:c>
      <x:c r="B202" s="1">
        <x:v>208</x:v>
      </x:c>
      <x:c r="C202" s="1" t="s">
        <x:v>1210</x:v>
      </x:c>
      <x:c r="D202" s="1" t="s">
        <x:v>1211</x:v>
      </x:c>
      <x:c r="E202" s="1">
        <x:v>30</x:v>
      </x:c>
      <x:c r="F202" s="1" t="s">
        <x:v>1655</x:v>
      </x:c>
      <x:c r="G202" s="1" t="s">
        <x:v>1656</x:v>
      </x:c>
      <x:c r="H202" s="1"/>
      <x:c r="I202" s="1" t="s">
        <x:v>1172</x:v>
      </x:c>
      <x:c r="J202" s="1" t="s">
        <x:v>1162</x:v>
      </x:c>
      <x:c r="K202" s="1"/>
      <x:c r="L202" s="1"/>
      <x:c r="M202" s="21" t="s">
        <x:v>1275</x:v>
      </x:c>
      <x:c r="N202" s="17"/>
      <x:c r="O202" s="17"/>
      <x:c r="P202" s="22"/>
    </x:row>
    <x:row r="203">
      <x:c r="A203" s="11">
        <x:v>197</x:v>
      </x:c>
      <x:c r="B203" s="1">
        <x:v>209</x:v>
      </x:c>
      <x:c r="C203" s="1" t="s">
        <x:v>1210</x:v>
      </x:c>
      <x:c r="D203" s="1" t="s">
        <x:v>1211</x:v>
      </x:c>
      <x:c r="E203" s="1">
        <x:v>30</x:v>
      </x:c>
      <x:c r="F203" s="1" t="s">
        <x:v>1657</x:v>
      </x:c>
      <x:c r="G203" s="1" t="s">
        <x:v>1658</x:v>
      </x:c>
      <x:c r="H203" s="1"/>
      <x:c r="I203" s="1" t="s">
        <x:v>1172</x:v>
      </x:c>
      <x:c r="J203" s="1" t="s">
        <x:v>1162</x:v>
      </x:c>
      <x:c r="K203" s="1"/>
      <x:c r="L203" s="1"/>
      <x:c r="M203" s="21" t="s">
        <x:v>1275</x:v>
      </x:c>
      <x:c r="N203" s="17"/>
      <x:c r="O203" s="17"/>
      <x:c r="P203" s="22"/>
    </x:row>
    <x:row r="204" ht="25.5">
      <x:c r="A204" s="11">
        <x:v>198</x:v>
      </x:c>
      <x:c r="B204" s="1">
        <x:v>210</x:v>
      </x:c>
      <x:c r="C204" s="1" t="s">
        <x:v>1210</x:v>
      </x:c>
      <x:c r="D204" s="1" t="s">
        <x:v>1211</x:v>
      </x:c>
      <x:c r="E204" s="1">
        <x:v>30</x:v>
      </x:c>
      <x:c r="F204" s="1" t="s">
        <x:v>1659</x:v>
      </x:c>
      <x:c r="G204" s="1" t="s">
        <x:v>1660</x:v>
      </x:c>
      <x:c r="H204" s="1" t="s">
        <x:v>1661</x:v>
      </x:c>
      <x:c r="I204" s="1" t="s">
        <x:v>1172</x:v>
      </x:c>
      <x:c r="J204" s="1" t="s">
        <x:v>1162</x:v>
      </x:c>
      <x:c r="K204" s="1"/>
      <x:c r="L204" s="1"/>
      <x:c r="M204" s="21" t="s">
        <x:v>1275</x:v>
      </x:c>
      <x:c r="N204" s="17"/>
      <x:c r="O204" s="17"/>
      <x:c r="P204" s="22"/>
    </x:row>
    <x:row r="205">
      <x:c r="A205" s="11">
        <x:v>199</x:v>
      </x:c>
      <x:c r="B205" s="1">
        <x:v>211</x:v>
      </x:c>
      <x:c r="C205" s="1" t="s">
        <x:v>1210</x:v>
      </x:c>
      <x:c r="D205" s="1" t="s">
        <x:v>1211</x:v>
      </x:c>
      <x:c r="E205" s="1">
        <x:v>30</x:v>
      </x:c>
      <x:c r="F205" s="1"/>
      <x:c r="G205" s="1" t="s">
        <x:v>1662</x:v>
      </x:c>
      <x:c r="H205" s="1"/>
      <x:c r="I205" s="1" t="s">
        <x:v>1172</x:v>
      </x:c>
      <x:c r="J205" s="1" t="s">
        <x:v>1162</x:v>
      </x:c>
      <x:c r="K205" s="1"/>
      <x:c r="L205" s="1"/>
      <x:c r="M205" s="21" t="s">
        <x:v>1275</x:v>
      </x:c>
      <x:c r="N205" s="17"/>
      <x:c r="O205" s="17"/>
      <x:c r="P205" s="22"/>
    </x:row>
    <x:row r="206">
      <x:c r="A206" s="11">
        <x:v>200</x:v>
      </x:c>
      <x:c r="B206" s="1">
        <x:v>212</x:v>
      </x:c>
      <x:c r="C206" s="1" t="s">
        <x:v>1210</x:v>
      </x:c>
      <x:c r="D206" s="1" t="s">
        <x:v>1214</x:v>
      </x:c>
      <x:c r="E206" s="1">
        <x:v>31</x:v>
      </x:c>
      <x:c r="F206" s="1" t="s">
        <x:v>1663</x:v>
      </x:c>
      <x:c r="G206" s="1" t="s">
        <x:v>1664</x:v>
      </x:c>
      <x:c r="H206" s="1"/>
      <x:c r="I206" s="1" t="s">
        <x:v>1216</x:v>
      </x:c>
      <x:c r="J206" s="1" t="s">
        <x:v>1135</x:v>
      </x:c>
      <x:c r="K206" s="1" t="s">
        <x:v>1665</x:v>
      </x:c>
      <x:c r="L206" s="1"/>
      <x:c r="M206" s="21" t="s">
        <x:v>1275</x:v>
      </x:c>
      <x:c r="N206" s="17"/>
      <x:c r="O206" s="17"/>
      <x:c r="P206" s="22"/>
    </x:row>
    <x:row r="207">
      <x:c r="A207" s="11">
        <x:v>201</x:v>
      </x:c>
      <x:c r="B207" s="1">
        <x:v>213</x:v>
      </x:c>
      <x:c r="C207" s="1" t="s">
        <x:v>1210</x:v>
      </x:c>
      <x:c r="D207" s="1" t="s">
        <x:v>1214</x:v>
      </x:c>
      <x:c r="E207" s="1">
        <x:v>31</x:v>
      </x:c>
      <x:c r="F207" s="1" t="s">
        <x:v>1666</x:v>
      </x:c>
      <x:c r="G207" s="1" t="s">
        <x:v>1667</x:v>
      </x:c>
      <x:c r="H207" s="1"/>
      <x:c r="I207" s="1" t="s">
        <x:v>1216</x:v>
      </x:c>
      <x:c r="J207" s="1" t="s">
        <x:v>1135</x:v>
      </x:c>
      <x:c r="K207" s="1" t="s">
        <x:v>1668</x:v>
      </x:c>
      <x:c r="L207" s="1"/>
      <x:c r="M207" s="21" t="s">
        <x:v>1275</x:v>
      </x:c>
      <x:c r="N207" s="17"/>
      <x:c r="O207" s="17"/>
      <x:c r="P207" s="22"/>
    </x:row>
    <x:row r="208" ht="25.5">
      <x:c r="A208" s="11">
        <x:v>202</x:v>
      </x:c>
      <x:c r="B208" s="1">
        <x:v>214</x:v>
      </x:c>
      <x:c r="C208" s="1" t="s">
        <x:v>1210</x:v>
      </x:c>
      <x:c r="D208" s="1" t="s">
        <x:v>1214</x:v>
      </x:c>
      <x:c r="E208" s="1">
        <x:v>31</x:v>
      </x:c>
      <x:c r="F208" s="1" t="s">
        <x:v>1669</x:v>
      </x:c>
      <x:c r="G208" s="1" t="s">
        <x:v>1670</x:v>
      </x:c>
      <x:c r="H208" s="1"/>
      <x:c r="I208" s="1" t="s">
        <x:v>1216</x:v>
      </x:c>
      <x:c r="J208" s="1" t="s">
        <x:v>1135</x:v>
      </x:c>
      <x:c r="K208" s="1"/>
      <x:c r="L208" s="1"/>
      <x:c r="M208" s="21" t="s">
        <x:v>1275</x:v>
      </x:c>
      <x:c r="N208" s="17"/>
      <x:c r="O208" s="17"/>
      <x:c r="P208" s="22"/>
    </x:row>
    <x:row r="209" ht="25.5">
      <x:c r="A209" s="11">
        <x:v>203</x:v>
      </x:c>
      <x:c r="B209" s="1">
        <x:v>215</x:v>
      </x:c>
      <x:c r="C209" s="1" t="s">
        <x:v>1210</x:v>
      </x:c>
      <x:c r="D209" s="1" t="s">
        <x:v>1214</x:v>
      </x:c>
      <x:c r="E209" s="1">
        <x:v>31</x:v>
      </x:c>
      <x:c r="F209" s="1" t="s">
        <x:v>1671</x:v>
      </x:c>
      <x:c r="G209" s="1" t="s">
        <x:v>1672</x:v>
      </x:c>
      <x:c r="H209" s="1"/>
      <x:c r="I209" s="1" t="s">
        <x:v>1216</x:v>
      </x:c>
      <x:c r="J209" s="1" t="s">
        <x:v>1135</x:v>
      </x:c>
      <x:c r="K209" s="1"/>
      <x:c r="L209" s="1"/>
      <x:c r="M209" s="21" t="s">
        <x:v>1275</x:v>
      </x:c>
      <x:c r="N209" s="17"/>
      <x:c r="O209" s="17"/>
      <x:c r="P209" s="22"/>
    </x:row>
    <x:row r="210">
      <x:c r="A210" s="11">
        <x:v>204</x:v>
      </x:c>
      <x:c r="B210" s="1">
        <x:v>216</x:v>
      </x:c>
      <x:c r="C210" s="1" t="s">
        <x:v>1210</x:v>
      </x:c>
      <x:c r="D210" s="1" t="s">
        <x:v>1214</x:v>
      </x:c>
      <x:c r="E210" s="1">
        <x:v>31</x:v>
      </x:c>
      <x:c r="F210" s="1" t="s">
        <x:v>1673</x:v>
      </x:c>
      <x:c r="G210" s="1"/>
      <x:c r="H210" s="1"/>
      <x:c r="I210" s="1"/>
      <x:c r="J210" s="1"/>
      <x:c r="K210" s="1"/>
      <x:c r="L210" s="1"/>
      <x:c r="M210" s="21" t="s">
        <x:v>1275</x:v>
      </x:c>
      <x:c r="N210" s="17"/>
      <x:c r="O210" s="17"/>
      <x:c r="P210" s="22"/>
    </x:row>
    <x:row r="211">
      <x:c r="A211" s="11">
        <x:v>205</x:v>
      </x:c>
      <x:c r="B211" s="1">
        <x:v>217</x:v>
      </x:c>
      <x:c r="C211" s="1" t="s">
        <x:v>1210</x:v>
      </x:c>
      <x:c r="D211" s="1" t="s">
        <x:v>1214</x:v>
      </x:c>
      <x:c r="E211" s="1">
        <x:v>31</x:v>
      </x:c>
      <x:c r="F211" s="1" t="s">
        <x:v>1674</x:v>
      </x:c>
      <x:c r="G211" s="1"/>
      <x:c r="H211" s="1"/>
      <x:c r="I211" s="1"/>
      <x:c r="J211" s="1"/>
      <x:c r="K211" s="1"/>
      <x:c r="L211" s="1"/>
      <x:c r="M211" s="21" t="s">
        <x:v>1275</x:v>
      </x:c>
      <x:c r="N211" s="17"/>
      <x:c r="O211" s="17"/>
      <x:c r="P211" s="22"/>
    </x:row>
    <x:row r="212">
      <x:c r="A212" s="11">
        <x:v>206</x:v>
      </x:c>
      <x:c r="B212" s="1">
        <x:v>218</x:v>
      </x:c>
      <x:c r="C212" s="1" t="s">
        <x:v>1210</x:v>
      </x:c>
      <x:c r="D212" s="1" t="s">
        <x:v>1218</x:v>
      </x:c>
      <x:c r="E212" s="1">
        <x:v>32</x:v>
      </x:c>
      <x:c r="F212" s="1" t="s">
        <x:v>1675</x:v>
      </x:c>
      <x:c r="G212" s="1" t="s">
        <x:v>1676</x:v>
      </x:c>
      <x:c r="H212" s="1"/>
      <x:c r="I212" s="1" t="s">
        <x:v>1216</x:v>
      </x:c>
      <x:c r="J212" s="1" t="s">
        <x:v>1135</x:v>
      </x:c>
      <x:c r="K212" s="1" t="s">
        <x:v>1677</x:v>
      </x:c>
      <x:c r="L212" s="1"/>
      <x:c r="M212" s="21" t="s">
        <x:v>1275</x:v>
      </x:c>
      <x:c r="N212" s="17"/>
      <x:c r="O212" s="17"/>
      <x:c r="P212" s="22"/>
    </x:row>
    <x:row r="213">
      <x:c r="A213" s="11">
        <x:v>207</x:v>
      </x:c>
      <x:c r="B213" s="1">
        <x:v>219</x:v>
      </x:c>
      <x:c r="C213" s="1" t="s">
        <x:v>1210</x:v>
      </x:c>
      <x:c r="D213" s="1" t="s">
        <x:v>1218</x:v>
      </x:c>
      <x:c r="E213" s="1">
        <x:v>32</x:v>
      </x:c>
      <x:c r="F213" s="1" t="s">
        <x:v>1678</x:v>
      </x:c>
      <x:c r="G213" s="1" t="s">
        <x:v>1679</x:v>
      </x:c>
      <x:c r="H213" s="1" t="s">
        <x:v>1680</x:v>
      </x:c>
      <x:c r="I213" s="1" t="s">
        <x:v>1216</x:v>
      </x:c>
      <x:c r="J213" s="1" t="s">
        <x:v>1135</x:v>
      </x:c>
      <x:c r="K213" s="1" t="s">
        <x:v>1681</x:v>
      </x:c>
      <x:c r="L213" s="1"/>
      <x:c r="M213" s="21" t="s">
        <x:v>1275</x:v>
      </x:c>
      <x:c r="N213" s="17"/>
      <x:c r="O213" s="17"/>
      <x:c r="P213" s="22"/>
    </x:row>
    <x:row r="214" ht="25.5">
      <x:c r="A214" s="11">
        <x:v>208</x:v>
      </x:c>
      <x:c r="B214" s="1">
        <x:v>220</x:v>
      </x:c>
      <x:c r="C214" s="1" t="s">
        <x:v>1210</x:v>
      </x:c>
      <x:c r="D214" s="1" t="s">
        <x:v>1218</x:v>
      </x:c>
      <x:c r="E214" s="1">
        <x:v>32</x:v>
      </x:c>
      <x:c r="F214" s="1" t="s">
        <x:v>1682</x:v>
      </x:c>
      <x:c r="G214" s="1" t="s">
        <x:v>1683</x:v>
      </x:c>
      <x:c r="H214" s="1"/>
      <x:c r="I214" s="1" t="s">
        <x:v>1216</x:v>
      </x:c>
      <x:c r="J214" s="1" t="s">
        <x:v>1135</x:v>
      </x:c>
      <x:c r="K214" s="1" t="s">
        <x:v>1684</x:v>
      </x:c>
      <x:c r="L214" s="1"/>
      <x:c r="M214" s="21" t="s">
        <x:v>1275</x:v>
      </x:c>
      <x:c r="N214" s="17"/>
      <x:c r="O214" s="17"/>
      <x:c r="P214" s="22"/>
    </x:row>
    <x:row r="215" ht="25.5">
      <x:c r="A215" s="11">
        <x:v>209</x:v>
      </x:c>
      <x:c r="B215" s="1">
        <x:v>221</x:v>
      </x:c>
      <x:c r="C215" s="1" t="s">
        <x:v>1210</x:v>
      </x:c>
      <x:c r="D215" s="1" t="s">
        <x:v>1218</x:v>
      </x:c>
      <x:c r="E215" s="1">
        <x:v>32</x:v>
      </x:c>
      <x:c r="F215" s="1" t="s">
        <x:v>1685</x:v>
      </x:c>
      <x:c r="G215" s="1" t="s">
        <x:v>1686</x:v>
      </x:c>
      <x:c r="H215" s="1"/>
      <x:c r="I215" s="1" t="s">
        <x:v>1216</x:v>
      </x:c>
      <x:c r="J215" s="1" t="s">
        <x:v>1135</x:v>
      </x:c>
      <x:c r="K215" s="1"/>
      <x:c r="L215" s="1"/>
      <x:c r="M215" s="21" t="s">
        <x:v>1275</x:v>
      </x:c>
      <x:c r="N215" s="17"/>
      <x:c r="O215" s="17"/>
      <x:c r="P215" s="22"/>
    </x:row>
    <x:row r="216">
      <x:c r="A216" s="11">
        <x:v>210</x:v>
      </x:c>
      <x:c r="B216" s="1">
        <x:v>222</x:v>
      </x:c>
      <x:c r="C216" s="1" t="s">
        <x:v>1210</x:v>
      </x:c>
      <x:c r="D216" s="1" t="s">
        <x:v>1218</x:v>
      </x:c>
      <x:c r="E216" s="1">
        <x:v>32</x:v>
      </x:c>
      <x:c r="F216" s="1"/>
      <x:c r="G216" s="1" t="s">
        <x:v>1687</x:v>
      </x:c>
      <x:c r="H216" s="1"/>
      <x:c r="I216" s="1" t="s">
        <x:v>1216</x:v>
      </x:c>
      <x:c r="J216" s="1" t="s">
        <x:v>1135</x:v>
      </x:c>
      <x:c r="K216" s="1"/>
      <x:c r="L216" s="1"/>
      <x:c r="M216" s="21" t="s">
        <x:v>1275</x:v>
      </x:c>
      <x:c r="N216" s="17"/>
      <x:c r="O216" s="17"/>
      <x:c r="P216" s="22"/>
    </x:row>
    <x:row r="217">
      <x:c r="A217" s="11">
        <x:v>211</x:v>
      </x:c>
      <x:c r="B217" s="1">
        <x:v>223</x:v>
      </x:c>
      <x:c r="C217" s="1" t="s">
        <x:v>1210</x:v>
      </x:c>
      <x:c r="D217" s="1" t="s">
        <x:v>1221</x:v>
      </x:c>
      <x:c r="E217" s="1">
        <x:v>33</x:v>
      </x:c>
      <x:c r="F217" s="1" t="s">
        <x:v>1688</x:v>
      </x:c>
      <x:c r="G217" s="1" t="s">
        <x:v>1689</x:v>
      </x:c>
      <x:c r="H217" s="1"/>
      <x:c r="I217" s="1" t="s">
        <x:v>1216</x:v>
      </x:c>
      <x:c r="J217" s="1" t="s">
        <x:v>1135</x:v>
      </x:c>
      <x:c r="K217" s="1" t="s">
        <x:v>1690</x:v>
      </x:c>
      <x:c r="L217" s="1"/>
      <x:c r="M217" s="21" t="s">
        <x:v>1275</x:v>
      </x:c>
      <x:c r="N217" s="17"/>
      <x:c r="O217" s="17"/>
      <x:c r="P217" s="22"/>
    </x:row>
    <x:row r="218">
      <x:c r="A218" s="11">
        <x:v>212</x:v>
      </x:c>
      <x:c r="B218" s="1">
        <x:v>224</x:v>
      </x:c>
      <x:c r="C218" s="1" t="s">
        <x:v>1210</x:v>
      </x:c>
      <x:c r="D218" s="1" t="s">
        <x:v>1221</x:v>
      </x:c>
      <x:c r="E218" s="1">
        <x:v>33</x:v>
      </x:c>
      <x:c r="F218" s="1" t="s">
        <x:v>1691</x:v>
      </x:c>
      <x:c r="G218" s="1" t="s">
        <x:v>1692</x:v>
      </x:c>
      <x:c r="H218" s="1"/>
      <x:c r="I218" s="1" t="s">
        <x:v>1216</x:v>
      </x:c>
      <x:c r="J218" s="1" t="s">
        <x:v>1135</x:v>
      </x:c>
      <x:c r="K218" s="1" t="s">
        <x:v>1693</x:v>
      </x:c>
      <x:c r="L218" s="1"/>
      <x:c r="M218" s="21" t="s">
        <x:v>1275</x:v>
      </x:c>
      <x:c r="N218" s="17"/>
      <x:c r="O218" s="17"/>
      <x:c r="P218" s="22"/>
    </x:row>
    <x:row r="219" ht="25.5">
      <x:c r="A219" s="11">
        <x:v>213</x:v>
      </x:c>
      <x:c r="B219" s="1">
        <x:v>225</x:v>
      </x:c>
      <x:c r="C219" s="1" t="s">
        <x:v>1210</x:v>
      </x:c>
      <x:c r="D219" s="1" t="s">
        <x:v>1221</x:v>
      </x:c>
      <x:c r="E219" s="1">
        <x:v>33</x:v>
      </x:c>
      <x:c r="F219" s="1" t="s">
        <x:v>1694</x:v>
      </x:c>
      <x:c r="G219" s="1" t="s">
        <x:v>1695</x:v>
      </x:c>
      <x:c r="H219" s="1"/>
      <x:c r="I219" s="1" t="s">
        <x:v>1216</x:v>
      </x:c>
      <x:c r="J219" s="1" t="s">
        <x:v>1135</x:v>
      </x:c>
      <x:c r="K219" s="1" t="s">
        <x:v>1696</x:v>
      </x:c>
      <x:c r="L219" s="1"/>
      <x:c r="M219" s="21" t="s">
        <x:v>1275</x:v>
      </x:c>
      <x:c r="N219" s="17"/>
      <x:c r="O219" s="17"/>
      <x:c r="P219" s="22"/>
    </x:row>
    <x:row r="220">
      <x:c r="A220" s="11">
        <x:v>214</x:v>
      </x:c>
      <x:c r="B220" s="1">
        <x:v>226</x:v>
      </x:c>
      <x:c r="C220" s="1" t="s">
        <x:v>1210</x:v>
      </x:c>
      <x:c r="D220" s="1" t="s">
        <x:v>1221</x:v>
      </x:c>
      <x:c r="E220" s="1">
        <x:v>33</x:v>
      </x:c>
      <x:c r="F220" s="1" t="s">
        <x:v>1697</x:v>
      </x:c>
      <x:c r="G220" s="1" t="s">
        <x:v>1698</x:v>
      </x:c>
      <x:c r="H220" s="1"/>
      <x:c r="I220" s="1" t="s">
        <x:v>1216</x:v>
      </x:c>
      <x:c r="J220" s="1" t="s">
        <x:v>1135</x:v>
      </x:c>
      <x:c r="K220" s="1"/>
      <x:c r="L220" s="1"/>
      <x:c r="M220" s="21" t="s">
        <x:v>1275</x:v>
      </x:c>
      <x:c r="N220" s="17"/>
      <x:c r="O220" s="17"/>
      <x:c r="P220" s="22"/>
    </x:row>
    <x:row r="221">
      <x:c r="A221" s="11">
        <x:v>215</x:v>
      </x:c>
      <x:c r="B221" s="1">
        <x:v>227</x:v>
      </x:c>
      <x:c r="C221" s="1" t="s">
        <x:v>1210</x:v>
      </x:c>
      <x:c r="D221" s="1" t="s">
        <x:v>1221</x:v>
      </x:c>
      <x:c r="E221" s="1">
        <x:v>33</x:v>
      </x:c>
      <x:c r="F221" s="1"/>
      <x:c r="G221" s="1" t="s">
        <x:v>1699</x:v>
      </x:c>
      <x:c r="H221" s="1"/>
      <x:c r="I221" s="1"/>
      <x:c r="J221" s="1"/>
      <x:c r="K221" s="1"/>
      <x:c r="L221" s="1"/>
      <x:c r="M221" s="21" t="s">
        <x:v>1275</x:v>
      </x:c>
      <x:c r="N221" s="17"/>
      <x:c r="O221" s="17"/>
      <x:c r="P221" s="22"/>
    </x:row>
    <x:row r="222" ht="25.5">
      <x:c r="A222" s="11">
        <x:v>216</x:v>
      </x:c>
      <x:c r="B222" s="1">
        <x:v>228</x:v>
      </x:c>
      <x:c r="C222" s="1" t="s">
        <x:v>1210</x:v>
      </x:c>
      <x:c r="D222" s="1" t="s">
        <x:v>1224</x:v>
      </x:c>
      <x:c r="E222" s="1">
        <x:v>34</x:v>
      </x:c>
      <x:c r="F222" s="1" t="s">
        <x:v>1700</x:v>
      </x:c>
      <x:c r="G222" s="1" t="s">
        <x:v>1701</x:v>
      </x:c>
      <x:c r="H222" s="1"/>
      <x:c r="I222" s="1" t="s">
        <x:v>1216</x:v>
      </x:c>
      <x:c r="J222" s="1" t="s">
        <x:v>1135</x:v>
      </x:c>
      <x:c r="K222" s="1" t="s">
        <x:v>1702</x:v>
      </x:c>
      <x:c r="L222" s="1"/>
      <x:c r="M222" s="21" t="s">
        <x:v>1275</x:v>
      </x:c>
      <x:c r="N222" s="17"/>
      <x:c r="O222" s="17"/>
      <x:c r="P222" s="22"/>
    </x:row>
    <x:row r="223">
      <x:c r="A223" s="11">
        <x:v>217</x:v>
      </x:c>
      <x:c r="B223" s="1">
        <x:v>229</x:v>
      </x:c>
      <x:c r="C223" s="1" t="s">
        <x:v>1210</x:v>
      </x:c>
      <x:c r="D223" s="1" t="s">
        <x:v>1224</x:v>
      </x:c>
      <x:c r="E223" s="1">
        <x:v>34</x:v>
      </x:c>
      <x:c r="F223" s="1" t="s">
        <x:v>1703</x:v>
      </x:c>
      <x:c r="G223" s="1" t="s">
        <x:v>1704</x:v>
      </x:c>
      <x:c r="H223" s="1"/>
      <x:c r="I223" s="1" t="s">
        <x:v>1216</x:v>
      </x:c>
      <x:c r="J223" s="1" t="s">
        <x:v>1135</x:v>
      </x:c>
      <x:c r="K223" s="1" t="s">
        <x:v>1340</x:v>
      </x:c>
      <x:c r="L223" s="1"/>
      <x:c r="M223" s="21" t="s">
        <x:v>1275</x:v>
      </x:c>
      <x:c r="N223" s="17"/>
      <x:c r="O223" s="17"/>
      <x:c r="P223" s="22"/>
    </x:row>
    <x:row r="224" ht="25.5">
      <x:c r="A224" s="11">
        <x:v>218</x:v>
      </x:c>
      <x:c r="B224" s="1">
        <x:v>230</x:v>
      </x:c>
      <x:c r="C224" s="1" t="s">
        <x:v>1210</x:v>
      </x:c>
      <x:c r="D224" s="1" t="s">
        <x:v>1224</x:v>
      </x:c>
      <x:c r="E224" s="1">
        <x:v>34</x:v>
      </x:c>
      <x:c r="F224" s="1" t="s">
        <x:v>1705</x:v>
      </x:c>
      <x:c r="G224" s="1" t="s">
        <x:v>1706</x:v>
      </x:c>
      <x:c r="H224" s="1"/>
      <x:c r="I224" s="1" t="s">
        <x:v>1172</x:v>
      </x:c>
      <x:c r="J224" s="1" t="s">
        <x:v>1162</x:v>
      </x:c>
      <x:c r="K224" s="1"/>
      <x:c r="L224" s="1"/>
      <x:c r="M224" s="21" t="s">
        <x:v>1275</x:v>
      </x:c>
      <x:c r="N224" s="17"/>
      <x:c r="O224" s="17"/>
      <x:c r="P224" s="22"/>
    </x:row>
    <x:row r="225">
      <x:c r="A225" s="11">
        <x:v>219</x:v>
      </x:c>
      <x:c r="B225" s="1">
        <x:v>231</x:v>
      </x:c>
      <x:c r="C225" s="1" t="s">
        <x:v>1210</x:v>
      </x:c>
      <x:c r="D225" s="1" t="s">
        <x:v>1224</x:v>
      </x:c>
      <x:c r="E225" s="1">
        <x:v>34</x:v>
      </x:c>
      <x:c r="F225" s="1" t="s">
        <x:v>1707</x:v>
      </x:c>
      <x:c r="G225" s="1" t="s">
        <x:v>1708</x:v>
      </x:c>
      <x:c r="H225" s="1"/>
      <x:c r="I225" s="1" t="s">
        <x:v>1216</x:v>
      </x:c>
      <x:c r="J225" s="1" t="s">
        <x:v>1135</x:v>
      </x:c>
      <x:c r="K225" s="1"/>
      <x:c r="L225" s="1"/>
      <x:c r="M225" s="21" t="s">
        <x:v>1275</x:v>
      </x:c>
      <x:c r="N225" s="17"/>
      <x:c r="O225" s="17"/>
      <x:c r="P225" s="22"/>
    </x:row>
    <x:row r="226">
      <x:c r="A226" s="11">
        <x:v>220</x:v>
      </x:c>
      <x:c r="B226" s="1">
        <x:v>232</x:v>
      </x:c>
      <x:c r="C226" s="1" t="s">
        <x:v>1210</x:v>
      </x:c>
      <x:c r="D226" s="1" t="s">
        <x:v>1224</x:v>
      </x:c>
      <x:c r="E226" s="1">
        <x:v>34</x:v>
      </x:c>
      <x:c r="F226" s="1" t="s">
        <x:v>1709</x:v>
      </x:c>
      <x:c r="G226" s="1" t="s">
        <x:v>1710</x:v>
      </x:c>
      <x:c r="H226" s="1"/>
      <x:c r="I226" s="1" t="s">
        <x:v>1216</x:v>
      </x:c>
      <x:c r="J226" s="1" t="s">
        <x:v>1135</x:v>
      </x:c>
      <x:c r="K226" s="1"/>
      <x:c r="L226" s="1"/>
      <x:c r="M226" s="21" t="s">
        <x:v>1275</x:v>
      </x:c>
      <x:c r="N226" s="17"/>
      <x:c r="O226" s="17"/>
      <x:c r="P226" s="22"/>
    </x:row>
    <x:row r="227" ht="25.5">
      <x:c r="A227" s="11">
        <x:v>221</x:v>
      </x:c>
      <x:c r="B227" s="1">
        <x:v>233</x:v>
      </x:c>
      <x:c r="C227" s="1" t="s">
        <x:v>1210</x:v>
      </x:c>
      <x:c r="D227" s="1" t="s">
        <x:v>1224</x:v>
      </x:c>
      <x:c r="E227" s="1">
        <x:v>34</x:v>
      </x:c>
      <x:c r="F227" s="1" t="s">
        <x:v>1711</x:v>
      </x:c>
      <x:c r="G227" s="1" t="s">
        <x:v>1712</x:v>
      </x:c>
      <x:c r="H227" s="1" t="s">
        <x:v>1713</x:v>
      </x:c>
      <x:c r="I227" s="1" t="s">
        <x:v>1216</x:v>
      </x:c>
      <x:c r="J227" s="1" t="s">
        <x:v>1135</x:v>
      </x:c>
      <x:c r="K227" s="1"/>
      <x:c r="L227" s="1"/>
      <x:c r="M227" s="21" t="s">
        <x:v>1275</x:v>
      </x:c>
      <x:c r="N227" s="17"/>
      <x:c r="O227" s="17"/>
      <x:c r="P227" s="22"/>
    </x:row>
    <x:row r="228" ht="25.5">
      <x:c r="A228" s="11">
        <x:v>222</x:v>
      </x:c>
      <x:c r="B228" s="1">
        <x:v>234</x:v>
      </x:c>
      <x:c r="C228" s="1" t="s">
        <x:v>1210</x:v>
      </x:c>
      <x:c r="D228" s="1" t="s">
        <x:v>1224</x:v>
      </x:c>
      <x:c r="E228" s="1">
        <x:v>34</x:v>
      </x:c>
      <x:c r="F228" s="1" t="s">
        <x:v>1714</x:v>
      </x:c>
      <x:c r="G228" s="1" t="s">
        <x:v>1715</x:v>
      </x:c>
      <x:c r="H228" s="1"/>
      <x:c r="I228" s="1" t="s">
        <x:v>1172</x:v>
      </x:c>
      <x:c r="J228" s="1" t="s">
        <x:v>1162</x:v>
      </x:c>
      <x:c r="K228" s="1"/>
      <x:c r="L228" s="1"/>
      <x:c r="M228" s="21" t="s">
        <x:v>1275</x:v>
      </x:c>
      <x:c r="N228" s="17"/>
      <x:c r="O228" s="17"/>
      <x:c r="P228" s="22"/>
    </x:row>
    <x:row r="229" ht="25.5">
      <x:c r="A229" s="11">
        <x:v>223</x:v>
      </x:c>
      <x:c r="B229" s="1">
        <x:v>235</x:v>
      </x:c>
      <x:c r="C229" s="1" t="s">
        <x:v>1210</x:v>
      </x:c>
      <x:c r="D229" s="1" t="s">
        <x:v>1224</x:v>
      </x:c>
      <x:c r="E229" s="1">
        <x:v>34</x:v>
      </x:c>
      <x:c r="F229" s="1" t="s">
        <x:v>1716</x:v>
      </x:c>
      <x:c r="G229" s="1" t="s">
        <x:v>1717</x:v>
      </x:c>
      <x:c r="H229" s="1"/>
      <x:c r="I229" s="1" t="s">
        <x:v>1216</x:v>
      </x:c>
      <x:c r="J229" s="1" t="s">
        <x:v>1135</x:v>
      </x:c>
      <x:c r="K229" s="1"/>
      <x:c r="L229" s="1"/>
      <x:c r="M229" s="21" t="s">
        <x:v>1275</x:v>
      </x:c>
      <x:c r="N229" s="17"/>
      <x:c r="O229" s="17"/>
      <x:c r="P229" s="22"/>
    </x:row>
    <x:row r="230" ht="25.5">
      <x:c r="A230" s="11">
        <x:v>224</x:v>
      </x:c>
      <x:c r="B230" s="1">
        <x:v>236</x:v>
      </x:c>
      <x:c r="C230" s="1" t="s">
        <x:v>1210</x:v>
      </x:c>
      <x:c r="D230" s="1" t="s">
        <x:v>1224</x:v>
      </x:c>
      <x:c r="E230" s="1">
        <x:v>34</x:v>
      </x:c>
      <x:c r="F230" s="1" t="s">
        <x:v>1718</x:v>
      </x:c>
      <x:c r="G230" s="1" t="s">
        <x:v>1719</x:v>
      </x:c>
      <x:c r="H230" s="1" t="s">
        <x:v>1720</x:v>
      </x:c>
      <x:c r="I230" s="1" t="s">
        <x:v>1216</x:v>
      </x:c>
      <x:c r="J230" s="1" t="s">
        <x:v>1135</x:v>
      </x:c>
      <x:c r="K230" s="1"/>
      <x:c r="L230" s="1"/>
      <x:c r="M230" s="21" t="s">
        <x:v>1275</x:v>
      </x:c>
      <x:c r="N230" s="17"/>
      <x:c r="O230" s="17"/>
      <x:c r="P230" s="22"/>
    </x:row>
    <x:row r="231" ht="25.5">
      <x:c r="A231" s="11">
        <x:v>225</x:v>
      </x:c>
      <x:c r="B231" s="1">
        <x:v>237</x:v>
      </x:c>
      <x:c r="C231" s="1" t="s">
        <x:v>1210</x:v>
      </x:c>
      <x:c r="D231" s="1" t="s">
        <x:v>1224</x:v>
      </x:c>
      <x:c r="E231" s="1">
        <x:v>34</x:v>
      </x:c>
      <x:c r="F231" s="1" t="s">
        <x:v>1721</x:v>
      </x:c>
      <x:c r="G231" s="1" t="s">
        <x:v>1722</x:v>
      </x:c>
      <x:c r="H231" s="1" t="s">
        <x:v>1723</x:v>
      </x:c>
      <x:c r="I231" s="1" t="s">
        <x:v>1172</x:v>
      </x:c>
      <x:c r="J231" s="1" t="s">
        <x:v>1162</x:v>
      </x:c>
      <x:c r="K231" s="1"/>
      <x:c r="L231" s="1"/>
      <x:c r="M231" s="21" t="s">
        <x:v>1275</x:v>
      </x:c>
      <x:c r="N231" s="17"/>
      <x:c r="O231" s="17"/>
      <x:c r="P231" s="22"/>
    </x:row>
    <x:row r="232">
      <x:c r="A232" s="11">
        <x:v>226</x:v>
      </x:c>
      <x:c r="B232" s="1">
        <x:v>238</x:v>
      </x:c>
      <x:c r="C232" s="1" t="s">
        <x:v>1210</x:v>
      </x:c>
      <x:c r="D232" s="1" t="s">
        <x:v>1224</x:v>
      </x:c>
      <x:c r="E232" s="1">
        <x:v>34</x:v>
      </x:c>
      <x:c r="F232" s="1" t="s">
        <x:v>1724</x:v>
      </x:c>
      <x:c r="G232" s="1"/>
      <x:c r="H232" s="1"/>
      <x:c r="I232" s="1"/>
      <x:c r="J232" s="1"/>
      <x:c r="K232" s="1"/>
      <x:c r="L232" s="1"/>
      <x:c r="M232" s="21" t="s">
        <x:v>1275</x:v>
      </x:c>
      <x:c r="N232" s="17"/>
      <x:c r="O232" s="17"/>
      <x:c r="P232" s="22"/>
    </x:row>
    <x:row r="233" ht="25.5">
      <x:c r="A233" s="11">
        <x:v>227</x:v>
      </x:c>
      <x:c r="B233" s="1">
        <x:v>239</x:v>
      </x:c>
      <x:c r="C233" s="1" t="s">
        <x:v>1210</x:v>
      </x:c>
      <x:c r="D233" s="1" t="s">
        <x:v>1224</x:v>
      </x:c>
      <x:c r="E233" s="1">
        <x:v>34</x:v>
      </x:c>
      <x:c r="F233" s="1" t="s">
        <x:v>1725</x:v>
      </x:c>
      <x:c r="G233" s="1"/>
      <x:c r="H233" s="1"/>
      <x:c r="I233" s="1"/>
      <x:c r="J233" s="1"/>
      <x:c r="K233" s="1"/>
      <x:c r="L233" s="1"/>
      <x:c r="M233" s="21" t="s">
        <x:v>1275</x:v>
      </x:c>
      <x:c r="N233" s="17"/>
      <x:c r="O233" s="17"/>
      <x:c r="P233" s="22"/>
    </x:row>
    <x:row r="234">
      <x:c r="A234" s="11">
        <x:v>228</x:v>
      </x:c>
      <x:c r="B234" s="1">
        <x:v>240</x:v>
      </x:c>
      <x:c r="C234" s="1" t="s">
        <x:v>1210</x:v>
      </x:c>
      <x:c r="D234" s="1" t="s">
        <x:v>1224</x:v>
      </x:c>
      <x:c r="E234" s="1">
        <x:v>34</x:v>
      </x:c>
      <x:c r="F234" s="1" t="s">
        <x:v>1726</x:v>
      </x:c>
      <x:c r="G234" s="1"/>
      <x:c r="H234" s="1"/>
      <x:c r="I234" s="1"/>
      <x:c r="J234" s="1"/>
      <x:c r="K234" s="1"/>
      <x:c r="L234" s="1"/>
      <x:c r="M234" s="21" t="s">
        <x:v>1275</x:v>
      </x:c>
      <x:c r="N234" s="17"/>
      <x:c r="O234" s="17"/>
      <x:c r="P234" s="22"/>
    </x:row>
    <x:row r="235" ht="25.5">
      <x:c r="A235" s="11">
        <x:v>229</x:v>
      </x:c>
      <x:c r="B235" s="1">
        <x:v>241</x:v>
      </x:c>
      <x:c r="C235" s="1" t="s">
        <x:v>1210</x:v>
      </x:c>
      <x:c r="D235" s="1" t="s">
        <x:v>1224</x:v>
      </x:c>
      <x:c r="E235" s="1">
        <x:v>34</x:v>
      </x:c>
      <x:c r="F235" s="1" t="s">
        <x:v>1727</x:v>
      </x:c>
      <x:c r="G235" s="1"/>
      <x:c r="H235" s="1"/>
      <x:c r="I235" s="1"/>
      <x:c r="J235" s="1"/>
      <x:c r="K235" s="1"/>
      <x:c r="L235" s="1"/>
      <x:c r="M235" s="21" t="s">
        <x:v>1275</x:v>
      </x:c>
      <x:c r="N235" s="17"/>
      <x:c r="O235" s="17"/>
      <x:c r="P235" s="22"/>
    </x:row>
    <x:row r="236" ht="25.5">
      <x:c r="A236" s="11">
        <x:v>230</x:v>
      </x:c>
      <x:c r="B236" s="1">
        <x:v>242</x:v>
      </x:c>
      <x:c r="C236" s="1" t="s">
        <x:v>1210</x:v>
      </x:c>
      <x:c r="D236" s="1" t="s">
        <x:v>1227</x:v>
      </x:c>
      <x:c r="E236" s="1">
        <x:v>35</x:v>
      </x:c>
      <x:c r="F236" s="1" t="s">
        <x:v>1728</x:v>
      </x:c>
      <x:c r="G236" s="1" t="s">
        <x:v>1729</x:v>
      </x:c>
      <x:c r="H236" s="1"/>
      <x:c r="I236" s="1" t="s">
        <x:v>1139</x:v>
      </x:c>
      <x:c r="J236" s="1" t="s">
        <x:v>1135</x:v>
      </x:c>
      <x:c r="K236" s="1" t="s">
        <x:v>1730</x:v>
      </x:c>
      <x:c r="L236" s="1"/>
      <x:c r="M236" s="21" t="s">
        <x:v>1275</x:v>
      </x:c>
      <x:c r="N236" s="17"/>
      <x:c r="O236" s="17"/>
      <x:c r="P236" s="22"/>
    </x:row>
    <x:row r="237">
      <x:c r="A237" s="11">
        <x:v>231</x:v>
      </x:c>
      <x:c r="B237" s="1">
        <x:v>243</x:v>
      </x:c>
      <x:c r="C237" s="1" t="s">
        <x:v>1210</x:v>
      </x:c>
      <x:c r="D237" s="1" t="s">
        <x:v>1227</x:v>
      </x:c>
      <x:c r="E237" s="1">
        <x:v>35</x:v>
      </x:c>
      <x:c r="F237" s="1" t="s">
        <x:v>1731</x:v>
      </x:c>
      <x:c r="G237" s="1" t="s">
        <x:v>1732</x:v>
      </x:c>
      <x:c r="H237" s="1"/>
      <x:c r="I237" s="1" t="s">
        <x:v>1139</x:v>
      </x:c>
      <x:c r="J237" s="1" t="s">
        <x:v>1135</x:v>
      </x:c>
      <x:c r="K237" s="1" t="s">
        <x:v>1733</x:v>
      </x:c>
      <x:c r="L237" s="1"/>
      <x:c r="M237" s="21" t="s">
        <x:v>1275</x:v>
      </x:c>
      <x:c r="N237" s="17"/>
      <x:c r="O237" s="17"/>
      <x:c r="P237" s="22"/>
    </x:row>
    <x:row r="238" ht="25.5">
      <x:c r="A238" s="11">
        <x:v>232</x:v>
      </x:c>
      <x:c r="B238" s="1">
        <x:v>244</x:v>
      </x:c>
      <x:c r="C238" s="1" t="s">
        <x:v>1210</x:v>
      </x:c>
      <x:c r="D238" s="1" t="s">
        <x:v>1227</x:v>
      </x:c>
      <x:c r="E238" s="1">
        <x:v>35</x:v>
      </x:c>
      <x:c r="F238" s="1" t="s">
        <x:v>1734</x:v>
      </x:c>
      <x:c r="G238" s="1" t="s">
        <x:v>1735</x:v>
      </x:c>
      <x:c r="H238" s="1"/>
      <x:c r="I238" s="1" t="s">
        <x:v>1139</x:v>
      </x:c>
      <x:c r="J238" s="1" t="s">
        <x:v>1135</x:v>
      </x:c>
      <x:c r="K238" s="1"/>
      <x:c r="L238" s="1"/>
      <x:c r="M238" s="21" t="s">
        <x:v>1275</x:v>
      </x:c>
      <x:c r="N238" s="17"/>
      <x:c r="O238" s="17"/>
      <x:c r="P238" s="22"/>
    </x:row>
    <x:row r="239" ht="25.5">
      <x:c r="A239" s="11">
        <x:v>233</x:v>
      </x:c>
      <x:c r="B239" s="1">
        <x:v>245</x:v>
      </x:c>
      <x:c r="C239" s="1" t="s">
        <x:v>1210</x:v>
      </x:c>
      <x:c r="D239" s="1" t="s">
        <x:v>1227</x:v>
      </x:c>
      <x:c r="E239" s="1">
        <x:v>35</x:v>
      </x:c>
      <x:c r="F239" s="1" t="s">
        <x:v>1736</x:v>
      </x:c>
      <x:c r="G239" s="1" t="s">
        <x:v>1737</x:v>
      </x:c>
      <x:c r="H239" s="1"/>
      <x:c r="I239" s="1" t="s">
        <x:v>1139</x:v>
      </x:c>
      <x:c r="J239" s="1" t="s">
        <x:v>1135</x:v>
      </x:c>
      <x:c r="K239" s="1"/>
      <x:c r="L239" s="1"/>
      <x:c r="M239" s="21" t="s">
        <x:v>1275</x:v>
      </x:c>
      <x:c r="N239" s="17"/>
      <x:c r="O239" s="17"/>
      <x:c r="P239" s="22"/>
    </x:row>
    <x:row r="240" ht="25.5">
      <x:c r="A240" s="11">
        <x:v>234</x:v>
      </x:c>
      <x:c r="B240" s="1">
        <x:v>248</x:v>
      </x:c>
      <x:c r="C240" s="1" t="s">
        <x:v>1210</x:v>
      </x:c>
      <x:c r="D240" s="1" t="s">
        <x:v>1230</x:v>
      </x:c>
      <x:c r="E240" s="1">
        <x:v>36</x:v>
      </x:c>
      <x:c r="F240" s="1" t="s">
        <x:v>1738</x:v>
      </x:c>
      <x:c r="G240" s="1" t="s">
        <x:v>1739</x:v>
      </x:c>
      <x:c r="H240" s="1"/>
      <x:c r="I240" s="1" t="s">
        <x:v>1216</x:v>
      </x:c>
      <x:c r="J240" s="1" t="s">
        <x:v>1135</x:v>
      </x:c>
      <x:c r="K240" s="1" t="s">
        <x:v>1740</x:v>
      </x:c>
      <x:c r="L240" s="1"/>
      <x:c r="M240" s="21" t="s">
        <x:v>1275</x:v>
      </x:c>
      <x:c r="N240" s="17"/>
      <x:c r="O240" s="17"/>
      <x:c r="P240" s="22"/>
    </x:row>
    <x:row r="241" ht="25.5">
      <x:c r="A241" s="11">
        <x:v>235</x:v>
      </x:c>
      <x:c r="B241" s="1">
        <x:v>249</x:v>
      </x:c>
      <x:c r="C241" s="1" t="s">
        <x:v>1210</x:v>
      </x:c>
      <x:c r="D241" s="1" t="s">
        <x:v>1230</x:v>
      </x:c>
      <x:c r="E241" s="1">
        <x:v>36</x:v>
      </x:c>
      <x:c r="F241" s="1" t="s">
        <x:v>1741</x:v>
      </x:c>
      <x:c r="G241" s="1" t="s">
        <x:v>1742</x:v>
      </x:c>
      <x:c r="H241" s="1" t="s">
        <x:v>1743</x:v>
      </x:c>
      <x:c r="I241" s="1" t="s">
        <x:v>1216</x:v>
      </x:c>
      <x:c r="J241" s="1" t="s">
        <x:v>1135</x:v>
      </x:c>
      <x:c r="K241" s="1" t="s">
        <x:v>1744</x:v>
      </x:c>
      <x:c r="L241" s="1"/>
      <x:c r="M241" s="21" t="s">
        <x:v>1275</x:v>
      </x:c>
      <x:c r="N241" s="17"/>
      <x:c r="O241" s="17"/>
      <x:c r="P241" s="22"/>
    </x:row>
    <x:row r="242">
      <x:c r="A242" s="11">
        <x:v>236</x:v>
      </x:c>
      <x:c r="B242" s="1">
        <x:v>250</x:v>
      </x:c>
      <x:c r="C242" s="1" t="s">
        <x:v>1210</x:v>
      </x:c>
      <x:c r="D242" s="1" t="s">
        <x:v>1230</x:v>
      </x:c>
      <x:c r="E242" s="1">
        <x:v>36</x:v>
      </x:c>
      <x:c r="F242" s="1" t="s">
        <x:v>1745</x:v>
      </x:c>
      <x:c r="G242" s="1" t="s">
        <x:v>1746</x:v>
      </x:c>
      <x:c r="H242" s="1"/>
      <x:c r="I242" s="1" t="s">
        <x:v>1216</x:v>
      </x:c>
      <x:c r="J242" s="1" t="s">
        <x:v>1135</x:v>
      </x:c>
      <x:c r="K242" s="1" t="s">
        <x:v>1747</x:v>
      </x:c>
      <x:c r="L242" s="1"/>
      <x:c r="M242" s="21" t="s">
        <x:v>1275</x:v>
      </x:c>
      <x:c r="N242" s="17"/>
      <x:c r="O242" s="17"/>
      <x:c r="P242" s="22"/>
    </x:row>
    <x:row r="243" ht="25.5">
      <x:c r="A243" s="11">
        <x:v>237</x:v>
      </x:c>
      <x:c r="B243" s="1">
        <x:v>251</x:v>
      </x:c>
      <x:c r="C243" s="1" t="s">
        <x:v>1210</x:v>
      </x:c>
      <x:c r="D243" s="1" t="s">
        <x:v>1230</x:v>
      </x:c>
      <x:c r="E243" s="1">
        <x:v>36</x:v>
      </x:c>
      <x:c r="F243" s="1" t="s">
        <x:v>1748</x:v>
      </x:c>
      <x:c r="G243" s="1" t="s">
        <x:v>1749</x:v>
      </x:c>
      <x:c r="H243" s="1" t="s">
        <x:v>1750</x:v>
      </x:c>
      <x:c r="I243" s="1" t="s">
        <x:v>1216</x:v>
      </x:c>
      <x:c r="J243" s="1" t="s">
        <x:v>1135</x:v>
      </x:c>
      <x:c r="K243" s="1"/>
      <x:c r="L243" s="1"/>
      <x:c r="M243" s="21" t="s">
        <x:v>1275</x:v>
      </x:c>
      <x:c r="N243" s="17"/>
      <x:c r="O243" s="17"/>
      <x:c r="P243" s="22"/>
    </x:row>
    <x:row r="244" ht="25.5">
      <x:c r="A244" s="11">
        <x:v>238</x:v>
      </x:c>
      <x:c r="B244" s="1">
        <x:v>252</x:v>
      </x:c>
      <x:c r="C244" s="1" t="s">
        <x:v>1210</x:v>
      </x:c>
      <x:c r="D244" s="1" t="s">
        <x:v>1230</x:v>
      </x:c>
      <x:c r="E244" s="1">
        <x:v>36</x:v>
      </x:c>
      <x:c r="F244" s="1" t="s">
        <x:v>1751</x:v>
      </x:c>
      <x:c r="G244" s="1" t="s">
        <x:v>1752</x:v>
      </x:c>
      <x:c r="H244" s="1"/>
      <x:c r="I244" s="1" t="s">
        <x:v>1216</x:v>
      </x:c>
      <x:c r="J244" s="1" t="s">
        <x:v>1135</x:v>
      </x:c>
      <x:c r="K244" s="1"/>
      <x:c r="L244" s="1"/>
      <x:c r="M244" s="21" t="s">
        <x:v>1275</x:v>
      </x:c>
      <x:c r="N244" s="17"/>
      <x:c r="O244" s="17"/>
      <x:c r="P244" s="22"/>
    </x:row>
    <x:row r="245">
      <x:c r="A245" s="11">
        <x:v>239</x:v>
      </x:c>
      <x:c r="B245" s="1">
        <x:v>253</x:v>
      </x:c>
      <x:c r="C245" s="1" t="s">
        <x:v>1210</x:v>
      </x:c>
      <x:c r="D245" s="1" t="s">
        <x:v>1233</x:v>
      </x:c>
      <x:c r="E245" s="1">
        <x:v>37</x:v>
      </x:c>
      <x:c r="F245" s="1" t="s">
        <x:v>1753</x:v>
      </x:c>
      <x:c r="G245" s="1" t="s">
        <x:v>1754</x:v>
      </x:c>
      <x:c r="H245" s="1" t="s">
        <x:v>1755</x:v>
      </x:c>
      <x:c r="I245" s="1" t="s">
        <x:v>1756</x:v>
      </x:c>
      <x:c r="J245" s="1" t="s">
        <x:v>1135</x:v>
      </x:c>
      <x:c r="K245" s="1" t="s">
        <x:v>1757</x:v>
      </x:c>
      <x:c r="L245" s="1"/>
      <x:c r="M245" s="21" t="s">
        <x:v>1275</x:v>
      </x:c>
      <x:c r="N245" s="17"/>
      <x:c r="O245" s="17"/>
      <x:c r="P245" s="22"/>
    </x:row>
    <x:row r="246" ht="25.5">
      <x:c r="A246" s="11">
        <x:v>240</x:v>
      </x:c>
      <x:c r="B246" s="1">
        <x:v>254</x:v>
      </x:c>
      <x:c r="C246" s="1" t="s">
        <x:v>1210</x:v>
      </x:c>
      <x:c r="D246" s="1" t="s">
        <x:v>1233</x:v>
      </x:c>
      <x:c r="E246" s="1">
        <x:v>37</x:v>
      </x:c>
      <x:c r="F246" s="1" t="s">
        <x:v>1758</x:v>
      </x:c>
      <x:c r="G246" s="1" t="s">
        <x:v>1759</x:v>
      </x:c>
      <x:c r="H246" s="1"/>
      <x:c r="I246" s="1" t="s">
        <x:v>1756</x:v>
      </x:c>
      <x:c r="J246" s="1" t="s">
        <x:v>1135</x:v>
      </x:c>
      <x:c r="K246" s="1" t="s">
        <x:v>1760</x:v>
      </x:c>
      <x:c r="L246" s="1"/>
      <x:c r="M246" s="21" t="s">
        <x:v>1275</x:v>
      </x:c>
      <x:c r="N246" s="17"/>
      <x:c r="O246" s="17"/>
      <x:c r="P246" s="22"/>
    </x:row>
    <x:row r="247" ht="25.5">
      <x:c r="A247" s="11">
        <x:v>241</x:v>
      </x:c>
      <x:c r="B247" s="1">
        <x:v>255</x:v>
      </x:c>
      <x:c r="C247" s="1" t="s">
        <x:v>1210</x:v>
      </x:c>
      <x:c r="D247" s="1" t="s">
        <x:v>1233</x:v>
      </x:c>
      <x:c r="E247" s="1">
        <x:v>37</x:v>
      </x:c>
      <x:c r="F247" s="1" t="s">
        <x:v>1761</x:v>
      </x:c>
      <x:c r="G247" s="1" t="s">
        <x:v>1762</x:v>
      </x:c>
      <x:c r="H247" s="1"/>
      <x:c r="I247" s="1" t="s">
        <x:v>1756</x:v>
      </x:c>
      <x:c r="J247" s="1" t="s">
        <x:v>1135</x:v>
      </x:c>
      <x:c r="K247" s="1"/>
      <x:c r="L247" s="1"/>
      <x:c r="M247" s="21" t="s">
        <x:v>1275</x:v>
      </x:c>
      <x:c r="N247" s="17"/>
      <x:c r="O247" s="17"/>
      <x:c r="P247" s="22"/>
    </x:row>
    <x:row r="248" ht="25.5">
      <x:c r="A248" s="11">
        <x:v>242</x:v>
      </x:c>
      <x:c r="B248" s="1">
        <x:v>256</x:v>
      </x:c>
      <x:c r="C248" s="1" t="s">
        <x:v>1210</x:v>
      </x:c>
      <x:c r="D248" s="1" t="s">
        <x:v>1233</x:v>
      </x:c>
      <x:c r="E248" s="1">
        <x:v>37</x:v>
      </x:c>
      <x:c r="F248" s="1" t="s">
        <x:v>1763</x:v>
      </x:c>
      <x:c r="G248" s="1" t="s">
        <x:v>1764</x:v>
      </x:c>
      <x:c r="H248" s="1" t="s">
        <x:v>1765</x:v>
      </x:c>
      <x:c r="I248" s="1" t="s">
        <x:v>1756</x:v>
      </x:c>
      <x:c r="J248" s="1" t="s">
        <x:v>1135</x:v>
      </x:c>
      <x:c r="K248" s="1"/>
      <x:c r="L248" s="1"/>
      <x:c r="M248" s="21" t="s">
        <x:v>1275</x:v>
      </x:c>
      <x:c r="N248" s="17"/>
      <x:c r="O248" s="17"/>
      <x:c r="P248" s="22"/>
    </x:row>
    <x:row r="249">
      <x:c r="A249" s="11">
        <x:v>243</x:v>
      </x:c>
      <x:c r="B249" s="1">
        <x:v>257</x:v>
      </x:c>
      <x:c r="C249" s="1" t="s">
        <x:v>1210</x:v>
      </x:c>
      <x:c r="D249" s="1" t="s">
        <x:v>1233</x:v>
      </x:c>
      <x:c r="E249" s="1">
        <x:v>37</x:v>
      </x:c>
      <x:c r="F249" s="1"/>
      <x:c r="G249" s="1" t="s">
        <x:v>1766</x:v>
      </x:c>
      <x:c r="H249" s="1"/>
      <x:c r="I249" s="1" t="s">
        <x:v>1135</x:v>
      </x:c>
      <x:c r="J249" s="1" t="s">
        <x:v>1135</x:v>
      </x:c>
      <x:c r="K249" s="1"/>
      <x:c r="L249" s="1"/>
      <x:c r="M249" s="21" t="s">
        <x:v>1275</x:v>
      </x:c>
      <x:c r="N249" s="17"/>
      <x:c r="O249" s="17"/>
      <x:c r="P249" s="22"/>
    </x:row>
    <x:row r="250" ht="25.5">
      <x:c r="A250" s="11">
        <x:v>244</x:v>
      </x:c>
      <x:c r="B250" s="1">
        <x:v>258</x:v>
      </x:c>
      <x:c r="C250" s="1" t="s">
        <x:v>1210</x:v>
      </x:c>
      <x:c r="D250" s="1" t="s">
        <x:v>1237</x:v>
      </x:c>
      <x:c r="E250" s="1">
        <x:v>38</x:v>
      </x:c>
      <x:c r="F250" s="1" t="s">
        <x:v>1767</x:v>
      </x:c>
      <x:c r="G250" s="1" t="s">
        <x:v>1768</x:v>
      </x:c>
      <x:c r="H250" s="1"/>
      <x:c r="I250" s="1" t="s">
        <x:v>1172</x:v>
      </x:c>
      <x:c r="J250" s="1" t="s">
        <x:v>1162</x:v>
      </x:c>
      <x:c r="K250" s="1" t="s">
        <x:v>1769</x:v>
      </x:c>
      <x:c r="L250" s="1"/>
      <x:c r="M250" s="21" t="s">
        <x:v>1275</x:v>
      </x:c>
      <x:c r="N250" s="17"/>
      <x:c r="O250" s="17"/>
      <x:c r="P250" s="22"/>
    </x:row>
    <x:row r="251">
      <x:c r="A251" s="11">
        <x:v>245</x:v>
      </x:c>
      <x:c r="B251" s="1">
        <x:v>259</x:v>
      </x:c>
      <x:c r="C251" s="1" t="s">
        <x:v>1210</x:v>
      </x:c>
      <x:c r="D251" s="1" t="s">
        <x:v>1237</x:v>
      </x:c>
      <x:c r="E251" s="1">
        <x:v>38</x:v>
      </x:c>
      <x:c r="F251" s="1" t="s">
        <x:v>1770</x:v>
      </x:c>
      <x:c r="G251" s="1" t="s">
        <x:v>1771</x:v>
      </x:c>
      <x:c r="H251" s="1"/>
      <x:c r="I251" s="1" t="s">
        <x:v>1172</x:v>
      </x:c>
      <x:c r="J251" s="1" t="s">
        <x:v>1162</x:v>
      </x:c>
      <x:c r="K251" s="1" t="s">
        <x:v>1772</x:v>
      </x:c>
      <x:c r="L251" s="1"/>
      <x:c r="M251" s="21" t="s">
        <x:v>1275</x:v>
      </x:c>
      <x:c r="N251" s="17"/>
      <x:c r="O251" s="17"/>
      <x:c r="P251" s="22"/>
    </x:row>
    <x:row r="252">
      <x:c r="A252" s="11">
        <x:v>246</x:v>
      </x:c>
      <x:c r="B252" s="1">
        <x:v>260</x:v>
      </x:c>
      <x:c r="C252" s="1" t="s">
        <x:v>1210</x:v>
      </x:c>
      <x:c r="D252" s="1" t="s">
        <x:v>1237</x:v>
      </x:c>
      <x:c r="E252" s="1">
        <x:v>38</x:v>
      </x:c>
      <x:c r="F252" s="1"/>
      <x:c r="G252" s="1" t="s">
        <x:v>1773</x:v>
      </x:c>
      <x:c r="H252" s="1" t="s">
        <x:v>1774</x:v>
      </x:c>
      <x:c r="I252" s="1" t="s">
        <x:v>1172</x:v>
      </x:c>
      <x:c r="J252" s="1" t="s">
        <x:v>1162</x:v>
      </x:c>
      <x:c r="K252" s="1"/>
      <x:c r="L252" s="1"/>
      <x:c r="M252" s="21" t="s">
        <x:v>1275</x:v>
      </x:c>
      <x:c r="N252" s="17"/>
      <x:c r="O252" s="17"/>
      <x:c r="P252" s="22"/>
    </x:row>
    <x:row r="253">
      <x:c r="A253" s="11">
        <x:v>247</x:v>
      </x:c>
      <x:c r="B253" s="1">
        <x:v>261</x:v>
      </x:c>
      <x:c r="C253" s="1" t="s">
        <x:v>1210</x:v>
      </x:c>
      <x:c r="D253" s="1" t="s">
        <x:v>1237</x:v>
      </x:c>
      <x:c r="E253" s="1">
        <x:v>38</x:v>
      </x:c>
      <x:c r="F253" s="1"/>
      <x:c r="G253" s="1" t="s">
        <x:v>1775</x:v>
      </x:c>
      <x:c r="H253" s="1"/>
      <x:c r="I253" s="1" t="s">
        <x:v>1172</x:v>
      </x:c>
      <x:c r="J253" s="1" t="s">
        <x:v>1162</x:v>
      </x:c>
      <x:c r="K253" s="1"/>
      <x:c r="L253" s="1"/>
      <x:c r="M253" s="21" t="s">
        <x:v>1275</x:v>
      </x:c>
      <x:c r="N253" s="17"/>
      <x:c r="O253" s="17"/>
      <x:c r="P253" s="22"/>
    </x:row>
    <x:row r="254">
      <x:c r="A254" s="11">
        <x:v>248</x:v>
      </x:c>
      <x:c r="B254" s="1">
        <x:v>262</x:v>
      </x:c>
      <x:c r="C254" s="1" t="s">
        <x:v>1210</x:v>
      </x:c>
      <x:c r="D254" s="1" t="s">
        <x:v>1240</x:v>
      </x:c>
      <x:c r="E254" s="1">
        <x:v>39</x:v>
      </x:c>
      <x:c r="F254" s="1" t="s">
        <x:v>1776</x:v>
      </x:c>
      <x:c r="G254" s="1" t="s">
        <x:v>1777</x:v>
      </x:c>
      <x:c r="H254" s="1"/>
      <x:c r="I254" s="1" t="s">
        <x:v>1172</x:v>
      </x:c>
      <x:c r="J254" s="1" t="s">
        <x:v>1162</x:v>
      </x:c>
      <x:c r="K254" s="1" t="s">
        <x:v>1778</x:v>
      </x:c>
      <x:c r="L254" s="1"/>
      <x:c r="M254" s="21" t="s">
        <x:v>1275</x:v>
      </x:c>
      <x:c r="N254" s="17"/>
      <x:c r="O254" s="17"/>
      <x:c r="P254" s="22"/>
    </x:row>
    <x:row r="255" ht="25.5">
      <x:c r="A255" s="11">
        <x:v>249</x:v>
      </x:c>
      <x:c r="B255" s="1">
        <x:v>263</x:v>
      </x:c>
      <x:c r="C255" s="1" t="s">
        <x:v>1210</x:v>
      </x:c>
      <x:c r="D255" s="1" t="s">
        <x:v>1240</x:v>
      </x:c>
      <x:c r="E255" s="1">
        <x:v>39</x:v>
      </x:c>
      <x:c r="F255" s="1" t="s">
        <x:v>1779</x:v>
      </x:c>
      <x:c r="G255" s="1" t="s">
        <x:v>1780</x:v>
      </x:c>
      <x:c r="H255" s="1"/>
      <x:c r="I255" s="1" t="s">
        <x:v>1172</x:v>
      </x:c>
      <x:c r="J255" s="1" t="s">
        <x:v>1162</x:v>
      </x:c>
      <x:c r="K255" s="1" t="s">
        <x:v>1781</x:v>
      </x:c>
      <x:c r="L255" s="1"/>
      <x:c r="M255" s="21" t="s">
        <x:v>1275</x:v>
      </x:c>
      <x:c r="N255" s="17"/>
      <x:c r="O255" s="17"/>
      <x:c r="P255" s="22"/>
    </x:row>
    <x:row r="256">
      <x:c r="A256" s="11">
        <x:v>250</x:v>
      </x:c>
      <x:c r="B256" s="1">
        <x:v>264</x:v>
      </x:c>
      <x:c r="C256" s="1" t="s">
        <x:v>1210</x:v>
      </x:c>
      <x:c r="D256" s="1" t="s">
        <x:v>1240</x:v>
      </x:c>
      <x:c r="E256" s="1">
        <x:v>39</x:v>
      </x:c>
      <x:c r="F256" s="1" t="s">
        <x:v>1782</x:v>
      </x:c>
      <x:c r="G256" s="1" t="s">
        <x:v>1783</x:v>
      </x:c>
      <x:c r="H256" s="1"/>
      <x:c r="I256" s="1" t="s">
        <x:v>1172</x:v>
      </x:c>
      <x:c r="J256" s="1" t="s">
        <x:v>1162</x:v>
      </x:c>
      <x:c r="K256" s="1"/>
      <x:c r="L256" s="1"/>
      <x:c r="M256" s="21" t="s">
        <x:v>1275</x:v>
      </x:c>
      <x:c r="N256" s="17"/>
      <x:c r="O256" s="17"/>
      <x:c r="P256" s="22"/>
    </x:row>
    <x:row r="257">
      <x:c r="A257" s="11">
        <x:v>251</x:v>
      </x:c>
      <x:c r="B257" s="1">
        <x:v>265</x:v>
      </x:c>
      <x:c r="C257" s="1" t="s">
        <x:v>1210</x:v>
      </x:c>
      <x:c r="D257" s="1" t="s">
        <x:v>1240</x:v>
      </x:c>
      <x:c r="E257" s="1">
        <x:v>39</x:v>
      </x:c>
      <x:c r="F257" s="1"/>
      <x:c r="G257" s="1" t="s">
        <x:v>1784</x:v>
      </x:c>
      <x:c r="H257" s="1"/>
      <x:c r="I257" s="1" t="s">
        <x:v>1172</x:v>
      </x:c>
      <x:c r="J257" s="1" t="s">
        <x:v>1162</x:v>
      </x:c>
      <x:c r="K257" s="1"/>
      <x:c r="L257" s="1"/>
      <x:c r="M257" s="21" t="s">
        <x:v>1275</x:v>
      </x:c>
      <x:c r="N257" s="17"/>
      <x:c r="O257" s="17"/>
      <x:c r="P257" s="22"/>
    </x:row>
    <x:row r="258">
      <x:c r="A258" s="11">
        <x:v>252</x:v>
      </x:c>
      <x:c r="B258" s="1">
        <x:v>266</x:v>
      </x:c>
      <x:c r="C258" s="1" t="s">
        <x:v>1210</x:v>
      </x:c>
      <x:c r="D258" s="1" t="s">
        <x:v>1240</x:v>
      </x:c>
      <x:c r="E258" s="1">
        <x:v>39</x:v>
      </x:c>
      <x:c r="F258" s="1"/>
      <x:c r="G258" s="1" t="s">
        <x:v>1785</x:v>
      </x:c>
      <x:c r="H258" s="1"/>
      <x:c r="I258" s="1" t="s">
        <x:v>1172</x:v>
      </x:c>
      <x:c r="J258" s="1" t="s">
        <x:v>1162</x:v>
      </x:c>
      <x:c r="K258" s="1"/>
      <x:c r="L258" s="1"/>
      <x:c r="M258" s="21" t="s">
        <x:v>1275</x:v>
      </x:c>
      <x:c r="N258" s="17"/>
      <x:c r="O258" s="17"/>
      <x:c r="P258" s="22"/>
    </x:row>
    <x:row r="259">
      <x:c r="A259" s="11">
        <x:v>253</x:v>
      </x:c>
      <x:c r="B259" s="1">
        <x:v>268</x:v>
      </x:c>
      <x:c r="C259" s="1" t="s">
        <x:v>1210</x:v>
      </x:c>
      <x:c r="D259" s="1" t="s">
        <x:v>1243</x:v>
      </x:c>
      <x:c r="E259" s="1">
        <x:v>40</x:v>
      </x:c>
      <x:c r="F259" s="1" t="s">
        <x:v>1786</x:v>
      </x:c>
      <x:c r="G259" s="1" t="s">
        <x:v>1787</x:v>
      </x:c>
      <x:c r="H259" s="1" t="s">
        <x:v>1788</x:v>
      </x:c>
      <x:c r="I259" s="1" t="s">
        <x:v>1139</x:v>
      </x:c>
      <x:c r="J259" s="1" t="s">
        <x:v>1135</x:v>
      </x:c>
      <x:c r="K259" s="1" t="s">
        <x:v>1789</x:v>
      </x:c>
      <x:c r="L259" s="1"/>
      <x:c r="M259" s="21" t="s">
        <x:v>1275</x:v>
      </x:c>
      <x:c r="N259" s="17"/>
      <x:c r="O259" s="17"/>
      <x:c r="P259" s="22"/>
    </x:row>
    <x:row r="260" ht="25.5">
      <x:c r="A260" s="11">
        <x:v>254</x:v>
      </x:c>
      <x:c r="B260" s="1">
        <x:v>269</x:v>
      </x:c>
      <x:c r="C260" s="1" t="s">
        <x:v>1210</x:v>
      </x:c>
      <x:c r="D260" s="1" t="s">
        <x:v>1243</x:v>
      </x:c>
      <x:c r="E260" s="1">
        <x:v>40</x:v>
      </x:c>
      <x:c r="F260" s="1" t="s">
        <x:v>1790</x:v>
      </x:c>
      <x:c r="G260" s="1" t="s">
        <x:v>1791</x:v>
      </x:c>
      <x:c r="H260" s="1"/>
      <x:c r="I260" s="1" t="s">
        <x:v>1139</x:v>
      </x:c>
      <x:c r="J260" s="1" t="s">
        <x:v>1135</x:v>
      </x:c>
      <x:c r="K260" s="1" t="s">
        <x:v>1792</x:v>
      </x:c>
      <x:c r="L260" s="1"/>
      <x:c r="M260" s="21" t="s">
        <x:v>1275</x:v>
      </x:c>
      <x:c r="N260" s="17"/>
      <x:c r="O260" s="17"/>
      <x:c r="P260" s="22"/>
    </x:row>
    <x:row r="261" ht="25.5">
      <x:c r="A261" s="11">
        <x:v>255</x:v>
      </x:c>
      <x:c r="B261" s="1">
        <x:v>270</x:v>
      </x:c>
      <x:c r="C261" s="1" t="s">
        <x:v>1210</x:v>
      </x:c>
      <x:c r="D261" s="1" t="s">
        <x:v>1243</x:v>
      </x:c>
      <x:c r="E261" s="1">
        <x:v>40</x:v>
      </x:c>
      <x:c r="F261" s="1" t="s">
        <x:v>1793</x:v>
      </x:c>
      <x:c r="G261" s="1" t="s">
        <x:v>1794</x:v>
      </x:c>
      <x:c r="H261" s="1"/>
      <x:c r="I261" s="1" t="s">
        <x:v>1139</x:v>
      </x:c>
      <x:c r="J261" s="1" t="s">
        <x:v>1135</x:v>
      </x:c>
      <x:c r="K261" s="1"/>
      <x:c r="L261" s="1"/>
      <x:c r="M261" s="21" t="s">
        <x:v>1275</x:v>
      </x:c>
      <x:c r="N261" s="17"/>
      <x:c r="O261" s="17"/>
      <x:c r="P261" s="22"/>
    </x:row>
    <x:row r="262">
      <x:c r="A262" s="11">
        <x:v>256</x:v>
      </x:c>
      <x:c r="B262" s="1">
        <x:v>271</x:v>
      </x:c>
      <x:c r="C262" s="1" t="s">
        <x:v>1210</x:v>
      </x:c>
      <x:c r="D262" s="1" t="s">
        <x:v>1246</x:v>
      </x:c>
      <x:c r="E262" s="1">
        <x:v>41</x:v>
      </x:c>
      <x:c r="F262" s="1" t="s">
        <x:v>1795</x:v>
      </x:c>
      <x:c r="G262" s="1" t="s">
        <x:v>1796</x:v>
      </x:c>
      <x:c r="H262" s="1"/>
      <x:c r="I262" s="1" t="s">
        <x:v>1172</x:v>
      </x:c>
      <x:c r="J262" s="1" t="s">
        <x:v>1162</x:v>
      </x:c>
      <x:c r="K262" s="1" t="s">
        <x:v>1797</x:v>
      </x:c>
      <x:c r="L262" s="1"/>
      <x:c r="M262" s="21" t="s">
        <x:v>1275</x:v>
      </x:c>
      <x:c r="N262" s="17"/>
      <x:c r="O262" s="17"/>
      <x:c r="P262" s="22"/>
    </x:row>
    <x:row r="263">
      <x:c r="A263" s="11">
        <x:v>257</x:v>
      </x:c>
      <x:c r="B263" s="1">
        <x:v>272</x:v>
      </x:c>
      <x:c r="C263" s="1" t="s">
        <x:v>1210</x:v>
      </x:c>
      <x:c r="D263" s="1" t="s">
        <x:v>1246</x:v>
      </x:c>
      <x:c r="E263" s="1">
        <x:v>41</x:v>
      </x:c>
      <x:c r="F263" s="1" t="s">
        <x:v>1798</x:v>
      </x:c>
      <x:c r="G263" s="1" t="s">
        <x:v>1799</x:v>
      </x:c>
      <x:c r="H263" s="1" t="s">
        <x:v>1800</x:v>
      </x:c>
      <x:c r="I263" s="1" t="s">
        <x:v>1172</x:v>
      </x:c>
      <x:c r="J263" s="1" t="s">
        <x:v>1162</x:v>
      </x:c>
      <x:c r="K263" s="1" t="s">
        <x:v>1801</x:v>
      </x:c>
      <x:c r="L263" s="1"/>
      <x:c r="M263" s="21" t="s">
        <x:v>1275</x:v>
      </x:c>
      <x:c r="N263" s="17"/>
      <x:c r="O263" s="17"/>
      <x:c r="P263" s="22"/>
    </x:row>
    <x:row r="264" ht="25.5">
      <x:c r="A264" s="11">
        <x:v>258</x:v>
      </x:c>
      <x:c r="B264" s="1">
        <x:v>273</x:v>
      </x:c>
      <x:c r="C264" s="1" t="s">
        <x:v>1210</x:v>
      </x:c>
      <x:c r="D264" s="1" t="s">
        <x:v>1246</x:v>
      </x:c>
      <x:c r="E264" s="1">
        <x:v>41</x:v>
      </x:c>
      <x:c r="F264" s="1" t="s">
        <x:v>1802</x:v>
      </x:c>
      <x:c r="G264" s="1" t="s">
        <x:v>1803</x:v>
      </x:c>
      <x:c r="H264" s="1"/>
      <x:c r="I264" s="1" t="s">
        <x:v>1172</x:v>
      </x:c>
      <x:c r="J264" s="1" t="s">
        <x:v>1162</x:v>
      </x:c>
      <x:c r="K264" s="1"/>
      <x:c r="L264" s="1"/>
      <x:c r="M264" s="21" t="s">
        <x:v>1275</x:v>
      </x:c>
      <x:c r="N264" s="17"/>
      <x:c r="O264" s="17"/>
      <x:c r="P264" s="22"/>
    </x:row>
    <x:row r="265">
      <x:c r="A265" s="11">
        <x:v>259</x:v>
      </x:c>
      <x:c r="B265" s="1">
        <x:v>274</x:v>
      </x:c>
      <x:c r="C265" s="1" t="s">
        <x:v>1210</x:v>
      </x:c>
      <x:c r="D265" s="1" t="s">
        <x:v>1246</x:v>
      </x:c>
      <x:c r="E265" s="1">
        <x:v>41</x:v>
      </x:c>
      <x:c r="F265" s="1" t="s">
        <x:v>1804</x:v>
      </x:c>
      <x:c r="G265" s="1" t="s">
        <x:v>1805</x:v>
      </x:c>
      <x:c r="H265" s="1"/>
      <x:c r="I265" s="1" t="s">
        <x:v>1172</x:v>
      </x:c>
      <x:c r="J265" s="1" t="s">
        <x:v>1162</x:v>
      </x:c>
      <x:c r="K265" s="1"/>
      <x:c r="L265" s="1"/>
      <x:c r="M265" s="21" t="s">
        <x:v>1275</x:v>
      </x:c>
      <x:c r="N265" s="17"/>
      <x:c r="O265" s="17"/>
      <x:c r="P265" s="22"/>
    </x:row>
    <x:row r="266">
      <x:c r="A266" s="11">
        <x:v>260</x:v>
      </x:c>
      <x:c r="B266" s="1">
        <x:v>275</x:v>
      </x:c>
      <x:c r="C266" s="1" t="s">
        <x:v>1210</x:v>
      </x:c>
      <x:c r="D266" s="1" t="s">
        <x:v>1246</x:v>
      </x:c>
      <x:c r="E266" s="1">
        <x:v>41</x:v>
      </x:c>
      <x:c r="F266" s="1" t="s">
        <x:v>1806</x:v>
      </x:c>
      <x:c r="G266" s="1" t="s">
        <x:v>1807</x:v>
      </x:c>
      <x:c r="H266" s="1"/>
      <x:c r="I266" s="1" t="s">
        <x:v>1172</x:v>
      </x:c>
      <x:c r="J266" s="1" t="s">
        <x:v>1162</x:v>
      </x:c>
      <x:c r="K266" s="1"/>
      <x:c r="L266" s="1"/>
      <x:c r="M266" s="21" t="s">
        <x:v>1275</x:v>
      </x:c>
      <x:c r="N266" s="17"/>
      <x:c r="O266" s="17"/>
      <x:c r="P266" s="22"/>
    </x:row>
    <x:row r="267" ht="25.5">
      <x:c r="A267" s="11">
        <x:v>261</x:v>
      </x:c>
      <x:c r="B267" s="1">
        <x:v>276</x:v>
      </x:c>
      <x:c r="C267" s="1" t="s">
        <x:v>1210</x:v>
      </x:c>
      <x:c r="D267" s="1" t="s">
        <x:v>1246</x:v>
      </x:c>
      <x:c r="E267" s="1">
        <x:v>41</x:v>
      </x:c>
      <x:c r="F267" s="1" t="s">
        <x:v>1808</x:v>
      </x:c>
      <x:c r="G267" s="1" t="s">
        <x:v>1809</x:v>
      </x:c>
      <x:c r="H267" s="1"/>
      <x:c r="I267" s="1" t="s">
        <x:v>1216</x:v>
      </x:c>
      <x:c r="J267" s="1" t="s">
        <x:v>1135</x:v>
      </x:c>
      <x:c r="K267" s="1"/>
      <x:c r="L267" s="1"/>
      <x:c r="M267" s="21" t="s">
        <x:v>1275</x:v>
      </x:c>
      <x:c r="N267" s="17"/>
      <x:c r="O267" s="17"/>
      <x:c r="P267" s="22"/>
    </x:row>
    <x:row r="268">
      <x:c r="A268" s="11">
        <x:v>262</x:v>
      </x:c>
      <x:c r="B268" s="1">
        <x:v>277</x:v>
      </x:c>
      <x:c r="C268" s="1" t="s">
        <x:v>1210</x:v>
      </x:c>
      <x:c r="D268" s="1" t="s">
        <x:v>1246</x:v>
      </x:c>
      <x:c r="E268" s="1">
        <x:v>42</x:v>
      </x:c>
      <x:c r="F268" s="1" t="s">
        <x:v>1810</x:v>
      </x:c>
      <x:c r="G268" s="1" t="s">
        <x:v>1811</x:v>
      </x:c>
      <x:c r="H268" s="1"/>
      <x:c r="I268" s="1" t="s">
        <x:v>1250</x:v>
      </x:c>
      <x:c r="J268" s="1" t="s">
        <x:v>1162</x:v>
      </x:c>
      <x:c r="K268" s="1" t="s">
        <x:v>1812</x:v>
      </x:c>
      <x:c r="L268" s="1"/>
      <x:c r="M268" s="21" t="s">
        <x:v>1275</x:v>
      </x:c>
      <x:c r="N268" s="17"/>
      <x:c r="O268" s="17"/>
      <x:c r="P268" s="22"/>
    </x:row>
    <x:row r="269">
      <x:c r="A269" s="11">
        <x:v>263</x:v>
      </x:c>
      <x:c r="B269" s="1">
        <x:v>278</x:v>
      </x:c>
      <x:c r="C269" s="1" t="s">
        <x:v>1210</x:v>
      </x:c>
      <x:c r="D269" s="1" t="s">
        <x:v>1246</x:v>
      </x:c>
      <x:c r="E269" s="1">
        <x:v>42</x:v>
      </x:c>
      <x:c r="F269" s="1"/>
      <x:c r="G269" s="1" t="s">
        <x:v>1813</x:v>
      </x:c>
      <x:c r="H269" s="1"/>
      <x:c r="I269" s="1" t="s">
        <x:v>1250</x:v>
      </x:c>
      <x:c r="J269" s="1" t="s">
        <x:v>1162</x:v>
      </x:c>
      <x:c r="K269" s="1" t="s">
        <x:v>1814</x:v>
      </x:c>
      <x:c r="L269" s="1"/>
      <x:c r="M269" s="21" t="s">
        <x:v>1275</x:v>
      </x:c>
      <x:c r="N269" s="17"/>
      <x:c r="O269" s="17"/>
      <x:c r="P269" s="22"/>
    </x:row>
    <x:row r="270">
      <x:c r="A270" s="11">
        <x:v>264</x:v>
      </x:c>
      <x:c r="B270" s="1">
        <x:v>279</x:v>
      </x:c>
      <x:c r="C270" s="1" t="s">
        <x:v>1210</x:v>
      </x:c>
      <x:c r="D270" s="1" t="s">
        <x:v>1246</x:v>
      </x:c>
      <x:c r="E270" s="1">
        <x:v>42</x:v>
      </x:c>
      <x:c r="F270" s="1"/>
      <x:c r="G270" s="1"/>
      <x:c r="H270" s="1"/>
      <x:c r="I270" s="1"/>
      <x:c r="J270" s="1"/>
      <x:c r="K270" s="1" t="s">
        <x:v>1815</x:v>
      </x:c>
      <x:c r="L270" s="1"/>
      <x:c r="M270" s="21" t="s">
        <x:v>1275</x:v>
      </x:c>
      <x:c r="N270" s="17"/>
      <x:c r="O270" s="17"/>
      <x:c r="P270" s="22"/>
    </x:row>
    <x:row r="271">
      <x:c r="A271" s="11">
        <x:v>265</x:v>
      </x:c>
      <x:c r="B271" s="1">
        <x:v>280</x:v>
      </x:c>
      <x:c r="C271" s="1" t="s">
        <x:v>1210</x:v>
      </x:c>
      <x:c r="D271" s="1" t="s">
        <x:v>1252</x:v>
      </x:c>
      <x:c r="E271" s="1">
        <x:v>43</x:v>
      </x:c>
      <x:c r="F271" s="1" t="s">
        <x:v>1816</x:v>
      </x:c>
      <x:c r="G271" s="1" t="s">
        <x:v>1817</x:v>
      </x:c>
      <x:c r="H271" s="1"/>
      <x:c r="I271" s="1" t="s">
        <x:v>1139</x:v>
      </x:c>
      <x:c r="J271" s="1" t="s">
        <x:v>1135</x:v>
      </x:c>
      <x:c r="K271" s="1" t="s">
        <x:v>1818</x:v>
      </x:c>
      <x:c r="L271" s="1"/>
      <x:c r="M271" s="21" t="s">
        <x:v>1275</x:v>
      </x:c>
      <x:c r="N271" s="17"/>
      <x:c r="O271" s="17"/>
      <x:c r="P271" s="22"/>
    </x:row>
    <x:row r="272" ht="25.5">
      <x:c r="A272" s="11">
        <x:v>266</x:v>
      </x:c>
      <x:c r="B272" s="1">
        <x:v>281</x:v>
      </x:c>
      <x:c r="C272" s="1" t="s">
        <x:v>1210</x:v>
      </x:c>
      <x:c r="D272" s="1" t="s">
        <x:v>1252</x:v>
      </x:c>
      <x:c r="E272" s="1">
        <x:v>43</x:v>
      </x:c>
      <x:c r="F272" s="1" t="s">
        <x:v>1819</x:v>
      </x:c>
      <x:c r="G272" s="1" t="s">
        <x:v>1820</x:v>
      </x:c>
      <x:c r="H272" s="1"/>
      <x:c r="I272" s="1" t="s">
        <x:v>1139</x:v>
      </x:c>
      <x:c r="J272" s="1" t="s">
        <x:v>1135</x:v>
      </x:c>
      <x:c r="K272" s="1" t="s">
        <x:v>1821</x:v>
      </x:c>
      <x:c r="L272" s="1"/>
      <x:c r="M272" s="21" t="s">
        <x:v>1275</x:v>
      </x:c>
      <x:c r="N272" s="17"/>
      <x:c r="O272" s="17"/>
      <x:c r="P272" s="22"/>
    </x:row>
    <x:row r="273" ht="25.5">
      <x:c r="A273" s="11">
        <x:v>267</x:v>
      </x:c>
      <x:c r="B273" s="1">
        <x:v>282</x:v>
      </x:c>
      <x:c r="C273" s="1" t="s">
        <x:v>1210</x:v>
      </x:c>
      <x:c r="D273" s="1" t="s">
        <x:v>1252</x:v>
      </x:c>
      <x:c r="E273" s="1">
        <x:v>43</x:v>
      </x:c>
      <x:c r="F273" s="1" t="s">
        <x:v>1822</x:v>
      </x:c>
      <x:c r="G273" s="1" t="s">
        <x:v>1823</x:v>
      </x:c>
      <x:c r="H273" s="1"/>
      <x:c r="I273" s="1" t="s">
        <x:v>1139</x:v>
      </x:c>
      <x:c r="J273" s="1" t="s">
        <x:v>1135</x:v>
      </x:c>
      <x:c r="K273" s="1" t="s">
        <x:v>1824</x:v>
      </x:c>
      <x:c r="L273" s="1"/>
      <x:c r="M273" s="21" t="s">
        <x:v>1275</x:v>
      </x:c>
      <x:c r="N273" s="17"/>
      <x:c r="O273" s="17"/>
      <x:c r="P273" s="22"/>
    </x:row>
    <x:row r="274" ht="25.5">
      <x:c r="A274" s="11">
        <x:v>268</x:v>
      </x:c>
      <x:c r="B274" s="1">
        <x:v>283</x:v>
      </x:c>
      <x:c r="C274" s="1" t="s">
        <x:v>1210</x:v>
      </x:c>
      <x:c r="D274" s="1" t="s">
        <x:v>1252</x:v>
      </x:c>
      <x:c r="E274" s="1">
        <x:v>43</x:v>
      </x:c>
      <x:c r="F274" s="1" t="s">
        <x:v>1825</x:v>
      </x:c>
      <x:c r="G274" s="1" t="s">
        <x:v>1826</x:v>
      </x:c>
      <x:c r="H274" s="1" t="s">
        <x:v>1827</x:v>
      </x:c>
      <x:c r="I274" s="1" t="s">
        <x:v>1139</x:v>
      </x:c>
      <x:c r="J274" s="1" t="s">
        <x:v>1135</x:v>
      </x:c>
      <x:c r="K274" s="1"/>
      <x:c r="L274" s="1"/>
      <x:c r="M274" s="21" t="s">
        <x:v>1275</x:v>
      </x:c>
      <x:c r="N274" s="17"/>
      <x:c r="O274" s="17"/>
      <x:c r="P274" s="22"/>
    </x:row>
    <x:row r="275">
      <x:c r="A275" s="11">
        <x:v>269</x:v>
      </x:c>
      <x:c r="B275" s="1">
        <x:v>284</x:v>
      </x:c>
      <x:c r="C275" s="1" t="s">
        <x:v>1210</x:v>
      </x:c>
      <x:c r="D275" s="1" t="s">
        <x:v>1252</x:v>
      </x:c>
      <x:c r="E275" s="1">
        <x:v>43</x:v>
      </x:c>
      <x:c r="F275" s="1" t="s">
        <x:v>1828</x:v>
      </x:c>
      <x:c r="G275" s="1" t="s">
        <x:v>1829</x:v>
      </x:c>
      <x:c r="H275" s="1" t="s">
        <x:v>1830</x:v>
      </x:c>
      <x:c r="I275" s="1" t="s">
        <x:v>1139</x:v>
      </x:c>
      <x:c r="J275" s="1" t="s">
        <x:v>1135</x:v>
      </x:c>
      <x:c r="K275" s="1"/>
      <x:c r="L275" s="1"/>
      <x:c r="M275" s="21" t="s">
        <x:v>1275</x:v>
      </x:c>
      <x:c r="N275" s="17"/>
      <x:c r="O275" s="17"/>
      <x:c r="P275" s="22"/>
    </x:row>
    <x:row r="276" ht="25.5">
      <x:c r="A276" s="11">
        <x:v>270</x:v>
      </x:c>
      <x:c r="B276" s="1">
        <x:v>285</x:v>
      </x:c>
      <x:c r="C276" s="1" t="s">
        <x:v>1210</x:v>
      </x:c>
      <x:c r="D276" s="1" t="s">
        <x:v>1252</x:v>
      </x:c>
      <x:c r="E276" s="1">
        <x:v>43</x:v>
      </x:c>
      <x:c r="F276" s="1" t="s">
        <x:v>1831</x:v>
      </x:c>
      <x:c r="G276" s="1" t="s">
        <x:v>1832</x:v>
      </x:c>
      <x:c r="H276" s="1"/>
      <x:c r="I276" s="1" t="s">
        <x:v>1139</x:v>
      </x:c>
      <x:c r="J276" s="1" t="s">
        <x:v>1135</x:v>
      </x:c>
      <x:c r="K276" s="1"/>
      <x:c r="L276" s="1"/>
      <x:c r="M276" s="21" t="s">
        <x:v>1275</x:v>
      </x:c>
      <x:c r="N276" s="17"/>
      <x:c r="O276" s="17"/>
      <x:c r="P276" s="22"/>
    </x:row>
    <x:row r="277" ht="25.5">
      <x:c r="A277" s="11">
        <x:v>271</x:v>
      </x:c>
      <x:c r="B277" s="1">
        <x:v>286</x:v>
      </x:c>
      <x:c r="C277" s="1" t="s">
        <x:v>1210</x:v>
      </x:c>
      <x:c r="D277" s="1" t="s">
        <x:v>1252</x:v>
      </x:c>
      <x:c r="E277" s="1">
        <x:v>43</x:v>
      </x:c>
      <x:c r="F277" s="1" t="s">
        <x:v>1833</x:v>
      </x:c>
      <x:c r="G277" s="1"/>
      <x:c r="H277" s="1"/>
      <x:c r="I277" s="1"/>
      <x:c r="J277" s="1"/>
      <x:c r="K277" s="1"/>
      <x:c r="L277" s="1"/>
      <x:c r="M277" s="21" t="s">
        <x:v>1275</x:v>
      </x:c>
      <x:c r="N277" s="17"/>
      <x:c r="O277" s="17"/>
      <x:c r="P277" s="22"/>
    </x:row>
    <x:row r="278">
      <x:c r="A278" s="11">
        <x:v>272</x:v>
      </x:c>
      <x:c r="B278" s="1">
        <x:v>287</x:v>
      </x:c>
      <x:c r="C278" s="1" t="s">
        <x:v>1210</x:v>
      </x:c>
      <x:c r="D278" s="1" t="s">
        <x:v>1252</x:v>
      </x:c>
      <x:c r="E278" s="1">
        <x:v>43</x:v>
      </x:c>
      <x:c r="F278" s="1" t="s">
        <x:v>1834</x:v>
      </x:c>
      <x:c r="G278" s="1"/>
      <x:c r="H278" s="1"/>
      <x:c r="I278" s="1"/>
      <x:c r="J278" s="1"/>
      <x:c r="K278" s="1"/>
      <x:c r="L278" s="1"/>
      <x:c r="M278" s="21" t="s">
        <x:v>1275</x:v>
      </x:c>
      <x:c r="N278" s="17"/>
      <x:c r="O278" s="17"/>
      <x:c r="P278" s="22"/>
    </x:row>
    <x:row r="279">
      <x:c r="A279" s="11">
        <x:v>273</x:v>
      </x:c>
      <x:c r="B279" s="1">
        <x:v>288</x:v>
      </x:c>
      <x:c r="C279" s="1" t="s">
        <x:v>1210</x:v>
      </x:c>
      <x:c r="D279" s="1" t="s">
        <x:v>1252</x:v>
      </x:c>
      <x:c r="E279" s="1">
        <x:v>43</x:v>
      </x:c>
      <x:c r="F279" s="1" t="s">
        <x:v>1835</x:v>
      </x:c>
      <x:c r="G279" s="1"/>
      <x:c r="H279" s="1"/>
      <x:c r="I279" s="1"/>
      <x:c r="J279" s="1"/>
      <x:c r="K279" s="1"/>
      <x:c r="L279" s="1"/>
      <x:c r="M279" s="21" t="s">
        <x:v>1275</x:v>
      </x:c>
      <x:c r="N279" s="17"/>
      <x:c r="O279" s="17"/>
      <x:c r="P279" s="22"/>
    </x:row>
    <x:row r="280" ht="25.5">
      <x:c r="A280" s="11">
        <x:v>274</x:v>
      </x:c>
      <x:c r="B280" s="1">
        <x:v>289</x:v>
      </x:c>
      <x:c r="C280" s="1" t="s">
        <x:v>1210</x:v>
      </x:c>
      <x:c r="D280" s="1" t="s">
        <x:v>1252</x:v>
      </x:c>
      <x:c r="E280" s="1">
        <x:v>43</x:v>
      </x:c>
      <x:c r="F280" s="1" t="s">
        <x:v>1836</x:v>
      </x:c>
      <x:c r="G280" s="1"/>
      <x:c r="H280" s="1"/>
      <x:c r="I280" s="1"/>
      <x:c r="J280" s="1"/>
      <x:c r="K280" s="1"/>
      <x:c r="L280" s="1"/>
      <x:c r="M280" s="21" t="s">
        <x:v>1275</x:v>
      </x:c>
      <x:c r="N280" s="17"/>
      <x:c r="O280" s="17"/>
      <x:c r="P280" s="22"/>
    </x:row>
    <x:row r="281">
      <x:c r="A281" s="13">
        <x:v>275</x:v>
      </x:c>
      <x:c r="B281" s="14">
        <x:v>291</x:v>
      </x:c>
      <x:c r="C281" s="14" t="s">
        <x:v>1210</x:v>
      </x:c>
      <x:c r="D281" s="14" t="s">
        <x:v>1252</x:v>
      </x:c>
      <x:c r="E281" s="14">
        <x:v>43</x:v>
      </x:c>
      <x:c r="F281" s="14"/>
      <x:c r="G281" s="14"/>
      <x:c r="H281" s="14"/>
      <x:c r="I281" s="14"/>
      <x:c r="J281" s="14"/>
      <x:c r="K281" s="14" t="s">
        <x:v>1837</x:v>
      </x:c>
      <x:c r="L281" s="14"/>
      <x:c r="M281" s="23" t="s">
        <x:v>1275</x:v>
      </x:c>
      <x:c r="N281" s="18"/>
      <x:c r="O281" s="18"/>
      <x:c r="P281" s="24"/>
    </x:row>
  </x:sheetData>
  <x:mergeCells>
    <x:mergeCell ref="A1:P2"/>
    <x:mergeCell ref="A3:P4"/>
  </x:mergeCells>
  <x:conditionalFormatting sqref="M7:M281">
    <x:cfRule type="expression" dxfId="5" priority="1">
      <x:formula>M7="증빙확보"</x:formula>
    </x:cfRule>
    <x:cfRule type="expression" dxfId="4" priority="2">
      <x:formula>M7="보완필요"</x:formula>
    </x:cfRule>
  </x:conditionalFormatting>
  <x:dataValidations count="1">
    <x:dataValidation type="list" sqref="M7:M281">
      <x:formula1>"미검증,수집중,검토중,증빙확보,보완필요,해당없음"</x:formula1>
    </x:dataValidation>
  </x:dataValidations>
  <x:pageMargins left="0.7" right="0.7" top="0.75" bottom="0.75" header="0.3" footer="0.3"/>
</x:worksheet>
</file>

<file path=xl/worksheets/sheet16.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6" customWidth="1"/>
    <x:col min="2" max="2" width="25" customWidth="1"/>
    <x:col min="3" max="3" width="16" customWidth="1"/>
    <x:col min="4" max="4" width="48" customWidth="1"/>
    <x:col min="5" max="5" width="16" customWidth="1"/>
    <x:col min="6" max="6" width="19" customWidth="1"/>
    <x:col min="7" max="7" width="20" customWidth="1"/>
    <x:col min="8" max="8" width="24" customWidth="1"/>
    <x:col min="9" max="10" width="14" customWidth="1"/>
  </x:cols>
  <x:sheetData>
    <x:row r="1">
      <x:c r="A1" s="154" t="s">
        <x:v>1838</x:v>
      </x:c>
      <x:c r="B1" s="154"/>
      <x:c r="C1" s="154"/>
      <x:c r="D1" s="154"/>
      <x:c r="E1" s="154"/>
      <x:c r="F1" s="154"/>
      <x:c r="G1" s="154"/>
      <x:c r="H1" s="154"/>
      <x:c r="I1" s="154"/>
      <x:c r="J1" s="154"/>
    </x:row>
    <x:row r="2">
      <x:c r="A2" s="154"/>
      <x:c r="B2" s="154"/>
      <x:c r="C2" s="154"/>
      <x:c r="D2" s="154"/>
      <x:c r="E2" s="154"/>
      <x:c r="F2" s="154"/>
      <x:c r="G2" s="154"/>
      <x:c r="H2" s="154"/>
      <x:c r="I2" s="154"/>
      <x:c r="J2" s="154"/>
    </x:row>
    <x:row r="3">
      <x:c r="A3" s="155" t="s">
        <x:v>1839</x:v>
      </x:c>
      <x:c r="B3" s="156"/>
      <x:c r="C3" s="156"/>
      <x:c r="D3" s="156"/>
      <x:c r="E3" s="156"/>
      <x:c r="F3" s="156"/>
      <x:c r="G3" s="156"/>
      <x:c r="H3" s="156"/>
      <x:c r="I3" s="156"/>
      <x:c r="J3" s="157"/>
    </x:row>
    <x:row r="4">
      <x:c r="A4" s="158"/>
      <x:c r="B4" s="159"/>
      <x:c r="C4" s="159"/>
      <x:c r="D4" s="159"/>
      <x:c r="E4" s="159"/>
      <x:c r="F4" s="159"/>
      <x:c r="G4" s="159"/>
      <x:c r="H4" s="159"/>
      <x:c r="I4" s="159"/>
      <x:c r="J4" s="160"/>
    </x:row>
    <x:row r="6">
      <x:c r="A6" s="5" t="s">
        <x:v>1840</x:v>
      </x:c>
      <x:c r="B6" s="6" t="s">
        <x:v>1841</x:v>
      </x:c>
      <x:c r="C6" s="6" t="s">
        <x:v>1842</x:v>
      </x:c>
      <x:c r="D6" s="6" t="s">
        <x:v>1843</x:v>
      </x:c>
      <x:c r="E6" s="6" t="s">
        <x:v>1844</x:v>
      </x:c>
      <x:c r="F6" s="6" t="s">
        <x:v>1845</x:v>
      </x:c>
      <x:c r="G6" s="6" t="s">
        <x:v>1846</x:v>
      </x:c>
      <x:c r="H6" s="7" t="s">
        <x:v>1847</x:v>
      </x:c>
    </x:row>
    <x:row r="7">
      <x:c r="A7" s="8" t="s">
        <x:v>1094</x:v>
      </x:c>
      <x:c r="B7" s="9" t="s">
        <x:v>1094</x:v>
      </x:c>
      <x:c r="C7" s="9">
        <x:v>5</x:v>
      </x:c>
      <x:c r="D7" s="9">
        <x:v>5</x:v>
      </x:c>
      <x:c r="E7" s="9">
        <x:v>140</x:v>
      </x:c>
      <x:c r="F7" s="9">
        <x:v>90</x:v>
      </x:c>
      <x:c r="G7" s="9">
        <x:v>140</x:v>
      </x:c>
      <x:c r="H7" s="10">
        <x:v>100</x:v>
      </x:c>
    </x:row>
    <x:row r="8">
      <x:c r="A8" s="11" t="s">
        <x:v>1113</x:v>
      </x:c>
      <x:c r="B8" s="1" t="s">
        <x:v>1113</x:v>
      </x:c>
      <x:c r="C8" s="1">
        <x:v>9</x:v>
      </x:c>
      <x:c r="D8" s="1">
        <x:v>9</x:v>
      </x:c>
      <x:c r="E8" s="1">
        <x:v>310</x:v>
      </x:c>
      <x:c r="F8" s="1">
        <x:v>150</x:v>
      </x:c>
      <x:c r="G8" s="1">
        <x:v>300</x:v>
      </x:c>
      <x:c r="H8" s="12">
        <x:v>250</x:v>
      </x:c>
    </x:row>
    <x:row r="9">
      <x:c r="A9" s="11" t="s">
        <x:v>127</x:v>
      </x:c>
      <x:c r="B9" s="1" t="s">
        <x:v>127</x:v>
      </x:c>
      <x:c r="C9" s="1">
        <x:v>6</x:v>
      </x:c>
      <x:c r="D9" s="1">
        <x:v>6</x:v>
      </x:c>
      <x:c r="E9" s="1">
        <x:v>160</x:v>
      </x:c>
      <x:c r="F9" s="1">
        <x:v>80</x:v>
      </x:c>
      <x:c r="G9" s="1">
        <x:v>150</x:v>
      </x:c>
      <x:c r="H9" s="12">
        <x:v>120</x:v>
      </x:c>
    </x:row>
    <x:row r="10">
      <x:c r="A10" s="11" t="s">
        <x:v>1174</x:v>
      </x:c>
      <x:c r="B10" s="1" t="s">
        <x:v>1174</x:v>
      </x:c>
      <x:c r="C10" s="1">
        <x:v>5</x:v>
      </x:c>
      <x:c r="D10" s="1">
        <x:v>5</x:v>
      </x:c>
      <x:c r="E10" s="1">
        <x:v>90</x:v>
      </x:c>
      <x:c r="F10" s="1">
        <x:v>90</x:v>
      </x:c>
      <x:c r="G10" s="1">
        <x:v>50</x:v>
      </x:c>
      <x:c r="H10" s="12">
        <x:v>40</x:v>
      </x:c>
    </x:row>
    <x:row r="11">
      <x:c r="A11" s="11" t="s">
        <x:v>1193</x:v>
      </x:c>
      <x:c r="B11" s="1" t="s">
        <x:v>1193</x:v>
      </x:c>
      <x:c r="C11" s="1">
        <x:v>4</x:v>
      </x:c>
      <x:c r="D11" s="1">
        <x:v>4</x:v>
      </x:c>
      <x:c r="E11" s="1">
        <x:v>90</x:v>
      </x:c>
      <x:c r="F11" s="1">
        <x:v>0</x:v>
      </x:c>
      <x:c r="G11" s="1">
        <x:v>50</x:v>
      </x:c>
      <x:c r="H11" s="12">
        <x:v>40</x:v>
      </x:c>
    </x:row>
    <x:row r="12">
      <x:c r="A12" s="13" t="s">
        <x:v>1210</x:v>
      </x:c>
      <x:c r="B12" s="14" t="s">
        <x:v>1848</x:v>
      </x:c>
      <x:c r="C12" s="14">
        <x:v>14</x:v>
      </x:c>
      <x:c r="D12" s="14">
        <x:v>13</x:v>
      </x:c>
      <x:c r="E12" s="14">
        <x:v>210</x:v>
      </x:c>
      <x:c r="F12" s="14">
        <x:v>100</x:v>
      </x:c>
      <x:c r="G12" s="14">
        <x:v>100</x:v>
      </x:c>
      <x:c r="H12" s="15">
        <x:v>80</x:v>
      </x:c>
    </x:row>
    <x:row r="13">
      <x:c r="A13" s="34" t="s">
        <x:v>1849</x:v>
      </x:c>
      <x:c r="B13" s="35"/>
      <x:c r="C13" s="35">
        <x:v>43</x:v>
      </x:c>
      <x:c r="D13" s="35">
        <x:v>42</x:v>
      </x:c>
      <x:c r="E13" s="35" t="n">
        <x:f>SUM(E7:E12)</x:f>
        <x:v>1000</x:v>
      </x:c>
      <x:c r="F13" s="35" t="n">
        <x:f>SUM(F7:F12)</x:f>
        <x:v>510</x:v>
      </x:c>
      <x:c r="G13" s="35" t="n">
        <x:f>SUM(G7:G12)</x:f>
        <x:v>790</x:v>
      </x:c>
      <x:c r="H13" s="36" t="n">
        <x:f>SUM(H7:H12)</x:f>
        <x:v>630</x:v>
      </x:c>
    </x:row>
    <x:row r="16">
      <x:c r="A16" s="5" t="s">
        <x:v>1850</x:v>
      </x:c>
      <x:c r="B16" s="6" t="s">
        <x:v>1851</x:v>
      </x:c>
      <x:c r="C16" s="6" t="s">
        <x:v>1852</x:v>
      </x:c>
      <x:c r="D16" s="7" t="s">
        <x:v>1853</x:v>
      </x:c>
    </x:row>
    <x:row r="17">
      <x:c r="A17" s="8" t="s">
        <x:v>1854</x:v>
      </x:c>
      <x:c r="B17" s="9">
        <x:v>229</x:v>
      </x:c>
      <x:c r="C17" s="9" t="s">
        <x:v>1855</x:v>
      </x:c>
      <x:c r="D17" s="10" t="s">
        <x:v>1856</x:v>
      </x:c>
    </x:row>
    <x:row r="18">
      <x:c r="A18" s="11" t="s">
        <x:v>1857</x:v>
      </x:c>
      <x:c r="B18" s="1">
        <x:v>190</x:v>
      </x:c>
      <x:c r="C18" s="1" t="s">
        <x:v>1858</x:v>
      </x:c>
      <x:c r="D18" s="12" t="s">
        <x:v>1859</x:v>
      </x:c>
    </x:row>
    <x:row r="19">
      <x:c r="A19" s="11" t="s">
        <x:v>1860</x:v>
      </x:c>
      <x:c r="B19" s="1">
        <x:v>90</x:v>
      </x:c>
      <x:c r="C19" s="1" t="s">
        <x:v>1858</x:v>
      </x:c>
      <x:c r="D19" s="12" t="s">
        <x:v>1861</x:v>
      </x:c>
    </x:row>
    <x:row r="20">
      <x:c r="A20" s="11" t="s">
        <x:v>1862</x:v>
      </x:c>
      <x:c r="B20" s="1">
        <x:v>173</x:v>
      </x:c>
      <x:c r="C20" s="1" t="s">
        <x:v>1863</x:v>
      </x:c>
      <x:c r="D20" s="12" t="s">
        <x:v>1864</x:v>
      </x:c>
    </x:row>
    <x:row r="21">
      <x:c r="A21" s="11" t="s">
        <x:v>1865</x:v>
      </x:c>
      <x:c r="B21" s="1">
        <x:v>44</x:v>
      </x:c>
      <x:c r="C21" s="1" t="s">
        <x:v>1863</x:v>
      </x:c>
      <x:c r="D21" s="12" t="s">
        <x:v>1866</x:v>
      </x:c>
    </x:row>
    <x:row r="22">
      <x:c r="A22" s="11" t="s">
        <x:v>1867</x:v>
      </x:c>
      <x:c r="B22" s="1">
        <x:v>12</x:v>
      </x:c>
      <x:c r="C22" s="1" t="s">
        <x:v>1868</x:v>
      </x:c>
      <x:c r="D22" s="12" t="s">
        <x:v>1869</x:v>
      </x:c>
    </x:row>
    <x:row r="23">
      <x:c r="A23" s="11" t="s">
        <x:v>1870</x:v>
      </x:c>
      <x:c r="B23" s="1">
        <x:v>1000</x:v>
      </x:c>
      <x:c r="C23" s="1" t="s">
        <x:v>1871</x:v>
      </x:c>
      <x:c r="D23" s="12" t="s">
        <x:v>1872</x:v>
      </x:c>
    </x:row>
    <x:row r="24">
      <x:c r="A24" s="11" t="s">
        <x:v>1873</x:v>
      </x:c>
      <x:c r="B24" s="1">
        <x:v>2</x:v>
      </x:c>
      <x:c r="C24" s="1" t="s">
        <x:v>1874</x:v>
      </x:c>
      <x:c r="D24" s="12" t="s">
        <x:v>1875</x:v>
      </x:c>
    </x:row>
    <x:row r="25">
      <x:c r="A25" s="11" t="s">
        <x:v>1876</x:v>
      </x:c>
      <x:c r="B25" s="1" t="s">
        <x:v>1877</x:v>
      </x:c>
      <x:c r="C25" s="1" t="s">
        <x:v>1878</x:v>
      </x:c>
      <x:c r="D25" s="12" t="s">
        <x:v>1879</x:v>
      </x:c>
    </x:row>
    <x:row r="26" ht="25.5">
      <x:c r="A26" s="13" t="s">
        <x:v>1880</x:v>
      </x:c>
      <x:c r="B26" s="14" t="s">
        <x:v>15</x:v>
      </x:c>
      <x:c r="C26" s="14" t="s">
        <x:v>1881</x:v>
      </x:c>
      <x:c r="D26" s="15" t="s">
        <x:v>1882</x:v>
      </x:c>
    </x:row>
    <x:row r="29">
      <x:c r="A29" s="145" t="s">
        <x:v>1883</x:v>
      </x:c>
      <x:c r="B29" s="146"/>
      <x:c r="C29" s="146"/>
      <x:c r="D29" s="146"/>
      <x:c r="E29" s="146"/>
      <x:c r="F29" s="146"/>
      <x:c r="G29" s="146"/>
      <x:c r="H29" s="146"/>
      <x:c r="I29" s="146"/>
      <x:c r="J29" s="147"/>
    </x:row>
    <x:row r="30">
      <x:c r="A30" s="151"/>
      <x:c r="B30" s="152"/>
      <x:c r="C30" s="152"/>
      <x:c r="D30" s="152"/>
      <x:c r="E30" s="152"/>
      <x:c r="F30" s="152"/>
      <x:c r="G30" s="152"/>
      <x:c r="H30" s="152"/>
      <x:c r="I30" s="152"/>
      <x:c r="J30" s="153"/>
    </x:row>
    <x:row r="32" ht="30">
      <x:c r="A32" s="37" t="s">
        <x:v>1884</x:v>
      </x:c>
      <x:c r="B32" s="37" t="s">
        <x:v>1885</x:v>
      </x:c>
      <x:c r="C32" s="37" t="str">
        <x:v>21시트 객관적 증빙확인 배점</x:v>
      </x:c>
      <x:c r="D32" s="37" t="s">
        <x:v>1886</x:v>
      </x:c>
    </x:row>
    <x:row r="33">
      <x:c r="A33" t="str">
        <x:v>21시트 확인배점 자동 집계</x:v>
      </x:c>
      <x:c r="B33">
        <x:v>1000</x:v>
      </x:c>
      <x:c r="C33" t="n">
        <x:f>SUM('21_코드별_심사실행'!Q7:Q49)</x:f>
        <x:v>0</x:v>
      </x:c>
      <x:c r="D33" s="38" t="n">
        <x:f>IFERROR(C33/B33,0)</x:f>
        <x:v>0</x:v>
      </x:c>
    </x:row>
    <x:row r="35">
      <x:c r="A35" s="161" t="str">
        <x:v>※ Rev.05부터 실제 증빙확인 배점은 21_코드별_심사실행 P/Q에서 자동 산출합니다. 13시트에 점수를 별도 입력하지 않습니다. 준비배점은 한온의 공식 심사점수와 다르며, 0점 표시는 실제 검증 완료자료가 아직 입력되지 않았다는 의미입니다.</x:v>
      </x:c>
      <x:c r="B35" s="161"/>
      <x:c r="C35" s="161"/>
      <x:c r="D35" s="161"/>
      <x:c r="E35" s="161"/>
      <x:c r="F35" s="161"/>
      <x:c r="G35" s="161"/>
      <x:c r="H35" s="161"/>
    </x:row>
    <x:row r="36">
      <x:c r="A36" s="161"/>
      <x:c r="B36" s="161"/>
      <x:c r="C36" s="161"/>
      <x:c r="D36" s="161"/>
      <x:c r="E36" s="161"/>
      <x:c r="F36" s="161"/>
      <x:c r="G36" s="161"/>
      <x:c r="H36" s="161"/>
    </x:row>
  </x:sheetData>
  <x:mergeCells>
    <x:mergeCell ref="A1:J2"/>
    <x:mergeCell ref="A3:J4"/>
    <x:mergeCell ref="A29:J30"/>
    <x:mergeCell ref="A35:H36"/>
  </x:mergeCells>
  <x:pageMargins left="0.7" right="0.7" top="0.75" bottom="0.75" header="0.3" footer="0.3"/>
</x:worksheet>
</file>

<file path=xl/worksheets/sheet1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0" customWidth="1"/>
    <x:col min="2" max="2" width="22" customWidth="1"/>
    <x:col min="3" max="3" width="38" customWidth="1"/>
    <x:col min="4" max="4" width="48" customWidth="1"/>
    <x:col min="5" max="5" width="15" customWidth="1"/>
    <x:col min="6" max="6" width="42" customWidth="1"/>
    <x:col min="7" max="7" width="22" customWidth="1"/>
  </x:cols>
  <x:sheetData>
    <x:row r="1">
      <x:c r="A1" s="154" t="s">
        <x:v>1887</x:v>
      </x:c>
      <x:c r="B1" s="154"/>
      <x:c r="C1" s="154"/>
      <x:c r="D1" s="154"/>
      <x:c r="E1" s="154"/>
      <x:c r="F1" s="154"/>
      <x:c r="G1" s="154"/>
    </x:row>
    <x:row r="2">
      <x:c r="A2" s="154"/>
      <x:c r="B2" s="154"/>
      <x:c r="C2" s="154"/>
      <x:c r="D2" s="154"/>
      <x:c r="E2" s="154"/>
      <x:c r="F2" s="154"/>
      <x:c r="G2" s="154"/>
    </x:row>
    <x:row r="3">
      <x:c r="A3" s="155" t="s">
        <x:v>1888</x:v>
      </x:c>
      <x:c r="B3" s="156"/>
      <x:c r="C3" s="156"/>
      <x:c r="D3" s="156"/>
      <x:c r="E3" s="156"/>
      <x:c r="F3" s="156"/>
      <x:c r="G3" s="157"/>
    </x:row>
    <x:row r="4">
      <x:c r="A4" s="158"/>
      <x:c r="B4" s="159"/>
      <x:c r="C4" s="159"/>
      <x:c r="D4" s="159"/>
      <x:c r="E4" s="159"/>
      <x:c r="F4" s="159"/>
      <x:c r="G4" s="160"/>
    </x:row>
    <x:row r="6">
      <x:c r="A6" s="5" t="s">
        <x:v>1889</x:v>
      </x:c>
      <x:c r="B6" s="6" t="s">
        <x:v>1890</x:v>
      </x:c>
      <x:c r="C6" s="6" t="s">
        <x:v>1891</x:v>
      </x:c>
      <x:c r="D6" s="6" t="s">
        <x:v>1892</x:v>
      </x:c>
      <x:c r="E6" s="6" t="s">
        <x:v>1893</x:v>
      </x:c>
      <x:c r="F6" s="6" t="s">
        <x:v>1894</x:v>
      </x:c>
      <x:c r="G6" s="7" t="s">
        <x:v>1895</x:v>
      </x:c>
    </x:row>
    <x:row r="7">
      <x:c r="A7" s="8">
        <x:v>1</x:v>
      </x:c>
      <x:c r="B7" s="9" t="s">
        <x:v>72</x:v>
      </x:c>
      <x:c r="C7" s="9" t="s">
        <x:v>1896</x:v>
      </x:c>
      <x:c r="D7" s="9" t="s">
        <x:v>1897</x:v>
      </x:c>
      <x:c r="E7" s="19" t="s">
        <x:v>15</x:v>
      </x:c>
      <x:c r="F7" s="16"/>
      <x:c r="G7" s="20"/>
    </x:row>
    <x:row r="8">
      <x:c r="A8" s="11">
        <x:v>2</x:v>
      </x:c>
      <x:c r="B8" s="1" t="s">
        <x:v>81</x:v>
      </x:c>
      <x:c r="C8" s="1" t="s">
        <x:v>1898</x:v>
      </x:c>
      <x:c r="D8" s="1" t="s">
        <x:v>1899</x:v>
      </x:c>
      <x:c r="E8" s="21" t="s">
        <x:v>15</x:v>
      </x:c>
      <x:c r="F8" s="17"/>
      <x:c r="G8" s="22"/>
    </x:row>
    <x:row r="9">
      <x:c r="A9" s="11">
        <x:v>3</x:v>
      </x:c>
      <x:c r="B9" s="1" t="s">
        <x:v>88</x:v>
      </x:c>
      <x:c r="C9" s="1" t="s">
        <x:v>1900</x:v>
      </x:c>
      <x:c r="D9" s="1" t="s">
        <x:v>1901</x:v>
      </x:c>
      <x:c r="E9" s="21" t="s">
        <x:v>15</x:v>
      </x:c>
      <x:c r="F9" s="17"/>
      <x:c r="G9" s="22"/>
    </x:row>
    <x:row r="10">
      <x:c r="A10" s="11">
        <x:v>4</x:v>
      </x:c>
      <x:c r="B10" s="1" t="s">
        <x:v>95</x:v>
      </x:c>
      <x:c r="C10" s="1" t="s">
        <x:v>1902</x:v>
      </x:c>
      <x:c r="D10" s="1" t="s">
        <x:v>1903</x:v>
      </x:c>
      <x:c r="E10" s="21" t="s">
        <x:v>15</x:v>
      </x:c>
      <x:c r="F10" s="17"/>
      <x:c r="G10" s="22"/>
    </x:row>
    <x:row r="11">
      <x:c r="A11" s="11">
        <x:v>5</x:v>
      </x:c>
      <x:c r="B11" s="1" t="s">
        <x:v>101</x:v>
      </x:c>
      <x:c r="C11" s="1" t="s">
        <x:v>1904</x:v>
      </x:c>
      <x:c r="D11" s="1" t="s">
        <x:v>1905</x:v>
      </x:c>
      <x:c r="E11" s="21" t="s">
        <x:v>15</x:v>
      </x:c>
      <x:c r="F11" s="17"/>
      <x:c r="G11" s="22"/>
    </x:row>
    <x:row r="12">
      <x:c r="A12" s="11">
        <x:v>6</x:v>
      </x:c>
      <x:c r="B12" s="1" t="s">
        <x:v>109</x:v>
      </x:c>
      <x:c r="C12" s="1" t="s">
        <x:v>1906</x:v>
      </x:c>
      <x:c r="D12" s="1" t="s">
        <x:v>1907</x:v>
      </x:c>
      <x:c r="E12" s="21" t="s">
        <x:v>15</x:v>
      </x:c>
      <x:c r="F12" s="17"/>
      <x:c r="G12" s="22"/>
    </x:row>
    <x:row r="13">
      <x:c r="A13" s="11">
        <x:v>7</x:v>
      </x:c>
      <x:c r="B13" s="1" t="s">
        <x:v>115</x:v>
      </x:c>
      <x:c r="C13" s="1" t="s">
        <x:v>1908</x:v>
      </x:c>
      <x:c r="D13" s="1" t="s">
        <x:v>1909</x:v>
      </x:c>
      <x:c r="E13" s="21" t="s">
        <x:v>15</x:v>
      </x:c>
      <x:c r="F13" s="17"/>
      <x:c r="G13" s="22"/>
    </x:row>
    <x:row r="14">
      <x:c r="A14" s="11">
        <x:v>8</x:v>
      </x:c>
      <x:c r="B14" s="1" t="s">
        <x:v>1910</x:v>
      </x:c>
      <x:c r="C14" s="1" t="s">
        <x:v>1911</x:v>
      </x:c>
      <x:c r="D14" s="1" t="s">
        <x:v>1912</x:v>
      </x:c>
      <x:c r="E14" s="21" t="s">
        <x:v>15</x:v>
      </x:c>
      <x:c r="F14" s="17"/>
      <x:c r="G14" s="22"/>
    </x:row>
    <x:row r="15">
      <x:c r="A15" s="11">
        <x:v>9</x:v>
      </x:c>
      <x:c r="B15" s="1" t="s">
        <x:v>127</x:v>
      </x:c>
      <x:c r="C15" s="1" t="s">
        <x:v>1913</x:v>
      </x:c>
      <x:c r="D15" s="1" t="s">
        <x:v>1914</x:v>
      </x:c>
      <x:c r="E15" s="21" t="s">
        <x:v>15</x:v>
      </x:c>
      <x:c r="F15" s="17"/>
      <x:c r="G15" s="22"/>
    </x:row>
    <x:row r="16">
      <x:c r="A16" s="11">
        <x:v>10</x:v>
      </x:c>
      <x:c r="B16" s="1" t="s">
        <x:v>133</x:v>
      </x:c>
      <x:c r="C16" s="1" t="s">
        <x:v>1915</x:v>
      </x:c>
      <x:c r="D16" s="1" t="s">
        <x:v>1916</x:v>
      </x:c>
      <x:c r="E16" s="21" t="s">
        <x:v>15</x:v>
      </x:c>
      <x:c r="F16" s="17"/>
      <x:c r="G16" s="22"/>
    </x:row>
    <x:row r="17">
      <x:c r="A17" s="11">
        <x:v>11</x:v>
      </x:c>
      <x:c r="B17" s="1" t="s">
        <x:v>138</x:v>
      </x:c>
      <x:c r="C17" s="1" t="s">
        <x:v>1917</x:v>
      </x:c>
      <x:c r="D17" s="1" t="s">
        <x:v>1918</x:v>
      </x:c>
      <x:c r="E17" s="21" t="s">
        <x:v>15</x:v>
      </x:c>
      <x:c r="F17" s="17"/>
      <x:c r="G17" s="22"/>
    </x:row>
    <x:row r="18">
      <x:c r="A18" s="11">
        <x:v>12</x:v>
      </x:c>
      <x:c r="B18" s="1" t="s">
        <x:v>143</x:v>
      </x:c>
      <x:c r="C18" s="1" t="s">
        <x:v>1919</x:v>
      </x:c>
      <x:c r="D18" s="1" t="s">
        <x:v>1920</x:v>
      </x:c>
      <x:c r="E18" s="21" t="s">
        <x:v>15</x:v>
      </x:c>
      <x:c r="F18" s="17"/>
      <x:c r="G18" s="22"/>
    </x:row>
    <x:row r="19">
      <x:c r="A19" s="11">
        <x:v>13</x:v>
      </x:c>
      <x:c r="B19" s="1" t="s">
        <x:v>150</x:v>
      </x:c>
      <x:c r="C19" s="1" t="s">
        <x:v>1214</x:v>
      </x:c>
      <x:c r="D19" s="1" t="s">
        <x:v>1921</x:v>
      </x:c>
      <x:c r="E19" s="21" t="s">
        <x:v>15</x:v>
      </x:c>
      <x:c r="F19" s="17"/>
      <x:c r="G19" s="22"/>
    </x:row>
    <x:row r="20">
      <x:c r="A20" s="11">
        <x:v>14</x:v>
      </x:c>
      <x:c r="B20" s="1" t="s">
        <x:v>156</x:v>
      </x:c>
      <x:c r="C20" s="1" t="s">
        <x:v>1922</x:v>
      </x:c>
      <x:c r="D20" s="1" t="s">
        <x:v>1923</x:v>
      </x:c>
      <x:c r="E20" s="21" t="s">
        <x:v>15</x:v>
      </x:c>
      <x:c r="F20" s="17"/>
      <x:c r="G20" s="22"/>
    </x:row>
    <x:row r="21">
      <x:c r="A21" s="11">
        <x:v>15</x:v>
      </x:c>
      <x:c r="B21" s="1" t="s">
        <x:v>32</x:v>
      </x:c>
      <x:c r="C21" s="1" t="s">
        <x:v>1924</x:v>
      </x:c>
      <x:c r="D21" s="1" t="s">
        <x:v>1925</x:v>
      </x:c>
      <x:c r="E21" s="21" t="s">
        <x:v>15</x:v>
      </x:c>
      <x:c r="F21" s="17"/>
      <x:c r="G21" s="22"/>
    </x:row>
    <x:row r="22">
      <x:c r="A22" s="11">
        <x:v>16</x:v>
      </x:c>
      <x:c r="B22" s="1" t="s">
        <x:v>1926</x:v>
      </x:c>
      <x:c r="C22" s="1" t="s">
        <x:v>1137</x:v>
      </x:c>
      <x:c r="D22" s="1" t="s">
        <x:v>1927</x:v>
      </x:c>
      <x:c r="E22" s="21" t="s">
        <x:v>15</x:v>
      </x:c>
      <x:c r="F22" s="17"/>
      <x:c r="G22" s="22"/>
    </x:row>
    <x:row r="23">
      <x:c r="A23" s="11">
        <x:v>17</x:v>
      </x:c>
      <x:c r="B23" s="1" t="s">
        <x:v>1928</x:v>
      </x:c>
      <x:c r="C23" s="1" t="s">
        <x:v>1929</x:v>
      </x:c>
      <x:c r="D23" s="1" t="s">
        <x:v>1930</x:v>
      </x:c>
      <x:c r="E23" s="21" t="s">
        <x:v>15</x:v>
      </x:c>
      <x:c r="F23" s="17"/>
      <x:c r="G23" s="22"/>
    </x:row>
    <x:row r="24">
      <x:c r="A24" s="11">
        <x:v>18</x:v>
      </x:c>
      <x:c r="B24" s="1" t="s">
        <x:v>1931</x:v>
      </x:c>
      <x:c r="C24" s="1" t="s">
        <x:v>1932</x:v>
      </x:c>
      <x:c r="D24" s="1" t="s">
        <x:v>1933</x:v>
      </x:c>
      <x:c r="E24" s="21" t="s">
        <x:v>15</x:v>
      </x:c>
      <x:c r="F24" s="17"/>
      <x:c r="G24" s="22"/>
    </x:row>
    <x:row r="25">
      <x:c r="A25" s="11">
        <x:v>19</x:v>
      </x:c>
      <x:c r="B25" s="1" t="s">
        <x:v>1934</x:v>
      </x:c>
      <x:c r="C25" s="1" t="s">
        <x:v>1935</x:v>
      </x:c>
      <x:c r="D25" s="1" t="s">
        <x:v>1936</x:v>
      </x:c>
      <x:c r="E25" s="21" t="s">
        <x:v>15</x:v>
      </x:c>
      <x:c r="F25" s="17"/>
      <x:c r="G25" s="22"/>
    </x:row>
    <x:row r="26">
      <x:c r="A26" s="11">
        <x:v>20</x:v>
      </x:c>
      <x:c r="B26" s="1" t="s">
        <x:v>252</x:v>
      </x:c>
      <x:c r="C26" s="1" t="s">
        <x:v>1937</x:v>
      </x:c>
      <x:c r="D26" s="1" t="s">
        <x:v>1938</x:v>
      </x:c>
      <x:c r="E26" s="21" t="s">
        <x:v>15</x:v>
      </x:c>
      <x:c r="F26" s="17"/>
      <x:c r="G26" s="22"/>
    </x:row>
    <x:row r="27">
      <x:c r="A27" s="11">
        <x:v>21</x:v>
      </x:c>
      <x:c r="B27" s="1" t="s">
        <x:v>1939</x:v>
      </x:c>
      <x:c r="C27" s="1" t="s">
        <x:v>1940</x:v>
      </x:c>
      <x:c r="D27" s="1" t="s">
        <x:v>1941</x:v>
      </x:c>
      <x:c r="E27" s="21" t="s">
        <x:v>15</x:v>
      </x:c>
      <x:c r="F27" s="17"/>
      <x:c r="G27" s="22"/>
    </x:row>
    <x:row r="28">
      <x:c r="A28" s="13">
        <x:v>22</x:v>
      </x:c>
      <x:c r="B28" s="14" t="s">
        <x:v>1942</x:v>
      </x:c>
      <x:c r="C28" s="14" t="s">
        <x:v>1943</x:v>
      </x:c>
      <x:c r="D28" s="14" t="s">
        <x:v>1944</x:v>
      </x:c>
      <x:c r="E28" s="23" t="s">
        <x:v>15</x:v>
      </x:c>
      <x:c r="F28" s="18"/>
      <x:c r="G28" s="24"/>
    </x:row>
  </x:sheetData>
  <x:mergeCells>
    <x:mergeCell ref="A1:G2"/>
    <x:mergeCell ref="A3:G4"/>
  </x:mergeCells>
  <x:dataValidations count="1">
    <x:dataValidation type="list" sqref="E7:E28">
      <x:formula1>"미확인,확인완료,연계수정,해당없음"</x:formula1>
    </x:dataValidation>
  </x:dataValidations>
  <x:pageMargins left="0.7" right="0.7" top="0.75" bottom="0.75" header="0.3" footer="0.3"/>
</x:worksheet>
</file>

<file path=xl/worksheets/sheet18.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7" customWidth="1"/>
    <x:col min="2" max="2" width="18" customWidth="1"/>
    <x:col min="3" max="3" width="40" customWidth="1"/>
    <x:col min="4" max="4" width="44" customWidth="1"/>
    <x:col min="5" max="5" width="52" customWidth="1"/>
    <x:col min="6" max="6" width="31" customWidth="1"/>
    <x:col min="7" max="7" width="17" customWidth="1"/>
    <x:col min="8" max="8" width="25" customWidth="1"/>
    <x:col min="9" max="9" width="46" customWidth="1"/>
    <x:col min="10" max="10" width="37" customWidth="1"/>
  </x:cols>
  <x:sheetData>
    <x:row r="1">
      <x:c r="A1" s="154" t="s">
        <x:v>1945</x:v>
      </x:c>
      <x:c r="B1" s="154"/>
      <x:c r="C1" s="154"/>
      <x:c r="D1" s="154"/>
      <x:c r="E1" s="154"/>
      <x:c r="F1" s="154"/>
      <x:c r="G1" s="154"/>
      <x:c r="H1" s="154"/>
      <x:c r="I1" s="154"/>
      <x:c r="J1" s="154"/>
    </x:row>
    <x:row r="2">
      <x:c r="A2" s="154"/>
      <x:c r="B2" s="154"/>
      <x:c r="C2" s="154"/>
      <x:c r="D2" s="154"/>
      <x:c r="E2" s="154"/>
      <x:c r="F2" s="154"/>
      <x:c r="G2" s="154"/>
      <x:c r="H2" s="154"/>
      <x:c r="I2" s="154"/>
      <x:c r="J2" s="154"/>
    </x:row>
    <x:row r="3">
      <x:c r="A3" s="155" t="str">
        <x:v>Rev.05 입력 책임 구분: ① H7/H8 범위는 사용자 확정 완료 ② H9~H24 중 미확인 항목은 부서 실자료 확인 후 입력 ③ H20(실제 LOT)·H25(43개 코드)·H26(모의심사)은 각각 08·21·09 시트에서 자동 연계됩니다. 도면 Rev.01은 사용자 확인값이며 기밀 도면은 사내에서만 대조합니다.</x:v>
      </x:c>
      <x:c r="B3" s="156"/>
      <x:c r="C3" s="156"/>
      <x:c r="D3" s="156"/>
      <x:c r="E3" s="156"/>
      <x:c r="F3" s="156"/>
      <x:c r="G3" s="156"/>
      <x:c r="H3" s="156"/>
      <x:c r="I3" s="156"/>
      <x:c r="J3" s="157"/>
    </x:row>
    <x:row r="4">
      <x:c r="A4" s="158"/>
      <x:c r="B4" s="159"/>
      <x:c r="C4" s="159"/>
      <x:c r="D4" s="159"/>
      <x:c r="E4" s="159"/>
      <x:c r="F4" s="159"/>
      <x:c r="G4" s="159"/>
      <x:c r="H4" s="159"/>
      <x:c r="I4" s="159"/>
      <x:c r="J4" s="160"/>
    </x:row>
    <x:row r="6">
      <x:c r="A6" s="5" t="s">
        <x:v>485</x:v>
      </x:c>
      <x:c r="B6" s="6" t="s">
        <x:v>64</x:v>
      </x:c>
      <x:c r="C6" s="6" t="s">
        <x:v>1946</x:v>
      </x:c>
      <x:c r="D6" s="6" t="s">
        <x:v>1947</x:v>
      </x:c>
      <x:c r="E6" s="6" t="s">
        <x:v>1948</x:v>
      </x:c>
      <x:c r="F6" s="6" t="s">
        <x:v>1949</x:v>
      </x:c>
      <x:c r="G6" s="6" t="s">
        <x:v>1950</x:v>
      </x:c>
      <x:c r="H6" s="6" t="s">
        <x:v>1951</x:v>
      </x:c>
      <x:c r="I6" s="6" t="s">
        <x:v>1952</x:v>
      </x:c>
      <x:c r="J6" s="7" t="s">
        <x:v>1953</x:v>
      </x:c>
    </x:row>
    <x:row r="7" ht="25.5">
      <x:c r="A7" s="8">
        <x:v>1</x:v>
      </x:c>
      <x:c r="B7" s="9" t="s">
        <x:v>1954</x:v>
      </x:c>
      <x:c r="C7" s="9" t="s">
        <x:v>1955</x:v>
      </x:c>
      <x:c r="D7" s="9" t="s">
        <x:v>1956</x:v>
      </x:c>
      <x:c r="E7" s="9" t="s">
        <x:v>1957</x:v>
      </x:c>
      <x:c r="F7" s="9" t="s">
        <x:v>861</x:v>
      </x:c>
      <x:c r="G7" s="9" t="s">
        <x:v>862</x:v>
      </x:c>
      <x:c r="H7" s="9" t="s">
        <x:v>856</x:v>
      </x:c>
      <x:c r="I7" s="39" t="s">
        <x:v>1958</x:v>
      </x:c>
      <x:c r="J7" s="41" t="str">
        <x:v>대상 확정. 도면 Rev.01은 별도 사용자 확인값이며 보안 도면·AD 전개는 사내에서만 대조</x:v>
      </x:c>
    </x:row>
    <x:row r="8" ht="25.5">
      <x:c r="A8" s="11">
        <x:v>2</x:v>
      </x:c>
      <x:c r="B8" s="1" t="s">
        <x:v>1954</x:v>
      </x:c>
      <x:c r="C8" s="1" t="str">
        <x:v>6동 점프 튜브 자동가공·2동 브레이징/기밀 라인 범위 확정</x:v>
      </x:c>
      <x:c r="D8" s="1" t="str">
        <x:v>6동 자동 가공(벤딩·포밍·커팅·코킹) / 2동 브레이징·기밀검사</x:v>
      </x:c>
      <x:c r="E8" s="1" t="str">
        <x:v>2동 브레이징 자동2호기 설비대장 번호 및 6동→2동 실제 공정연계 확인</x:v>
      </x:c>
      <x:c r="F8" s="1" t="s">
        <x:v>1959</x:v>
      </x:c>
      <x:c r="G8" s="1" t="s">
        <x:v>862</x:v>
      </x:c>
      <x:c r="H8" s="1" t="s">
        <x:v>856</x:v>
      </x:c>
      <x:c r="I8" s="40" t="str">
        <x:v>6동 자동가공 → 2동 자동 브레이징·기밀검사 / 자동2호기</x:v>
      </x:c>
      <x:c r="J8" s="42" t="str">
        <x:v>사용자 확인. 실제 누설시험 규격·조건 및 현장 표준문서는 추가 검증 필요</x:v>
      </x:c>
    </x:row>
    <x:row r="9" ht="25.5">
      <x:c r="A9" s="11">
        <x:v>3</x:v>
      </x:c>
      <x:c r="B9" s="1" t="s">
        <x:v>1960</x:v>
      </x:c>
      <x:c r="C9" s="1" t="s">
        <x:v>1961</x:v>
      </x:c>
      <x:c r="D9" s="1" t="s">
        <x:v>1962</x:v>
      </x:c>
      <x:c r="E9" s="1" t="s">
        <x:v>1963</x:v>
      </x:c>
      <x:c r="F9" s="1" t="s">
        <x:v>1964</x:v>
      </x:c>
      <x:c r="G9" s="1" t="s">
        <x:v>485</x:v>
      </x:c>
      <x:c r="H9" s="1" t="s">
        <x:v>1965</x:v>
      </x:c>
      <x:c r="I9" s="21"/>
      <x:c r="J9" s="22"/>
    </x:row>
    <x:row r="10">
      <x:c r="A10" s="11">
        <x:v>4</x:v>
      </x:c>
      <x:c r="B10" s="1" t="s">
        <x:v>1966</x:v>
      </x:c>
      <x:c r="C10" s="1" t="s">
        <x:v>1967</x:v>
      </x:c>
      <x:c r="D10" s="1" t="s">
        <x:v>1968</x:v>
      </x:c>
      <x:c r="E10" s="1" t="s">
        <x:v>1969</x:v>
      </x:c>
      <x:c r="F10" s="1" t="s">
        <x:v>1970</x:v>
      </x:c>
      <x:c r="G10" s="1" t="s">
        <x:v>485</x:v>
      </x:c>
      <x:c r="H10" s="1" t="s">
        <x:v>1971</x:v>
      </x:c>
      <x:c r="I10" s="21"/>
      <x:c r="J10" s="22"/>
    </x:row>
    <x:row r="11">
      <x:c r="A11" s="11">
        <x:v>5</x:v>
      </x:c>
      <x:c r="B11" s="1" t="s">
        <x:v>1966</x:v>
      </x:c>
      <x:c r="C11" s="1" t="s">
        <x:v>1972</x:v>
      </x:c>
      <x:c r="D11" s="1" t="s">
        <x:v>1973</x:v>
      </x:c>
      <x:c r="E11" s="1" t="s">
        <x:v>1974</x:v>
      </x:c>
      <x:c r="F11" s="1" t="s">
        <x:v>1975</x:v>
      </x:c>
      <x:c r="G11" s="1" t="s">
        <x:v>485</x:v>
      </x:c>
      <x:c r="H11" s="1" t="s">
        <x:v>1976</x:v>
      </x:c>
      <x:c r="I11" s="21"/>
      <x:c r="J11" s="22"/>
    </x:row>
    <x:row r="12" ht="25.5">
      <x:c r="A12" s="11">
        <x:v>6</x:v>
      </x:c>
      <x:c r="B12" s="1" t="s">
        <x:v>1977</x:v>
      </x:c>
      <x:c r="C12" s="1" t="s">
        <x:v>1978</x:v>
      </x:c>
      <x:c r="D12" s="1" t="str">
        <x:v>RG3 HEV / 품번 2종 / 도면 Rev.01 사용자 확인; 원본 사내대조 대기</x:v>
      </x:c>
      <x:c r="E12" s="1" t="str">
        <x:v>도면 원본 업로드 불필요. 사내 대조표에 품번·Rev.01·특수특성·Flow/PFMEA/CP/검사기준 일치 여부 기록</x:v>
      </x:c>
      <x:c r="F12" s="1" t="s">
        <x:v>552</x:v>
      </x:c>
      <x:c r="G12" s="1" t="s">
        <x:v>881</x:v>
      </x:c>
      <x:c r="H12" s="1" t="s">
        <x:v>15</x:v>
      </x:c>
      <x:c r="I12" s="21"/>
      <x:c r="J12" s="22" t="str">
        <x:v>외부 업로드 대신 23_도면_사내대조 결과(일치/불일치, 확인자, 확인일) 작성</x:v>
      </x:c>
    </x:row>
    <x:row r="13" ht="25.5">
      <x:c r="A13" s="11">
        <x:v>7</x:v>
      </x:c>
      <x:c r="B13" s="1" t="s">
        <x:v>1977</x:v>
      </x:c>
      <x:c r="C13" s="1" t="s">
        <x:v>1979</x:v>
      </x:c>
      <x:c r="D13" s="1" t="str">
        <x:v>자동 브레이징 방식 및 설비명 자동2호기 사용자 확인</x:v>
      </x:c>
      <x:c r="E13" s="1" t="str">
        <x:v>2동 자동2호기 승인조건·프로그램·실제 용접기록/관리번호</x:v>
      </x:c>
      <x:c r="F13" s="1" t="s">
        <x:v>891</x:v>
      </x:c>
      <x:c r="G13" s="1" t="s">
        <x:v>892</x:v>
      </x:c>
      <x:c r="H13" s="1" t="str">
        <x:v>방식확인·실증대기</x:v>
      </x:c>
      <x:c r="I13" s="21"/>
      <x:c r="J13" s="22"/>
    </x:row>
    <x:row r="14" ht="25.5">
      <x:c r="A14" s="11">
        <x:v>8</x:v>
      </x:c>
      <x:c r="B14" s="1" t="s">
        <x:v>1977</x:v>
      </x:c>
      <x:c r="C14" s="1" t="s">
        <x:v>1980</x:v>
      </x:c>
      <x:c r="D14" s="1" t="str">
        <x:v>2동 브레이징 적용 확정(사용자 확인)</x:v>
      </x:c>
      <x:c r="E14" s="1" t="str">
        <x:v>승인 브레이징 조건·용가재/Flux(사용 시)·기밀검사 기준·기록</x:v>
      </x:c>
      <x:c r="F14" s="1" t="s">
        <x:v>582</x:v>
      </x:c>
      <x:c r="G14" s="1" t="s">
        <x:v>892</x:v>
      </x:c>
      <x:c r="H14" s="1" t="str">
        <x:v>브레이징 확인·조건미검증</x:v>
      </x:c>
      <x:c r="I14" s="21"/>
      <x:c r="J14" s="22"/>
    </x:row>
    <x:row r="15">
      <x:c r="A15" s="11">
        <x:v>9</x:v>
      </x:c>
      <x:c r="B15" s="1" t="s">
        <x:v>1977</x:v>
      </x:c>
      <x:c r="C15" s="1" t="s">
        <x:v>1981</x:v>
      </x:c>
      <x:c r="D15" s="1" t="s">
        <x:v>1982</x:v>
      </x:c>
      <x:c r="E15" s="1" t="s">
        <x:v>1983</x:v>
      </x:c>
      <x:c r="F15" s="1" t="s">
        <x:v>1984</x:v>
      </x:c>
      <x:c r="G15" s="1" t="s">
        <x:v>892</x:v>
      </x:c>
      <x:c r="H15" s="1" t="s">
        <x:v>15</x:v>
      </x:c>
      <x:c r="I15" s="21"/>
      <x:c r="J15" s="22"/>
    </x:row>
    <x:row r="16">
      <x:c r="A16" s="11">
        <x:v>10</x:v>
      </x:c>
      <x:c r="B16" s="1" t="s">
        <x:v>1977</x:v>
      </x:c>
      <x:c r="C16" s="1" t="s">
        <x:v>1985</x:v>
      </x:c>
      <x:c r="D16" s="1" t="str">
        <x:v>브레이징 용접방식/2동 자동2호기 확인. 2동 기밀검사=에어 리크 테스트기, 전자 설비로그만 보관(사용자 확인)</x:v>
      </x:c>
      <x:c r="E16" s="1" t="str">
        <x:v>브레이징 시험법 적용성·최근 검사 실적, 에어 리크 테스터 전자 원본로그·승인 검사기준·LOT 연결</x:v>
      </x:c>
      <x:c r="F16" s="1" t="s">
        <x:v>564</x:v>
      </x:c>
      <x:c r="G16" s="1" t="s">
        <x:v>907</x:v>
      </x:c>
      <x:c r="H16" s="1" t="s">
        <x:v>15</x:v>
      </x:c>
      <x:c r="I16" s="21"/>
      <x:c r="J16" s="22"/>
    </x:row>
    <x:row r="17">
      <x:c r="A17" s="11">
        <x:v>11</x:v>
      </x:c>
      <x:c r="B17" s="1" t="s">
        <x:v>1977</x:v>
      </x:c>
      <x:c r="C17" s="1" t="s">
        <x:v>1986</x:v>
      </x:c>
      <x:c r="D17" s="1" t="s">
        <x:v>1987</x:v>
      </x:c>
      <x:c r="E17" s="1" t="s">
        <x:v>1988</x:v>
      </x:c>
      <x:c r="F17" s="1" t="s">
        <x:v>235</x:v>
      </x:c>
      <x:c r="G17" s="1" t="s">
        <x:v>907</x:v>
      </x:c>
      <x:c r="H17" s="1" t="s">
        <x:v>15</x:v>
      </x:c>
      <x:c r="I17" s="21"/>
      <x:c r="J17" s="22"/>
    </x:row>
    <x:row r="18">
      <x:c r="A18" s="11">
        <x:v>12</x:v>
      </x:c>
      <x:c r="B18" s="1" t="s">
        <x:v>1977</x:v>
      </x:c>
      <x:c r="C18" s="1" t="s">
        <x:v>1989</x:v>
      </x:c>
      <x:c r="D18" s="1" t="s">
        <x:v>1990</x:v>
      </x:c>
      <x:c r="E18" s="1" t="s">
        <x:v>1991</x:v>
      </x:c>
      <x:c r="F18" s="1" t="s">
        <x:v>1992</x:v>
      </x:c>
      <x:c r="G18" s="1" t="s">
        <x:v>907</x:v>
      </x:c>
      <x:c r="H18" s="1" t="s">
        <x:v>15</x:v>
      </x:c>
      <x:c r="I18" s="21"/>
      <x:c r="J18" s="22"/>
    </x:row>
    <x:row r="19">
      <x:c r="A19" s="11">
        <x:v>13</x:v>
      </x:c>
      <x:c r="B19" s="1" t="s">
        <x:v>1977</x:v>
      </x:c>
      <x:c r="C19" s="1" t="s">
        <x:v>1993</x:v>
      </x:c>
      <x:c r="D19" s="1" t="str">
        <x:v>6동 자동가공→2동 브레이징·기밀검사 이송 및 LOT 연계 실증 필요</x:v>
      </x:c>
      <x:c r="E19" s="1" t="str">
        <x:v>실제 가공 LOT / 동간 이송표 / 자동2호기 브레이징 작업이력 / 에어 리크 테스트기 원본 전자 검사로그 / 출하 LOT 연결</x:v>
      </x:c>
      <x:c r="F19" s="1" t="s">
        <x:v>835</x:v>
      </x:c>
      <x:c r="G19" s="1" t="s">
        <x:v>907</x:v>
      </x:c>
      <x:c r="H19" s="1" t="s">
        <x:v>15</x:v>
      </x:c>
      <x:c r="I19" s="21"/>
      <x:c r="J19" s="22"/>
    </x:row>
    <x:row r="20">
      <x:c r="A20" s="11">
        <x:v>14</x:v>
      </x:c>
      <x:c r="B20" s="1" t="s">
        <x:v>1994</x:v>
      </x:c>
      <x:c r="C20" s="1" t="s">
        <x:v>1995</x:v>
      </x:c>
      <x:c r="D20" s="1" t="s">
        <x:v>1996</x:v>
      </x:c>
      <x:c r="E20" s="1" t="s">
        <x:v>1997</x:v>
      </x:c>
      <x:c r="F20" s="1" t="s">
        <x:v>622</x:v>
      </x:c>
      <x:c r="G20" s="1" t="s">
        <x:v>927</x:v>
      </x:c>
      <x:c r="H20" s="1377" t="str">
        <x:f>IF('08_최종_증빙패키지'!E27="증빙확보","완료","미실시")</x:f>
        <x:v>미실시</x:v>
      </x:c>
      <x:c r="I20" s="1378" t="str">
        <x:f>IF('08_최종_증빙패키지'!E27="증빙확보",'08_최종_증빙패키지'!F27,"")</x:f>
      </x:c>
      <x:c r="J20" s="22"/>
    </x:row>
    <x:row r="21">
      <x:c r="A21" s="11">
        <x:v>15</x:v>
      </x:c>
      <x:c r="B21" s="1" t="s">
        <x:v>1977</x:v>
      </x:c>
      <x:c r="C21" s="1" t="s">
        <x:v>1998</x:v>
      </x:c>
      <x:c r="D21" s="1" t="s">
        <x:v>1999</x:v>
      </x:c>
      <x:c r="E21" s="1" t="s">
        <x:v>2000</x:v>
      </x:c>
      <x:c r="F21" s="1" t="s">
        <x:v>2001</x:v>
      </x:c>
      <x:c r="G21" s="1" t="s">
        <x:v>927</x:v>
      </x:c>
      <x:c r="H21" s="1" t="s">
        <x:v>15</x:v>
      </x:c>
      <x:c r="I21" s="21"/>
      <x:c r="J21" s="22"/>
    </x:row>
    <x:row r="22">
      <x:c r="A22" s="11">
        <x:v>16</x:v>
      </x:c>
      <x:c r="B22" s="1" t="s">
        <x:v>1977</x:v>
      </x:c>
      <x:c r="C22" s="1" t="s">
        <x:v>2002</x:v>
      </x:c>
      <x:c r="D22" s="1" t="s">
        <x:v>2003</x:v>
      </x:c>
      <x:c r="E22" s="1" t="s">
        <x:v>2004</x:v>
      </x:c>
      <x:c r="F22" s="1" t="s">
        <x:v>2005</x:v>
      </x:c>
      <x:c r="G22" s="1" t="s">
        <x:v>927</x:v>
      </x:c>
      <x:c r="H22" s="1" t="s">
        <x:v>15</x:v>
      </x:c>
      <x:c r="I22" s="21"/>
      <x:c r="J22" s="22"/>
    </x:row>
    <x:row r="23">
      <x:c r="A23" s="11">
        <x:v>17</x:v>
      </x:c>
      <x:c r="B23" s="1" t="s">
        <x:v>2006</x:v>
      </x:c>
      <x:c r="C23" s="1" t="s">
        <x:v>2007</x:v>
      </x:c>
      <x:c r="D23" s="1" t="s">
        <x:v>2008</x:v>
      </x:c>
      <x:c r="E23" s="1" t="s">
        <x:v>2009</x:v>
      </x:c>
      <x:c r="F23" s="1" t="s">
        <x:v>2010</x:v>
      </x:c>
      <x:c r="G23" s="1" t="s">
        <x:v>960</x:v>
      </x:c>
      <x:c r="H23" s="1" t="s">
        <x:v>15</x:v>
      </x:c>
      <x:c r="I23" s="21"/>
      <x:c r="J23" s="22"/>
    </x:row>
    <x:row r="24">
      <x:c r="A24" s="11">
        <x:v>18</x:v>
      </x:c>
      <x:c r="B24" s="1" t="s">
        <x:v>1977</x:v>
      </x:c>
      <x:c r="C24" s="1" t="s">
        <x:v>2011</x:v>
      </x:c>
      <x:c r="D24" s="1" t="s">
        <x:v>2012</x:v>
      </x:c>
      <x:c r="E24" s="1" t="s">
        <x:v>2013</x:v>
      </x:c>
      <x:c r="F24" s="1" t="s">
        <x:v>2014</x:v>
      </x:c>
      <x:c r="G24" s="1" t="s">
        <x:v>960</x:v>
      </x:c>
      <x:c r="H24" s="1" t="s">
        <x:v>15</x:v>
      </x:c>
      <x:c r="I24" s="21"/>
      <x:c r="J24" s="22"/>
    </x:row>
    <x:row r="25">
      <x:c r="A25" s="11">
        <x:v>19</x:v>
      </x:c>
      <x:c r="B25" s="1" t="s">
        <x:v>32</x:v>
      </x:c>
      <x:c r="C25" s="1" t="s">
        <x:v>2015</x:v>
      </x:c>
      <x:c r="D25" s="1" t="s">
        <x:v>2016</x:v>
      </x:c>
      <x:c r="E25" s="1" t="s">
        <x:v>2017</x:v>
      </x:c>
      <x:c r="F25" s="1" t="s">
        <x:v>2018</x:v>
      </x:c>
      <x:c r="G25" s="1" t="s">
        <x:v>2019</x:v>
      </x:c>
      <x:c r="H25" s="1377" t="str">
        <x:f>IF(COUNTIF('21_코드별_심사실행'!P7:P49,"증빙확인")=43,"완료","미확인")</x:f>
        <x:v>미확인</x:v>
      </x:c>
      <x:c r="I25" s="1378" t="str">
        <x:f>COUNTIF('21_코드별_심사실행'!P7:P49,"증빙확인")&amp;"/43 평가코드(42개 배점그룹)"</x:f>
        <x:v>0/43 평가코드(42개 배점그룹)</x:v>
      </x:c>
      <x:c r="J25" s="22"/>
    </x:row>
    <x:row r="26">
      <x:c r="A26" s="13">
        <x:v>20</x:v>
      </x:c>
      <x:c r="B26" s="14" t="s">
        <x:v>42</x:v>
      </x:c>
      <x:c r="C26" s="14" t="s">
        <x:v>2020</x:v>
      </x:c>
      <x:c r="D26" s="14" t="s">
        <x:v>2021</x:v>
      </x:c>
      <x:c r="E26" s="14" t="s">
        <x:v>2022</x:v>
      </x:c>
      <x:c r="F26" s="14" t="s">
        <x:v>2023</x:v>
      </x:c>
      <x:c r="G26" s="14" t="s">
        <x:v>2024</x:v>
      </x:c>
      <x:c r="H26" s="1380" t="str">
        <x:f>IF(COUNTIFS('09_모의심사_최종'!G5:G24,"적합",'09_모의심사_최종'!F5:F24,"&lt;&gt;",'09_모의심사_최종'!F5:F24,"&lt;&gt;[확인]")=20,"완료","미실시")</x:f>
        <x:v>미실시</x:v>
      </x:c>
      <x:c r="I26" s="1381" t="str">
        <x:f>COUNTIF('09_모의심사_최종'!G5:G24,"적합")&amp;"/20문항 적합"</x:f>
        <x:v>0/20문항 적합</x:v>
      </x:c>
      <x:c r="J26" s="24"/>
    </x:row>
  </x:sheetData>
  <x:mergeCells>
    <x:mergeCell ref="A1:J2"/>
    <x:mergeCell ref="A3:J4"/>
  </x:mergeCells>
  <x:conditionalFormatting sqref="H7:H26">
    <x:cfRule type="expression" dxfId="3" priority="1">
      <x:formula>H7="완료"</x:formula>
    </x:cfRule>
    <x:cfRule type="expression" dxfId="2" priority="2">
      <x:formula>H7="보완필요"</x:formula>
    </x:cfRule>
  </x:conditionalFormatting>
  <x:dataValidations count="1">
    <x:dataValidation type="list" sqref="H7:H26">
      <x:formula1>"미확인,자료요청,수집중,검토중,완료,보완필요,미실시,기준자료 확보·최신성 미확인,불일치 확인,중복 확인"</x:formula1>
    </x:dataValidation>
  </x:dataValidations>
  <x:pageMargins left="0.7" right="0.7" top="0.75" bottom="0.75" header="0.3" footer="0.3"/>
</x:worksheet>
</file>

<file path=xl/worksheets/sheet19.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8" customWidth="1"/>
    <x:col min="2" max="2" width="65" customWidth="1"/>
    <x:col min="3" max="3" width="30" customWidth="1"/>
    <x:col min="4" max="4" width="75" customWidth="1"/>
    <x:col min="5" max="8" width="15" customWidth="1"/>
  </x:cols>
  <x:sheetData>
    <x:row r="1">
      <x:c r="A1" s="154" t="s">
        <x:v>2025</x:v>
      </x:c>
      <x:c r="B1" s="154"/>
      <x:c r="C1" s="154"/>
      <x:c r="D1" s="154"/>
      <x:c r="E1" s="154"/>
      <x:c r="F1" s="154"/>
      <x:c r="G1" s="154"/>
      <x:c r="H1" s="154"/>
    </x:row>
    <x:row r="2">
      <x:c r="A2" s="154" t="str">
        <x:v>과거 단계 이력 참고용입니다. 최신 Rev.06 입력 및 승인 방법은 30_Rev06_운영승인 시트를 참조하십시오.</x:v>
      </x:c>
      <x:c r="B2" s="154"/>
      <x:c r="C2" s="154"/>
      <x:c r="D2" s="154"/>
      <x:c r="E2" s="154"/>
      <x:c r="F2" s="154"/>
      <x:c r="G2" s="154"/>
      <x:c r="H2" s="154"/>
    </x:row>
    <x:row r="3">
      <x:c r="A3" s="155" t="s">
        <x:v>2026</x:v>
      </x:c>
      <x:c r="B3" s="156"/>
      <x:c r="C3" s="156"/>
      <x:c r="D3" s="156"/>
      <x:c r="E3" s="156"/>
      <x:c r="F3" s="156"/>
      <x:c r="G3" s="156"/>
      <x:c r="H3" s="157"/>
    </x:row>
    <x:row r="4">
      <x:c r="A4" s="158"/>
      <x:c r="B4" s="159"/>
      <x:c r="C4" s="159"/>
      <x:c r="D4" s="159"/>
      <x:c r="E4" s="159"/>
      <x:c r="F4" s="159"/>
      <x:c r="G4" s="159"/>
      <x:c r="H4" s="160"/>
    </x:row>
    <x:row r="6">
      <x:c r="A6" s="5" t="s">
        <x:v>64</x:v>
      </x:c>
      <x:c r="B6" s="6" t="s">
        <x:v>2027</x:v>
      </x:c>
      <x:c r="C6" s="6" t="s">
        <x:v>2028</x:v>
      </x:c>
      <x:c r="D6" s="7" t="s">
        <x:v>2029</x:v>
      </x:c>
    </x:row>
    <x:row r="7">
      <x:c r="A7" s="8" t="s">
        <x:v>2030</x:v>
      </x:c>
      <x:c r="B7" s="9" t="s">
        <x:v>316</x:v>
      </x:c>
      <x:c r="C7" s="9" t="s">
        <x:v>2031</x:v>
      </x:c>
      <x:c r="D7" s="10" t="s">
        <x:v>2032</x:v>
      </x:c>
    </x:row>
    <x:row r="8">
      <x:c r="A8" s="11" t="s">
        <x:v>2033</x:v>
      </x:c>
      <x:c r="B8" s="1" t="s">
        <x:v>2034</x:v>
      </x:c>
      <x:c r="C8" s="1" t="s">
        <x:v>2035</x:v>
      </x:c>
      <x:c r="D8" s="12" t="s">
        <x:v>2036</x:v>
      </x:c>
    </x:row>
    <x:row r="9">
      <x:c r="A9" s="11" t="s">
        <x:v>2037</x:v>
      </x:c>
      <x:c r="B9" s="1" t="str">
        <x:v>SHINHWA_한온SQ_심사준비_평가표연계_FINAL_MASTER_Rev04_RG3HEV_개정표기수정.xlsx</x:v>
      </x:c>
      <x:c r="C9" s="1" t="s">
        <x:v>2038</x:v>
      </x:c>
      <x:c r="D9" s="12" t="s">
        <x:v>2039</x:v>
      </x:c>
    </x:row>
    <x:row r="10">
      <x:c r="A10" s="11" t="s">
        <x:v>2040</x:v>
      </x:c>
      <x:c r="B10" s="1" t="s">
        <x:v>2041</x:v>
      </x:c>
      <x:c r="C10" s="1" t="s">
        <x:v>70</x:v>
      </x:c>
      <x:c r="D10" s="12" t="s">
        <x:v>2042</x:v>
      </x:c>
    </x:row>
    <x:row r="11">
      <x:c r="A11" s="11" t="s">
        <x:v>2043</x:v>
      </x:c>
      <x:c r="B11" s="1" t="s">
        <x:v>2044</x:v>
      </x:c>
      <x:c r="C11" s="1" t="s">
        <x:v>2045</x:v>
      </x:c>
      <x:c r="D11" s="12" t="s">
        <x:v>2046</x:v>
      </x:c>
    </x:row>
    <x:row r="12">
      <x:c r="A12" s="11" t="s">
        <x:v>2047</x:v>
      </x:c>
      <x:c r="B12" s="1" t="s">
        <x:v>2048</x:v>
      </x:c>
      <x:c r="C12" s="1" t="s">
        <x:v>2049</x:v>
      </x:c>
      <x:c r="D12" s="12" t="s">
        <x:v>2050</x:v>
      </x:c>
    </x:row>
    <x:row r="13">
      <x:c r="A13" s="11" t="s">
        <x:v>2051</x:v>
      </x:c>
      <x:c r="B13" s="1" t="s">
        <x:v>2052</x:v>
      </x:c>
      <x:c r="C13" s="1" t="s">
        <x:v>2053</x:v>
      </x:c>
      <x:c r="D13" s="12" t="s">
        <x:v>2054</x:v>
      </x:c>
    </x:row>
    <x:row r="14">
      <x:c r="A14" s="11" t="s">
        <x:v>2055</x:v>
      </x:c>
      <x:c r="B14" s="1" t="s">
        <x:v>2056</x:v>
      </x:c>
      <x:c r="C14" s="1" t="s">
        <x:v>2057</x:v>
      </x:c>
      <x:c r="D14" s="12" t="s">
        <x:v>2058</x:v>
      </x:c>
    </x:row>
    <x:row r="15">
      <x:c r="A15" s="11" t="s">
        <x:v>2059</x:v>
      </x:c>
      <x:c r="B15" s="1" t="s">
        <x:v>2060</x:v>
      </x:c>
      <x:c r="C15" s="1" t="s">
        <x:v>2061</x:v>
      </x:c>
      <x:c r="D15" s="12" t="s">
        <x:v>2062</x:v>
      </x:c>
    </x:row>
    <x:row r="16">
      <x:c r="A16" s="13" t="str">
        <x:v>⑩ 파일 삭제</x:v>
      </x:c>
      <x:c r="B16" s="14" t="str">
        <x:v>통합본 승인 이후 이전 작업용 엑셀 사본</x:v>
      </x:c>
      <x:c r="C16" s="14" t="str">
        <x:v>삭제 가능(조건부)</x:v>
      </x:c>
      <x:c r="D16" s="15" t="str">
        <x:v>원본 SQ 평가자료 및 회사 승인본/기록은 삭제하지 않음</x:v>
      </x:c>
    </x:row>
    <x:row r="18">
      <x:c r="A18" s="851" t="str">
        <x:v>⑪ 3단계 실행관리</x:v>
      </x:c>
      <x:c r="B18" s="852" t="str">
        <x:v>21 평가코드 / 22 6동용접 / 23 기밀도면 / 24 자료회수 / 25 진척</x:v>
      </x:c>
      <x:c r="C18" s="852" t="str">
        <x:v>사용자 정렬·실선 유지</x:v>
      </x:c>
      <x:c r="D18" s="853" t="str">
        <x:v>실제증빙은 입력 시에만 인정. 도면 원본 외부 업로드 금지; 내부대조 결과만 관리</x:v>
      </x:c>
    </x:row>
  </x:sheetData>
  <x:mergeCells>
    <x:mergeCell ref="A1:H2"/>
    <x:mergeCell ref="A3:H4"/>
  </x:mergeCells>
  <x:pageMargins left="0.7" right="0.7" top="0.75" bottom="0.75" header="0.3" footer="0.3"/>
</x:worksheet>
</file>

<file path=xl/worksheets/sheet20.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customWidth="1"/>
    <x:col min="2" max="2" width="16" customWidth="1"/>
    <x:col min="3" max="3" width="15" customWidth="1"/>
    <x:col min="4" max="4" width="25" customWidth="1"/>
    <x:col min="5" max="5" width="22" customWidth="1"/>
    <x:col min="6" max="6" width="26" hidden="0" customWidth="1"/>
    <x:col min="7" max="7" width="63" hidden="0" customWidth="1"/>
    <x:col min="8" max="8" width="57" hidden="0" customWidth="1"/>
    <x:col min="9" max="9" width="17" customWidth="1"/>
    <x:col min="10" max="10" width="24" customWidth="1"/>
    <x:col min="11" max="11" width="25" customWidth="1"/>
    <x:col min="12" max="12" width="26" customWidth="1"/>
  </x:cols>
  <x:sheetData>
    <x:row r="1">
      <x:c r="A1" s="162" t="str">
        <x:v>한온 SQ 대상 범위 — RG3 HEV / 6동 자동가공 · 2동 브레이징·기밀검사</x:v>
      </x:c>
      <x:c r="B1" s="162"/>
      <x:c r="C1" s="162"/>
      <x:c r="D1" s="162"/>
      <x:c r="E1" s="162"/>
      <x:c r="F1" s="162"/>
      <x:c r="G1" s="162"/>
      <x:c r="H1" s="162"/>
      <x:c r="I1" s="162"/>
      <x:c r="J1" s="162"/>
      <x:c r="K1" s="162"/>
      <x:c r="L1" s="162"/>
    </x:row>
    <x:row r="2">
      <x:c r="A2" s="162"/>
      <x:c r="B2" s="162"/>
      <x:c r="C2" s="162"/>
      <x:c r="D2" s="162"/>
      <x:c r="E2" s="162"/>
      <x:c r="F2" s="162"/>
      <x:c r="G2" s="162"/>
      <x:c r="H2" s="162"/>
      <x:c r="I2" s="162"/>
      <x:c r="J2" s="162"/>
      <x:c r="K2" s="162"/>
      <x:c r="L2" s="162"/>
    </x:row>
    <x:row r="3">
      <x:c r="A3" s="163" t="str">
        <x:v>사용자 제공 공정: 6동 벤딩·포밍·커팅·코킹 등 자동작업, 2동 브레이징 용접 및 기밀검사. RG3 HEV 용접대상 설비명은 자동2호기(사용자 정정 확인). 자동2호기의 정확한 설비대장 ID와 설치위치, 실제 승인조건은 현장대조 필요. 도면 Rev.01은 사용자 확인값으로, 기밀 원도면은 외부 공유하지 않습니다.</x:v>
      </x:c>
      <x:c r="B3" s="164"/>
      <x:c r="C3" s="164"/>
      <x:c r="D3" s="164"/>
      <x:c r="E3" s="164"/>
      <x:c r="F3" s="164"/>
      <x:c r="G3" s="164"/>
      <x:c r="H3" s="164"/>
      <x:c r="I3" s="164"/>
      <x:c r="J3" s="164"/>
      <x:c r="K3" s="164"/>
      <x:c r="L3" s="165"/>
    </x:row>
    <x:row r="4">
      <x:c r="A4" s="166"/>
      <x:c r="B4" s="167"/>
      <x:c r="C4" s="167"/>
      <x:c r="D4" s="167"/>
      <x:c r="E4" s="167"/>
      <x:c r="F4" s="167"/>
      <x:c r="G4" s="167"/>
      <x:c r="H4" s="167"/>
      <x:c r="I4" s="167"/>
      <x:c r="J4" s="167"/>
      <x:c r="K4" s="167"/>
      <x:c r="L4" s="168"/>
    </x:row>
    <x:row r="6">
      <x:c r="A6" s="43" t="s">
        <x:v>63</x:v>
      </x:c>
      <x:c r="B6" s="44" t="s">
        <x:v>2063</x:v>
      </x:c>
      <x:c r="C6" s="44" t="s">
        <x:v>2064</x:v>
      </x:c>
      <x:c r="D6" s="44" t="s">
        <x:v>2065</x:v>
      </x:c>
      <x:c r="E6" s="44" t="s">
        <x:v>2066</x:v>
      </x:c>
      <x:c r="F6" s="957" t="str">
        <x:v>생산동(2개 동)</x:v>
      </x:c>
      <x:c r="G6" s="957" t="str">
        <x:v>동별 해당 공정</x:v>
      </x:c>
      <x:c r="H6" s="957" t="str">
        <x:v>품목/라인·설비</x:v>
      </x:c>
      <x:c r="I6" s="44" t="s">
        <x:v>2067</x:v>
      </x:c>
      <x:c r="J6" s="44" t="s">
        <x:v>2068</x:v>
      </x:c>
      <x:c r="K6" s="44" t="s">
        <x:v>2069</x:v>
      </x:c>
      <x:c r="L6" s="45" t="s">
        <x:v>2070</x:v>
      </x:c>
    </x:row>
    <x:row r="7">
      <x:c r="A7" s="46">
        <x:v>1</x:v>
      </x:c>
      <x:c r="B7" s="47" t="s">
        <x:v>2071</x:v>
      </x:c>
      <x:c r="C7" s="47" t="s">
        <x:v>2072</x:v>
      </x:c>
      <x:c r="D7" s="47" t="s">
        <x:v>2073</x:v>
      </x:c>
      <x:c r="E7" s="47" t="s">
        <x:v>2074</x:v>
      </x:c>
      <x:c r="F7" s="960" t="str">
        <x:v>6동(자동가공) / 2동(용접·기밀)</x:v>
      </x:c>
      <x:c r="G7" s="960" t="str">
        <x:v>6동 벤딩·포밍·커팅·코킹 등 자동가공 → 2동 브레이징 용접·기밀검사</x:v>
      </x:c>
      <x:c r="H7" s="960" t="str">
        <x:v>FT-ASY-A/C JUMPER / 브레이징 자동2호기(현물·대장 ID 미대조)</x:v>
      </x:c>
      <x:c r="I7" s="58" t="s">
        <x:v>2075</x:v>
      </x:c>
      <x:c r="J7" s="56" t="s">
        <x:v>2076</x:v>
      </x:c>
      <x:c r="K7" s="52" t="str">
        <x:v>도면 Rev.01(사용자 확인) / 품명 원본대조 필요</x:v>
      </x:c>
      <x:c r="L7" s="53" t="str">
        <x:v>자동 브레이징(사용자 확인) / 설비 자동2호기</x:v>
      </x:c>
    </x:row>
    <x:row r="8">
      <x:c r="A8" s="49">
        <x:v>2</x:v>
      </x:c>
      <x:c r="B8" s="50" t="s">
        <x:v>2071</x:v>
      </x:c>
      <x:c r="C8" s="50" t="s">
        <x:v>2072</x:v>
      </x:c>
      <x:c r="D8" s="50" t="s">
        <x:v>2073</x:v>
      </x:c>
      <x:c r="E8" s="50" t="s">
        <x:v>2077</x:v>
      </x:c>
      <x:c r="F8" s="963" t="str">
        <x:v>6동(자동가공) / 2동(용접·기밀)</x:v>
      </x:c>
      <x:c r="G8" s="963" t="str">
        <x:v>6동 벤딩·포밍·커팅·코킹 등 자동가공 → 2동 브레이징 용접·기밀검사</x:v>
      </x:c>
      <x:c r="H8" s="963" t="str">
        <x:v>FT-ASY-A/C JUMPER / 브레이징 자동2호기(현물·대장 ID 미대조)</x:v>
      </x:c>
      <x:c r="I8" s="59" t="s">
        <x:v>2075</x:v>
      </x:c>
      <x:c r="J8" s="57" t="s">
        <x:v>2078</x:v>
      </x:c>
      <x:c r="K8" s="54" t="str">
        <x:v>도면 Rev.01(사용자 확인) / AD 철자·품명 원본대조 필요</x:v>
      </x:c>
      <x:c r="L8" s="55" t="str">
        <x:v>자동 브레이징(사용자 확인) / 설비 자동2호기</x:v>
      </x:c>
    </x:row>
    <x:row r="10" ht="25.5">
      <x:c r="A10" s="43" t="s">
        <x:v>2079</x:v>
      </x:c>
      <x:c r="B10" s="44" t="s">
        <x:v>986</x:v>
      </x:c>
      <x:c r="C10" s="44" t="s">
        <x:v>8</x:v>
      </x:c>
      <x:c r="D10" s="45" t="s">
        <x:v>2080</x:v>
      </x:c>
    </x:row>
    <x:row r="11" ht="25.5">
      <x:c r="A11" s="46" t="s">
        <x:v>2081</x:v>
      </x:c>
      <x:c r="B11" s="47" t="s">
        <x:v>2072</x:v>
      </x:c>
      <x:c r="C11" s="47" t="s">
        <x:v>861</x:v>
      </x:c>
      <x:c r="D11" s="48" t="s">
        <x:v>2082</x:v>
      </x:c>
    </x:row>
    <x:row r="12">
      <x:c r="A12" s="60" t="str">
        <x:v>가공·용접 생산동</x:v>
      </x:c>
      <x:c r="B12" s="1" t="str">
        <x:v>6동 자동가공 / 2동 용접·기밀검사</x:v>
      </x:c>
      <x:c r="C12" s="1" t="s">
        <x:v>861</x:v>
      </x:c>
      <x:c r="D12" s="61" t="s">
        <x:v>2082</x:v>
      </x:c>
    </x:row>
    <x:row r="13" ht="25.5">
      <x:c r="A13" s="60" t="str">
        <x:v>가공공정</x:v>
      </x:c>
      <x:c r="B13" s="1" t="str">
        <x:v>벤딩·포밍·커팅·코킹 등 자동작업(6동)</x:v>
      </x:c>
      <x:c r="C13" s="1" t="s">
        <x:v>861</x:v>
      </x:c>
      <x:c r="D13" s="61" t="s">
        <x:v>2082</x:v>
      </x:c>
    </x:row>
    <x:row r="14" ht="25.5">
      <x:c r="A14" s="60" t="str">
        <x:v>용접방식/설비명</x:v>
      </x:c>
      <x:c r="B14" s="1" t="str">
        <x:v>브레이징 자동용접 / 자동2호기(2동 용접공정)</x:v>
      </x:c>
      <x:c r="C14" s="1" t="s">
        <x:v>861</x:v>
      </x:c>
      <x:c r="D14" s="61" t="s">
        <x:v>2082</x:v>
      </x:c>
    </x:row>
    <x:row r="15" ht="38.25">
      <x:c r="A15" s="60" t="str">
        <x:v>설비 설치위치·관리번호</x:v>
      </x:c>
      <x:c r="B15" s="62" t="str">
        <x:v>자동2호기 사내 설비대장 표기 및 위치대조 필요</x:v>
      </x:c>
      <x:c r="C15" s="1" t="s">
        <x:v>335</x:v>
      </x:c>
      <x:c r="D15" s="61" t="s">
        <x:v>2083</x:v>
      </x:c>
    </x:row>
    <x:row r="16" ht="38.25">
      <x:c r="A16" s="49" t="str">
        <x:v>품명·도면 Rev·AD 전개철자</x:v>
      </x:c>
      <x:c r="B16" s="54" t="str">
        <x:v>Rev.01 사용자 확인 / 품명·FA1A8HRAAD 철자 사내 대조 필요</x:v>
      </x:c>
      <x:c r="C16" s="50" t="str">
        <x:v>개발/품질</x:v>
      </x:c>
      <x:c r="D16" s="51" t="str">
        <x:v>사내 고객 승인 도면·ERP만 대조, 외부 업로드 금지</x:v>
      </x:c>
    </x:row>
    <x:row r="18">
      <x:c r="A18" s="169" t="str">
        <x:v>G2는 사용자 제공 ‘6동 가공 → 2동 브레이징/기밀’ 공정 범위 확인에 한정합니다. 동간 이송 LOT·용접 승인조건·누설시험 기준 및 실제 기록은 별도 검증하며 READY에 자동 반영되지 않습니다.</x:v>
      </x:c>
      <x:c r="B18" s="170"/>
      <x:c r="C18" s="170"/>
      <x:c r="D18" s="170"/>
      <x:c r="E18" s="170"/>
      <x:c r="F18" s="170"/>
      <x:c r="G18" s="170"/>
      <x:c r="H18" s="170"/>
      <x:c r="I18" s="170"/>
      <x:c r="J18" s="170"/>
      <x:c r="K18" s="170"/>
      <x:c r="L18" s="171"/>
    </x:row>
    <x:row r="19">
      <x:c r="A19" s="172"/>
      <x:c r="B19" s="173"/>
      <x:c r="C19" s="173"/>
      <x:c r="D19" s="173"/>
      <x:c r="E19" s="173"/>
      <x:c r="F19" s="173"/>
      <x:c r="G19" s="173"/>
      <x:c r="H19" s="173"/>
      <x:c r="I19" s="173"/>
      <x:c r="J19" s="173"/>
      <x:c r="K19" s="173"/>
      <x:c r="L19" s="174"/>
    </x:row>
  </x:sheetData>
  <x:mergeCells>
    <x:mergeCell ref="A1:L2"/>
    <x:mergeCell ref="A3:L4"/>
    <x:mergeCell ref="A18:L19"/>
  </x:mergeCells>
  <x:pageMargins left="0.7" right="0.7" top="0.75" bottom="0.75" header="0.3" footer="0.3"/>
</x:worksheet>
</file>

<file path=xl/worksheets/sheet21.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7" customWidth="1"/>
    <x:col min="2" max="2" width="14" customWidth="1"/>
    <x:col min="3" max="3" width="22" customWidth="1"/>
    <x:col min="4" max="4" width="32" customWidth="1"/>
    <x:col min="5" max="5" width="21" customWidth="1"/>
    <x:col min="6" max="6" width="52" customWidth="1"/>
    <x:col min="7" max="7" width="42" customWidth="1"/>
    <x:col min="8" max="8" width="21" customWidth="1"/>
    <x:col min="9" max="9" width="18" customWidth="1"/>
    <x:col min="10" max="10" width="19" customWidth="1"/>
    <x:col min="11" max="11" width="45" customWidth="1"/>
  </x:cols>
  <x:sheetData>
    <x:row r="1">
      <x:c r="A1" s="162" t="s">
        <x:v>2084</x:v>
      </x:c>
      <x:c r="B1" s="162"/>
      <x:c r="C1" s="162"/>
      <x:c r="D1" s="162"/>
      <x:c r="E1" s="162"/>
      <x:c r="F1" s="162"/>
      <x:c r="G1" s="162"/>
      <x:c r="H1" s="162"/>
      <x:c r="I1" s="162"/>
      <x:c r="J1" s="162"/>
      <x:c r="K1" s="162"/>
    </x:row>
    <x:row r="2">
      <x:c r="A2" s="162"/>
      <x:c r="B2" s="162"/>
      <x:c r="C2" s="162"/>
      <x:c r="D2" s="162"/>
      <x:c r="E2" s="162"/>
      <x:c r="F2" s="162"/>
      <x:c r="G2" s="162"/>
      <x:c r="H2" s="162"/>
      <x:c r="I2" s="162"/>
      <x:c r="J2" s="162"/>
      <x:c r="K2" s="162"/>
    </x:row>
    <x:row r="3">
      <x:c r="A3" s="175" t="s">
        <x:v>2085</x:v>
      </x:c>
      <x:c r="B3" s="176"/>
      <x:c r="C3" s="176"/>
      <x:c r="D3" s="176"/>
      <x:c r="E3" s="176"/>
      <x:c r="F3" s="176"/>
      <x:c r="G3" s="176"/>
      <x:c r="H3" s="176"/>
      <x:c r="I3" s="176"/>
      <x:c r="J3" s="176"/>
      <x:c r="K3" s="177"/>
    </x:row>
    <x:row r="4">
      <x:c r="A4" s="178"/>
      <x:c r="B4" s="179"/>
      <x:c r="C4" s="179"/>
      <x:c r="D4" s="179"/>
      <x:c r="E4" s="179"/>
      <x:c r="F4" s="179"/>
      <x:c r="G4" s="179"/>
      <x:c r="H4" s="179"/>
      <x:c r="I4" s="179"/>
      <x:c r="J4" s="179"/>
      <x:c r="K4" s="180"/>
    </x:row>
    <x:row r="6">
      <x:c r="A6" s="43" t="s">
        <x:v>63</x:v>
      </x:c>
      <x:c r="B6" s="44" t="s">
        <x:v>2064</x:v>
      </x:c>
      <x:c r="C6" s="44" t="s">
        <x:v>2086</x:v>
      </x:c>
      <x:c r="D6" s="44" t="s">
        <x:v>2087</x:v>
      </x:c>
      <x:c r="E6" s="44" t="s">
        <x:v>2088</x:v>
      </x:c>
      <x:c r="F6" s="44" t="s">
        <x:v>2089</x:v>
      </x:c>
      <x:c r="G6" s="44" t="s">
        <x:v>2090</x:v>
      </x:c>
      <x:c r="H6" s="44" t="s">
        <x:v>2091</x:v>
      </x:c>
      <x:c r="I6" s="44" t="s">
        <x:v>987</x:v>
      </x:c>
      <x:c r="J6" s="44" t="s">
        <x:v>359</x:v>
      </x:c>
      <x:c r="K6" s="45" t="s">
        <x:v>2092</x:v>
      </x:c>
    </x:row>
    <x:row r="7">
      <x:c r="A7" s="46">
        <x:v>1</x:v>
      </x:c>
      <x:c r="B7" s="47" t="s">
        <x:v>2072</x:v>
      </x:c>
      <x:c r="C7" s="47" t="s">
        <x:v>2074</x:v>
      </x:c>
      <x:c r="D7" s="47" t="str">
        <x:v>6동 자동가공 / 2동 브레이징·기밀</x:v>
      </x:c>
      <x:c r="E7" s="47" t="s">
        <x:v>2093</x:v>
      </x:c>
      <x:c r="F7" s="47" t="str">
        <x:v>고객 승인 최신 도면 Rev.01(사용자 확인) / 품명/특별특성 사내대조</x:v>
      </x:c>
      <x:c r="G7" s="56" t="str">
        <x:v>도면 Rev.01 / 사내 원본 대조 대기</x:v>
      </x:c>
      <x:c r="H7" s="53" t="s">
        <x:v>15</x:v>
      </x:c>
      <x:c r="I7" s="47" t="s">
        <x:v>75</x:v>
      </x:c>
      <x:c r="J7" s="47" t="s">
        <x:v>339</x:v>
      </x:c>
      <x:c r="K7" s="48" t="str">
        <x:v>기밀 도면 외부 업로드 금지. 사내 확인자·확인일·일치 결과만 기재</x:v>
      </x:c>
    </x:row>
    <x:row r="8">
      <x:c r="A8" s="60">
        <x:v>2</x:v>
      </x:c>
      <x:c r="B8" s="1" t="s">
        <x:v>2072</x:v>
      </x:c>
      <x:c r="C8" s="1" t="s">
        <x:v>2074</x:v>
      </x:c>
      <x:c r="D8" s="1" t="str">
        <x:v>6동 자동가공 / 2동 브레이징·기밀</x:v>
      </x:c>
      <x:c r="E8" s="1" t="s">
        <x:v>554</x:v>
      </x:c>
      <x:c r="F8" s="1" t="s">
        <x:v>2094</x:v>
      </x:c>
      <x:c r="G8" s="63" t="s">
        <x:v>2095</x:v>
      </x:c>
      <x:c r="H8" s="64" t="s">
        <x:v>15</x:v>
      </x:c>
      <x:c r="I8" s="1" t="s">
        <x:v>75</x:v>
      </x:c>
      <x:c r="J8" s="1" t="s">
        <x:v>558</x:v>
      </x:c>
      <x:c r="K8" s="61" t="s">
        <x:v>2096</x:v>
      </x:c>
    </x:row>
    <x:row r="9">
      <x:c r="A9" s="60">
        <x:v>3</x:v>
      </x:c>
      <x:c r="B9" s="1" t="s">
        <x:v>2072</x:v>
      </x:c>
      <x:c r="C9" s="1" t="s">
        <x:v>2074</x:v>
      </x:c>
      <x:c r="D9" s="1" t="str">
        <x:v>6동 자동가공 / 2동 브레이징·기밀</x:v>
      </x:c>
      <x:c r="E9" s="1" t="s">
        <x:v>559</x:v>
      </x:c>
      <x:c r="F9" s="1" t="s">
        <x:v>2097</x:v>
      </x:c>
      <x:c r="G9" s="63" t="s">
        <x:v>2095</x:v>
      </x:c>
      <x:c r="H9" s="64" t="s">
        <x:v>15</x:v>
      </x:c>
      <x:c r="I9" s="1" t="s">
        <x:v>75</x:v>
      </x:c>
      <x:c r="J9" s="1" t="s">
        <x:v>564</x:v>
      </x:c>
      <x:c r="K9" s="61" t="s">
        <x:v>2096</x:v>
      </x:c>
    </x:row>
    <x:row r="10">
      <x:c r="A10" s="60">
        <x:v>4</x:v>
      </x:c>
      <x:c r="B10" s="1" t="s">
        <x:v>2072</x:v>
      </x:c>
      <x:c r="C10" s="1" t="s">
        <x:v>2074</x:v>
      </x:c>
      <x:c r="D10" s="1" t="str">
        <x:v>6동 자동가공 / 2동 브레이징·기밀</x:v>
      </x:c>
      <x:c r="E10" s="1" t="s">
        <x:v>565</x:v>
      </x:c>
      <x:c r="F10" s="1" t="s">
        <x:v>2098</x:v>
      </x:c>
      <x:c r="G10" s="63" t="s">
        <x:v>2095</x:v>
      </x:c>
      <x:c r="H10" s="64" t="s">
        <x:v>15</x:v>
      </x:c>
      <x:c r="I10" s="1" t="s">
        <x:v>75</x:v>
      </x:c>
      <x:c r="J10" s="1" t="s">
        <x:v>235</x:v>
      </x:c>
      <x:c r="K10" s="61" t="s">
        <x:v>2096</x:v>
      </x:c>
    </x:row>
    <x:row r="11">
      <x:c r="A11" s="60">
        <x:v>5</x:v>
      </x:c>
      <x:c r="B11" s="1" t="s">
        <x:v>2072</x:v>
      </x:c>
      <x:c r="C11" s="1" t="s">
        <x:v>2074</x:v>
      </x:c>
      <x:c r="D11" s="1" t="str">
        <x:v>6동 자동가공 / 2동 브레이징·기밀</x:v>
      </x:c>
      <x:c r="E11" s="1" t="s">
        <x:v>2099</x:v>
      </x:c>
      <x:c r="F11" s="1" t="s">
        <x:v>2100</x:v>
      </x:c>
      <x:c r="G11" s="63" t="s">
        <x:v>2095</x:v>
      </x:c>
      <x:c r="H11" s="64" t="s">
        <x:v>15</x:v>
      </x:c>
      <x:c r="I11" s="1" t="s">
        <x:v>75</x:v>
      </x:c>
      <x:c r="J11" s="1" t="s">
        <x:v>575</x:v>
      </x:c>
      <x:c r="K11" s="61" t="s">
        <x:v>2096</x:v>
      </x:c>
    </x:row>
    <x:row r="12">
      <x:c r="A12" s="60">
        <x:v>6</x:v>
      </x:c>
      <x:c r="B12" s="1" t="s">
        <x:v>2072</x:v>
      </x:c>
      <x:c r="C12" s="1" t="s">
        <x:v>2074</x:v>
      </x:c>
      <x:c r="D12" s="1" t="str">
        <x:v>6동 자동가공 / 2동 브레이징·기밀</x:v>
      </x:c>
      <x:c r="E12" s="1" t="s">
        <x:v>109</x:v>
      </x:c>
      <x:c r="F12" s="1" t="s">
        <x:v>2101</x:v>
      </x:c>
      <x:c r="G12" s="63" t="s">
        <x:v>2095</x:v>
      </x:c>
      <x:c r="H12" s="64" t="s">
        <x:v>15</x:v>
      </x:c>
      <x:c r="I12" s="1" t="s">
        <x:v>75</x:v>
      </x:c>
      <x:c r="J12" s="1" t="s">
        <x:v>235</x:v>
      </x:c>
      <x:c r="K12" s="61" t="s">
        <x:v>2096</x:v>
      </x:c>
    </x:row>
    <x:row r="13">
      <x:c r="A13" s="60">
        <x:v>7</x:v>
      </x:c>
      <x:c r="B13" s="1" t="s">
        <x:v>2072</x:v>
      </x:c>
      <x:c r="C13" s="1" t="s">
        <x:v>2074</x:v>
      </x:c>
      <x:c r="D13" s="1" t="str">
        <x:v>6동 자동가공 / 2동 브레이징·기밀</x:v>
      </x:c>
      <x:c r="E13" s="1" t="s">
        <x:v>2102</x:v>
      </x:c>
      <x:c r="F13" s="1" t="s">
        <x:v>2103</x:v>
      </x:c>
      <x:c r="G13" s="63" t="s">
        <x:v>2095</x:v>
      </x:c>
      <x:c r="H13" s="64" t="s">
        <x:v>15</x:v>
      </x:c>
      <x:c r="I13" s="1" t="s">
        <x:v>75</x:v>
      </x:c>
      <x:c r="J13" s="1" t="s">
        <x:v>235</x:v>
      </x:c>
      <x:c r="K13" s="61" t="s">
        <x:v>2096</x:v>
      </x:c>
    </x:row>
    <x:row r="14">
      <x:c r="A14" s="60">
        <x:v>8</x:v>
      </x:c>
      <x:c r="B14" s="1" t="s">
        <x:v>2072</x:v>
      </x:c>
      <x:c r="C14" s="1" t="s">
        <x:v>2074</x:v>
      </x:c>
      <x:c r="D14" s="1" t="str">
        <x:v>6동 자동가공 / 2동 브레이징·기밀</x:v>
      </x:c>
      <x:c r="E14" s="1" t="s">
        <x:v>2104</x:v>
      </x:c>
      <x:c r="F14" s="1" t="s">
        <x:v>2105</x:v>
      </x:c>
      <x:c r="G14" s="63" t="s">
        <x:v>2095</x:v>
      </x:c>
      <x:c r="H14" s="64" t="s">
        <x:v>15</x:v>
      </x:c>
      <x:c r="I14" s="1" t="s">
        <x:v>75</x:v>
      </x:c>
      <x:c r="J14" s="1" t="s">
        <x:v>235</x:v>
      </x:c>
      <x:c r="K14" s="61" t="s">
        <x:v>2096</x:v>
      </x:c>
    </x:row>
    <x:row r="15">
      <x:c r="A15" s="60">
        <x:v>9</x:v>
      </x:c>
      <x:c r="B15" s="1" t="s">
        <x:v>2072</x:v>
      </x:c>
      <x:c r="C15" s="1" t="s">
        <x:v>2074</x:v>
      </x:c>
      <x:c r="D15" s="1" t="str">
        <x:v>6동 자동가공 / 2동 브레이징·기밀</x:v>
      </x:c>
      <x:c r="E15" s="1" t="s">
        <x:v>2106</x:v>
      </x:c>
      <x:c r="F15" s="1" t="s">
        <x:v>2107</x:v>
      </x:c>
      <x:c r="G15" s="63" t="s">
        <x:v>2095</x:v>
      </x:c>
      <x:c r="H15" s="64" t="s">
        <x:v>15</x:v>
      </x:c>
      <x:c r="I15" s="1" t="s">
        <x:v>75</x:v>
      </x:c>
      <x:c r="J15" s="1" t="s">
        <x:v>558</x:v>
      </x:c>
      <x:c r="K15" s="61" t="s">
        <x:v>2096</x:v>
      </x:c>
    </x:row>
    <x:row r="16">
      <x:c r="A16" s="60">
        <x:v>10</x:v>
      </x:c>
      <x:c r="B16" s="1" t="s">
        <x:v>2072</x:v>
      </x:c>
      <x:c r="C16" s="1" t="s">
        <x:v>2074</x:v>
      </x:c>
      <x:c r="D16" s="1" t="str">
        <x:v>6동 자동가공 / 2동 브레이징·기밀</x:v>
      </x:c>
      <x:c r="E16" s="1" t="s">
        <x:v>2108</x:v>
      </x:c>
      <x:c r="F16" s="1" t="s">
        <x:v>2109</x:v>
      </x:c>
      <x:c r="G16" s="63" t="s">
        <x:v>2095</x:v>
      </x:c>
      <x:c r="H16" s="64" t="s">
        <x:v>15</x:v>
      </x:c>
      <x:c r="I16" s="1" t="s">
        <x:v>75</x:v>
      </x:c>
      <x:c r="J16" s="1" t="s">
        <x:v>622</x:v>
      </x:c>
      <x:c r="K16" s="61" t="s">
        <x:v>2096</x:v>
      </x:c>
    </x:row>
    <x:row r="17">
      <x:c r="A17" s="60">
        <x:v>11</x:v>
      </x:c>
      <x:c r="B17" s="1" t="s">
        <x:v>2072</x:v>
      </x:c>
      <x:c r="C17" s="1" t="s">
        <x:v>2074</x:v>
      </x:c>
      <x:c r="D17" s="1" t="str">
        <x:v>6동 자동가공 / 2동 브레이징·기밀</x:v>
      </x:c>
      <x:c r="E17" s="1" t="s">
        <x:v>2110</x:v>
      </x:c>
      <x:c r="F17" s="1" t="s">
        <x:v>2111</x:v>
      </x:c>
      <x:c r="G17" s="63" t="s">
        <x:v>2095</x:v>
      </x:c>
      <x:c r="H17" s="64" t="s">
        <x:v>15</x:v>
      </x:c>
      <x:c r="I17" s="1" t="s">
        <x:v>75</x:v>
      </x:c>
      <x:c r="J17" s="1" t="s">
        <x:v>335</x:v>
      </x:c>
      <x:c r="K17" s="61" t="s">
        <x:v>2096</x:v>
      </x:c>
    </x:row>
    <x:row r="18">
      <x:c r="A18" s="60">
        <x:v>12</x:v>
      </x:c>
      <x:c r="B18" s="1" t="s">
        <x:v>2072</x:v>
      </x:c>
      <x:c r="C18" s="1" t="s">
        <x:v>2074</x:v>
      </x:c>
      <x:c r="D18" s="1" t="str">
        <x:v>6동 자동가공 / 2동 브레이징·기밀</x:v>
      </x:c>
      <x:c r="E18" s="1" t="s">
        <x:v>2112</x:v>
      </x:c>
      <x:c r="F18" s="1" t="s">
        <x:v>2113</x:v>
      </x:c>
      <x:c r="G18" s="63" t="s">
        <x:v>2095</x:v>
      </x:c>
      <x:c r="H18" s="64" t="s">
        <x:v>15</x:v>
      </x:c>
      <x:c r="I18" s="1" t="s">
        <x:v>75</x:v>
      </x:c>
      <x:c r="J18" s="1" t="s">
        <x:v>2114</x:v>
      </x:c>
      <x:c r="K18" s="61" t="s">
        <x:v>2096</x:v>
      </x:c>
    </x:row>
    <x:row r="19">
      <x:c r="A19" s="60">
        <x:v>13</x:v>
      </x:c>
      <x:c r="B19" s="1" t="s">
        <x:v>2072</x:v>
      </x:c>
      <x:c r="C19" s="1" t="s">
        <x:v>2077</x:v>
      </x:c>
      <x:c r="D19" s="1" t="str">
        <x:v>6동 자동가공 / 2동 브레이징·기밀</x:v>
      </x:c>
      <x:c r="E19" s="1" t="s">
        <x:v>2093</x:v>
      </x:c>
      <x:c r="F19" s="1" t="str">
        <x:v>고객 승인 최신 도면 Rev.01(사용자 확인) / AD 철자·품명/특별특성 사내대조</x:v>
      </x:c>
      <x:c r="G19" s="63" t="str">
        <x:v>도면 Rev.01 / 사내 원본 대조 대기</x:v>
      </x:c>
      <x:c r="H19" s="64" t="s">
        <x:v>15</x:v>
      </x:c>
      <x:c r="I19" s="1" t="s">
        <x:v>75</x:v>
      </x:c>
      <x:c r="J19" s="1" t="s">
        <x:v>339</x:v>
      </x:c>
      <x:c r="K19" s="61" t="str">
        <x:v>기밀 도면 외부 업로드 금지. AD 전개 철자 포함해 내부 확인만 실시</x:v>
      </x:c>
    </x:row>
    <x:row r="20">
      <x:c r="A20" s="60">
        <x:v>14</x:v>
      </x:c>
      <x:c r="B20" s="1" t="s">
        <x:v>2072</x:v>
      </x:c>
      <x:c r="C20" s="1" t="s">
        <x:v>2077</x:v>
      </x:c>
      <x:c r="D20" s="1" t="str">
        <x:v>6동 자동가공 / 2동 브레이징·기밀</x:v>
      </x:c>
      <x:c r="E20" s="1" t="s">
        <x:v>554</x:v>
      </x:c>
      <x:c r="F20" s="1" t="s">
        <x:v>2094</x:v>
      </x:c>
      <x:c r="G20" s="63" t="s">
        <x:v>2095</x:v>
      </x:c>
      <x:c r="H20" s="64" t="s">
        <x:v>15</x:v>
      </x:c>
      <x:c r="I20" s="1" t="s">
        <x:v>75</x:v>
      </x:c>
      <x:c r="J20" s="1" t="s">
        <x:v>558</x:v>
      </x:c>
      <x:c r="K20" s="61" t="s">
        <x:v>2096</x:v>
      </x:c>
    </x:row>
    <x:row r="21">
      <x:c r="A21" s="60">
        <x:v>15</x:v>
      </x:c>
      <x:c r="B21" s="1" t="s">
        <x:v>2072</x:v>
      </x:c>
      <x:c r="C21" s="1" t="s">
        <x:v>2077</x:v>
      </x:c>
      <x:c r="D21" s="1" t="str">
        <x:v>6동 자동가공 / 2동 브레이징·기밀</x:v>
      </x:c>
      <x:c r="E21" s="1" t="s">
        <x:v>559</x:v>
      </x:c>
      <x:c r="F21" s="1" t="s">
        <x:v>2097</x:v>
      </x:c>
      <x:c r="G21" s="63" t="s">
        <x:v>2095</x:v>
      </x:c>
      <x:c r="H21" s="64" t="s">
        <x:v>15</x:v>
      </x:c>
      <x:c r="I21" s="1" t="s">
        <x:v>75</x:v>
      </x:c>
      <x:c r="J21" s="1" t="s">
        <x:v>564</x:v>
      </x:c>
      <x:c r="K21" s="61" t="s">
        <x:v>2096</x:v>
      </x:c>
    </x:row>
    <x:row r="22">
      <x:c r="A22" s="60">
        <x:v>16</x:v>
      </x:c>
      <x:c r="B22" s="1" t="s">
        <x:v>2072</x:v>
      </x:c>
      <x:c r="C22" s="1" t="s">
        <x:v>2077</x:v>
      </x:c>
      <x:c r="D22" s="1" t="str">
        <x:v>6동 자동가공 / 2동 브레이징·기밀</x:v>
      </x:c>
      <x:c r="E22" s="1" t="s">
        <x:v>565</x:v>
      </x:c>
      <x:c r="F22" s="1" t="s">
        <x:v>2098</x:v>
      </x:c>
      <x:c r="G22" s="63" t="s">
        <x:v>2095</x:v>
      </x:c>
      <x:c r="H22" s="64" t="s">
        <x:v>15</x:v>
      </x:c>
      <x:c r="I22" s="1" t="s">
        <x:v>75</x:v>
      </x:c>
      <x:c r="J22" s="1" t="s">
        <x:v>235</x:v>
      </x:c>
      <x:c r="K22" s="61" t="s">
        <x:v>2096</x:v>
      </x:c>
    </x:row>
    <x:row r="23">
      <x:c r="A23" s="60">
        <x:v>17</x:v>
      </x:c>
      <x:c r="B23" s="1" t="s">
        <x:v>2072</x:v>
      </x:c>
      <x:c r="C23" s="1" t="s">
        <x:v>2077</x:v>
      </x:c>
      <x:c r="D23" s="1" t="str">
        <x:v>6동 자동가공 / 2동 브레이징·기밀</x:v>
      </x:c>
      <x:c r="E23" s="1" t="s">
        <x:v>2099</x:v>
      </x:c>
      <x:c r="F23" s="1" t="s">
        <x:v>2100</x:v>
      </x:c>
      <x:c r="G23" s="63" t="s">
        <x:v>2095</x:v>
      </x:c>
      <x:c r="H23" s="64" t="s">
        <x:v>15</x:v>
      </x:c>
      <x:c r="I23" s="1" t="s">
        <x:v>75</x:v>
      </x:c>
      <x:c r="J23" s="1" t="s">
        <x:v>575</x:v>
      </x:c>
      <x:c r="K23" s="61" t="s">
        <x:v>2096</x:v>
      </x:c>
    </x:row>
    <x:row r="24">
      <x:c r="A24" s="60">
        <x:v>18</x:v>
      </x:c>
      <x:c r="B24" s="1" t="s">
        <x:v>2072</x:v>
      </x:c>
      <x:c r="C24" s="1" t="s">
        <x:v>2077</x:v>
      </x:c>
      <x:c r="D24" s="1" t="str">
        <x:v>6동 자동가공 / 2동 브레이징·기밀</x:v>
      </x:c>
      <x:c r="E24" s="1" t="s">
        <x:v>109</x:v>
      </x:c>
      <x:c r="F24" s="1" t="s">
        <x:v>2101</x:v>
      </x:c>
      <x:c r="G24" s="63" t="s">
        <x:v>2095</x:v>
      </x:c>
      <x:c r="H24" s="64" t="s">
        <x:v>15</x:v>
      </x:c>
      <x:c r="I24" s="1" t="s">
        <x:v>75</x:v>
      </x:c>
      <x:c r="J24" s="1" t="s">
        <x:v>235</x:v>
      </x:c>
      <x:c r="K24" s="61" t="s">
        <x:v>2096</x:v>
      </x:c>
    </x:row>
    <x:row r="25">
      <x:c r="A25" s="60">
        <x:v>19</x:v>
      </x:c>
      <x:c r="B25" s="1" t="s">
        <x:v>2072</x:v>
      </x:c>
      <x:c r="C25" s="1" t="s">
        <x:v>2077</x:v>
      </x:c>
      <x:c r="D25" s="1" t="str">
        <x:v>6동 자동가공 / 2동 브레이징·기밀</x:v>
      </x:c>
      <x:c r="E25" s="1" t="s">
        <x:v>2102</x:v>
      </x:c>
      <x:c r="F25" s="1" t="s">
        <x:v>2103</x:v>
      </x:c>
      <x:c r="G25" s="63" t="s">
        <x:v>2095</x:v>
      </x:c>
      <x:c r="H25" s="64" t="s">
        <x:v>15</x:v>
      </x:c>
      <x:c r="I25" s="1" t="s">
        <x:v>75</x:v>
      </x:c>
      <x:c r="J25" s="1" t="s">
        <x:v>235</x:v>
      </x:c>
      <x:c r="K25" s="61" t="s">
        <x:v>2096</x:v>
      </x:c>
    </x:row>
    <x:row r="26">
      <x:c r="A26" s="60">
        <x:v>20</x:v>
      </x:c>
      <x:c r="B26" s="1" t="s">
        <x:v>2072</x:v>
      </x:c>
      <x:c r="C26" s="1" t="s">
        <x:v>2077</x:v>
      </x:c>
      <x:c r="D26" s="1" t="str">
        <x:v>6동 자동가공 / 2동 브레이징·기밀</x:v>
      </x:c>
      <x:c r="E26" s="1" t="s">
        <x:v>2104</x:v>
      </x:c>
      <x:c r="F26" s="1" t="s">
        <x:v>2105</x:v>
      </x:c>
      <x:c r="G26" s="63" t="s">
        <x:v>2095</x:v>
      </x:c>
      <x:c r="H26" s="64" t="s">
        <x:v>15</x:v>
      </x:c>
      <x:c r="I26" s="1" t="s">
        <x:v>75</x:v>
      </x:c>
      <x:c r="J26" s="1" t="s">
        <x:v>235</x:v>
      </x:c>
      <x:c r="K26" s="61" t="s">
        <x:v>2096</x:v>
      </x:c>
    </x:row>
    <x:row r="27">
      <x:c r="A27" s="60">
        <x:v>21</x:v>
      </x:c>
      <x:c r="B27" s="1" t="s">
        <x:v>2072</x:v>
      </x:c>
      <x:c r="C27" s="1" t="s">
        <x:v>2077</x:v>
      </x:c>
      <x:c r="D27" s="1" t="str">
        <x:v>6동 자동가공 / 2동 브레이징·기밀</x:v>
      </x:c>
      <x:c r="E27" s="1" t="s">
        <x:v>2106</x:v>
      </x:c>
      <x:c r="F27" s="1" t="s">
        <x:v>2107</x:v>
      </x:c>
      <x:c r="G27" s="63" t="s">
        <x:v>2095</x:v>
      </x:c>
      <x:c r="H27" s="64" t="s">
        <x:v>15</x:v>
      </x:c>
      <x:c r="I27" s="1" t="s">
        <x:v>75</x:v>
      </x:c>
      <x:c r="J27" s="1" t="s">
        <x:v>558</x:v>
      </x:c>
      <x:c r="K27" s="61" t="s">
        <x:v>2096</x:v>
      </x:c>
    </x:row>
    <x:row r="28">
      <x:c r="A28" s="60">
        <x:v>22</x:v>
      </x:c>
      <x:c r="B28" s="1" t="s">
        <x:v>2072</x:v>
      </x:c>
      <x:c r="C28" s="1" t="s">
        <x:v>2077</x:v>
      </x:c>
      <x:c r="D28" s="1" t="str">
        <x:v>6동 자동가공 / 2동 브레이징·기밀</x:v>
      </x:c>
      <x:c r="E28" s="1" t="s">
        <x:v>2108</x:v>
      </x:c>
      <x:c r="F28" s="1" t="s">
        <x:v>2109</x:v>
      </x:c>
      <x:c r="G28" s="63" t="s">
        <x:v>2095</x:v>
      </x:c>
      <x:c r="H28" s="64" t="s">
        <x:v>15</x:v>
      </x:c>
      <x:c r="I28" s="1" t="s">
        <x:v>75</x:v>
      </x:c>
      <x:c r="J28" s="1" t="s">
        <x:v>622</x:v>
      </x:c>
      <x:c r="K28" s="61" t="s">
        <x:v>2096</x:v>
      </x:c>
    </x:row>
    <x:row r="29">
      <x:c r="A29" s="60">
        <x:v>23</x:v>
      </x:c>
      <x:c r="B29" s="1" t="s">
        <x:v>2072</x:v>
      </x:c>
      <x:c r="C29" s="1" t="s">
        <x:v>2077</x:v>
      </x:c>
      <x:c r="D29" s="1" t="str">
        <x:v>6동 자동가공 / 2동 브레이징·기밀</x:v>
      </x:c>
      <x:c r="E29" s="1" t="s">
        <x:v>2110</x:v>
      </x:c>
      <x:c r="F29" s="1" t="s">
        <x:v>2111</x:v>
      </x:c>
      <x:c r="G29" s="63" t="s">
        <x:v>2095</x:v>
      </x:c>
      <x:c r="H29" s="64" t="s">
        <x:v>15</x:v>
      </x:c>
      <x:c r="I29" s="1" t="s">
        <x:v>75</x:v>
      </x:c>
      <x:c r="J29" s="1" t="s">
        <x:v>335</x:v>
      </x:c>
      <x:c r="K29" s="61" t="s">
        <x:v>2096</x:v>
      </x:c>
    </x:row>
    <x:row r="30">
      <x:c r="A30" s="49">
        <x:v>24</x:v>
      </x:c>
      <x:c r="B30" s="50" t="s">
        <x:v>2072</x:v>
      </x:c>
      <x:c r="C30" s="50" t="s">
        <x:v>2077</x:v>
      </x:c>
      <x:c r="D30" s="50" t="str">
        <x:v>6동 자동가공 / 2동 브레이징·기밀</x:v>
      </x:c>
      <x:c r="E30" s="50" t="s">
        <x:v>2112</x:v>
      </x:c>
      <x:c r="F30" s="50" t="s">
        <x:v>2113</x:v>
      </x:c>
      <x:c r="G30" s="57" t="s">
        <x:v>2095</x:v>
      </x:c>
      <x:c r="H30" s="55" t="s">
        <x:v>15</x:v>
      </x:c>
      <x:c r="I30" s="50" t="s">
        <x:v>75</x:v>
      </x:c>
      <x:c r="J30" s="50" t="s">
        <x:v>2114</x:v>
      </x:c>
      <x:c r="K30" s="51" t="s">
        <x:v>2096</x:v>
      </x:c>
    </x:row>
    <x:row r="33">
      <x:c r="A33" s="65" t="s">
        <x:v>2115</x:v>
      </x:c>
      <x:c r="B33" s="66"/>
      <x:c r="C33" s="66"/>
      <x:c r="D33" s="66"/>
      <x:c r="E33" s="66" t="s">
        <x:v>2116</x:v>
      </x:c>
      <x:c r="F33" s="66" t="n">
        <x:f>COUNTIF(I7:I30,"검증완료")</x:f>
        <x:v>0</x:v>
      </x:c>
      <x:c r="G33" s="66" t="s">
        <x:v>2117</x:v>
      </x:c>
      <x:c r="H33" s="67" t="n">
        <x:f>COUNTIF(I7:I30,"검증완료")/24</x:f>
        <x:v>0</x:v>
      </x:c>
      <x:c r="I33" s="66"/>
      <x:c r="J33" s="66"/>
      <x:c r="K33" s="68"/>
    </x:row>
  </x:sheetData>
  <x:mergeCells>
    <x:mergeCell ref="A1:K2"/>
    <x:mergeCell ref="A3:K4"/>
  </x:mergeCells>
  <x:conditionalFormatting sqref="I7:I30">
    <x:cfRule type="expression" dxfId="1" priority="1">
      <x:formula>I7="검증완료"</x:formula>
    </x:cfRule>
    <x:cfRule type="expression" dxfId="0" priority="2">
      <x:formula>I7="보완필요"</x:formula>
    </x:cfRule>
  </x:conditionalFormatting>
  <x:dataValidations count="2">
    <x:dataValidation type="list" sqref="I7:I30">
      <x:formula1>"보완필요,검토중,검증완료,해당없음(승인근거)"</x:formula1>
    </x:dataValidation>
    <x:dataValidation type="list" sqref="H7:H30">
      <x:formula1>"미확인,개별문서 적용,공용문서 적용 확인,해당없음(근거)"</x:formula1>
    </x:dataValidation>
  </x:dataValidations>
  <x:pageMargins left="0.7" right="0.7" top="0.75" bottom="0.75" header="0.3" footer="0.3"/>
</x:worksheet>
</file>

<file path=xl/worksheets/sheet22.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hidden="0" customWidth="1"/>
    <x:col min="2" max="2" width="15" hidden="0" customWidth="1"/>
    <x:col min="3" max="3" width="10" hidden="0" customWidth="1"/>
    <x:col min="4" max="4" width="8" hidden="0" customWidth="1"/>
    <x:col min="5" max="5" width="31" hidden="0" customWidth="1"/>
    <x:col min="6" max="6" width="25" hidden="0" customWidth="1"/>
    <x:col min="7" max="7" width="18" hidden="0" customWidth="1"/>
    <x:col min="8" max="8" width="38" hidden="0" customWidth="1"/>
    <x:col min="9" max="9" width="46" hidden="0" customWidth="1"/>
    <x:col min="10" max="10" width="34" hidden="0" customWidth="1"/>
    <x:col min="11" max="11" width="14" hidden="0" customWidth="1"/>
    <x:col min="12" max="12" width="13" hidden="0" customWidth="1"/>
    <x:col min="13" max="13" width="15" hidden="0" customWidth="1"/>
    <x:col min="14" max="14" width="14" hidden="0" customWidth="1"/>
    <x:col min="15" max="15" width="13" hidden="0" customWidth="1"/>
    <x:col min="16" max="16" width="14" hidden="0" customWidth="1"/>
    <x:col min="17" max="17" width="13" hidden="0" customWidth="1"/>
    <x:col min="18" max="18" width="31" hidden="0" customWidth="1"/>
    <x:col min="19" max="19" width="13" hidden="0" customWidth="1"/>
    <x:col min="20" max="20" width="14" hidden="0" customWidth="1"/>
    <x:col min="21" max="21" width="31" hidden="0" customWidth="1"/>
  </x:cols>
  <x:sheetData>
    <x:row r="1">
      <x:c r="A1" s="543" t="str">
        <x:v>3단계 | SQ 평가코드별 현장 실행·증빙판정</x:v>
      </x:c>
      <x:c r="B1" s="543"/>
      <x:c r="C1" s="543"/>
      <x:c r="D1" s="543"/>
      <x:c r="E1" s="543"/>
      <x:c r="F1" s="543"/>
      <x:c r="G1" s="543"/>
      <x:c r="H1" s="543"/>
      <x:c r="I1" s="543"/>
      <x:c r="J1" s="543"/>
      <x:c r="K1" s="543"/>
      <x:c r="L1" s="543"/>
      <x:c r="M1" s="543"/>
      <x:c r="N1" s="543"/>
      <x:c r="O1" s="543"/>
      <x:c r="P1" s="543"/>
      <x:c r="Q1" s="543"/>
      <x:c r="R1" s="543"/>
      <x:c r="S1" s="543"/>
      <x:c r="T1" s="543"/>
      <x:c r="U1" s="543"/>
    </x:row>
    <x:row r="2">
      <x:c r="A2" s="543"/>
      <x:c r="B2" s="543"/>
      <x:c r="C2" s="543"/>
      <x:c r="D2" s="543"/>
      <x:c r="E2" s="543"/>
      <x:c r="F2" s="543"/>
      <x:c r="G2" s="543"/>
      <x:c r="H2" s="543"/>
      <x:c r="I2" s="543"/>
      <x:c r="J2" s="543"/>
      <x:c r="K2" s="543"/>
      <x:c r="L2" s="543"/>
      <x:c r="M2" s="543"/>
      <x:c r="N2" s="543"/>
      <x:c r="O2" s="543"/>
      <x:c r="P2" s="543"/>
      <x:c r="Q2" s="543"/>
      <x:c r="R2" s="543"/>
      <x:c r="S2" s="543"/>
      <x:c r="T2" s="543"/>
      <x:c r="U2" s="543"/>
    </x:row>
    <x:row r="3">
      <x:c r="A3" s="561" t="str">
        <x:v>Rev.08 공정 범위: 6동 벤딩·포밍·커팅·코킹 자동가공 → 2동 자동2호기 브레이징·기밀검사. G(해당 여부), J(실제 증빙), K/L/M(문서·현장·실제기록), N/O(확인자·일자) 입력→P/Q 자동 판정. 원문 43개 평가코드 행/1,000점은 원본 보존, 도면·승인조건·실제 검사성적은 사내 대조 필요.</x:v>
      </x:c>
      <x:c r="B3" s="562"/>
      <x:c r="C3" s="562"/>
      <x:c r="D3" s="562"/>
      <x:c r="E3" s="562"/>
      <x:c r="F3" s="562"/>
      <x:c r="G3" s="562"/>
      <x:c r="H3" s="562"/>
      <x:c r="I3" s="562"/>
      <x:c r="J3" s="562"/>
      <x:c r="K3" s="562"/>
      <x:c r="L3" s="562"/>
      <x:c r="M3" s="562"/>
      <x:c r="N3" s="562"/>
      <x:c r="O3" s="562"/>
      <x:c r="P3" s="562"/>
      <x:c r="Q3" s="562"/>
      <x:c r="R3" s="562"/>
      <x:c r="S3" s="562"/>
      <x:c r="T3" s="562"/>
      <x:c r="U3" s="563"/>
    </x:row>
    <x:row r="4">
      <x:c r="A4" s="564"/>
      <x:c r="B4" s="565"/>
      <x:c r="C4" s="565"/>
      <x:c r="D4" s="565"/>
      <x:c r="E4" s="565"/>
      <x:c r="F4" s="565"/>
      <x:c r="G4" s="565"/>
      <x:c r="H4" s="565"/>
      <x:c r="I4" s="565"/>
      <x:c r="J4" s="565"/>
      <x:c r="K4" s="565"/>
      <x:c r="L4" s="565"/>
      <x:c r="M4" s="565"/>
      <x:c r="N4" s="565"/>
      <x:c r="O4" s="565"/>
      <x:c r="P4" s="565"/>
      <x:c r="Q4" s="565"/>
      <x:c r="R4" s="565"/>
      <x:c r="S4" s="565"/>
      <x:c r="T4" s="565"/>
      <x:c r="U4" s="566"/>
    </x:row>
    <x:row r="6">
      <x:c r="A6" s="597" t="str">
        <x:v>원문 No</x:v>
      </x:c>
      <x:c r="B6" s="598" t="str">
        <x:v>평가분야</x:v>
      </x:c>
      <x:c r="C6" s="598" t="str">
        <x:v>원문 코드</x:v>
      </x:c>
      <x:c r="D6" s="598" t="str">
        <x:v>배점</x:v>
      </x:c>
      <x:c r="E6" s="598" t="str">
        <x:v>평가항목(원문)</x:v>
      </x:c>
      <x:c r="F6" s="598" t="str">
        <x:v>원문 담당/부서</x:v>
      </x:c>
      <x:c r="G6" s="598" t="str">
        <x:v>6동/2동 공정 적용</x:v>
      </x:c>
      <x:c r="H6" s="598" t="str">
        <x:v>준비서류(원본 발췌)</x:v>
      </x:c>
      <x:c r="I6" s="598" t="str">
        <x:v>요구·현장 점검핵심</x:v>
      </x:c>
      <x:c r="J6" s="598" t="str">
        <x:v>실제 증빙번호/사내 위치</x:v>
      </x:c>
      <x:c r="K6" s="598" t="str">
        <x:v>문서·Rev 확인</x:v>
      </x:c>
      <x:c r="L6" s="598" t="str">
        <x:v>현장 일치</x:v>
      </x:c>
      <x:c r="M6" s="598" t="str">
        <x:v>최근 기록 확인</x:v>
      </x:c>
      <x:c r="N6" s="598" t="str">
        <x:v>확인자</x:v>
      </x:c>
      <x:c r="O6" s="598" t="str">
        <x:v>확인일</x:v>
      </x:c>
      <x:c r="P6" s="598" t="str">
        <x:v>자동 증빙확인판정</x:v>
      </x:c>
      <x:c r="Q6" s="598" t="str">
        <x:v>확인배점(내부, 공식점수 아님)</x:v>
      </x:c>
      <x:c r="R6" s="598" t="str">
        <x:v>미흡·시정조치</x:v>
      </x:c>
      <x:c r="S6" s="598" t="str">
        <x:v>우선도</x:v>
      </x:c>
      <x:c r="T6" s="598" t="str">
        <x:v>목표일(제안)</x:v>
      </x:c>
      <x:c r="U6" s="599" t="str">
        <x:v>원문행/주의</x:v>
      </x:c>
    </x:row>
    <x:row r="7" ht="84" customHeight="1">
      <x:c r="A7" s="631" t="n">
        <x:v>1</x:v>
      </x:c>
      <x:c r="B7" s="632" t="str">
        <x:v>생산조건관리</x:v>
      </x:c>
      <x:c r="C7" s="632" t="str">
        <x:v>1-1</x:v>
      </x:c>
      <x:c r="D7" s="632" t="n">
        <x:v>20</x:v>
      </x:c>
      <x:c r="E7" s="632" t="str">
        <x:v>표준류 작성및 준수상태</x:v>
      </x:c>
      <x:c r="F7" s="632" t="str">
        <x:v>이광재 / 지성규 / 품질팀 / 생산팀</x:v>
      </x:c>
      <x:c r="G7" s="669" t="str">
        <x:v>미확인</x:v>
      </x:c>
      <x:c r="H7" s="632" t="str">
        <x:v>- P-FMEA
- 관리계획서
- 작업표준서
-설비일상점검표
-고객승인 검사협정 / ISIR 서류</x:v>
      </x:c>
      <x:c r="I7" s="632" t="str">
        <x:v>표준류(관리계획서, 작업표준서, 설비일상점검표 등)와 실제공정 일치성 확인[관리 분담 등]
고객과 협의된 검사협정서/검사기준서 기준과 실제 업무절차 일치성
공정 FMEA작성 및 주요 품질 문서 내용과 연계상태 확인
[현장연계] 관리본 배포</x:v>
      </x:c>
      <x:c r="J7" s="1371" t="str"/>
      <x:c r="K7" s="1215" t="str">
        <x:v>미확인</x:v>
      </x:c>
      <x:c r="L7" s="1215" t="str">
        <x:v>미확인</x:v>
      </x:c>
      <x:c r="M7" s="1215" t="str">
        <x:v>미확인</x:v>
      </x:c>
      <x:c r="N7" s="1215" t="str"/>
      <x:c r="O7" s="1221" t="str"/>
      <x:c r="P7" s="1368" t="str">
        <x:f>IF(AND(G7="해당",J7&lt;&gt;"",LEFT(TRIM(J7),1)&lt;&gt;"[",K7="일치",L7="일치",M7="확인",N7&lt;&gt;"",O7&lt;&gt;""),"증빙확인",IF(AND(G7="비적용(사내근거 확인)",J7&lt;&gt;"",LEFT(TRIM(J7),1)&lt;&gt;"[",N7&lt;&gt;"",O7&lt;&gt;""),"비적용검토","미확인"))</x:f>
        <x:v>미확인</x:v>
      </x:c>
      <x:c r="Q7" s="1368" t="n">
        <x:f>IF(AND(P7="증빙확인",ISNUMBER(D7)),D7,0)</x:f>
        <x:v>0</x:v>
      </x:c>
      <x:c r="R7" s="669" t="str"/>
      <x:c r="S7" s="632" t="str">
        <x:v>B</x:v>
      </x:c>
      <x:c r="T7" s="669" t="str">
        <x:v>2026-11-03</x:v>
      </x:c>
      <x:c r="U7" s="633" t="str">
        <x:v>5행 / 원문 기재값 보존</x:v>
      </x:c>
    </x:row>
    <x:row r="8" ht="84" customHeight="1">
      <x:c r="A8" s="634" t="n">
        <x:v>2</x:v>
      </x:c>
      <x:c r="B8" s="635" t="str">
        <x:v>생산조건관리</x:v>
      </x:c>
      <x:c r="C8" s="635" t="str">
        <x:v>1-2</x:v>
      </x:c>
      <x:c r="D8" s="635" t="n">
        <x:v>20</x:v>
      </x:c>
      <x:c r="E8" s="635" t="str">
        <x:v>설비 가동중단(계획/비계획)후
재가동시 업무처리 절차 수립
및 준수상태</x:v>
      </x:c>
      <x:c r="F8" s="635" t="str">
        <x:v>지성규 / 이광재 / 생산팀 / 품질팀</x:v>
      </x:c>
      <x:c r="G8" s="670" t="str">
        <x:v>미확인</x:v>
      </x:c>
      <x:c r="H8" s="635" t="str">
        <x:v>- 설비재가동업무 프로세스
(계획/비계획정지 기준 명확화)
- 설비가동중단 LIST (설비이력카드 연계)
- 재가동 초품 검사 체크시트
-재가동 초도생산품 LOT식별관리 기준서</x:v>
      </x:c>
      <x:c r="I8" s="635" t="str">
        <x:v>설비 가동중단 발생시 설비점검 절차 수립 및 준수상태
※ 계획 : 가동중단 시간별/사유별 점검절차 수립 및 이행
비계획 : 이상발생 가동중단 발생시 설비 점검 지침, 생산중인 제품에 대한 품질보증 업무절차 수립 및 이행
[현장연계] 관리본 배포</x:v>
      </x:c>
      <x:c r="J8" s="1372" t="str"/>
      <x:c r="K8" s="933" t="str">
        <x:v>미확인</x:v>
      </x:c>
      <x:c r="L8" s="933" t="str">
        <x:v>미확인</x:v>
      </x:c>
      <x:c r="M8" s="933" t="str">
        <x:v>미확인</x:v>
      </x:c>
      <x:c r="N8" s="933" t="str"/>
      <x:c r="O8" s="1223" t="str"/>
      <x:c r="P8" s="1369" t="str">
        <x:f>IF(AND(G8="해당",J8&lt;&gt;"",LEFT(TRIM(J8),1)&lt;&gt;"[",K8="일치",L8="일치",M8="확인",N8&lt;&gt;"",O8&lt;&gt;""),"증빙확인",IF(AND(G8="비적용(사내근거 확인)",J8&lt;&gt;"",LEFT(TRIM(J8),1)&lt;&gt;"[",N8&lt;&gt;"",O8&lt;&gt;""),"비적용검토","미확인"))</x:f>
        <x:v>미확인</x:v>
      </x:c>
      <x:c r="Q8" s="1369" t="n">
        <x:f>IF(AND(P8="증빙확인",ISNUMBER(D8)),D8,0)</x:f>
        <x:v>0</x:v>
      </x:c>
      <x:c r="R8" s="670" t="str"/>
      <x:c r="S8" s="635" t="str">
        <x:v>B</x:v>
      </x:c>
      <x:c r="T8" s="670" t="str">
        <x:v>2026-11-03</x:v>
      </x:c>
      <x:c r="U8" s="636" t="str">
        <x:v>11행 / 원문 기재값 보존</x:v>
      </x:c>
    </x:row>
    <x:row r="9" ht="84" customHeight="1">
      <x:c r="A9" s="634" t="n">
        <x:v>3</x:v>
      </x:c>
      <x:c r="B9" s="635" t="str">
        <x:v>생산조건관리</x:v>
      </x:c>
      <x:c r="C9" s="635" t="str">
        <x:v>1-3</x:v>
      </x:c>
      <x:c r="D9" s="635" t="n">
        <x:v>10</x:v>
      </x:c>
      <x:c r="E9" s="635" t="str">
        <x:v>외국인 배치 운영공정 현지어
번역/게시된 표준류 반영상태</x:v>
      </x:c>
      <x:c r="F9" s="635" t="str">
        <x:v>지성규 / 이광재 / 생산팀 / 품질팀</x:v>
      </x:c>
      <x:c r="G9" s="670" t="str">
        <x:v>미확인</x:v>
      </x:c>
      <x:c r="H9" s="635" t="str">
        <x:v>- 작업표준서 현지어번역본
-설비일상점검표 현지어 번역본
-작업일보 현지어 번역본
-부적합처리기준 현지어번역본
-외관검사기준 현지어번역본</x:v>
      </x:c>
      <x:c r="I9" s="635" t="str">
        <x:v>작업표준서, 설비일상점검 기준표, 작업일보 등 외국인 배치공정 표준류 현지어 번역 게시상태
: 부적합 처리절차 및 중요 품질문제 개선 사례등 품질의식 강화목적 표준류 번역 게시 (추가 관리시 우수)
※ 해당공정 외국인작업자 주요 표준류 교육 및 내용 숙지 시 현지어 번역게시 불필요(현장확인 필요)
[현장연계] 관리본 배포</x:v>
      </x:c>
      <x:c r="J9" s="1372" t="str"/>
      <x:c r="K9" s="933" t="str">
        <x:v>미확인</x:v>
      </x:c>
      <x:c r="L9" s="933" t="str">
        <x:v>미확인</x:v>
      </x:c>
      <x:c r="M9" s="933" t="str">
        <x:v>미확인</x:v>
      </x:c>
      <x:c r="N9" s="933" t="str"/>
      <x:c r="O9" s="1223" t="str"/>
      <x:c r="P9" s="1369" t="str">
        <x:f>IF(AND(G9="해당",J9&lt;&gt;"",LEFT(TRIM(J9),1)&lt;&gt;"[",K9="일치",L9="일치",M9="확인",N9&lt;&gt;"",O9&lt;&gt;""),"증빙확인",IF(AND(G9="비적용(사내근거 확인)",J9&lt;&gt;"",LEFT(TRIM(J9),1)&lt;&gt;"[",N9&lt;&gt;"",O9&lt;&gt;""),"비적용검토","미확인"))</x:f>
        <x:v>미확인</x:v>
      </x:c>
      <x:c r="Q9" s="1369" t="n">
        <x:f>IF(AND(P9="증빙확인",ISNUMBER(D9)),D9,0)</x:f>
        <x:v>0</x:v>
      </x:c>
      <x:c r="R9" s="670" t="str"/>
      <x:c r="S9" s="635" t="str">
        <x:v>B</x:v>
      </x:c>
      <x:c r="T9" s="670" t="str">
        <x:v>2026-11-03</x:v>
      </x:c>
      <x:c r="U9" s="636" t="str">
        <x:v>17행 / 원문 기재값 보존</x:v>
      </x:c>
    </x:row>
    <x:row r="10" ht="84" customHeight="1">
      <x:c r="A10" s="634" t="n">
        <x:v>4</x:v>
      </x:c>
      <x:c r="B10" s="635" t="str">
        <x:v>생산조건관리</x:v>
      </x:c>
      <x:c r="C10" s="635" t="str">
        <x:v>1-4</x:v>
      </x:c>
      <x:c r="D10" s="635" t="n">
        <x:v>20</x:v>
      </x:c>
      <x:c r="E10" s="635" t="str">
        <x:v>품질관리 취약 시간대 관리기준
수립 및 관리상태</x:v>
      </x:c>
      <x:c r="F10" s="635" t="str">
        <x:v>지성규 / 이광재 / 생산팀 / 품질팀</x:v>
      </x:c>
      <x:c r="G10" s="670" t="str">
        <x:v>미확인</x:v>
      </x:c>
      <x:c r="H10" s="635" t="str">
        <x:v>-품질취약시간관리기준서
-비상연락망
-주야간업무 인수인계서
-야간설비일상점검표
-야간생산품 식별격리절차
-야간생산품 검사일지</x:v>
      </x:c>
      <x:c r="I10" s="635" t="str">
        <x:v>품질관리 취약 시간대 관리기준 수립 및 관리상태
- 주간/야간 작업전 일상점검, 자주검사 및 순회검사 관리기준 수립 및 관리상태
- 주간/야간 교대 시 공정 Issue 사항 전달 여부
[현장연계] 관리본 배포</x:v>
      </x:c>
      <x:c r="J10" s="1372" t="str"/>
      <x:c r="K10" s="933" t="str">
        <x:v>미확인</x:v>
      </x:c>
      <x:c r="L10" s="933" t="str">
        <x:v>미확인</x:v>
      </x:c>
      <x:c r="M10" s="933" t="str">
        <x:v>미확인</x:v>
      </x:c>
      <x:c r="N10" s="933" t="str"/>
      <x:c r="O10" s="1223" t="str"/>
      <x:c r="P10" s="1369" t="str">
        <x:f>IF(AND(G10="해당",J10&lt;&gt;"",LEFT(TRIM(J10),1)&lt;&gt;"[",K10="일치",L10="일치",M10="확인",N10&lt;&gt;"",O10&lt;&gt;""),"증빙확인",IF(AND(G10="비적용(사내근거 확인)",J10&lt;&gt;"",LEFT(TRIM(J10),1)&lt;&gt;"[",N10&lt;&gt;"",O10&lt;&gt;""),"비적용검토","미확인"))</x:f>
        <x:v>미확인</x:v>
      </x:c>
      <x:c r="Q10" s="1369" t="n">
        <x:f>IF(AND(P10="증빙확인",ISNUMBER(D10)),D10,0)</x:f>
        <x:v>0</x:v>
      </x:c>
      <x:c r="R10" s="670" t="str"/>
      <x:c r="S10" s="635" t="str">
        <x:v>B</x:v>
      </x:c>
      <x:c r="T10" s="670" t="str">
        <x:v>2026-11-03</x:v>
      </x:c>
      <x:c r="U10" s="636" t="str">
        <x:v>22행 / 원문 기재값 보존</x:v>
      </x:c>
    </x:row>
    <x:row r="11" ht="84" customHeight="1">
      <x:c r="A11" s="634" t="n">
        <x:v>5</x:v>
      </x:c>
      <x:c r="B11" s="635" t="str">
        <x:v>생산조건관리</x:v>
      </x:c>
      <x:c r="C11" s="635" t="str">
        <x:v>1-5</x:v>
      </x:c>
      <x:c r="D11" s="635" t="n">
        <x:v>70</x:v>
      </x:c>
      <x:c r="E11" s="635" t="str">
        <x:v>주요조건 기준수립및 현장관리
상태 비교검증</x:v>
      </x:c>
      <x:c r="F11" s="635" t="str">
        <x:v>지성규 / 황지환 / 생산팀 / 생산기술</x:v>
      </x:c>
      <x:c r="G11" s="670" t="str">
        <x:v>미확인</x:v>
      </x:c>
      <x:c r="H11" s="635" t="str">
        <x:v>-작업표준서 OR 작업조건표
-작업일보
(작업일보내작업조건필히기록)
-로봇용접프로그램백업관리기준서
-로봇용접프로그램백업관리실적
-용접조건 검증체크시트</x:v>
      </x:c>
      <x:c r="I11" s="635" t="str">
        <x:v>▣ CO2 용접
   ▷ 주요조건 (전류.전압.속도.가스유량) 기준수립 및 현장 관리 상태 비교검증 실시.
    - 전류.전압.가스  표준조건 대비 게이지 현재값 일상 체크 및 기록관리
    - 전류.전압 게이지 현재값 실측 검증  (측정주기 자체설정. 단 주기설정 근거보관 필요)
    - 로봇 용접 프로그램 백업 관리 (궤적.티칭각도 등)
▣ 스폿 용접 
   ▷ 주요조건(가압력.전류.통전시간) 기준수립 및 표준 대비, 현장 관리 상태 비교검증 실시.
    - 가압력,전류.통전시간등 표준조건 대비 게이지 현재값 일상 체크 및 기록관리
    - 가압력 점검 (가압력계)    - (측정주기 자체설정. 단 주기설정 근거보관 필요)
    - 전류. 통전시간 점검 (웰드체카)    - (측정주기 자체설정. 단 주기설정 근거보관 필요)
[현장연계] 관리본 배포</x:v>
      </x:c>
      <x:c r="J11" s="1372" t="str"/>
      <x:c r="K11" s="933" t="str">
        <x:v>미확인</x:v>
      </x:c>
      <x:c r="L11" s="933" t="str">
        <x:v>미확인</x:v>
      </x:c>
      <x:c r="M11" s="933" t="str">
        <x:v>미확인</x:v>
      </x:c>
      <x:c r="N11" s="933" t="str"/>
      <x:c r="O11" s="1223" t="str"/>
      <x:c r="P11" s="1369" t="str">
        <x:f>IF(AND(G11="해당",J11&lt;&gt;"",LEFT(TRIM(J11),1)&lt;&gt;"[",K11="일치",L11="일치",M11="확인",N11&lt;&gt;"",O11&lt;&gt;""),"증빙확인",IF(AND(G11="비적용(사내근거 확인)",J11&lt;&gt;"",LEFT(TRIM(J11),1)&lt;&gt;"[",N11&lt;&gt;"",O11&lt;&gt;""),"비적용검토","미확인"))</x:f>
        <x:v>미확인</x:v>
      </x:c>
      <x:c r="Q11" s="1369" t="n">
        <x:f>IF(AND(P11="증빙확인",ISNUMBER(D11)),D11,0)</x:f>
        <x:v>0</x:v>
      </x:c>
      <x:c r="R11" s="670" t="str"/>
      <x:c r="S11" s="635" t="str">
        <x:v>A (우선)</x:v>
      </x:c>
      <x:c r="T11" s="670" t="str">
        <x:v>2026-10-29</x:v>
      </x:c>
      <x:c r="U11" s="636" t="str">
        <x:v>29행 / 원문 기재값 보존</x:v>
      </x:c>
    </x:row>
    <x:row r="12" ht="84" customHeight="1">
      <x:c r="A12" s="634" t="n">
        <x:v>6</x:v>
      </x:c>
      <x:c r="B12" s="635" t="str">
        <x:v>검사시험</x:v>
      </x:c>
      <x:c r="C12" s="635" t="str">
        <x:v>2-1</x:v>
      </x:c>
      <x:c r="D12" s="635" t="n">
        <x:v>40</x:v>
      </x:c>
      <x:c r="E12" s="635" t="str">
        <x:v>수입검사 실시기준 수립 및
준수상태</x:v>
      </x:c>
      <x:c r="F12" s="635" t="str">
        <x:v>이은주
박철호 / 구매자재팀</x:v>
      </x:c>
      <x:c r="G12" s="670" t="str">
        <x:v>미확인</x:v>
      </x:c>
      <x:c r="H12" s="635" t="str">
        <x:v>-원자재 검사협정서  OR 검사기준서
-원자재 입고 LIST
-원자재수입검사 기준서
-원자재수입검사 일지
-원자재 M/SHEET (입고LOT별 접수)
-원자재 규격별 물성및 화학조성비 기준서</x:v>
      </x:c>
      <x:c r="I12" s="635" t="str">
        <x:v>검사협정서/기준서 체결상태
(사급품은 1차 협력사가 체결한 검사협정서 사본 접수 및 동일 시료/주기로 검사 실시 필요)
→ 검사협정 체결이 어려울 시 검사기준서 수립으로 대체 (예: 대기업 공급 원재료,도금업종 등)
[현장연계] 관리본 배포</x:v>
      </x:c>
      <x:c r="J12" s="1372" t="str"/>
      <x:c r="K12" s="933" t="str">
        <x:v>미확인</x:v>
      </x:c>
      <x:c r="L12" s="933" t="str">
        <x:v>미확인</x:v>
      </x:c>
      <x:c r="M12" s="933" t="str">
        <x:v>미확인</x:v>
      </x:c>
      <x:c r="N12" s="933" t="str"/>
      <x:c r="O12" s="1223" t="str"/>
      <x:c r="P12" s="1369" t="str">
        <x:f>IF(AND(G12="해당",J12&lt;&gt;"",LEFT(TRIM(J12),1)&lt;&gt;"[",K12="일치",L12="일치",M12="확인",N12&lt;&gt;"",O12&lt;&gt;""),"증빙확인",IF(AND(G12="비적용(사내근거 확인)",J12&lt;&gt;"",LEFT(TRIM(J12),1)&lt;&gt;"[",N12&lt;&gt;"",O12&lt;&gt;""),"비적용검토","미확인"))</x:f>
        <x:v>미확인</x:v>
      </x:c>
      <x:c r="Q12" s="1369" t="n">
        <x:f>IF(AND(P12="증빙확인",ISNUMBER(D12)),D12,0)</x:f>
        <x:v>0</x:v>
      </x:c>
      <x:c r="R12" s="670" t="str"/>
      <x:c r="S12" s="635" t="str">
        <x:v>A (우선)</x:v>
      </x:c>
      <x:c r="T12" s="670" t="str">
        <x:v>2026-10-29</x:v>
      </x:c>
      <x:c r="U12" s="636" t="str">
        <x:v>40행 / 원문 기재값 보존</x:v>
      </x:c>
    </x:row>
    <x:row r="13" ht="84" customHeight="1">
      <x:c r="A13" s="634" t="n">
        <x:v>7</x:v>
      </x:c>
      <x:c r="B13" s="635" t="str">
        <x:v>검사시험</x:v>
      </x:c>
      <x:c r="C13" s="635" t="str">
        <x:v>2-2</x:v>
      </x:c>
      <x:c r="D13" s="635" t="n">
        <x:v>30</x:v>
      </x:c>
      <x:c r="E13" s="635" t="str">
        <x:v>수입검사 누락방지 절차 수립
수입검사 대장 LIST 작성및 준수
불량품 처리절차 수립 및 준수</x:v>
      </x:c>
      <x:c r="F13" s="635" t="str">
        <x:v>김명용 / 이은주 / 이광재 / 품질팀 / 구매자재팀</x:v>
      </x:c>
      <x:c r="G13" s="670" t="str">
        <x:v>미확인</x:v>
      </x:c>
      <x:c r="H13" s="635" t="str">
        <x:v>-외주품 수입검사기준서
-외주품입고식별표
-외주품 부적합처리기준서
- 외주품 검사협정서
- 외주품 검사기준서</x:v>
      </x:c>
      <x:c r="I13" s="635" t="str">
        <x:v>외주품 입고시 수입검사 마스터 관리 대장 작성을 통한 검사 누락 예방
수입검사 실시 전 외주품/원재료 입고처리 안되도록 업무 프로세스 수립
[현장연계] 관리본 배포</x:v>
      </x:c>
      <x:c r="J13" s="1372" t="str"/>
      <x:c r="K13" s="933" t="str">
        <x:v>미확인</x:v>
      </x:c>
      <x:c r="L13" s="933" t="str">
        <x:v>미확인</x:v>
      </x:c>
      <x:c r="M13" s="933" t="str">
        <x:v>미확인</x:v>
      </x:c>
      <x:c r="N13" s="933" t="str"/>
      <x:c r="O13" s="1223" t="str"/>
      <x:c r="P13" s="1369" t="str">
        <x:f>IF(AND(G13="해당",J13&lt;&gt;"",LEFT(TRIM(J13),1)&lt;&gt;"[",K13="일치",L13="일치",M13="확인",N13&lt;&gt;"",O13&lt;&gt;""),"증빙확인",IF(AND(G13="비적용(사내근거 확인)",J13&lt;&gt;"",LEFT(TRIM(J13),1)&lt;&gt;"[",N13&lt;&gt;"",O13&lt;&gt;""),"비적용검토","미확인"))</x:f>
        <x:v>미확인</x:v>
      </x:c>
      <x:c r="Q13" s="1369" t="n">
        <x:f>IF(AND(P13="증빙확인",ISNUMBER(D13)),D13,0)</x:f>
        <x:v>0</x:v>
      </x:c>
      <x:c r="R13" s="670" t="str"/>
      <x:c r="S13" s="635" t="str">
        <x:v>A (우선)</x:v>
      </x:c>
      <x:c r="T13" s="670" t="str">
        <x:v>2026-10-29</x:v>
      </x:c>
      <x:c r="U13" s="636" t="str">
        <x:v>49행 / 원문 기재값 보존</x:v>
      </x:c>
    </x:row>
    <x:row r="14" ht="84" customHeight="1">
      <x:c r="A14" s="634" t="n">
        <x:v>8</x:v>
      </x:c>
      <x:c r="B14" s="635" t="str">
        <x:v>검사시험</x:v>
      </x:c>
      <x:c r="C14" s="635" t="str">
        <x:v>2-3</x:v>
      </x:c>
      <x:c r="D14" s="635" t="n">
        <x:v>20</x:v>
      </x:c>
      <x:c r="E14" s="635" t="str">
        <x:v>검사용 마스터(한도견본)
관리기준 수립 및 준수상태</x:v>
      </x:c>
      <x:c r="F14" s="635" t="str">
        <x:v>김명용 / 지성규 / 품질팀 / 생산팀</x:v>
      </x:c>
      <x:c r="G14" s="670" t="str">
        <x:v>미확인</x:v>
      </x:c>
      <x:c r="H14" s="635" t="str">
        <x:v>-한도견본 관리대장(외주품/완성품)
-한도견본 식별표
-한도견본 샘플보관대 및 샘플
-외관검사기준서</x:v>
      </x:c>
      <x:c r="I14" s="635" t="str">
        <x:v>외주품/완제품 외관 합/부 판별용 한도견본 운영
한도견본의 변색, 변형, 녹 발생 등으로 실제 견본품 운영이 어려울 경우 외관검사기준서로 대체 가능
검사기 신뢰도 확인을 위한 양/불 마스터 설정기준 및 관리상태
[현장연계] 관리본 배포</x:v>
      </x:c>
      <x:c r="J14" s="1372" t="str"/>
      <x:c r="K14" s="933" t="str">
        <x:v>미확인</x:v>
      </x:c>
      <x:c r="L14" s="933" t="str">
        <x:v>미확인</x:v>
      </x:c>
      <x:c r="M14" s="933" t="str">
        <x:v>미확인</x:v>
      </x:c>
      <x:c r="N14" s="933" t="str"/>
      <x:c r="O14" s="1223" t="str"/>
      <x:c r="P14" s="1369" t="str">
        <x:f>IF(AND(G14="해당",J14&lt;&gt;"",LEFT(TRIM(J14),1)&lt;&gt;"[",K14="일치",L14="일치",M14="확인",N14&lt;&gt;"",O14&lt;&gt;""),"증빙확인",IF(AND(G14="비적용(사내근거 확인)",J14&lt;&gt;"",LEFT(TRIM(J14),1)&lt;&gt;"[",N14&lt;&gt;"",O14&lt;&gt;""),"비적용검토","미확인"))</x:f>
        <x:v>미확인</x:v>
      </x:c>
      <x:c r="Q14" s="1369" t="n">
        <x:f>IF(AND(P14="증빙확인",ISNUMBER(D14)),D14,0)</x:f>
        <x:v>0</x:v>
      </x:c>
      <x:c r="R14" s="670" t="str"/>
      <x:c r="S14" s="635" t="str">
        <x:v>B</x:v>
      </x:c>
      <x:c r="T14" s="670" t="str">
        <x:v>2026-11-03</x:v>
      </x:c>
      <x:c r="U14" s="636" t="str">
        <x:v>54행 / 원문 기재값 보존</x:v>
      </x:c>
    </x:row>
    <x:row r="15" ht="84" customHeight="1">
      <x:c r="A15" s="634" t="n">
        <x:v>9</x:v>
      </x:c>
      <x:c r="B15" s="635" t="str">
        <x:v>검사시험</x:v>
      </x:c>
      <x:c r="C15" s="635" t="str">
        <x:v>2-4</x:v>
      </x:c>
      <x:c r="D15" s="635" t="n">
        <x:v>30</x:v>
      </x:c>
      <x:c r="E15" s="635" t="str">
        <x:v>정기신뢰성 검사 실시계획 수립
및 준수상태
(실시결과 신뢰성 확보 요구됨)</x:v>
      </x:c>
      <x:c r="F15" s="635" t="str">
        <x:v>이광재 / 이은주 / 품질팀 / 구매자재팀</x:v>
      </x:c>
      <x:c r="G15" s="670" t="str">
        <x:v>미확인</x:v>
      </x:c>
      <x:c r="H15" s="635" t="str">
        <x:v>-정기검사계획대실적(치수/용접)
-정기검사성적서(치수/용접)
-중금속 정기검사 계획대실적
-중금속 성적서</x:v>
      </x:c>
      <x:c r="I15" s="635" t="str">
        <x:v>정기 시험 성적서 신뢰도 확보
(성적서 시험 전/후 사진 첨부, 사진內 시험 날짜표시, 계측기 전산 연동시 원본데이터 저장관리 등)
환경규제(중금속) 정기시험 실시상태 : 검사협정 체결기준 시험결과 증빙관리 상태</x:v>
      </x:c>
      <x:c r="J15" s="1372" t="str"/>
      <x:c r="K15" s="933" t="str">
        <x:v>미확인</x:v>
      </x:c>
      <x:c r="L15" s="933" t="str">
        <x:v>미확인</x:v>
      </x:c>
      <x:c r="M15" s="933" t="str">
        <x:v>미확인</x:v>
      </x:c>
      <x:c r="N15" s="933" t="str"/>
      <x:c r="O15" s="1223" t="str"/>
      <x:c r="P15" s="1369" t="str">
        <x:f>IF(AND(G15="해당",J15&lt;&gt;"",LEFT(TRIM(J15),1)&lt;&gt;"[",K15="일치",L15="일치",M15="확인",N15&lt;&gt;"",O15&lt;&gt;""),"증빙확인",IF(AND(G15="비적용(사내근거 확인)",J15&lt;&gt;"",LEFT(TRIM(J15),1)&lt;&gt;"[",N15&lt;&gt;"",O15&lt;&gt;""),"비적용검토","미확인"))</x:f>
        <x:v>미확인</x:v>
      </x:c>
      <x:c r="Q15" s="1369" t="n">
        <x:f>IF(AND(P15="증빙확인",ISNUMBER(D15)),D15,0)</x:f>
        <x:v>0</x:v>
      </x:c>
      <x:c r="R15" s="670" t="str"/>
      <x:c r="S15" s="635" t="str">
        <x:v>A (우선)</x:v>
      </x:c>
      <x:c r="T15" s="670" t="str">
        <x:v>2026-10-29</x:v>
      </x:c>
      <x:c r="U15" s="636" t="str">
        <x:v>59행 / 원문 기재값 보존</x:v>
      </x:c>
    </x:row>
    <x:row r="16" ht="84" customHeight="1">
      <x:c r="A16" s="634" t="n">
        <x:v>10</x:v>
      </x:c>
      <x:c r="B16" s="635" t="str">
        <x:v>검사시험</x:v>
      </x:c>
      <x:c r="C16" s="635" t="str">
        <x:v>2-5</x:v>
      </x:c>
      <x:c r="D16" s="635" t="n">
        <x:v>20</x:v>
      </x:c>
      <x:c r="E16" s="635" t="str">
        <x:v>계측기/검사구 보유 및 신뢰성
확보상태
(검교정 주기설정, 교정상태)</x:v>
      </x:c>
      <x:c r="F16" s="635" t="str">
        <x:v>김명용 / 김주태 / 품질팀</x:v>
      </x:c>
      <x:c r="G16" s="670" t="str">
        <x:v>미확인</x:v>
      </x:c>
      <x:c r="H16" s="635" t="str">
        <x:v>-계측기관리대장
-계측기이력카드
-계측기검교정 계획대실적표
-계측기검교정 성적서
-계측기보관함  위치지정및 레이아웃 주소화
-검사구관리대장</x:v>
      </x:c>
      <x:c r="I16" s="635" t="str">
        <x:v>검사협정 체결기준 시험항목 자체시험 가능한 계측장비 보유상태 (정기 신뢰성 항목별 계측기 지정 및 준수필요)
※ 고가 계측기 등 자체검증 불가능 시험 항목의 경우 1차 협력사 또는 공인기관시험 인정
(예 : 3차원 측정기, 성분분석기 등)되나 시험결과 접수 및 이상발생 여부 검토 필요
[현장연계] 관리본 배포</x:v>
      </x:c>
      <x:c r="J16" s="1372" t="str"/>
      <x:c r="K16" s="933" t="str">
        <x:v>미확인</x:v>
      </x:c>
      <x:c r="L16" s="933" t="str">
        <x:v>미확인</x:v>
      </x:c>
      <x:c r="M16" s="933" t="str">
        <x:v>미확인</x:v>
      </x:c>
      <x:c r="N16" s="933" t="str"/>
      <x:c r="O16" s="1223" t="str"/>
      <x:c r="P16" s="1369" t="str">
        <x:f>IF(AND(G16="해당",J16&lt;&gt;"",LEFT(TRIM(J16),1)&lt;&gt;"[",K16="일치",L16="일치",M16="확인",N16&lt;&gt;"",O16&lt;&gt;""),"증빙확인",IF(AND(G16="비적용(사내근거 확인)",J16&lt;&gt;"",LEFT(TRIM(J16),1)&lt;&gt;"[",N16&lt;&gt;"",O16&lt;&gt;""),"비적용검토","미확인"))</x:f>
        <x:v>미확인</x:v>
      </x:c>
      <x:c r="Q16" s="1369" t="n">
        <x:f>IF(AND(P16="증빙확인",ISNUMBER(D16)),D16,0)</x:f>
        <x:v>0</x:v>
      </x:c>
      <x:c r="R16" s="670" t="str"/>
      <x:c r="S16" s="635" t="str">
        <x:v>B</x:v>
      </x:c>
      <x:c r="T16" s="670" t="str">
        <x:v>2026-11-03</x:v>
      </x:c>
      <x:c r="U16" s="636" t="str">
        <x:v>63행 / 원문 기재값 보존</x:v>
      </x:c>
    </x:row>
    <x:row r="17" ht="84" customHeight="1">
      <x:c r="A17" s="634" t="n">
        <x:v>11</x:v>
      </x:c>
      <x:c r="B17" s="635" t="str">
        <x:v>검사시험</x:v>
      </x:c>
      <x:c r="C17" s="635" t="str">
        <x:v>2-6</x:v>
      </x:c>
      <x:c r="D17" s="635" t="n">
        <x:v>20</x:v>
      </x:c>
      <x:c r="E17" s="635" t="str">
        <x:v>게이지 R&amp;R 실시기준 수립 및
준수 상태</x:v>
      </x:c>
      <x:c r="F17" s="635" t="str">
        <x:v>김명용 / 품질팀</x:v>
      </x:c>
      <x:c r="G17" s="670" t="str">
        <x:v>미확인</x:v>
      </x:c>
      <x:c r="H17" s="635" t="str">
        <x:v>- 계측기 GAGE R&amp;R 계획대실적표
- 계측기 GAGE R&amp;R 실시실적
- 계측기 사용자 등록현황</x:v>
      </x:c>
      <x:c r="I17" s="635" t="str">
        <x:v>계측기 운영 기준별 R&amp;R 평가 계획 수립
(자체제작 전용 계측기는 필히 실시할 것. V/C등 범용 계측기의 경우 별도 계측기별 R&amp;R 평가 불필요)
계측 장비별 실제 사용인력(작업자/검사원) 계량형  R&amp;R 검증 진행 및 R&amp;R 10% 이하관리 필요</x:v>
      </x:c>
      <x:c r="J17" s="1372" t="str"/>
      <x:c r="K17" s="933" t="str">
        <x:v>미확인</x:v>
      </x:c>
      <x:c r="L17" s="933" t="str">
        <x:v>미확인</x:v>
      </x:c>
      <x:c r="M17" s="933" t="str">
        <x:v>미확인</x:v>
      </x:c>
      <x:c r="N17" s="933" t="str"/>
      <x:c r="O17" s="1223" t="str"/>
      <x:c r="P17" s="1369" t="str">
        <x:f>IF(AND(G17="해당",J17&lt;&gt;"",LEFT(TRIM(J17),1)&lt;&gt;"[",K17="일치",L17="일치",M17="확인",N17&lt;&gt;"",O17&lt;&gt;""),"증빙확인",IF(AND(G17="비적용(사내근거 확인)",J17&lt;&gt;"",LEFT(TRIM(J17),1)&lt;&gt;"[",N17&lt;&gt;"",O17&lt;&gt;""),"비적용검토","미확인"))</x:f>
        <x:v>미확인</x:v>
      </x:c>
      <x:c r="Q17" s="1369" t="n">
        <x:f>IF(AND(P17="증빙확인",ISNUMBER(D17)),D17,0)</x:f>
        <x:v>0</x:v>
      </x:c>
      <x:c r="R17" s="670" t="str"/>
      <x:c r="S17" s="635" t="str">
        <x:v>B</x:v>
      </x:c>
      <x:c r="T17" s="670" t="str">
        <x:v>2026-11-03</x:v>
      </x:c>
      <x:c r="U17" s="636" t="str">
        <x:v>74행 / 원문 기재값 보존</x:v>
      </x:c>
    </x:row>
    <x:row r="18" ht="84" customHeight="1">
      <x:c r="A18" s="634" t="n">
        <x:v>12</x:v>
      </x:c>
      <x:c r="B18" s="635" t="str">
        <x:v>검사시험</x:v>
      </x:c>
      <x:c r="C18" s="635" t="str">
        <x:v>2-7</x:v>
      </x:c>
      <x:c r="D18" s="635" t="n">
        <x:v>50</x:v>
      </x:c>
      <x:c r="E18" s="635" t="str">
        <x:v>자주검사 기준설정 및 준수상태</x:v>
      </x:c>
      <x:c r="F18" s="635" t="str">
        <x:v>이광재 / 지성규 / 품질팀 / 생산팀</x:v>
      </x:c>
      <x:c r="G18" s="670" t="str">
        <x:v>미확인</x:v>
      </x:c>
      <x:c r="H18" s="635" t="str">
        <x:v>-자주검사기준서
-자주검사체크시트
-용접spatter 관리기준
-용접스패터관리 점검체크시트
-품질순회검사체크시트(중요항목치수추가)
-자주검사대 설치(초중종현품보관)</x:v>
      </x:c>
      <x:c r="I18" s="635" t="str">
        <x:v>- 초/종품 외관, 치수 및 장착상태 (용접지그 수정/변경시 치수 및 용접물간 갭 최대 1mm 이하관리 - 샘플실측)
예) 카울크로스바 파이프-SUB 용접물 간 갭
- 자주검사 기록, 불량품 시정조치 내역 및 이력관리 상태
[현장연계] 관리본 배포</x:v>
      </x:c>
      <x:c r="J18" s="1372" t="str"/>
      <x:c r="K18" s="933" t="str">
        <x:v>미확인</x:v>
      </x:c>
      <x:c r="L18" s="933" t="str">
        <x:v>미확인</x:v>
      </x:c>
      <x:c r="M18" s="933" t="str">
        <x:v>미확인</x:v>
      </x:c>
      <x:c r="N18" s="933" t="str"/>
      <x:c r="O18" s="1223" t="str"/>
      <x:c r="P18" s="1369" t="str">
        <x:f>IF(AND(G18="해당",J18&lt;&gt;"",LEFT(TRIM(J18),1)&lt;&gt;"[",K18="일치",L18="일치",M18="확인",N18&lt;&gt;"",O18&lt;&gt;""),"증빙확인",IF(AND(G18="비적용(사내근거 확인)",J18&lt;&gt;"",LEFT(TRIM(J18),1)&lt;&gt;"[",N18&lt;&gt;"",O18&lt;&gt;""),"비적용검토","미확인"))</x:f>
        <x:v>미확인</x:v>
      </x:c>
      <x:c r="Q18" s="1369" t="n">
        <x:f>IF(AND(P18="증빙확인",ISNUMBER(D18)),D18,0)</x:f>
        <x:v>0</x:v>
      </x:c>
      <x:c r="R18" s="670" t="str"/>
      <x:c r="S18" s="635" t="str">
        <x:v>A (우선)</x:v>
      </x:c>
      <x:c r="T18" s="670" t="str">
        <x:v>2026-10-29</x:v>
      </x:c>
      <x:c r="U18" s="636" t="str">
        <x:v>78행 / 원문 기재값 보존</x:v>
      </x:c>
    </x:row>
    <x:row r="19" ht="84" customHeight="1">
      <x:c r="A19" s="634" t="n">
        <x:v>13</x:v>
      </x:c>
      <x:c r="B19" s="635" t="str">
        <x:v>검사시험</x:v>
      </x:c>
      <x:c r="C19" s="635" t="str">
        <x:v>2-8</x:v>
      </x:c>
      <x:c r="D19" s="635" t="n">
        <x:v>50</x:v>
      </x:c>
      <x:c r="E19" s="635" t="str">
        <x:v>완제품 검사기준 수립 및
준수상태 점검</x:v>
      </x:c>
      <x:c r="F19" s="635" t="str">
        <x:v>김명용 / 품질팀</x:v>
      </x:c>
      <x:c r="G19" s="670" t="str">
        <x:v>미확인</x:v>
      </x:c>
      <x:c r="H19" s="635" t="str">
        <x:v>-완성품검사기준서
-완성품검사체크시트
-완성품검사식별표
-완성품보관장소선정
-완성검사관리대제작
(QMS SYSTEM 운영시 컴퓨터설치운영)</x:v>
      </x:c>
      <x:c r="I19" s="635" t="str">
        <x:v>- 외관, 치수, 취약부 절단면 검사, 상대 물 조립 성 검증 등 (샘플 실측 요망)
[현장연계] 관리본 배포</x:v>
      </x:c>
      <x:c r="J19" s="1372" t="str"/>
      <x:c r="K19" s="933" t="str">
        <x:v>미확인</x:v>
      </x:c>
      <x:c r="L19" s="933" t="str">
        <x:v>미확인</x:v>
      </x:c>
      <x:c r="M19" s="933" t="str">
        <x:v>미확인</x:v>
      </x:c>
      <x:c r="N19" s="933" t="str"/>
      <x:c r="O19" s="1223" t="str"/>
      <x:c r="P19" s="1369" t="str">
        <x:f>IF(AND(G19="해당",J19&lt;&gt;"",LEFT(TRIM(J19),1)&lt;&gt;"[",K19="일치",L19="일치",M19="확인",N19&lt;&gt;"",O19&lt;&gt;""),"증빙확인",IF(AND(G19="비적용(사내근거 확인)",J19&lt;&gt;"",LEFT(TRIM(J19),1)&lt;&gt;"[",N19&lt;&gt;"",O19&lt;&gt;""),"비적용검토","미확인"))</x:f>
        <x:v>미확인</x:v>
      </x:c>
      <x:c r="Q19" s="1369" t="n">
        <x:f>IF(AND(P19="증빙확인",ISNUMBER(D19)),D19,0)</x:f>
        <x:v>0</x:v>
      </x:c>
      <x:c r="R19" s="670" t="str"/>
      <x:c r="S19" s="635" t="str">
        <x:v>A (우선)</x:v>
      </x:c>
      <x:c r="T19" s="670" t="str">
        <x:v>2026-10-29</x:v>
      </x:c>
      <x:c r="U19" s="636" t="str">
        <x:v>86행 / 원문 기재값 보존</x:v>
      </x:c>
    </x:row>
    <x:row r="20" ht="84" customHeight="1">
      <x:c r="A20" s="634" t="n">
        <x:v>14</x:v>
      </x:c>
      <x:c r="B20" s="635" t="str">
        <x:v>검사시험</x:v>
      </x:c>
      <x:c r="C20" s="635" t="str">
        <x:v>2-9</x:v>
      </x:c>
      <x:c r="D20" s="635" t="n">
        <x:v>50</x:v>
      </x:c>
      <x:c r="E20" s="635" t="str">
        <x:v>용접 파괴검사 방법, 기준 설정
및 준수상태, DATA 관리</x:v>
      </x:c>
      <x:c r="F20" s="635" t="str">
        <x:v>이광재 / 한상돈 / 품질팀 / 생산팀</x:v>
      </x:c>
      <x:c r="G20" s="670" t="str">
        <x:v>미확인</x:v>
      </x:c>
      <x:c r="H20" s="635" t="str">
        <x:v>-용입검사 계획대실적
-용접로보트별 용접POINT 관리표준
-용접반파괴/파괴검사기준
-용접검사체크시트
-용접반파괴 검사대제작
(용접반파괴테스트 보관대제작-한도견본&amp;현품)</x:v>
      </x:c>
      <x:c r="I20" s="635" t="str">
        <x:v>▷ 아크 용접 : 용접비드, 위치 (길이, 폭, 이동량) 및 용입량
    - CO2용접: 절단검사(정기검사). (용접 구간별 길이,비드 폭 형상 한도견본 비교검사)
       * 용입량 검사 : 용접로봇별, 용접JIG별 검사
           (검사 주기 : 1회/년, 단, 4M 변경 시 용입량 검사 진행할 것(용접조건 변경, 설비변경, 지그 수정/변경,
                              로봇 티칭 이후 외) 
      ※ 검사 시료 및 주기는 고객과 협의된 검사협정/기준서 따를것
▷ 저항 용접 : 분리력 
    - 스폿용접: 반파괴, 전파괴 분리시험 / 드라이브 체크   ▷ (초,종품 실시)
                  인장강도 만족할것(실물 및 시편) / 볼트너트: 망치 타격시험
    - 프로젝션용접: 볼트 너트   ▷ 회전 토르크 검사 (초, 종 검사)
        예) 용접비드 이탈 및 분리력 검사 → 검사결과 사진, 스캔저장 → 검사이력 D/B 관리(엑셀등)</x:v>
      </x:c>
      <x:c r="J20" s="1372" t="str"/>
      <x:c r="K20" s="933" t="str">
        <x:v>미확인</x:v>
      </x:c>
      <x:c r="L20" s="933" t="str">
        <x:v>미확인</x:v>
      </x:c>
      <x:c r="M20" s="933" t="str">
        <x:v>미확인</x:v>
      </x:c>
      <x:c r="N20" s="933" t="str"/>
      <x:c r="O20" s="1223" t="str"/>
      <x:c r="P20" s="1369" t="str">
        <x:f>IF(AND(G20="해당",J20&lt;&gt;"",LEFT(TRIM(J20),1)&lt;&gt;"[",K20="일치",L20="일치",M20="확인",N20&lt;&gt;"",O20&lt;&gt;""),"증빙확인",IF(AND(G20="비적용(사내근거 확인)",J20&lt;&gt;"",LEFT(TRIM(J20),1)&lt;&gt;"[",N20&lt;&gt;"",O20&lt;&gt;""),"비적용검토","미확인"))</x:f>
        <x:v>미확인</x:v>
      </x:c>
      <x:c r="Q20" s="1369" t="n">
        <x:f>IF(AND(P20="증빙확인",ISNUMBER(D20)),D20,0)</x:f>
        <x:v>0</x:v>
      </x:c>
      <x:c r="R20" s="670" t="str"/>
      <x:c r="S20" s="635" t="str">
        <x:v>A (우선)</x:v>
      </x:c>
      <x:c r="T20" s="670" t="str">
        <x:v>2026-10-29</x:v>
      </x:c>
      <x:c r="U20" s="636" t="str">
        <x:v>92행 / 원문 기재값 보존</x:v>
      </x:c>
    </x:row>
    <x:row r="21" ht="84" customHeight="1">
      <x:c r="A21" s="634" t="n">
        <x:v>15</x:v>
      </x:c>
      <x:c r="B21" s="635" t="str">
        <x:v>설비관리</x:v>
      </x:c>
      <x:c r="C21" s="635" t="str">
        <x:v>3-1</x:v>
      </x:c>
      <x:c r="D21" s="635" t="n">
        <x:v>30</x:v>
      </x:c>
      <x:c r="E21" s="635" t="str">
        <x:v>설비 일상점검 업무절차 수립
및 준수여부</x:v>
      </x:c>
      <x:c r="F21" s="635" t="str">
        <x:v>한상돈 / 생산팀 / 생산기술</x:v>
      </x:c>
      <x:c r="G21" s="670" t="str">
        <x:v>미확인</x:v>
      </x:c>
      <x:c r="H21" s="635" t="str">
        <x:v>-설비일상점검기준서
-설비일상점검표(각부위별사진도식화)
-설비게이지 상하한식별관리
-설비 오셋팅방지 KEY-LOCK</x:v>
      </x:c>
      <x:c r="I21" s="635" t="str">
        <x:v>설비별 설비일상 점검부위 및 점검방법 도식화 관리상태
설비내 부착 게이지류 상/하한 식별 및 측정 실측값 일상점검표 기록관리
설비내 F/P설비 경고등/알람 정상작동 및 설비내 셋팅값/관리공차 표준과 일치여부
[현장연계] 게이지값기록</x:v>
      </x:c>
      <x:c r="J21" s="1372" t="str"/>
      <x:c r="K21" s="933" t="str">
        <x:v>미확인</x:v>
      </x:c>
      <x:c r="L21" s="933" t="str">
        <x:v>미확인</x:v>
      </x:c>
      <x:c r="M21" s="933" t="str">
        <x:v>미확인</x:v>
      </x:c>
      <x:c r="N21" s="933" t="str"/>
      <x:c r="O21" s="1223" t="str"/>
      <x:c r="P21" s="1369" t="str">
        <x:f>IF(AND(G21="해당",J21&lt;&gt;"",LEFT(TRIM(J21),1)&lt;&gt;"[",K21="일치",L21="일치",M21="확인",N21&lt;&gt;"",O21&lt;&gt;""),"증빙확인",IF(AND(G21="비적용(사내근거 확인)",J21&lt;&gt;"",LEFT(TRIM(J21),1)&lt;&gt;"[",N21&lt;&gt;"",O21&lt;&gt;""),"비적용검토","미확인"))</x:f>
        <x:v>미확인</x:v>
      </x:c>
      <x:c r="Q21" s="1369" t="n">
        <x:f>IF(AND(P21="증빙확인",ISNUMBER(D21)),D21,0)</x:f>
        <x:v>0</x:v>
      </x:c>
      <x:c r="R21" s="670" t="str"/>
      <x:c r="S21" s="635" t="str">
        <x:v>A (우선)</x:v>
      </x:c>
      <x:c r="T21" s="670" t="str">
        <x:v>2026-10-29</x:v>
      </x:c>
      <x:c r="U21" s="636" t="str">
        <x:v>102행 / 원문 기재값 보존</x:v>
      </x:c>
    </x:row>
    <x:row r="22" ht="84" customHeight="1">
      <x:c r="A22" s="634" t="n">
        <x:v>16</x:v>
      </x:c>
      <x:c r="B22" s="635" t="str">
        <x:v>설비관리</x:v>
      </x:c>
      <x:c r="C22" s="635" t="str">
        <x:v>3-2</x:v>
      </x:c>
      <x:c r="D22" s="635" t="n">
        <x:v>30</x:v>
      </x:c>
      <x:c r="E22" s="635" t="str">
        <x:v>설비 정기점검 업무절차 수립
및 준수여부</x:v>
      </x:c>
      <x:c r="F22" s="635" t="str">
        <x:v>황지환 / 생산기술</x:v>
      </x:c>
      <x:c r="G22" s="670" t="str">
        <x:v>미확인</x:v>
      </x:c>
      <x:c r="H22" s="635" t="str">
        <x:v>-설비정기점검 계획대실적표
-설비정기점검 실적
-설비관리대장
-설비이력카드
-설비수리보고서
-설비압력게이지 검증 계획대실적표</x:v>
      </x:c>
      <x:c r="I22" s="635" t="str">
        <x:v>주요 핵심설비 정기점검 계획수립 및 점검상태(외주업체 정도점검 성적서 포함, 최소 1회/년)
(외주업체 또는 자체 정도점검 가능 설비/인력이 확보된경우 인정)
설비내 소모성 부자재류 점검/교체주기 설정 및 준수여부
[현장연계] 설비고장수리반영 / B/C,C/B,O/R</x:v>
      </x:c>
      <x:c r="J22" s="1372" t="str"/>
      <x:c r="K22" s="933" t="str">
        <x:v>미확인</x:v>
      </x:c>
      <x:c r="L22" s="933" t="str">
        <x:v>미확인</x:v>
      </x:c>
      <x:c r="M22" s="933" t="str">
        <x:v>미확인</x:v>
      </x:c>
      <x:c r="N22" s="933" t="str"/>
      <x:c r="O22" s="1223" t="str"/>
      <x:c r="P22" s="1369" t="str">
        <x:f>IF(AND(G22="해당",J22&lt;&gt;"",LEFT(TRIM(J22),1)&lt;&gt;"[",K22="일치",L22="일치",M22="확인",N22&lt;&gt;"",O22&lt;&gt;""),"증빙확인",IF(AND(G22="비적용(사내근거 확인)",J22&lt;&gt;"",LEFT(TRIM(J22),1)&lt;&gt;"[",N22&lt;&gt;"",O22&lt;&gt;""),"비적용검토","미확인"))</x:f>
        <x:v>미확인</x:v>
      </x:c>
      <x:c r="Q22" s="1369" t="n">
        <x:f>IF(AND(P22="증빙확인",ISNUMBER(D22)),D22,0)</x:f>
        <x:v>0</x:v>
      </x:c>
      <x:c r="R22" s="670" t="str"/>
      <x:c r="S22" s="635" t="str">
        <x:v>A (우선)</x:v>
      </x:c>
      <x:c r="T22" s="670" t="str">
        <x:v>2026-10-29</x:v>
      </x:c>
      <x:c r="U22" s="636" t="str">
        <x:v>108행 / 원문 기재값 보존</x:v>
      </x:c>
    </x:row>
    <x:row r="23" ht="84" customHeight="1">
      <x:c r="A23" s="634" t="n">
        <x:v>17</x:v>
      </x:c>
      <x:c r="B23" s="635" t="str">
        <x:v>설비관리</x:v>
      </x:c>
      <x:c r="C23" s="635" t="str">
        <x:v>3-3</x:v>
      </x:c>
      <x:c r="D23" s="635" t="n">
        <x:v>30</x:v>
      </x:c>
      <x:c r="E23" s="635" t="str">
        <x:v>용접기: 팁 교환. 노즐청소.
와이어 공급기. 케이블.
전류 전압. 전극 드레싱 및 교환</x:v>
      </x:c>
      <x:c r="F23" s="635" t="str">
        <x:v>김운주 / 생산팀</x:v>
      </x:c>
      <x:c r="G23" s="670" t="str">
        <x:v>미확인</x:v>
      </x:c>
      <x:c r="H23" s="635" t="str">
        <x:v>-CO2용접원점확인장치
-스폿로봇 원점확인장치
-용접전극드레싱/교환 F/P장비설치</x:v>
      </x:c>
      <x:c r="I23" s="635" t="str">
        <x:v>용접기: 팁 교환. 노즐청소. 와이어 공급기. 케이블. 전류 전압. 전극 드레싱 및 교환
'- 유압설비: 유압. 유량. 소음. 누유 등 이상유무 확인
- 유틸리티: 에어압력. 냉각수(온도: 10∼30℃). 압력: 가스 유량</x:v>
      </x:c>
      <x:c r="J23" s="1372" t="str"/>
      <x:c r="K23" s="933" t="str">
        <x:v>미확인</x:v>
      </x:c>
      <x:c r="L23" s="933" t="str">
        <x:v>미확인</x:v>
      </x:c>
      <x:c r="M23" s="933" t="str">
        <x:v>미확인</x:v>
      </x:c>
      <x:c r="N23" s="933" t="str"/>
      <x:c r="O23" s="1223" t="str"/>
      <x:c r="P23" s="1369" t="str">
        <x:f>IF(AND(G23="해당",J23&lt;&gt;"",LEFT(TRIM(J23),1)&lt;&gt;"[",K23="일치",L23="일치",M23="확인",N23&lt;&gt;"",O23&lt;&gt;""),"증빙확인",IF(AND(G23="비적용(사내근거 확인)",J23&lt;&gt;"",LEFT(TRIM(J23),1)&lt;&gt;"[",N23&lt;&gt;"",O23&lt;&gt;""),"비적용검토","미확인"))</x:f>
        <x:v>미확인</x:v>
      </x:c>
      <x:c r="Q23" s="1369" t="n">
        <x:f>IF(AND(P23="증빙확인",ISNUMBER(D23)),D23,0)</x:f>
        <x:v>0</x:v>
      </x:c>
      <x:c r="R23" s="670" t="str"/>
      <x:c r="S23" s="635" t="str">
        <x:v>A (우선)</x:v>
      </x:c>
      <x:c r="T23" s="670" t="str">
        <x:v>2026-10-29</x:v>
      </x:c>
      <x:c r="U23" s="636" t="str">
        <x:v>119행 / 원문 기재값 보존</x:v>
      </x:c>
    </x:row>
    <x:row r="24" ht="84" customHeight="1">
      <x:c r="A24" s="634" t="n">
        <x:v>18</x:v>
      </x:c>
      <x:c r="B24" s="635" t="str">
        <x:v>설비관리</x:v>
      </x:c>
      <x:c r="C24" s="635" t="str">
        <x:v>3-4</x:v>
      </x:c>
      <x:c r="D24" s="635" t="n">
        <x:v>20</x:v>
      </x:c>
      <x:c r="E24" s="635" t="str">
        <x:v>설비별 정기점검 항목 설정
상태 및 시행 여부</x:v>
      </x:c>
      <x:c r="F24" s="635" t="str">
        <x:v>황지환 / 생산기술</x:v>
      </x:c>
      <x:c r="G24" s="670" t="str">
        <x:v>미확인</x:v>
      </x:c>
      <x:c r="H24" s="635" t="str">
        <x:v>-설비정기점검 관리기준서
-설비정기점검계획대실적표
-설비정기점검 실적</x:v>
      </x:c>
      <x:c r="I24" s="635" t="str">
        <x:v>- CO2용접기: 전류.전압 검 교정.케이블 조임상태. 메인 전원 입력 변동 차. 와이어 공급상태
    - 스폿 용접기: 전류. 통전시간 오차확인. 가압력 확인. 전극.전원연결 조임 상태.냉각수 온도 압력, 부품누락.
    - 로봇: 쇼크센서 작동상태, 콘트롤러 배터리 전압, 콘트롤러 냉각핀 작동상태, 케이블 연결상태</x:v>
      </x:c>
      <x:c r="J24" s="1372" t="str"/>
      <x:c r="K24" s="933" t="str">
        <x:v>미확인</x:v>
      </x:c>
      <x:c r="L24" s="933" t="str">
        <x:v>미확인</x:v>
      </x:c>
      <x:c r="M24" s="933" t="str">
        <x:v>미확인</x:v>
      </x:c>
      <x:c r="N24" s="933" t="str"/>
      <x:c r="O24" s="1223" t="str"/>
      <x:c r="P24" s="1369" t="str">
        <x:f>IF(AND(G24="해당",J24&lt;&gt;"",LEFT(TRIM(J24),1)&lt;&gt;"[",K24="일치",L24="일치",M24="확인",N24&lt;&gt;"",O24&lt;&gt;""),"증빙확인",IF(AND(G24="비적용(사내근거 확인)",J24&lt;&gt;"",LEFT(TRIM(J24),1)&lt;&gt;"[",N24&lt;&gt;"",O24&lt;&gt;""),"비적용검토","미확인"))</x:f>
        <x:v>미확인</x:v>
      </x:c>
      <x:c r="Q24" s="1369" t="n">
        <x:f>IF(AND(P24="증빙확인",ISNUMBER(D24)),D24,0)</x:f>
        <x:v>0</x:v>
      </x:c>
      <x:c r="R24" s="670" t="str"/>
      <x:c r="S24" s="635" t="str">
        <x:v>B</x:v>
      </x:c>
      <x:c r="T24" s="670" t="str">
        <x:v>2026-11-03</x:v>
      </x:c>
      <x:c r="U24" s="636" t="str">
        <x:v>125행 / 원문 기재값 보존</x:v>
      </x:c>
    </x:row>
    <x:row r="25" ht="84" customHeight="1">
      <x:c r="A25" s="634" t="n">
        <x:v>19</x:v>
      </x:c>
      <x:c r="B25" s="635" t="str">
        <x:v>설비관리</x:v>
      </x:c>
      <x:c r="C25" s="635" t="str">
        <x:v>3-5</x:v>
      </x:c>
      <x:c r="D25" s="635" t="n">
        <x:v>30</x:v>
      </x:c>
      <x:c r="E25" s="635" t="str">
        <x:v>전극, 가스잔량, 냉각수 온도
F/PROOF 구축, 미구축시
관리기준 수립 및 이행 상태</x:v>
      </x:c>
      <x:c r="F25" s="635" t="str">
        <x:v>황지환 / 생산팀</x:v>
      </x:c>
      <x:c r="G25" s="670" t="str">
        <x:v>미확인</x:v>
      </x:c>
      <x:c r="H25" s="635" t="str">
        <x:v>-CO2용접원점확인장치
-스폿로봇 원점확인장치
-가스잔량 F/P장치</x:v>
      </x:c>
      <x:c r="I25" s="635" t="str">
        <x:v>- 전극, 가스, 냉각수 관리 F/PROOF 구축시 관리기준 및 준수상태, F/PROOF 미구축시 관리기준 수립여부,
기준준수 및 이행상태
(드레싱 및 교체 주기 관리, 용접타점 관리, 타점 도달시 경보장치)</x:v>
      </x:c>
      <x:c r="J25" s="1372" t="str"/>
      <x:c r="K25" s="933" t="str">
        <x:v>미확인</x:v>
      </x:c>
      <x:c r="L25" s="933" t="str">
        <x:v>미확인</x:v>
      </x:c>
      <x:c r="M25" s="933" t="str">
        <x:v>미확인</x:v>
      </x:c>
      <x:c r="N25" s="933" t="str"/>
      <x:c r="O25" s="1223" t="str"/>
      <x:c r="P25" s="1369" t="str">
        <x:f>IF(AND(G25="해당",J25&lt;&gt;"",LEFT(TRIM(J25),1)&lt;&gt;"[",K25="일치",L25="일치",M25="확인",N25&lt;&gt;"",O25&lt;&gt;""),"증빙확인",IF(AND(G25="비적용(사내근거 확인)",J25&lt;&gt;"",LEFT(TRIM(J25),1)&lt;&gt;"[",N25&lt;&gt;"",O25&lt;&gt;""),"비적용검토","미확인"))</x:f>
        <x:v>미확인</x:v>
      </x:c>
      <x:c r="Q25" s="1369" t="n">
        <x:f>IF(AND(P25="증빙확인",ISNUMBER(D25)),D25,0)</x:f>
        <x:v>0</x:v>
      </x:c>
      <x:c r="R25" s="670" t="str"/>
      <x:c r="S25" s="635" t="str">
        <x:v>A (우선)</x:v>
      </x:c>
      <x:c r="T25" s="670" t="str">
        <x:v>2026-10-29</x:v>
      </x:c>
      <x:c r="U25" s="636" t="str">
        <x:v>129행 / 원문 기재값 보존</x:v>
      </x:c>
    </x:row>
    <x:row r="26" ht="84" customHeight="1">
      <x:c r="A26" s="634" t="n">
        <x:v>20</x:v>
      </x:c>
      <x:c r="B26" s="635" t="str">
        <x:v>설비관리</x:v>
      </x:c>
      <x:c r="C26" s="635" t="str">
        <x:v>3-6</x:v>
      </x:c>
      <x:c r="D26" s="635" t="n">
        <x:v>20</x:v>
      </x:c>
      <x:c r="E26" s="635" t="str">
        <x:v>용접 지그 점검주기, 관리주기
설정 및 이행상태</x:v>
      </x:c>
      <x:c r="F26" s="635" t="str">
        <x:v>지성규 / 생산팀</x:v>
      </x:c>
      <x:c r="G26" s="670" t="str">
        <x:v>미확인</x:v>
      </x:c>
      <x:c r="H26" s="635" t="str">
        <x:v>-JIG정기점검 관리기준서
-JIG정기점검계획대실적표
-JIG 기준핀정기점검 실적
-JIG PIN 위치도 및 상세사진 위치도</x:v>
      </x:c>
      <x:c r="I26" s="635" t="str">
        <x:v>- JIG 기준 핀 외경치수 측정 (관리범위 이탈방지)    - 주기 : 1회/분기 이상
      ※ 자체 측정주기 설정시 설정근거 마련 안전율 80%
    - 지그 기준면 마모/유격 및 토치 로보트 원점 검사 관리기준 수립 및 준수 상태
    - 클렘프 고정상태. 센서 류 고정 작동상태.배선정리 피복점검</x:v>
      </x:c>
      <x:c r="J26" s="1372" t="str"/>
      <x:c r="K26" s="933" t="str">
        <x:v>미확인</x:v>
      </x:c>
      <x:c r="L26" s="933" t="str">
        <x:v>미확인</x:v>
      </x:c>
      <x:c r="M26" s="933" t="str">
        <x:v>미확인</x:v>
      </x:c>
      <x:c r="N26" s="933" t="str"/>
      <x:c r="O26" s="1223" t="str"/>
      <x:c r="P26" s="1369" t="str">
        <x:f>IF(AND(G26="해당",J26&lt;&gt;"",LEFT(TRIM(J26),1)&lt;&gt;"[",K26="일치",L26="일치",M26="확인",N26&lt;&gt;"",O26&lt;&gt;""),"증빙확인",IF(AND(G26="비적용(사내근거 확인)",J26&lt;&gt;"",LEFT(TRIM(J26),1)&lt;&gt;"[",N26&lt;&gt;"",O26&lt;&gt;""),"비적용검토","미확인"))</x:f>
        <x:v>미확인</x:v>
      </x:c>
      <x:c r="Q26" s="1369" t="n">
        <x:f>IF(AND(P26="증빙확인",ISNUMBER(D26)),D26,0)</x:f>
        <x:v>0</x:v>
      </x:c>
      <x:c r="R26" s="670" t="str"/>
      <x:c r="S26" s="635" t="str">
        <x:v>A (우선)</x:v>
      </x:c>
      <x:c r="T26" s="670" t="str">
        <x:v>2026-10-29</x:v>
      </x:c>
      <x:c r="U26" s="636" t="str">
        <x:v>139행 / 원문 기재값 보존</x:v>
      </x:c>
    </x:row>
    <x:row r="27" ht="84" customHeight="1">
      <x:c r="A27" s="634" t="n">
        <x:v>21</x:v>
      </x:c>
      <x:c r="B27" s="635" t="str">
        <x:v>금형관리</x:v>
      </x:c>
      <x:c r="C27" s="635" t="str">
        <x:v>4-1</x:v>
      </x:c>
      <x:c r="D27" s="635" t="n">
        <x:v>30</x:v>
      </x:c>
      <x:c r="E27" s="635" t="str">
        <x:v>금형/용접지그 일상/점기점검
프로세스 수립 및 준수상태</x:v>
      </x:c>
      <x:c r="F27" s="635" t="str">
        <x:v>지성규 / 생산팀</x:v>
      </x:c>
      <x:c r="G27" s="670" t="str">
        <x:v>미확인</x:v>
      </x:c>
      <x:c r="H27" s="635" t="str">
        <x:v>-금형관리 프로세스
-금형관리대장
-금형이력카드
-MMS SYSTEM금형수리내역
-금형일상점검관리기준서
-금형일상점검체크시트</x:v>
      </x:c>
      <x:c r="I27" s="635" t="str">
        <x:v>- 금형 청결 및 점검기준 (금형 상/하부 이물질, 손상, 볼트풀림, 도금상태, 마모, 핀 유격) 수립 및 시행 여부 
      ※ 자체 프레스 공정이 없는경우 미해당으로 표기
- 금형/용접지그 유효성 기간설정 및 정기점검 체크시트 활용 예방점검
      : 프레스 밴딩금형 가이드핀/가이드 유동방지장치 적용 및 이상유무 점검</x:v>
      </x:c>
      <x:c r="J27" s="1372" t="str"/>
      <x:c r="K27" s="933" t="str">
        <x:v>미확인</x:v>
      </x:c>
      <x:c r="L27" s="933" t="str">
        <x:v>미확인</x:v>
      </x:c>
      <x:c r="M27" s="933" t="str">
        <x:v>미확인</x:v>
      </x:c>
      <x:c r="N27" s="933" t="str"/>
      <x:c r="O27" s="1223" t="str"/>
      <x:c r="P27" s="1369" t="str">
        <x:f>IF(AND(G27="해당",J27&lt;&gt;"",LEFT(TRIM(J27),1)&lt;&gt;"[",K27="일치",L27="일치",M27="확인",N27&lt;&gt;"",O27&lt;&gt;""),"증빙확인",IF(AND(G27="비적용(사내근거 확인)",J27&lt;&gt;"",LEFT(TRIM(J27),1)&lt;&gt;"[",N27&lt;&gt;"",O27&lt;&gt;""),"비적용검토","미확인"))</x:f>
        <x:v>미확인</x:v>
      </x:c>
      <x:c r="Q27" s="1369" t="n">
        <x:f>IF(AND(P27="증빙확인",ISNUMBER(D27)),D27,0)</x:f>
        <x:v>0</x:v>
      </x:c>
      <x:c r="R27" s="670" t="str"/>
      <x:c r="S27" s="635" t="str">
        <x:v>A (우선)</x:v>
      </x:c>
      <x:c r="T27" s="670" t="str">
        <x:v>2026-10-29</x:v>
      </x:c>
      <x:c r="U27" s="636" t="str">
        <x:v>143행 / 원문 기재값 보존</x:v>
      </x:c>
    </x:row>
    <x:row r="28" ht="84" customHeight="1">
      <x:c r="A28" s="634" t="n">
        <x:v>22</x:v>
      </x:c>
      <x:c r="B28" s="635" t="str">
        <x:v>금형관리</x:v>
      </x:c>
      <x:c r="C28" s="635" t="str">
        <x:v>4-2</x:v>
      </x:c>
      <x:c r="D28" s="635" t="n">
        <x:v>30</x:v>
      </x:c>
      <x:c r="E28" s="635" t="str">
        <x:v>금형 세척관리 프로세스 수립 및
준수상태</x:v>
      </x:c>
      <x:c r="F28" s="635" t="str">
        <x:v>지성규 / 생산팀</x:v>
      </x:c>
      <x:c r="G28" s="670" t="str">
        <x:v>미확인</x:v>
      </x:c>
      <x:c r="H28" s="635" t="str">
        <x:v>-금형등급관리준서
-금형별 등급실적
-금형정기점검실적
-금형타발수관리대장
-금형전산화시스템적용시 금형반컴퓨터설치</x:v>
      </x:c>
      <x:c r="I28" s="635" t="str">
        <x:v>- 금형별 등급별 점검/세척 기준 설정 및 준수상태 [점검 타발수 도달 전 예방점검 활동 가능토록 업무절차 수립 필요]
- 금형별 타발수 기록/관리 상태(정기적인 실적점검 실적)
→ 전산시스템 대체 방안(엑셀, 금형관리 마스터 LIST 등) 활용한 타발수 실적관리 데이터 유효성 확보여부 점검</x:v>
      </x:c>
      <x:c r="J28" s="1372" t="str"/>
      <x:c r="K28" s="933" t="str">
        <x:v>미확인</x:v>
      </x:c>
      <x:c r="L28" s="933" t="str">
        <x:v>미확인</x:v>
      </x:c>
      <x:c r="M28" s="933" t="str">
        <x:v>미확인</x:v>
      </x:c>
      <x:c r="N28" s="933" t="str"/>
      <x:c r="O28" s="1223" t="str"/>
      <x:c r="P28" s="1369" t="str">
        <x:f>IF(AND(G28="해당",J28&lt;&gt;"",LEFT(TRIM(J28),1)&lt;&gt;"[",K28="일치",L28="일치",M28="확인",N28&lt;&gt;"",O28&lt;&gt;""),"증빙확인",IF(AND(G28="비적용(사내근거 확인)",J28&lt;&gt;"",LEFT(TRIM(J28),1)&lt;&gt;"[",N28&lt;&gt;"",O28&lt;&gt;""),"비적용검토","미확인"))</x:f>
        <x:v>미확인</x:v>
      </x:c>
      <x:c r="Q28" s="1369" t="n">
        <x:f>IF(AND(P28="증빙확인",ISNUMBER(D28)),D28,0)</x:f>
        <x:v>0</x:v>
      </x:c>
      <x:c r="R28" s="670" t="str"/>
      <x:c r="S28" s="635" t="str">
        <x:v>A (우선)</x:v>
      </x:c>
      <x:c r="T28" s="670" t="str">
        <x:v>2026-10-29</x:v>
      </x:c>
      <x:c r="U28" s="636" t="str">
        <x:v>149행 / 원문 기재값 보존</x:v>
      </x:c>
    </x:row>
    <x:row r="29" ht="84" customHeight="1">
      <x:c r="A29" s="634" t="n">
        <x:v>23</x:v>
      </x:c>
      <x:c r="B29" s="635" t="str">
        <x:v>금형관리</x:v>
      </x:c>
      <x:c r="C29" s="635" t="str">
        <x:v>4-3</x:v>
      </x:c>
      <x:c r="D29" s="635" t="n">
        <x:v>10</x:v>
      </x:c>
      <x:c r="E29" s="635" t="str">
        <x:v>금형보전 관리기준 설정 및
준수상태</x:v>
      </x:c>
      <x:c r="F29" s="635" t="str">
        <x:v>한상돈 / 개발팀 / 개밸팀</x:v>
      </x:c>
      <x:c r="G29" s="670" t="str">
        <x:v>미확인</x:v>
      </x:c>
      <x:c r="H29" s="635" t="str">
        <x:v>-금형/지그관리대장
-금형/JIG이력카드</x:v>
      </x:c>
      <x:c r="I29" s="635" t="str">
        <x:v>- 금형 및 지그 수리이력 관리대장 (금형 Shot수, 지그 보수 이력)
※ 자체 프레스 공정이 없는경우 미해당으로 표기</x:v>
      </x:c>
      <x:c r="J29" s="1372" t="str"/>
      <x:c r="K29" s="933" t="str">
        <x:v>미확인</x:v>
      </x:c>
      <x:c r="L29" s="933" t="str">
        <x:v>미확인</x:v>
      </x:c>
      <x:c r="M29" s="933" t="str">
        <x:v>미확인</x:v>
      </x:c>
      <x:c r="N29" s="933" t="str"/>
      <x:c r="O29" s="1223" t="str"/>
      <x:c r="P29" s="1369" t="str">
        <x:f>IF(AND(G29="해당",J29&lt;&gt;"",LEFT(TRIM(J29),1)&lt;&gt;"[",K29="일치",L29="일치",M29="확인",N29&lt;&gt;"",O29&lt;&gt;""),"증빙확인",IF(AND(G29="비적용(사내근거 확인)",J29&lt;&gt;"",LEFT(TRIM(J29),1)&lt;&gt;"[",N29&lt;&gt;"",O29&lt;&gt;""),"비적용검토","미확인"))</x:f>
        <x:v>미확인</x:v>
      </x:c>
      <x:c r="Q29" s="1369" t="n">
        <x:f>IF(AND(P29="증빙확인",ISNUMBER(D29)),D29,0)</x:f>
        <x:v>0</x:v>
      </x:c>
      <x:c r="R29" s="670" t="str"/>
      <x:c r="S29" s="635" t="str">
        <x:v>B</x:v>
      </x:c>
      <x:c r="T29" s="670" t="str">
        <x:v>2026-11-03</x:v>
      </x:c>
      <x:c r="U29" s="636" t="str">
        <x:v>155행 / 원문 기재값 보존</x:v>
      </x:c>
    </x:row>
    <x:row r="30" ht="84" customHeight="1">
      <x:c r="A30" s="634" t="n">
        <x:v>24</x:v>
      </x:c>
      <x:c r="B30" s="635" t="str">
        <x:v>금형관리</x:v>
      </x:c>
      <x:c r="C30" s="635" t="str">
        <x:v>4-4</x:v>
      </x:c>
      <x:c r="D30" s="635" t="n">
        <x:v>10</x:v>
      </x:c>
      <x:c r="E30" s="635" t="str">
        <x:v>금형 보관관리 프로세스 수립 및
준수상태</x:v>
      </x:c>
      <x:c r="F30" s="635" t="str">
        <x:v>지성규 / 현장 / 생산팀</x:v>
      </x:c>
      <x:c r="G30" s="670" t="str">
        <x:v>미확인</x:v>
      </x:c>
      <x:c r="H30" s="635" t="str">
        <x:v>-금형보관 lay-out 설치
-금형보관구역 식별표시
-금형보관시 잔존이물제거후 적재</x:v>
      </x:c>
      <x:c r="I30" s="635" t="str">
        <x:v>- 금형보관대 제작 및 금형위치 현황판 주소화 관리(공정투입/작업대기/외주수리 등 LOCATION별 관리여부)
- 금형 식별관리 절차 수립 및 준수(양산, A/S차종 등)
- 금형 보관시 이물유입 방지 대책 수립 및 세척/냉각수 탈수 상태 보관 등 관리실태 현장 점검</x:v>
      </x:c>
      <x:c r="J30" s="1372" t="str"/>
      <x:c r="K30" s="933" t="str">
        <x:v>미확인</x:v>
      </x:c>
      <x:c r="L30" s="933" t="str">
        <x:v>미확인</x:v>
      </x:c>
      <x:c r="M30" s="933" t="str">
        <x:v>미확인</x:v>
      </x:c>
      <x:c r="N30" s="933" t="str"/>
      <x:c r="O30" s="1223" t="str"/>
      <x:c r="P30" s="1369" t="str">
        <x:f>IF(AND(G30="해당",J30&lt;&gt;"",LEFT(TRIM(J30),1)&lt;&gt;"[",K30="일치",L30="일치",M30="확인",N30&lt;&gt;"",O30&lt;&gt;""),"증빙확인",IF(AND(G30="비적용(사내근거 확인)",J30&lt;&gt;"",LEFT(TRIM(J30),1)&lt;&gt;"[",N30&lt;&gt;"",O30&lt;&gt;""),"비적용검토","미확인"))</x:f>
        <x:v>미확인</x:v>
      </x:c>
      <x:c r="Q30" s="1369" t="n">
        <x:f>IF(AND(P30="증빙확인",ISNUMBER(D30)),D30,0)</x:f>
        <x:v>0</x:v>
      </x:c>
      <x:c r="R30" s="670" t="str"/>
      <x:c r="S30" s="635" t="str">
        <x:v>B</x:v>
      </x:c>
      <x:c r="T30" s="670" t="str">
        <x:v>2026-11-03</x:v>
      </x:c>
      <x:c r="U30" s="636" t="str">
        <x:v>158행 / 원문 기재값 보존</x:v>
      </x:c>
    </x:row>
    <x:row r="31" ht="84" customHeight="1">
      <x:c r="A31" s="634" t="n">
        <x:v>25</x:v>
      </x:c>
      <x:c r="B31" s="635" t="str">
        <x:v>금형관리</x:v>
      </x:c>
      <x:c r="C31" s="635" t="str">
        <x:v>4-5</x:v>
      </x:c>
      <x:c r="D31" s="635" t="n">
        <x:v>10</x:v>
      </x:c>
      <x:c r="E31" s="635" t="str">
        <x:v>금형 이관 프로세스 수립 및
준수상태</x:v>
      </x:c>
      <x:c r="F31" s="635" t="str">
        <x:v>사무실 / 생산팀</x:v>
      </x:c>
      <x:c r="G31" s="670" t="str">
        <x:v>미확인</x:v>
      </x:c>
      <x:c r="H31" s="635" t="str">
        <x:v>-금형이관 T/O보고서
-금형이관시 접수자료
-금형문제점개선자료</x:v>
      </x:c>
      <x:c r="I31" s="635" t="str">
        <x:v>- 신규제작 금형 이관시 T/OUT 성형 검증 실시(실시결과 증빙관리)
      ※ 자체 프레스 공정이 없는경우 미해당으로 표기</x:v>
      </x:c>
      <x:c r="J31" s="1372" t="str"/>
      <x:c r="K31" s="933" t="str">
        <x:v>미확인</x:v>
      </x:c>
      <x:c r="L31" s="933" t="str">
        <x:v>미확인</x:v>
      </x:c>
      <x:c r="M31" s="933" t="str">
        <x:v>미확인</x:v>
      </x:c>
      <x:c r="N31" s="933" t="str"/>
      <x:c r="O31" s="1223" t="str"/>
      <x:c r="P31" s="1369" t="str">
        <x:f>IF(AND(G31="해당",J31&lt;&gt;"",LEFT(TRIM(J31),1)&lt;&gt;"[",K31="일치",L31="일치",M31="확인",N31&lt;&gt;"",O31&lt;&gt;""),"증빙확인",IF(AND(G31="비적용(사내근거 확인)",J31&lt;&gt;"",LEFT(TRIM(J31),1)&lt;&gt;"[",N31&lt;&gt;"",O31&lt;&gt;""),"비적용검토","미확인"))</x:f>
        <x:v>미확인</x:v>
      </x:c>
      <x:c r="Q31" s="1369" t="n">
        <x:f>IF(AND(P31="증빙확인",ISNUMBER(D31)),D31,0)</x:f>
        <x:v>0</x:v>
      </x:c>
      <x:c r="R31" s="670" t="str"/>
      <x:c r="S31" s="635" t="str">
        <x:v>B</x:v>
      </x:c>
      <x:c r="T31" s="670" t="str">
        <x:v>2026-11-03</x:v>
      </x:c>
      <x:c r="U31" s="636" t="str">
        <x:v>162행 / 원문 기재값 보존</x:v>
      </x:c>
    </x:row>
    <x:row r="32" ht="84" customHeight="1">
      <x:c r="A32" s="634" t="n">
        <x:v>26</x:v>
      </x:c>
      <x:c r="B32" s="635" t="str">
        <x:v>자재관리</x:v>
      </x:c>
      <x:c r="C32" s="635" t="str">
        <x:v>5-1</x:v>
      </x:c>
      <x:c r="D32" s="635" t="n">
        <x:v>30</x:v>
      </x:c>
      <x:c r="E32" s="635" t="str">
        <x:v>원자재 및 재공품, 출하품
LOT 추적성 관리 프로세스
수립 및 준수상태</x:v>
      </x:c>
      <x:c r="F32" s="635" t="str">
        <x:v>이은주 / 지성규 / 구매자재팀 / 생산팀</x:v>
      </x:c>
      <x:c r="G32" s="670" t="str">
        <x:v>미확인</x:v>
      </x:c>
      <x:c r="H32" s="635" t="str">
        <x:v>-원자재입고 부품식별표
-작업일보
-부품식별표
-출하일지
-고객부품식별표
-일별생산실적현황 OR LOT 관리대장</x:v>
      </x:c>
      <x:c r="I32" s="635" t="str">
        <x:v>[CASE1] LOT수작업관리    - 파렛트or 부품단위
▷ 수입검사 완료품 식별 프로세스 수립 (합격도장 등) - 보안/안전 부품 별도 식별 표시 : LOT타각, 식별마크 등
▷ 선입/선출 관리기준 유무 (공정~출하) - 관리 대장, 레이아웃
[현장연계] COIL NO기록 / 입고LOT OR C/N / LOT NO기록</x:v>
      </x:c>
      <x:c r="J32" s="1372" t="str"/>
      <x:c r="K32" s="933" t="str">
        <x:v>미확인</x:v>
      </x:c>
      <x:c r="L32" s="933" t="str">
        <x:v>미확인</x:v>
      </x:c>
      <x:c r="M32" s="933" t="str">
        <x:v>미확인</x:v>
      </x:c>
      <x:c r="N32" s="933" t="str"/>
      <x:c r="O32" s="1223" t="str"/>
      <x:c r="P32" s="1369" t="str">
        <x:f>IF(AND(G32="해당",J32&lt;&gt;"",LEFT(TRIM(J32),1)&lt;&gt;"[",K32="일치",L32="일치",M32="확인",N32&lt;&gt;"",O32&lt;&gt;""),"증빙확인",IF(AND(G32="비적용(사내근거 확인)",J32&lt;&gt;"",LEFT(TRIM(J32),1)&lt;&gt;"[",N32&lt;&gt;"",O32&lt;&gt;""),"비적용검토","미확인"))</x:f>
        <x:v>미확인</x:v>
      </x:c>
      <x:c r="Q32" s="1369" t="n">
        <x:f>IF(AND(P32="증빙확인",ISNUMBER(D32)),D32,0)</x:f>
        <x:v>0</x:v>
      </x:c>
      <x:c r="R32" s="670" t="str"/>
      <x:c r="S32" s="635" t="str">
        <x:v>A (우선)</x:v>
      </x:c>
      <x:c r="T32" s="670" t="str">
        <x:v>2026-10-29</x:v>
      </x:c>
      <x:c r="U32" s="636" t="str">
        <x:v>165행 / 원문 기재값 보존</x:v>
      </x:c>
    </x:row>
    <x:row r="33" ht="84" customHeight="1">
      <x:c r="A33" s="634" t="n">
        <x:v>27</x:v>
      </x:c>
      <x:c r="B33" s="635" t="str">
        <x:v>자재관리</x:v>
      </x:c>
      <x:c r="C33" s="635" t="str">
        <x:v>5-2</x:v>
      </x:c>
      <x:c r="D33" s="635" t="n">
        <x:v>20</x:v>
      </x:c>
      <x:c r="E33" s="635" t="str">
        <x:v>수입자재 보관장 관리기준 수립
및 준수상태</x:v>
      </x:c>
      <x:c r="F33" s="635" t="str">
        <x:v>이은주 / 지성규 / 구매자재팀 / 생산팀</x:v>
      </x:c>
      <x:c r="G33" s="670" t="str">
        <x:v>미확인</x:v>
      </x:c>
      <x:c r="H33" s="635" t="str">
        <x:v>-원자재보관관리기준서
-원자재보관대 LAY-OUT 및재고현황
-원자재보관대 구역설정및 식별
-원자재선입선출관리기준서
-.원자재식별표
-장기재고보관관리기준서</x:v>
      </x:c>
      <x:c r="I33" s="635" t="str">
        <x:v>자재 창고 Lay Out 현황도 작성 및 선입선출 다이 등반영 상태(구조적 시스템, 입/불출 절차 효율성 확보 여부)
입고품 적재/관리기준 수립 및 준수(입고 완료품 찍힘/발청, 이물질오염, 기타 손상 확인시 감점)
원소재 보관 관리기준 수립 및 준수상태(포장상태 및 개봉후 식별방법 등)</x:v>
      </x:c>
      <x:c r="J33" s="1372" t="str"/>
      <x:c r="K33" s="933" t="str">
        <x:v>미확인</x:v>
      </x:c>
      <x:c r="L33" s="933" t="str">
        <x:v>미확인</x:v>
      </x:c>
      <x:c r="M33" s="933" t="str">
        <x:v>미확인</x:v>
      </x:c>
      <x:c r="N33" s="933" t="str"/>
      <x:c r="O33" s="1223" t="str"/>
      <x:c r="P33" s="1369" t="str">
        <x:f>IF(AND(G33="해당",J33&lt;&gt;"",LEFT(TRIM(J33),1)&lt;&gt;"[",K33="일치",L33="일치",M33="확인",N33&lt;&gt;"",O33&lt;&gt;""),"증빙확인",IF(AND(G33="비적용(사내근거 확인)",J33&lt;&gt;"",LEFT(TRIM(J33),1)&lt;&gt;"[",N33&lt;&gt;"",O33&lt;&gt;""),"비적용검토","미확인"))</x:f>
        <x:v>미확인</x:v>
      </x:c>
      <x:c r="Q33" s="1369" t="n">
        <x:f>IF(AND(P33="증빙확인",ISNUMBER(D33)),D33,0)</x:f>
        <x:v>0</x:v>
      </x:c>
      <x:c r="R33" s="670" t="str"/>
      <x:c r="S33" s="635" t="str">
        <x:v>B</x:v>
      </x:c>
      <x:c r="T33" s="670" t="str">
        <x:v>2026-11-03</x:v>
      </x:c>
      <x:c r="U33" s="636" t="str">
        <x:v>174행 / 원문 기재값 보존</x:v>
      </x:c>
    </x:row>
    <x:row r="34" ht="84" customHeight="1">
      <x:c r="A34" s="634" t="n">
        <x:v>28</x:v>
      </x:c>
      <x:c r="B34" s="635" t="str">
        <x:v>자재관리</x:v>
      </x:c>
      <x:c r="C34" s="635" t="str">
        <x:v>5-3</x:v>
      </x:c>
      <x:c r="D34" s="635" t="n">
        <x:v>20</x:v>
      </x:c>
      <x:c r="E34" s="635" t="str">
        <x:v>입고품 식별관리 기준 수립 및
준수여부</x:v>
      </x:c>
      <x:c r="F34" s="635" t="str">
        <x:v>이은주 / 지성규 / 구매자재팀 / 생산팀</x:v>
      </x:c>
      <x:c r="G34" s="670" t="str">
        <x:v>미확인</x:v>
      </x:c>
      <x:c r="H34" s="635" t="str">
        <x:v>-선입고품 우선사용 TAG식별
-.원자재식별표
-장기재고보관관리기준서
-장기재고식별표
부품식별표</x:v>
      </x:c>
      <x:c r="I34" s="635" t="str">
        <x:v>검사 전,후 식별 및 선입선출 관리
소재사양 및 GRADE 식별절차
장기/불용/개발품 자재 관리기준 및 식별절차(장기/불용/개발용 원재료 별도 구분/식별관리)</x:v>
      </x:c>
      <x:c r="J34" s="1372" t="str"/>
      <x:c r="K34" s="933" t="str">
        <x:v>미확인</x:v>
      </x:c>
      <x:c r="L34" s="933" t="str">
        <x:v>미확인</x:v>
      </x:c>
      <x:c r="M34" s="933" t="str">
        <x:v>미확인</x:v>
      </x:c>
      <x:c r="N34" s="933" t="str"/>
      <x:c r="O34" s="1223" t="str"/>
      <x:c r="P34" s="1369" t="str">
        <x:f>IF(AND(G34="해당",J34&lt;&gt;"",LEFT(TRIM(J34),1)&lt;&gt;"[",K34="일치",L34="일치",M34="확인",N34&lt;&gt;"",O34&lt;&gt;""),"증빙확인",IF(AND(G34="비적용(사내근거 확인)",J34&lt;&gt;"",LEFT(TRIM(J34),1)&lt;&gt;"[",N34&lt;&gt;"",O34&lt;&gt;""),"비적용검토","미확인"))</x:f>
        <x:v>미확인</x:v>
      </x:c>
      <x:c r="Q34" s="1369" t="n">
        <x:f>IF(AND(P34="증빙확인",ISNUMBER(D34)),D34,0)</x:f>
        <x:v>0</x:v>
      </x:c>
      <x:c r="R34" s="670" t="str"/>
      <x:c r="S34" s="635" t="str">
        <x:v>B</x:v>
      </x:c>
      <x:c r="T34" s="670" t="str">
        <x:v>2026-11-03</x:v>
      </x:c>
      <x:c r="U34" s="636" t="str">
        <x:v>187행 / 원문 기재값 보존</x:v>
      </x:c>
    </x:row>
    <x:row r="35" ht="84" customHeight="1">
      <x:c r="A35" s="634" t="n">
        <x:v>29</x:v>
      </x:c>
      <x:c r="B35" s="635" t="str">
        <x:v>자재관리</x:v>
      </x:c>
      <x:c r="C35" s="635" t="str">
        <x:v>5-4</x:v>
      </x:c>
      <x:c r="D35" s="635" t="n">
        <x:v>20</x:v>
      </x:c>
      <x:c r="E35" s="635" t="str">
        <x:v>재공품/완제품 용기 표준화
관리기준 수립 및 이행상태</x:v>
      </x:c>
      <x:c r="F35" s="635" t="str">
        <x:v>지성규 / 이은주 / 생산팀 / 구매자재팀</x:v>
      </x:c>
      <x:c r="G35" s="670" t="str">
        <x:v>미확인</x:v>
      </x:c>
      <x:c r="H35" s="635" t="str">
        <x:v>-공정제품 용기설정 기준서
-과다적재방지 장입한계기준 설정
-완성품 납용용기설정서
-완성품 LAY-OUT
-완성품 적재공간 구역설정 LINE MARK'G
-완성품 적재장소 NAME PLATE부착</x:v>
      </x:c>
      <x:c r="I35" s="635" t="str">
        <x:v>품목별/공정별 장입(적재) 기준 수립 및 준수상태/ 과다적재 예방을 위한 장입 한계 기준설정 등
외관확인이 어려운 공정처리 전/후 재공품 보관용기 식별절차 수립 및 준수상태
(예: 표면처리, 열처리 전/후 용기 식별관리 절차 수립 등)
[현장연계] 관리본 배포 / 공용용기한계선 / 고객승인</x:v>
      </x:c>
      <x:c r="J35" s="1372" t="str"/>
      <x:c r="K35" s="933" t="str">
        <x:v>미확인</x:v>
      </x:c>
      <x:c r="L35" s="933" t="str">
        <x:v>미확인</x:v>
      </x:c>
      <x:c r="M35" s="933" t="str">
        <x:v>미확인</x:v>
      </x:c>
      <x:c r="N35" s="933" t="str"/>
      <x:c r="O35" s="1223" t="str"/>
      <x:c r="P35" s="1369" t="str">
        <x:f>IF(AND(G35="해당",J35&lt;&gt;"",LEFT(TRIM(J35),1)&lt;&gt;"[",K35="일치",L35="일치",M35="확인",N35&lt;&gt;"",O35&lt;&gt;""),"증빙확인",IF(AND(G35="비적용(사내근거 확인)",J35&lt;&gt;"",LEFT(TRIM(J35),1)&lt;&gt;"[",N35&lt;&gt;"",O35&lt;&gt;""),"비적용검토","미확인"))</x:f>
        <x:v>미확인</x:v>
      </x:c>
      <x:c r="Q35" s="1369" t="n">
        <x:f>IF(AND(P35="증빙확인",ISNUMBER(D35)),D35,0)</x:f>
        <x:v>0</x:v>
      </x:c>
      <x:c r="R35" s="670" t="str"/>
      <x:c r="S35" s="635" t="str">
        <x:v>B</x:v>
      </x:c>
      <x:c r="T35" s="670" t="str">
        <x:v>2026-11-03</x:v>
      </x:c>
      <x:c r="U35" s="636" t="str">
        <x:v>192행 / 원문 기재값 보존</x:v>
      </x:c>
    </x:row>
    <x:row r="36" ht="84" customHeight="1">
      <x:c r="A36" s="634" t="n">
        <x:v>30</x:v>
      </x:c>
      <x:c r="B36" s="635" t="str">
        <x:v>품질경영체제</x:v>
      </x:c>
      <x:c r="C36" s="635" t="str">
        <x:v>6-1</x:v>
      </x:c>
      <x:c r="D36" s="635" t="n">
        <x:v>30</x:v>
      </x:c>
      <x:c r="E36" s="635" t="str">
        <x:v>안전사고 발생 예방을 위한
업무 프로세스 수립 및 준수실태</x:v>
      </x:c>
      <x:c r="F36" s="635" t="str">
        <x:v>지성규 / 생산팀</x:v>
      </x:c>
      <x:c r="G36" s="670" t="str">
        <x:v>미확인</x:v>
      </x:c>
      <x:c r="H36" s="635" t="str">
        <x:v>안전관리업무기준서
안전보호구 지급기준
안전보호구 지급관리대장
안전교육교안
안전교육실시보고서
작업장 안전수칙 라인별 제작활용</x:v>
      </x:c>
      <x:c r="I36" s="635" t="str">
        <x:v>작업자 안전관리 프로세스 수립 및 준수실태(현장확인)
: 생산라인 투입전 핸드폰 보관을 위한 별도 보관대 설치 및 활용상태 점검 (생산중 핸드폰 사용에 따른 사고 방지)
: 안전 보호장구(보안경/헬멧/장갑 등) 착용 기준수립 및 이행상태 점검(일상)
[현장연계] 공장LAYOUT반영</x:v>
      </x:c>
      <x:c r="J36" s="1372" t="str"/>
      <x:c r="K36" s="933" t="str">
        <x:v>미확인</x:v>
      </x:c>
      <x:c r="L36" s="933" t="str">
        <x:v>미확인</x:v>
      </x:c>
      <x:c r="M36" s="933" t="str">
        <x:v>미확인</x:v>
      </x:c>
      <x:c r="N36" s="933" t="str"/>
      <x:c r="O36" s="1223" t="str"/>
      <x:c r="P36" s="1369" t="str">
        <x:f>IF(AND(G36="해당",J36&lt;&gt;"",LEFT(TRIM(J36),1)&lt;&gt;"[",K36="일치",L36="일치",M36="확인",N36&lt;&gt;"",O36&lt;&gt;""),"증빙확인",IF(AND(G36="비적용(사내근거 확인)",J36&lt;&gt;"",LEFT(TRIM(J36),1)&lt;&gt;"[",N36&lt;&gt;"",O36&lt;&gt;""),"비적용검토","미확인"))</x:f>
        <x:v>미확인</x:v>
      </x:c>
      <x:c r="Q36" s="1369" t="n">
        <x:f>IF(AND(P36="증빙확인",ISNUMBER(D36)),D36,0)</x:f>
        <x:v>0</x:v>
      </x:c>
      <x:c r="R36" s="670" t="str"/>
      <x:c r="S36" s="635" t="str">
        <x:v>A (우선)</x:v>
      </x:c>
      <x:c r="T36" s="670" t="str">
        <x:v>2026-10-29</x:v>
      </x:c>
      <x:c r="U36" s="636" t="str">
        <x:v>200행 / 원문 기재값 보존</x:v>
      </x:c>
    </x:row>
    <x:row r="37" ht="84" customHeight="1">
      <x:c r="A37" s="634" t="n">
        <x:v>31</x:v>
      </x:c>
      <x:c r="B37" s="635" t="str">
        <x:v>품질경영체제</x:v>
      </x:c>
      <x:c r="C37" s="635" t="str">
        <x:v>6-2</x:v>
      </x:c>
      <x:c r="D37" s="635" t="n">
        <x:v>20</x:v>
      </x:c>
      <x:c r="E37" s="635" t="str">
        <x:v>설계변경, 4M 변경처리업무절차
수립 및 준수여부</x:v>
      </x:c>
      <x:c r="F37" s="635" t="str">
        <x:v>이광재 / 품질팀</x:v>
      </x:c>
      <x:c r="G37" s="670" t="str">
        <x:v>미확인</x:v>
      </x:c>
      <x:c r="H37" s="635" t="str">
        <x:v>설계변경/4M관리업무 프로세스
변경관리 master list
변경품적용시점통보서
변경품적용시 고객ISIR승인서류</x:v>
      </x:c>
      <x:c r="I37" s="635" t="str">
        <x:v>설계변경/4M 변경 업무 프로세스 수립여부
[세부 유형별 업무 처리절차 및 관리분담, 고객사 ISIR 재승인 필요여부 등]
변경점 추적성 확보를 위한 마스터리스트 작성관리[누락 발생시 감점 처리]</x:v>
      </x:c>
      <x:c r="J37" s="1372" t="str"/>
      <x:c r="K37" s="933" t="str">
        <x:v>미확인</x:v>
      </x:c>
      <x:c r="L37" s="933" t="str">
        <x:v>미확인</x:v>
      </x:c>
      <x:c r="M37" s="933" t="str">
        <x:v>미확인</x:v>
      </x:c>
      <x:c r="N37" s="933" t="str"/>
      <x:c r="O37" s="1223" t="str"/>
      <x:c r="P37" s="1369" t="str">
        <x:f>IF(AND(G37="해당",J37&lt;&gt;"",LEFT(TRIM(J37),1)&lt;&gt;"[",K37="일치",L37="일치",M37="확인",N37&lt;&gt;"",O37&lt;&gt;""),"증빙확인",IF(AND(G37="비적용(사내근거 확인)",J37&lt;&gt;"",LEFT(TRIM(J37),1)&lt;&gt;"[",N37&lt;&gt;"",O37&lt;&gt;""),"비적용검토","미확인"))</x:f>
        <x:v>미확인</x:v>
      </x:c>
      <x:c r="Q37" s="1369" t="n">
        <x:f>IF(AND(P37="증빙확인",ISNUMBER(D37)),D37,0)</x:f>
        <x:v>0</x:v>
      </x:c>
      <x:c r="R37" s="670" t="str"/>
      <x:c r="S37" s="635" t="str">
        <x:v>B</x:v>
      </x:c>
      <x:c r="T37" s="670" t="str">
        <x:v>2026-11-03</x:v>
      </x:c>
      <x:c r="U37" s="636" t="str">
        <x:v>212행 / 원문 기재값 보존</x:v>
      </x:c>
    </x:row>
    <x:row r="38" ht="84" customHeight="1">
      <x:c r="A38" s="634" t="n">
        <x:v>32</x:v>
      </x:c>
      <x:c r="B38" s="635" t="str">
        <x:v>품질경영체제</x:v>
      </x:c>
      <x:c r="C38" s="635" t="str">
        <x:v>6-3</x:v>
      </x:c>
      <x:c r="D38" s="635" t="n">
        <x:v>20</x:v>
      </x:c>
      <x:c r="E38" s="635" t="str">
        <x:v>품목별  도면기준 검사협정 체결
및 관리기준 준수상태
(도면 일치성)</x:v>
      </x:c>
      <x:c r="F38" s="635" t="str">
        <x:v>이광재 / 품질팀</x:v>
      </x:c>
      <x:c r="G38" s="670" t="str">
        <x:v>미확인</x:v>
      </x:c>
      <x:c r="H38" s="635" t="str">
        <x:v>도면일치성관리기준서
도면일치성점검체크시트(고객사관리본접수)
도면/검사협정서/초도품보증서고객승인본
정기검사계획대실적표
정기검사실적</x:v>
      </x:c>
      <x:c r="I38" s="635" t="str">
        <x:v>도면에 명시된 외관, 치수, 기능, 주기를 검사협정 및 사내 검사기준 반영
- 검사협정서/기준서/초도품 보증서 고객 승인본 보유
'-도면 일치성 점검 담당자 지정하여 정기적 도면대비 검사협정/기준서 일치성 점검 및 점검이력 관리
[현장연계] 고객점검접수</x:v>
      </x:c>
      <x:c r="J38" s="1372" t="str"/>
      <x:c r="K38" s="933" t="str">
        <x:v>미확인</x:v>
      </x:c>
      <x:c r="L38" s="933" t="str">
        <x:v>미확인</x:v>
      </x:c>
      <x:c r="M38" s="933" t="str">
        <x:v>미확인</x:v>
      </x:c>
      <x:c r="N38" s="933" t="str"/>
      <x:c r="O38" s="1223" t="str"/>
      <x:c r="P38" s="1369" t="str">
        <x:f>IF(AND(G38="해당",J38&lt;&gt;"",LEFT(TRIM(J38),1)&lt;&gt;"[",K38="일치",L38="일치",M38="확인",N38&lt;&gt;"",O38&lt;&gt;""),"증빙확인",IF(AND(G38="비적용(사내근거 확인)",J38&lt;&gt;"",LEFT(TRIM(J38),1)&lt;&gt;"[",N38&lt;&gt;"",O38&lt;&gt;""),"비적용검토","미확인"))</x:f>
        <x:v>미확인</x:v>
      </x:c>
      <x:c r="Q38" s="1369" t="n">
        <x:f>IF(AND(P38="증빙확인",ISNUMBER(D38)),D38,0)</x:f>
        <x:v>0</x:v>
      </x:c>
      <x:c r="R38" s="670" t="str"/>
      <x:c r="S38" s="635" t="str">
        <x:v>B</x:v>
      </x:c>
      <x:c r="T38" s="670" t="str">
        <x:v>2026-11-03</x:v>
      </x:c>
      <x:c r="U38" s="636" t="str">
        <x:v>218행 / 원문 기재값 보존</x:v>
      </x:c>
    </x:row>
    <x:row r="39" ht="84" customHeight="1">
      <x:c r="A39" s="634" t="n">
        <x:v>33</x:v>
      </x:c>
      <x:c r="B39" s="635" t="str">
        <x:v>품질경영체제</x:v>
      </x:c>
      <x:c r="C39" s="635" t="str">
        <x:v>6-4</x:v>
      </x:c>
      <x:c r="D39" s="635" t="n">
        <x:v>10</x:v>
      </x:c>
      <x:c r="E39" s="635" t="str">
        <x:v>품질 경영체제 구축/유지를 위한
위한 조직구성 및 운영 상태
조직구성 및 운영 상태</x:v>
      </x:c>
      <x:c r="F39" s="635" t="str">
        <x:v>이광재 / 품질팀</x:v>
      </x:c>
      <x:c r="G39" s="670" t="str">
        <x:v>미확인</x:v>
      </x:c>
      <x:c r="H39" s="635" t="str">
        <x:v>ISO인증서
품질매뉴얼/절차서/지침서
전사조직도 및 업무분장표
SQ 사전점검 지적사항및 개선대책
(유효성검증관리 실적)</x:v>
      </x:c>
      <x:c r="I39" s="635" t="str">
        <x:v>품질 매뉴얼/절차서/지침서 구비 및 적용상태
구체적인 업무분장 수립상태
SQ 인증업종 자체 내부심사[평가서 기준] 활동 실시 및 발췌 문제점에 대한 개선활동 추진</x:v>
      </x:c>
      <x:c r="J39" s="1372" t="str"/>
      <x:c r="K39" s="933" t="str">
        <x:v>미확인</x:v>
      </x:c>
      <x:c r="L39" s="933" t="str">
        <x:v>미확인</x:v>
      </x:c>
      <x:c r="M39" s="933" t="str">
        <x:v>미확인</x:v>
      </x:c>
      <x:c r="N39" s="933" t="str"/>
      <x:c r="O39" s="1223" t="str"/>
      <x:c r="P39" s="1369" t="str">
        <x:f>IF(AND(G39="해당",J39&lt;&gt;"",LEFT(TRIM(J39),1)&lt;&gt;"[",K39="일치",L39="일치",M39="확인",N39&lt;&gt;"",O39&lt;&gt;""),"증빙확인",IF(AND(G39="비적용(사내근거 확인)",J39&lt;&gt;"",LEFT(TRIM(J39),1)&lt;&gt;"[",N39&lt;&gt;"",O39&lt;&gt;""),"비적용검토","미확인"))</x:f>
        <x:v>미확인</x:v>
      </x:c>
      <x:c r="Q39" s="1369" t="n">
        <x:f>IF(AND(P39="증빙확인",ISNUMBER(D39)),D39,0)</x:f>
        <x:v>0</x:v>
      </x:c>
      <x:c r="R39" s="670" t="str"/>
      <x:c r="S39" s="635" t="str">
        <x:v>B</x:v>
      </x:c>
      <x:c r="T39" s="670" t="str">
        <x:v>2026-11-03</x:v>
      </x:c>
      <x:c r="U39" s="636" t="str">
        <x:v>223행 / 원문 기재값 보존</x:v>
      </x:c>
    </x:row>
    <x:row r="40" ht="84" customHeight="1">
      <x:c r="A40" s="634" t="n">
        <x:v>34</x:v>
      </x:c>
      <x:c r="B40" s="635" t="str">
        <x:v>품질경영체제</x:v>
      </x:c>
      <x:c r="C40" s="635" t="str">
        <x:v>6-5</x:v>
      </x:c>
      <x:c r="D40" s="635" t="n">
        <x:v>20</x:v>
      </x:c>
      <x:c r="E40" s="635" t="str">
        <x:v>자격인증 관리기준 수립 및
준수상태</x:v>
      </x:c>
      <x:c r="F40" s="635" t="str">
        <x:v>이광재 / 지성규 / 품질팀 / 생산팀</x:v>
      </x:c>
      <x:c r="G40" s="670" t="str">
        <x:v>미확인</x:v>
      </x:c>
      <x:c r="H40" s="635" t="str">
        <x:v>자격인증관리 기준서
자격인증체크시트 (검사원)
자격인증체크시트 (현장작업자)
계수형R&amp;R 계획대실적표
계수형R&amp;R 실시실적
계량형/계수형 R&amp;R 수기작성본</x:v>
      </x:c>
      <x:c r="I40" s="635" t="str">
        <x:v>공정별 작업자/검사자 배치기준 수립 및 자격인증 평가 실시여부 [품질 표준류내 검사지정 항목별 담당자]
⇒ 자격인증 실시 기준
[부적합 판별 실기평가, 품질특성 교육, 동일업무 경력, 생산품 품질산포 발생 가능성 검증 등]
[현장연계] 샘플OR사진 / 현장라인부착 / 4M변경연계</x:v>
      </x:c>
      <x:c r="J40" s="1372" t="str"/>
      <x:c r="K40" s="933" t="str">
        <x:v>미확인</x:v>
      </x:c>
      <x:c r="L40" s="933" t="str">
        <x:v>미확인</x:v>
      </x:c>
      <x:c r="M40" s="933" t="str">
        <x:v>미확인</x:v>
      </x:c>
      <x:c r="N40" s="933" t="str"/>
      <x:c r="O40" s="1223" t="str"/>
      <x:c r="P40" s="1369" t="str">
        <x:f>IF(AND(G40="해당",J40&lt;&gt;"",LEFT(TRIM(J40),1)&lt;&gt;"[",K40="일치",L40="일치",M40="확인",N40&lt;&gt;"",O40&lt;&gt;""),"증빙확인",IF(AND(G40="비적용(사내근거 확인)",J40&lt;&gt;"",LEFT(TRIM(J40),1)&lt;&gt;"[",N40&lt;&gt;"",O40&lt;&gt;""),"비적용검토","미확인"))</x:f>
        <x:v>미확인</x:v>
      </x:c>
      <x:c r="Q40" s="1369" t="n">
        <x:f>IF(AND(P40="증빙확인",ISNUMBER(D40)),D40,0)</x:f>
        <x:v>0</x:v>
      </x:c>
      <x:c r="R40" s="670" t="str"/>
      <x:c r="S40" s="635" t="str">
        <x:v>B</x:v>
      </x:c>
      <x:c r="T40" s="670" t="str">
        <x:v>2026-11-03</x:v>
      </x:c>
      <x:c r="U40" s="636" t="str">
        <x:v>228행 / 원문 기재값 보존</x:v>
      </x:c>
    </x:row>
    <x:row r="41" ht="84" customHeight="1">
      <x:c r="A41" s="634" t="n">
        <x:v>35</x:v>
      </x:c>
      <x:c r="B41" s="635" t="str">
        <x:v>품질경영체제</x:v>
      </x:c>
      <x:c r="C41" s="635" t="str">
        <x:v>6-6</x:v>
      </x:c>
      <x:c r="D41" s="635" t="n">
        <x:v>10</x:v>
      </x:c>
      <x:c r="E41" s="635" t="str">
        <x:v>정기적 품질 중요성에 교안작성
및 임직원 교육 실시 이행상태</x:v>
      </x:c>
      <x:c r="F41" s="635" t="str">
        <x:v>김명용 / 품질팀</x:v>
      </x:c>
      <x:c r="G41" s="670" t="str">
        <x:v>미확인</x:v>
      </x:c>
      <x:c r="H41" s="635" t="str">
        <x:v>교육교안
2026년 교육계획대실적
교육실시보고서 (교육사진/참석자서명)
품질문제발생시 즉시교육실적보고서</x:v>
      </x:c>
      <x:c r="I41" s="635" t="str">
        <x:v>리콜/캠페인 등 고객사 품질문제 발생시 회사에 미치는 영향성 (대외이미지, 비용부담 등) 교안작성
임직원 대상(비정규직 포함) 교육 실시후 교육이력 증빙관리
작업실수 방지 및 안전사고 예방을 위한 작업자 교육실시(실시교안 및 이력 증빙관리)</x:v>
      </x:c>
      <x:c r="J41" s="1372" t="str"/>
      <x:c r="K41" s="933" t="str">
        <x:v>미확인</x:v>
      </x:c>
      <x:c r="L41" s="933" t="str">
        <x:v>미확인</x:v>
      </x:c>
      <x:c r="M41" s="933" t="str">
        <x:v>미확인</x:v>
      </x:c>
      <x:c r="N41" s="933" t="str"/>
      <x:c r="O41" s="1223" t="str"/>
      <x:c r="P41" s="1369" t="str">
        <x:f>IF(AND(G41="해당",J41&lt;&gt;"",LEFT(TRIM(J41),1)&lt;&gt;"[",K41="일치",L41="일치",M41="확인",N41&lt;&gt;"",O41&lt;&gt;""),"증빙확인",IF(AND(G41="비적용(사내근거 확인)",J41&lt;&gt;"",LEFT(TRIM(J41),1)&lt;&gt;"[",N41&lt;&gt;"",O41&lt;&gt;""),"비적용검토","미확인"))</x:f>
        <x:v>미확인</x:v>
      </x:c>
      <x:c r="Q41" s="1369" t="n">
        <x:f>IF(AND(P41="증빙확인",ISNUMBER(D41)),D41,0)</x:f>
        <x:v>0</x:v>
      </x:c>
      <x:c r="R41" s="670" t="str"/>
      <x:c r="S41" s="635" t="str">
        <x:v>B</x:v>
      </x:c>
      <x:c r="T41" s="670" t="str">
        <x:v>2026-11-03</x:v>
      </x:c>
      <x:c r="U41" s="636" t="str">
        <x:v>242행 / 원문 기재값 보존</x:v>
      </x:c>
    </x:row>
    <x:row r="42" ht="84" customHeight="1">
      <x:c r="A42" s="634" t="n">
        <x:v>36</x:v>
      </x:c>
      <x:c r="B42" s="635" t="str">
        <x:v>품질경영체제</x:v>
      </x:c>
      <x:c r="C42" s="635" t="str">
        <x:v>6-7</x:v>
      </x:c>
      <x:c r="D42" s="635" t="n">
        <x:v>20</x:v>
      </x:c>
      <x:c r="E42" s="635" t="str">
        <x:v>수입검사/생산공정/최종검사
부적합(추정)품에 대한
격리/식별절차 수립 및 준수여부</x:v>
      </x:c>
      <x:c r="F42" s="635" t="str">
        <x:v>이광재 / 품질팀</x:v>
      </x:c>
      <x:c r="G42" s="670" t="str">
        <x:v>미확인</x:v>
      </x:c>
      <x:c r="H42" s="635" t="str">
        <x:v>부적합처리업무 프로세스
부적합 격리보관장소 지정 (펜스격리)
부적합처리일지
부적합품 보관함
부적합식별표</x:v>
      </x:c>
      <x:c r="I42" s="635" t="str">
        <x:v>수입검사/생산공정/최종검사 부적합(추정)품에 대한 격리/식별절차 수립 및 준수여부
부적합품 후공정 유출 방지를 위한 식별 및 격리방안 세부 작성 및 준수여부
부적합(추정)품 처리 프로세스 수립 및 준수여부
[현장연계] LOT불량격리 / 라인별비치</x:v>
      </x:c>
      <x:c r="J42" s="1372" t="str"/>
      <x:c r="K42" s="933" t="str">
        <x:v>미확인</x:v>
      </x:c>
      <x:c r="L42" s="933" t="str">
        <x:v>미확인</x:v>
      </x:c>
      <x:c r="M42" s="933" t="str">
        <x:v>미확인</x:v>
      </x:c>
      <x:c r="N42" s="933" t="str"/>
      <x:c r="O42" s="1223" t="str"/>
      <x:c r="P42" s="1369" t="str">
        <x:f>IF(AND(G42="해당",J42&lt;&gt;"",LEFT(TRIM(J42),1)&lt;&gt;"[",K42="일치",L42="일치",M42="확인",N42&lt;&gt;"",O42&lt;&gt;""),"증빙확인",IF(AND(G42="비적용(사내근거 확인)",J42&lt;&gt;"",LEFT(TRIM(J42),1)&lt;&gt;"[",N42&lt;&gt;"",O42&lt;&gt;""),"비적용검토","미확인"))</x:f>
        <x:v>미확인</x:v>
      </x:c>
      <x:c r="Q42" s="1369" t="n">
        <x:f>IF(AND(P42="증빙확인",ISNUMBER(D42)),D42,0)</x:f>
        <x:v>0</x:v>
      </x:c>
      <x:c r="R42" s="670" t="str"/>
      <x:c r="S42" s="635" t="str">
        <x:v>B</x:v>
      </x:c>
      <x:c r="T42" s="670" t="str">
        <x:v>2026-11-03</x:v>
      </x:c>
      <x:c r="U42" s="636" t="str">
        <x:v>248행 / 원문 기재값 보존</x:v>
      </x:c>
    </x:row>
    <x:row r="43" ht="84" customHeight="1">
      <x:c r="A43" s="634" t="n">
        <x:v>37</x:v>
      </x:c>
      <x:c r="B43" s="635" t="str">
        <x:v>품질경영체제</x:v>
      </x:c>
      <x:c r="C43" s="635" t="str">
        <x:v>6-8</x:v>
      </x:c>
      <x:c r="D43" s="635" t="n">
        <x:v>20</x:v>
      </x:c>
      <x:c r="E43" s="635" t="str">
        <x:v>품질실적 점검 프로세스 수립
및 개선활동 실시상태</x:v>
      </x:c>
      <x:c r="F43" s="635" t="str">
        <x:v>박철호 / 품질팀 / 품질팀</x:v>
      </x:c>
      <x:c r="G43" s="670" t="str">
        <x:v>미확인</x:v>
      </x:c>
      <x:c r="H43" s="635" t="str">
        <x:v>품질실적보고서 (전부서KPI목표대비실적)
-고객/공정/외주불량 실적PPM
-고객/공정/외주불량 개선대책서
고객불량 유효성검증  MASTER LIST
-D+3개월 유효성검증</x:v>
      </x:c>
      <x:c r="I43" s="635" t="str">
        <x:v>전년도 품질 실적대비 목표설정 및 실적 점검(1회/월)상태
⇒ 공정불량 (생산수량, 불량수, PPM), 고객불량 (납품수량, 불량수, PPM), 외주불량(입고수량, 불량수, PPM)
목표 미달시 워스트 항목에 대한 근본적인 원인분석 및 개선대책 수립/유효성 평가 실시상태
[현장연계] 매월경영자승인본 / 현장현황판제작</x:v>
      </x:c>
      <x:c r="J43" s="1372" t="str"/>
      <x:c r="K43" s="933" t="str">
        <x:v>미확인</x:v>
      </x:c>
      <x:c r="L43" s="933" t="str">
        <x:v>미확인</x:v>
      </x:c>
      <x:c r="M43" s="933" t="str">
        <x:v>미확인</x:v>
      </x:c>
      <x:c r="N43" s="933" t="str"/>
      <x:c r="O43" s="1223" t="str"/>
      <x:c r="P43" s="1369" t="str">
        <x:f>IF(AND(G43="해당",J43&lt;&gt;"",LEFT(TRIM(J43),1)&lt;&gt;"[",K43="일치",L43="일치",M43="확인",N43&lt;&gt;"",O43&lt;&gt;""),"증빙확인",IF(AND(G43="비적용(사내근거 확인)",J43&lt;&gt;"",LEFT(TRIM(J43),1)&lt;&gt;"[",N43&lt;&gt;"",O43&lt;&gt;""),"비적용검토","미확인"))</x:f>
        <x:v>미확인</x:v>
      </x:c>
      <x:c r="Q43" s="1369" t="n">
        <x:f>IF(AND(P43="증빙확인",ISNUMBER(D43)),D43,0)</x:f>
        <x:v>0</x:v>
      </x:c>
      <x:c r="R43" s="670" t="str"/>
      <x:c r="S43" s="635" t="str">
        <x:v>B</x:v>
      </x:c>
      <x:c r="T43" s="670" t="str">
        <x:v>2026-11-03</x:v>
      </x:c>
      <x:c r="U43" s="636" t="str">
        <x:v>253행 / 원문 기재값 보존</x:v>
      </x:c>
    </x:row>
    <x:row r="44" ht="84" customHeight="1">
      <x:c r="A44" s="634" t="n">
        <x:v>38</x:v>
      </x:c>
      <x:c r="B44" s="635" t="str">
        <x:v>품질경영체제</x:v>
      </x:c>
      <x:c r="C44" s="635" t="str">
        <x:v>6-9</x:v>
      </x:c>
      <x:c r="D44" s="635" t="n">
        <x:v>10</x:v>
      </x:c>
      <x:c r="E44" s="635" t="str">
        <x:v>검사 유효성 확보를 위한 조도
관리프로세스 수립 및 준수실태</x:v>
      </x:c>
      <x:c r="F44" s="635" t="str">
        <x:v>지성규 / 생산팀</x:v>
      </x:c>
      <x:c r="G44" s="670" t="str">
        <x:v>미확인</x:v>
      </x:c>
      <x:c r="H44" s="635" t="str">
        <x:v>조도관리기준서
조도측정 LAY-OUT
조도측정부 현장내 식별
조도측정 실적</x:v>
      </x:c>
      <x:c r="I44" s="635" t="str">
        <x:v>정기적인 작업장/ 검사장 조도 관리를 위한 운영 프로세스 수립[측정장소/시간, 조도 관리기준, 측정장소 지정]
표준류내 자주/순회검사 실시구간 조도관리 포인트 누락여부
[현장연계] 조도측정구역표시</x:v>
      </x:c>
      <x:c r="J44" s="1372" t="str"/>
      <x:c r="K44" s="933" t="str">
        <x:v>미확인</x:v>
      </x:c>
      <x:c r="L44" s="933" t="str">
        <x:v>미확인</x:v>
      </x:c>
      <x:c r="M44" s="933" t="str">
        <x:v>미확인</x:v>
      </x:c>
      <x:c r="N44" s="933" t="str"/>
      <x:c r="O44" s="1223" t="str"/>
      <x:c r="P44" s="1369" t="str">
        <x:f>IF(AND(G44="해당",J44&lt;&gt;"",LEFT(TRIM(J44),1)&lt;&gt;"[",K44="일치",L44="일치",M44="확인",N44&lt;&gt;"",O44&lt;&gt;""),"증빙확인",IF(AND(G44="비적용(사내근거 확인)",J44&lt;&gt;"",LEFT(TRIM(J44),1)&lt;&gt;"[",N44&lt;&gt;"",O44&lt;&gt;""),"비적용검토","미확인"))</x:f>
        <x:v>미확인</x:v>
      </x:c>
      <x:c r="Q44" s="1369" t="n">
        <x:f>IF(AND(P44="증빙확인",ISNUMBER(D44)),D44,0)</x:f>
        <x:v>0</x:v>
      </x:c>
      <x:c r="R44" s="670" t="str"/>
      <x:c r="S44" s="635" t="str">
        <x:v>B</x:v>
      </x:c>
      <x:c r="T44" s="670" t="str">
        <x:v>2026-11-03</x:v>
      </x:c>
      <x:c r="U44" s="636" t="str">
        <x:v>258행 / 원문 기재값 보존</x:v>
      </x:c>
    </x:row>
    <x:row r="45" ht="84" customHeight="1">
      <x:c r="A45" s="634" t="n">
        <x:v>39</x:v>
      </x:c>
      <x:c r="B45" s="635" t="str">
        <x:v>품질경영체제</x:v>
      </x:c>
      <x:c r="C45" s="635" t="str">
        <x:v>6-10</x:v>
      </x:c>
      <x:c r="D45" s="635" t="n">
        <x:v>10</x:v>
      </x:c>
      <x:c r="E45" s="635" t="str">
        <x:v>3정 5행 관리 프로세스
수립 및 준수실태</x:v>
      </x:c>
      <x:c r="F45" s="635" t="str">
        <x:v>지성규 / 생산팀</x:v>
      </x:c>
      <x:c r="G45" s="670" t="str">
        <x:v>미확인</x:v>
      </x:c>
      <x:c r="H45" s="635" t="str">
        <x:v>3정5행관리 기준서
3정5행 점검 구역별 책임자 선정
3정5행점검 체크시트
3정5행 점검 결과 개선대책
3정5행개선사례 현황판</x:v>
      </x:c>
      <x:c r="I45" s="635" t="str">
        <x:v>정기적인 3정5행 현장개선 프로세스 수립
(점검 체크시트 작성, 점검 주기, 업무 분담, 지적사항 개선 시정조치 완료여부]
현장점검시 3정 5행 관리실태</x:v>
      </x:c>
      <x:c r="J45" s="1372" t="str"/>
      <x:c r="K45" s="933" t="str">
        <x:v>미확인</x:v>
      </x:c>
      <x:c r="L45" s="933" t="str">
        <x:v>미확인</x:v>
      </x:c>
      <x:c r="M45" s="933" t="str">
        <x:v>미확인</x:v>
      </x:c>
      <x:c r="N45" s="933" t="str"/>
      <x:c r="O45" s="1223" t="str"/>
      <x:c r="P45" s="1369" t="str">
        <x:f>IF(AND(G45="해당",J45&lt;&gt;"",LEFT(TRIM(J45),1)&lt;&gt;"[",K45="일치",L45="일치",M45="확인",N45&lt;&gt;"",O45&lt;&gt;""),"증빙확인",IF(AND(G45="비적용(사내근거 확인)",J45&lt;&gt;"",LEFT(TRIM(J45),1)&lt;&gt;"[",N45&lt;&gt;"",O45&lt;&gt;""),"비적용검토","미확인"))</x:f>
        <x:v>미확인</x:v>
      </x:c>
      <x:c r="Q45" s="1369" t="n">
        <x:f>IF(AND(P45="증빙확인",ISNUMBER(D45)),D45,0)</x:f>
        <x:v>0</x:v>
      </x:c>
      <x:c r="R45" s="670" t="str"/>
      <x:c r="S45" s="635" t="str">
        <x:v>B</x:v>
      </x:c>
      <x:c r="T45" s="670" t="str">
        <x:v>2026-11-03</x:v>
      </x:c>
      <x:c r="U45" s="636" t="str">
        <x:v>262행 / 원문 기재값 보존</x:v>
      </x:c>
    </x:row>
    <x:row r="46" ht="84" customHeight="1">
      <x:c r="A46" s="634" t="n">
        <x:v>40</x:v>
      </x:c>
      <x:c r="B46" s="635" t="str">
        <x:v>품질경영체제</x:v>
      </x:c>
      <x:c r="C46" s="635" t="str">
        <x:v>6-11</x:v>
      </x:c>
      <x:c r="D46" s="635" t="n">
        <x:v>10</x:v>
      </x:c>
      <x:c r="E46" s="635" t="str">
        <x:v>주요 품질현황 작성 및 수평전개
실시상태</x:v>
      </x:c>
      <x:c r="F46" s="635" t="str">
        <x:v>김명용 / 품질팀</x:v>
      </x:c>
      <x:c r="G46" s="670" t="str">
        <x:v>미확인</x:v>
      </x:c>
      <x:c r="H46" s="635" t="str">
        <x:v>품질종합현황판 제작설치
공정별 주요문제점 각공정별 비치
중점관리POINT 선정 운영</x:v>
      </x:c>
      <x:c r="I46" s="635" t="str">
        <x:v>주기 : 최소 월 1회 이상 주요 품질 문제점 현황 작성현장내 게시활동 실시
내용 : 고객사 입고불량, HKMC 주요 필드 클레임, 고객/HKMC 입고불량 문제점 및 발생(유출)원인
장소 : 발생 해당공정 및 필요시 주요 공정(예: 수입검사 공정, 완제품 검사공정, 교육장 등)
[현장연계] 3정5행개선사례</x:v>
      </x:c>
      <x:c r="J46" s="1372" t="str"/>
      <x:c r="K46" s="933" t="str">
        <x:v>미확인</x:v>
      </x:c>
      <x:c r="L46" s="933" t="str">
        <x:v>미확인</x:v>
      </x:c>
      <x:c r="M46" s="933" t="str">
        <x:v>미확인</x:v>
      </x:c>
      <x:c r="N46" s="933" t="str"/>
      <x:c r="O46" s="1223" t="str"/>
      <x:c r="P46" s="1369" t="str">
        <x:f>IF(AND(G46="해당",J46&lt;&gt;"",LEFT(TRIM(J46),1)&lt;&gt;"[",K46="일치",L46="일치",M46="확인",N46&lt;&gt;"",O46&lt;&gt;""),"증빙확인",IF(AND(G46="비적용(사내근거 확인)",J46&lt;&gt;"",LEFT(TRIM(J46),1)&lt;&gt;"[",N46&lt;&gt;"",O46&lt;&gt;""),"비적용검토","미확인"))</x:f>
        <x:v>미확인</x:v>
      </x:c>
      <x:c r="Q46" s="1369" t="n">
        <x:f>IF(AND(P46="증빙확인",ISNUMBER(D46)),D46,0)</x:f>
        <x:v>0</x:v>
      </x:c>
      <x:c r="R46" s="670" t="str"/>
      <x:c r="S46" s="635" t="str">
        <x:v>B</x:v>
      </x:c>
      <x:c r="T46" s="670" t="str">
        <x:v>2026-11-03</x:v>
      </x:c>
      <x:c r="U46" s="636" t="str">
        <x:v>268행 / 원문 기재값 보존</x:v>
      </x:c>
    </x:row>
    <x:row r="47" ht="84" customHeight="1">
      <x:c r="A47" s="634" t="n">
        <x:v>41</x:v>
      </x:c>
      <x:c r="B47" s="635" t="str">
        <x:v>품질경영체제</x:v>
      </x:c>
      <x:c r="C47" s="635" t="str">
        <x:v>6-12</x:v>
      </x:c>
      <x:c r="D47" s="635"/>
      <x:c r="E47" s="635" t="str">
        <x:v>불량부품 REWORK시 업무처리
절차 수립 및 이행 상태</x:v>
      </x:c>
      <x:c r="F47" s="635" t="str">
        <x:v>지성규 / 이광재 / 생산팀 / 품질팀</x:v>
      </x:c>
      <x:c r="G47" s="670" t="str">
        <x:v>미확인</x:v>
      </x:c>
      <x:c r="H47" s="635" t="str">
        <x:v>재작업엄무처리 기준서
재작업품 작업공간 장소지정(공구확보)
재작업품 MASTER LIST
재작업품 검사기준및 검사실적
재작업품 부품식별표
재작업품 출하 고객승인본</x:v>
      </x:c>
      <x:c r="I47" s="635" t="str">
        <x:v>리워크 가능부품 선정기준 수립 및 관리상태
리워크품 LOT 추적성 및 선입선출 관리상태
불량부품 REWORK시 품질검사항목 설정 및 REWORK 전후 검사 이력 유지 관리상태
[현장연계] 부적합품보관장소</x:v>
      </x:c>
      <x:c r="J47" s="1372" t="str"/>
      <x:c r="K47" s="933" t="str">
        <x:v>미확인</x:v>
      </x:c>
      <x:c r="L47" s="933" t="str">
        <x:v>미확인</x:v>
      </x:c>
      <x:c r="M47" s="933" t="str">
        <x:v>미확인</x:v>
      </x:c>
      <x:c r="N47" s="933" t="str"/>
      <x:c r="O47" s="1223" t="str"/>
      <x:c r="P47" s="1369" t="str">
        <x:f>IF(AND(G47="해당",J47&lt;&gt;"",LEFT(TRIM(J47),1)&lt;&gt;"[",K47="일치",L47="일치",M47="확인",N47&lt;&gt;"",O47&lt;&gt;""),"증빙확인",IF(AND(G47="비적용(사내근거 확인)",J47&lt;&gt;"",LEFT(TRIM(J47),1)&lt;&gt;"[",N47&lt;&gt;"",O47&lt;&gt;""),"비적용검토","미확인"))</x:f>
        <x:v>미확인</x:v>
      </x:c>
      <x:c r="Q47" s="1369" t="n">
        <x:f>IF(AND(P47="증빙확인",ISNUMBER(D47)),D47,0)</x:f>
        <x:v>0</x:v>
      </x:c>
      <x:c r="R47" s="670" t="str"/>
      <x:c r="S47" s="635" t="str">
        <x:v>A (우선)</x:v>
      </x:c>
      <x:c r="T47" s="670" t="str">
        <x:v>2026-10-29</x:v>
      </x:c>
      <x:c r="U47" s="636" t="str">
        <x:v>271행 / 배점 없음·6-12 중복 기재/원본 확인 필수</x:v>
      </x:c>
    </x:row>
    <x:row r="48" ht="84" customHeight="1">
      <x:c r="A48" s="634" t="n">
        <x:v>42</x:v>
      </x:c>
      <x:c r="B48" s="635" t="str">
        <x:v>품질경영체제</x:v>
      </x:c>
      <x:c r="C48" s="635" t="str">
        <x:v>6-12</x:v>
      </x:c>
      <x:c r="D48" s="635" t="n">
        <x:v>10</x:v>
      </x:c>
      <x:c r="E48" s="635" t="str">
        <x:v>이론 및 실습 교육 절차
▷(이론평가 / 실기평가
▷파괴시험 합격) 수립 및 시행</x:v>
      </x:c>
      <x:c r="F48" s="635" t="str">
        <x:v>안종명 / 생산팀</x:v>
      </x:c>
      <x:c r="G48" s="670" t="str">
        <x:v>미확인</x:v>
      </x:c>
      <x:c r="H48" s="635" t="str">
        <x:v>용접교육장설치
자격인증내 실기평가보고서첨부</x:v>
      </x:c>
      <x:c r="I48" s="635" t="str">
        <x:v>- 이론 및 실습교육 이력 보관관리 및 용접교육 교안비치 (권장사항)</x:v>
      </x:c>
      <x:c r="J48" s="1372" t="str"/>
      <x:c r="K48" s="933" t="str">
        <x:v>미확인</x:v>
      </x:c>
      <x:c r="L48" s="933" t="str">
        <x:v>미확인</x:v>
      </x:c>
      <x:c r="M48" s="933" t="str">
        <x:v>미확인</x:v>
      </x:c>
      <x:c r="N48" s="933" t="str"/>
      <x:c r="O48" s="1223" t="str"/>
      <x:c r="P48" s="1369" t="str">
        <x:f>IF(AND(G48="해당",J48&lt;&gt;"",LEFT(TRIM(J48),1)&lt;&gt;"[",K48="일치",L48="일치",M48="확인",N48&lt;&gt;"",O48&lt;&gt;""),"증빙확인",IF(AND(G48="비적용(사내근거 확인)",J48&lt;&gt;"",LEFT(TRIM(J48),1)&lt;&gt;"[",N48&lt;&gt;"",O48&lt;&gt;""),"비적용검토","미확인"))</x:f>
        <x:v>미확인</x:v>
      </x:c>
      <x:c r="Q48" s="1369" t="n">
        <x:f>IF(AND(P48="증빙확인",ISNUMBER(D48)),D48,0)</x:f>
        <x:v>0</x:v>
      </x:c>
      <x:c r="R48" s="670" t="str"/>
      <x:c r="S48" s="635" t="str">
        <x:v>A (우선)</x:v>
      </x:c>
      <x:c r="T48" s="670" t="str">
        <x:v>2026-10-29</x:v>
      </x:c>
      <x:c r="U48" s="636" t="str">
        <x:v>277행 / 6-12 코드 중복 존재·배점 10점</x:v>
      </x:c>
    </x:row>
    <x:row r="49" ht="84" customHeight="1">
      <x:c r="A49" s="637" t="n">
        <x:v>43</x:v>
      </x:c>
      <x:c r="B49" s="638" t="str">
        <x:v>품질경영체제</x:v>
      </x:c>
      <x:c r="C49" s="638" t="str">
        <x:v>6-13</x:v>
      </x:c>
      <x:c r="D49" s="638" t="n">
        <x:v>20</x:v>
      </x:c>
      <x:c r="E49" s="638" t="str">
        <x:v>『정성품질』 운영 프로세스는
마련되어 있고, 점검 및
포상활동은 실시되는가?
합     계</x:v>
      </x:c>
      <x:c r="F49" s="638" t="str">
        <x:v>김명용 / 품질팀</x:v>
      </x:c>
      <x:c r="G49" s="671" t="str">
        <x:v>미확인</x:v>
      </x:c>
      <x:c r="H49" s="638" t="str">
        <x:v>정성품질향상가이드
정성품질 조직도 (키맨선정)
정성품질 체크시트
정성품질 개선추진보고서
정성품질 포상제도 시행안 보고서
정성품질 포상실행 품의서</x:v>
      </x:c>
      <x:c r="I49" s="638" t="str">
        <x:v>『정성품질』 활동 관련 업무분장(키맨)
- 『정성품질』 수평전개 교육 담당/ 품질문제 발생시 개선활동 담당/ 고객사 협업 담당 등
제조현장 『정성품질』관련 예방/개선 프로세스 수립(제조현장 반영내역 확인)
[현장연계] 경영자승인본 / 3정5행연계</x:v>
      </x:c>
      <x:c r="J49" s="1373" t="str"/>
      <x:c r="K49" s="1216" t="str">
        <x:v>미확인</x:v>
      </x:c>
      <x:c r="L49" s="1216" t="str">
        <x:v>미확인</x:v>
      </x:c>
      <x:c r="M49" s="1216" t="str">
        <x:v>미확인</x:v>
      </x:c>
      <x:c r="N49" s="1216" t="str"/>
      <x:c r="O49" s="1225" t="str"/>
      <x:c r="P49" s="1370" t="str">
        <x:f>IF(AND(G49="해당",J49&lt;&gt;"",LEFT(TRIM(J49),1)&lt;&gt;"[",K49="일치",L49="일치",M49="확인",N49&lt;&gt;"",O49&lt;&gt;""),"증빙확인",IF(AND(G49="비적용(사내근거 확인)",J49&lt;&gt;"",LEFT(TRIM(J49),1)&lt;&gt;"[",N49&lt;&gt;"",O49&lt;&gt;""),"비적용검토","미확인"))</x:f>
        <x:v>미확인</x:v>
      </x:c>
      <x:c r="Q49" s="1370" t="n">
        <x:f>IF(AND(P49="증빙확인",ISNUMBER(D49)),D49,0)</x:f>
        <x:v>0</x:v>
      </x:c>
      <x:c r="R49" s="671" t="str"/>
      <x:c r="S49" s="638" t="str">
        <x:v>B</x:v>
      </x:c>
      <x:c r="T49" s="671" t="str">
        <x:v>2026-11-03</x:v>
      </x:c>
      <x:c r="U49" s="639" t="str">
        <x:v>280행 / 원문 기재값 보존</x:v>
      </x:c>
    </x:row>
  </x:sheetData>
  <x:mergeCells>
    <x:mergeCell ref="A1:U2"/>
    <x:mergeCell ref="A3:U4"/>
  </x:mergeCells>
  <x:conditionalFormatting sqref="P7:P49">
    <x:cfRule type="expression" dxfId="45" priority="1">
      <x:formula>P7="증빙확인"</x:formula>
    </x:cfRule>
    <x:cfRule type="expression" dxfId="46" priority="2">
      <x:formula>P7="미확인"</x:formula>
    </x:cfRule>
    <x:cfRule type="expression" dxfId="47" priority="3">
      <x:formula>P7="비적용검토"</x:formula>
    </x:cfRule>
  </x:conditionalFormatting>
  <x:dataValidations count="5">
    <x:dataValidation type="list" sqref="G7:G49">
      <x:formula1>"미확인,해당,비적용(사내근거 확인)"</x:formula1>
    </x:dataValidation>
    <x:dataValidation type="list" sqref="K7:L49">
      <x:formula1>"미확인,일치,불일치"</x:formula1>
    </x:dataValidation>
    <x:dataValidation type="list" sqref="M7:M49">
      <x:formula1>"미확인,확인,미확인(실적없음)"</x:formula1>
    </x:dataValidation>
    <x:dataValidation type="list" sqref="K7:K49">
      <x:formula1>"미확인,일치,불일치"</x:formula1>
    </x:dataValidation>
    <x:dataValidation type="list" sqref="L7:L49">
      <x:formula1>"미확인,일치,불일치,비적용"</x:formula1>
    </x:dataValidation>
  </x:dataValidations>
  <x:pageMargins left="0.7" right="0.7" top="0.75" bottom="0.75" header="0.3" footer="0.3"/>
</x:worksheet>
</file>

<file path=xl/worksheets/sheet2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6" hidden="0" customWidth="1"/>
    <x:col min="2" max="2" width="19" hidden="0" customWidth="1"/>
    <x:col min="3" max="3" width="9" hidden="0" customWidth="1"/>
    <x:col min="4" max="4" width="25" hidden="0" customWidth="1"/>
    <x:col min="5" max="5" width="70" hidden="0" customWidth="1"/>
    <x:col min="6" max="6" width="46" hidden="0" customWidth="1"/>
    <x:col min="7" max="7" width="20" hidden="0" customWidth="1"/>
    <x:col min="8" max="8" width="12" hidden="0" customWidth="1"/>
    <x:col min="9" max="9" width="40" hidden="0" customWidth="1"/>
    <x:col min="10" max="10" width="40" hidden="0" customWidth="1"/>
    <x:col min="11" max="11" width="22" hidden="0" customWidth="1"/>
    <x:col min="12" max="12" width="15" hidden="0" customWidth="1"/>
    <x:col min="13" max="13" width="14" hidden="0" customWidth="1"/>
    <x:col min="14" max="14" width="13" hidden="0" customWidth="1"/>
  </x:cols>
  <x:sheetData>
    <x:row r="1">
      <x:c r="A1" s="543" t="str">
        <x:v>4단계 | 2동 FT-ASY-A/C JUMPER 자동 브레이징·기밀검사 현장 점검</x:v>
      </x:c>
      <x:c r="B1" s="543"/>
      <x:c r="C1" s="543"/>
      <x:c r="D1" s="543"/>
      <x:c r="E1" s="543"/>
      <x:c r="F1" s="543"/>
      <x:c r="G1" s="543"/>
      <x:c r="H1" s="543"/>
      <x:c r="I1" s="543"/>
      <x:c r="J1" s="543"/>
      <x:c r="K1" s="543"/>
      <x:c r="L1" s="543"/>
      <x:c r="M1" s="543"/>
      <x:c r="N1" s="543"/>
    </x:row>
    <x:row r="2">
      <x:c r="A2" s="543"/>
      <x:c r="B2" s="543"/>
      <x:c r="C2" s="543"/>
      <x:c r="D2" s="543"/>
      <x:c r="E2" s="543"/>
      <x:c r="F2" s="543"/>
      <x:c r="G2" s="543"/>
      <x:c r="H2" s="543"/>
      <x:c r="I2" s="543"/>
      <x:c r="J2" s="543"/>
      <x:c r="K2" s="543"/>
      <x:c r="L2" s="543"/>
      <x:c r="M2" s="543"/>
      <x:c r="N2" s="543"/>
    </x:row>
    <x:row r="3">
      <x:c r="A3" s="1196" t="str">
        <x:v>RG3 HEV / FA1A8HRAAC·FA1A8HRAAD: 6동 자동가공→2동 자동 브레이징 용접 및 기밀검사. 브레이징 방식과 설비명 자동2호기는 사용자 확인값입니다. 설비대장 ID, 설치위치, 승인조건, 기밀검사 규격·실제 성적은 사내에서 검증합니다.</x:v>
      </x:c>
      <x:c r="B3" s="1197"/>
      <x:c r="C3" s="1197"/>
      <x:c r="D3" s="1197"/>
      <x:c r="E3" s="1197"/>
      <x:c r="F3" s="1197"/>
      <x:c r="G3" s="1197"/>
      <x:c r="H3" s="1197"/>
      <x:c r="I3" s="1197"/>
      <x:c r="J3" s="1197"/>
      <x:c r="K3" s="1197"/>
      <x:c r="L3" s="1197"/>
      <x:c r="M3" s="1197"/>
      <x:c r="N3" s="1198"/>
    </x:row>
    <x:row r="4">
      <x:c r="A4" s="564"/>
      <x:c r="B4" s="565"/>
      <x:c r="C4" s="565"/>
      <x:c r="D4" s="565"/>
      <x:c r="E4" s="565"/>
      <x:c r="F4" s="565"/>
      <x:c r="G4" s="565"/>
      <x:c r="H4" s="565"/>
      <x:c r="I4" s="565"/>
      <x:c r="J4" s="565"/>
      <x:c r="K4" s="565"/>
      <x:c r="L4" s="565"/>
      <x:c r="M4" s="565"/>
      <x:c r="N4" s="566"/>
    </x:row>
    <x:row r="6">
      <x:c r="A6" s="597" t="str">
        <x:v>No</x:v>
      </x:c>
      <x:c r="B6" s="598" t="str">
        <x:v>대상품번</x:v>
      </x:c>
      <x:c r="C6" s="598" t="str">
        <x:v>평가코드</x:v>
      </x:c>
      <x:c r="D6" s="598" t="str">
        <x:v>2동 현장 점검 항목</x:v>
      </x:c>
      <x:c r="E6" s="598" t="str">
        <x:v>구체적인 현장 대조사항</x:v>
      </x:c>
      <x:c r="F6" s="598" t="str">
        <x:v>필요 객관적 증빙</x:v>
      </x:c>
      <x:c r="G6" s="598" t="str">
        <x:v>적용 여부</x:v>
      </x:c>
      <x:c r="H6" s="598" t="str">
        <x:v>현장결과</x:v>
      </x:c>
      <x:c r="I6" s="598" t="str">
        <x:v>2동 실제 기록번호/사내 경로</x:v>
      </x:c>
      <x:c r="J6" s="598" t="str">
        <x:v>미흡/즉시조치</x:v>
      </x:c>
      <x:c r="K6" s="598" t="str">
        <x:v>주관(안)</x:v>
      </x:c>
      <x:c r="L6" s="598" t="str">
        <x:v>점검자</x:v>
      </x:c>
      <x:c r="M6" s="598" t="str">
        <x:v>점검일</x:v>
      </x:c>
      <x:c r="N6" s="599" t="str">
        <x:v>종결</x:v>
      </x:c>
    </x:row>
    <x:row r="7" ht="60" customHeight="1">
      <x:c r="A7" s="631" t="n">
        <x:v>1</x:v>
      </x:c>
      <x:c r="B7" s="632" t="str">
        <x:v>FA1A8HRAAC</x:v>
      </x:c>
      <x:c r="C7" s="632" t="str">
        <x:v>1-5</x:v>
      </x:c>
      <x:c r="D7" s="632" t="str">
        <x:v>브레이징 방식·자동2호기 식별</x:v>
      </x:c>
      <x:c r="E7" s="632" t="str">
        <x:v>2동 자동 브레이징 용접 / 설비명 자동2호기 사용자 제공. 설비대장 번호·현물 명판·6동 가공품 반입 LOT와 대조</x:v>
      </x:c>
      <x:c r="F7" s="632" t="str">
        <x:v>설비대장/공정흐름도/공정별 배치도</x:v>
      </x:c>
      <x:c r="G7" s="678" t="str">
        <x:v>미확인</x:v>
      </x:c>
      <x:c r="H7" s="666" t="str">
        <x:v>미확인</x:v>
      </x:c>
      <x:c r="I7" s="666" t="str"/>
      <x:c r="J7" s="679" t="str"/>
      <x:c r="K7" s="632" t="str">
        <x:v>생산기술</x:v>
      </x:c>
      <x:c r="L7" s="678" t="str"/>
      <x:c r="M7" s="679" t="str"/>
      <x:c r="N7" s="633" t="str">
        <x:v>미종결</x:v>
      </x:c>
    </x:row>
    <x:row r="8" ht="60" customHeight="1">
      <x:c r="A8" s="634" t="n">
        <x:v>2</x:v>
      </x:c>
      <x:c r="B8" s="635" t="str">
        <x:v>FA1A8HRAAC</x:v>
      </x:c>
      <x:c r="C8" s="635" t="str">
        <x:v>1-5</x:v>
      </x:c>
      <x:c r="D8" s="635" t="str">
        <x:v>승인 공정조건</x:v>
      </x:c>
      <x:c r="E8" s="635" t="str">
        <x:v>2동 자동2호기 브레이징 승인조건(해당 가스·시간·온도·용가재·프로그램 등)은 승인본과 설정값 및 최근 가동기록을 사내에서 비교</x:v>
      </x:c>
      <x:c r="F8" s="635" t="str">
        <x:v>조건표/설비조건 캡처 또는 사내검증기록</x:v>
      </x:c>
      <x:c r="G8" s="680" t="str">
        <x:v>미확인</x:v>
      </x:c>
      <x:c r="H8" s="667" t="str">
        <x:v>미확인</x:v>
      </x:c>
      <x:c r="I8" s="667" t="str"/>
      <x:c r="J8" s="681" t="str"/>
      <x:c r="K8" s="635" t="str">
        <x:v>생산기술/품질</x:v>
      </x:c>
      <x:c r="L8" s="680" t="str"/>
      <x:c r="M8" s="681" t="str"/>
      <x:c r="N8" s="636" t="str">
        <x:v>미종결</x:v>
      </x:c>
    </x:row>
    <x:row r="9" ht="60" customHeight="1">
      <x:c r="A9" s="634" t="n">
        <x:v>3</x:v>
      </x:c>
      <x:c r="B9" s="635" t="str">
        <x:v>FA1A8HRAAC</x:v>
      </x:c>
      <x:c r="C9" s="635" t="str">
        <x:v>1-5</x:v>
      </x:c>
      <x:c r="D9" s="635" t="str">
        <x:v>용접 프로그램 백업</x:v>
      </x:c>
      <x:c r="E9" s="635" t="str">
        <x:v>프로그램 ID/버전, 변경권한, 백업·복원 확인</x:v>
      </x:c>
      <x:c r="F9" s="635" t="str">
        <x:v>승인 프로그램 목록/백업·변경 기록</x:v>
      </x:c>
      <x:c r="G9" s="680" t="str">
        <x:v>미확인</x:v>
      </x:c>
      <x:c r="H9" s="667" t="str">
        <x:v>미확인</x:v>
      </x:c>
      <x:c r="I9" s="667" t="str"/>
      <x:c r="J9" s="681" t="str"/>
      <x:c r="K9" s="635" t="str">
        <x:v>생산기술</x:v>
      </x:c>
      <x:c r="L9" s="680" t="str"/>
      <x:c r="M9" s="681" t="str"/>
      <x:c r="N9" s="636" t="str">
        <x:v>미종결</x:v>
      </x:c>
    </x:row>
    <x:row r="10" ht="60" customHeight="1">
      <x:c r="A10" s="634" t="n">
        <x:v>4</x:v>
      </x:c>
      <x:c r="B10" s="635" t="str">
        <x:v>FA1A8HRAAC</x:v>
      </x:c>
      <x:c r="C10" s="635" t="str">
        <x:v>2-9</x:v>
      </x:c>
      <x:c r="D10" s="635" t="str">
        <x:v>파괴검사 기준·결과</x:v>
      </x:c>
      <x:c r="E10" s="635" t="str">
        <x:v>해당 용접방식의 시험법, 주기, 시편, 파괴시험 판정 및 원자료 확인</x:v>
      </x:c>
      <x:c r="F10" s="635" t="str">
        <x:v>시험기준/기록/판정표</x:v>
      </x:c>
      <x:c r="G10" s="680" t="str">
        <x:v>미확인</x:v>
      </x:c>
      <x:c r="H10" s="667" t="str">
        <x:v>미확인</x:v>
      </x:c>
      <x:c r="I10" s="667" t="str"/>
      <x:c r="J10" s="681" t="str"/>
      <x:c r="K10" s="635" t="str">
        <x:v>품질/생산기술</x:v>
      </x:c>
      <x:c r="L10" s="680" t="str"/>
      <x:c r="M10" s="681" t="str"/>
      <x:c r="N10" s="636" t="str">
        <x:v>미종결</x:v>
      </x:c>
    </x:row>
    <x:row r="11" ht="60" customHeight="1">
      <x:c r="A11" s="634" t="n">
        <x:v>5</x:v>
      </x:c>
      <x:c r="B11" s="635" t="str">
        <x:v>FA1A8HRAAC</x:v>
      </x:c>
      <x:c r="C11" s="635" t="str">
        <x:v>2-7</x:v>
      </x:c>
      <x:c r="D11" s="635" t="str">
        <x:v>자주검사/초품 승인</x:v>
      </x:c>
      <x:c r="E11" s="635" t="str">
        <x:v>초품·교대·조건변경 시점, 주요 특성 및 검사기록의 현장 일치</x:v>
      </x:c>
      <x:c r="F11" s="635" t="str">
        <x:v>초품/자주검사/공정검사 실제기록</x:v>
      </x:c>
      <x:c r="G11" s="680" t="str">
        <x:v>미확인</x:v>
      </x:c>
      <x:c r="H11" s="667" t="str">
        <x:v>미확인</x:v>
      </x:c>
      <x:c r="I11" s="667" t="str"/>
      <x:c r="J11" s="681" t="str"/>
      <x:c r="K11" s="635" t="str">
        <x:v>생산/품질</x:v>
      </x:c>
      <x:c r="L11" s="680" t="str"/>
      <x:c r="M11" s="681" t="str"/>
      <x:c r="N11" s="636" t="str">
        <x:v>미종결</x:v>
      </x:c>
    </x:row>
    <x:row r="12" ht="60" customHeight="1">
      <x:c r="A12" s="634" t="n">
        <x:v>6</x:v>
      </x:c>
      <x:c r="B12" s="635" t="str">
        <x:v>FA1A8HRAAC</x:v>
      </x:c>
      <x:c r="C12" s="635" t="str">
        <x:v>2-8</x:v>
      </x:c>
      <x:c r="D12" s="635" t="str">
        <x:v>완제품 검사</x:v>
      </x:c>
      <x:c r="E12" s="635" t="str">
        <x:v>두 품번별 최신 검사규격·LOT·측정값·검사원 연결</x:v>
      </x:c>
      <x:c r="F12" s="635" t="str">
        <x:v>완제품 검사기준서/실적</x:v>
      </x:c>
      <x:c r="G12" s="680" t="str">
        <x:v>미확인</x:v>
      </x:c>
      <x:c r="H12" s="667" t="str">
        <x:v>미확인</x:v>
      </x:c>
      <x:c r="I12" s="667" t="str"/>
      <x:c r="J12" s="681" t="str"/>
      <x:c r="K12" s="635" t="str">
        <x:v>품질</x:v>
      </x:c>
      <x:c r="L12" s="680" t="str"/>
      <x:c r="M12" s="681" t="str"/>
      <x:c r="N12" s="636" t="str">
        <x:v>미종결</x:v>
      </x:c>
    </x:row>
    <x:row r="13" ht="60" customHeight="1">
      <x:c r="A13" s="634" t="n">
        <x:v>7</x:v>
      </x:c>
      <x:c r="B13" s="635" t="str">
        <x:v>FA1A8HRAAC</x:v>
      </x:c>
      <x:c r="C13" s="635" t="str">
        <x:v>3-1</x:v>
      </x:c>
      <x:c r="D13" s="635" t="str">
        <x:v>일상점검</x:v>
      </x:c>
      <x:c r="E13" s="635" t="str">
        <x:v>6동 대상 용접설비와 JIG 일상점검 항목 및 이상 대응</x:v>
      </x:c>
      <x:c r="F13" s="635" t="str">
        <x:v>설비별 일상점검 원본</x:v>
      </x:c>
      <x:c r="G13" s="680" t="str">
        <x:v>미확인</x:v>
      </x:c>
      <x:c r="H13" s="667" t="str">
        <x:v>미확인</x:v>
      </x:c>
      <x:c r="I13" s="667" t="str"/>
      <x:c r="J13" s="681" t="str"/>
      <x:c r="K13" s="635" t="str">
        <x:v>생산/생산기술</x:v>
      </x:c>
      <x:c r="L13" s="680" t="str"/>
      <x:c r="M13" s="681" t="str"/>
      <x:c r="N13" s="636" t="str">
        <x:v>미종결</x:v>
      </x:c>
    </x:row>
    <x:row r="14" ht="60" customHeight="1">
      <x:c r="A14" s="634" t="n">
        <x:v>8</x:v>
      </x:c>
      <x:c r="B14" s="635" t="str">
        <x:v>FA1A8HRAAC</x:v>
      </x:c>
      <x:c r="C14" s="635" t="str">
        <x:v>3-2</x:v>
      </x:c>
      <x:c r="D14" s="635" t="str">
        <x:v>정기 예방보전</x:v>
      </x:c>
      <x:c r="E14" s="635" t="str">
        <x:v>예방보전 계획-실적-이상수리-재가동 승인 연계</x:v>
      </x:c>
      <x:c r="F14" s="635" t="str">
        <x:v>PM 계획/실적/고장이력</x:v>
      </x:c>
      <x:c r="G14" s="680" t="str">
        <x:v>미확인</x:v>
      </x:c>
      <x:c r="H14" s="667" t="str">
        <x:v>미확인</x:v>
      </x:c>
      <x:c r="I14" s="667" t="str"/>
      <x:c r="J14" s="681" t="str"/>
      <x:c r="K14" s="635" t="str">
        <x:v>생산기술</x:v>
      </x:c>
      <x:c r="L14" s="680" t="str"/>
      <x:c r="M14" s="681" t="str"/>
      <x:c r="N14" s="636" t="str">
        <x:v>미종결</x:v>
      </x:c>
    </x:row>
    <x:row r="15" ht="60" customHeight="1">
      <x:c r="A15" s="634" t="n">
        <x:v>9</x:v>
      </x:c>
      <x:c r="B15" s="635" t="str">
        <x:v>FA1A8HRAAC</x:v>
      </x:c>
      <x:c r="C15" s="635" t="str">
        <x:v>3-3</x:v>
      </x:c>
      <x:c r="D15" s="635" t="str">
        <x:v>용접부 유지/소모품 점검</x:v>
      </x:c>
      <x:c r="E15" s="635" t="str">
        <x:v>사용 용접방식에 해당되는 팁·노즐·와이어·전극·전원·냉각수 등만 적용 확인</x:v>
      </x:c>
      <x:c r="F15" s="635" t="str">
        <x:v>용접기 점검표/부품교환이력</x:v>
      </x:c>
      <x:c r="G15" s="680" t="str">
        <x:v>미확인</x:v>
      </x:c>
      <x:c r="H15" s="667" t="str">
        <x:v>미확인</x:v>
      </x:c>
      <x:c r="I15" s="667" t="str"/>
      <x:c r="J15" s="681" t="str"/>
      <x:c r="K15" s="635" t="str">
        <x:v>생산/생산기술</x:v>
      </x:c>
      <x:c r="L15" s="680" t="str"/>
      <x:c r="M15" s="681" t="str"/>
      <x:c r="N15" s="636" t="str">
        <x:v>미종결</x:v>
      </x:c>
    </x:row>
    <x:row r="16" ht="60" customHeight="1">
      <x:c r="A16" s="634" t="n">
        <x:v>10</x:v>
      </x:c>
      <x:c r="B16" s="635" t="str">
        <x:v>FA1A8HRAAC</x:v>
      </x:c>
      <x:c r="C16" s="635" t="str">
        <x:v>3-5</x:v>
      </x:c>
      <x:c r="D16" s="635" t="str">
        <x:v>Fool Proof 작동성</x:v>
      </x:c>
      <x:c r="E16" s="635" t="str">
        <x:v>전극·가스·냉각수/검출장치 등 설치여부와 기능시험, 비구축 시 통제기준</x:v>
      </x:c>
      <x:c r="F16" s="635" t="str">
        <x:v>F/P 기능점검/우회승인 기록</x:v>
      </x:c>
      <x:c r="G16" s="680" t="str">
        <x:v>미확인</x:v>
      </x:c>
      <x:c r="H16" s="667" t="str">
        <x:v>미확인</x:v>
      </x:c>
      <x:c r="I16" s="667" t="str"/>
      <x:c r="J16" s="681" t="str"/>
      <x:c r="K16" s="635" t="str">
        <x:v>생산기술/품질</x:v>
      </x:c>
      <x:c r="L16" s="680" t="str"/>
      <x:c r="M16" s="681" t="str"/>
      <x:c r="N16" s="636" t="str">
        <x:v>미종결</x:v>
      </x:c>
    </x:row>
    <x:row r="17" ht="60" customHeight="1">
      <x:c r="A17" s="634" t="n">
        <x:v>11</x:v>
      </x:c>
      <x:c r="B17" s="635" t="str">
        <x:v>FA1A8HRAAC</x:v>
      </x:c>
      <x:c r="C17" s="635" t="str">
        <x:v>3-6</x:v>
      </x:c>
      <x:c r="D17" s="635" t="str">
        <x:v>JIG 관리</x:v>
      </x:c>
      <x:c r="E17" s="635" t="str">
        <x:v>JIG 식별번호·마모·위치결정·점검주기·교환 및 보전이력</x:v>
      </x:c>
      <x:c r="F17" s="635" t="str">
        <x:v>JIG 대장/점검표</x:v>
      </x:c>
      <x:c r="G17" s="680" t="str">
        <x:v>미확인</x:v>
      </x:c>
      <x:c r="H17" s="667" t="str">
        <x:v>미확인</x:v>
      </x:c>
      <x:c r="I17" s="667" t="str"/>
      <x:c r="J17" s="681" t="str"/>
      <x:c r="K17" s="635" t="str">
        <x:v>생산/생산기술</x:v>
      </x:c>
      <x:c r="L17" s="680" t="str"/>
      <x:c r="M17" s="681" t="str"/>
      <x:c r="N17" s="636" t="str">
        <x:v>미종결</x:v>
      </x:c>
    </x:row>
    <x:row r="18" ht="60" customHeight="1">
      <x:c r="A18" s="634" t="n">
        <x:v>12</x:v>
      </x:c>
      <x:c r="B18" s="635" t="str">
        <x:v>FA1A8HRAAC</x:v>
      </x:c>
      <x:c r="C18" s="635" t="str">
        <x:v>4-1</x:v>
      </x:c>
      <x:c r="D18" s="635" t="str">
        <x:v>금형/용접 JIG 관리</x:v>
      </x:c>
      <x:c r="E18" s="635" t="str">
        <x:v>용접 JIG 관련 점검·교정/정도확인·유지보수 실적</x:v>
      </x:c>
      <x:c r="F18" s="635" t="str">
        <x:v>JIG 보전/치공구 관리기록</x:v>
      </x:c>
      <x:c r="G18" s="680" t="str">
        <x:v>미확인</x:v>
      </x:c>
      <x:c r="H18" s="667" t="str">
        <x:v>미확인</x:v>
      </x:c>
      <x:c r="I18" s="667" t="str"/>
      <x:c r="J18" s="681" t="str"/>
      <x:c r="K18" s="635" t="str">
        <x:v>생산/생산기술</x:v>
      </x:c>
      <x:c r="L18" s="680" t="str"/>
      <x:c r="M18" s="681" t="str"/>
      <x:c r="N18" s="636" t="str">
        <x:v>미종결</x:v>
      </x:c>
    </x:row>
    <x:row r="19" ht="60" customHeight="1">
      <x:c r="A19" s="634" t="n">
        <x:v>13</x:v>
      </x:c>
      <x:c r="B19" s="635" t="str">
        <x:v>FA1A8HRAAC</x:v>
      </x:c>
      <x:c r="C19" s="635" t="str">
        <x:v>5-1</x:v>
      </x:c>
      <x:c r="D19" s="635" t="str">
        <x:v>LOT 추적</x:v>
      </x:c>
      <x:c r="E19" s="635" t="str">
        <x:v>완성품 LOT→용접조건·설비·작업자·소재 LOT·출하까지 정/역추적</x:v>
      </x:c>
      <x:c r="F19" s="635" t="str">
        <x:v>실제 양산 LOT/추적 로그/수량대사</x:v>
      </x:c>
      <x:c r="G19" s="680" t="str">
        <x:v>미확인</x:v>
      </x:c>
      <x:c r="H19" s="667" t="str">
        <x:v>미확인</x:v>
      </x:c>
      <x:c r="I19" s="667" t="str"/>
      <x:c r="J19" s="681" t="str"/>
      <x:c r="K19" s="635" t="str">
        <x:v>자재/생산/품질</x:v>
      </x:c>
      <x:c r="L19" s="680" t="str"/>
      <x:c r="M19" s="681" t="str"/>
      <x:c r="N19" s="636" t="str">
        <x:v>미종결</x:v>
      </x:c>
    </x:row>
    <x:row r="20" ht="60" customHeight="1">
      <x:c r="A20" s="634" t="n">
        <x:v>14</x:v>
      </x:c>
      <x:c r="B20" s="635" t="str">
        <x:v>FA1A8HRAAC</x:v>
      </x:c>
      <x:c r="C20" s="635" t="str">
        <x:v>6-2</x:v>
      </x:c>
      <x:c r="D20" s="635" t="str">
        <x:v>4M 변경</x:v>
      </x:c>
      <x:c r="E20" s="635" t="str">
        <x:v>설비·JIG·조건·프로그램 변경 발생 시 검토/승인/검증</x:v>
      </x:c>
      <x:c r="F20" s="635" t="str">
        <x:v>최근 변경관리 기록 또는 변경없음 근거</x:v>
      </x:c>
      <x:c r="G20" s="680" t="str">
        <x:v>미확인</x:v>
      </x:c>
      <x:c r="H20" s="667" t="str">
        <x:v>미확인</x:v>
      </x:c>
      <x:c r="I20" s="667" t="str"/>
      <x:c r="J20" s="681" t="str"/>
      <x:c r="K20" s="635" t="str">
        <x:v>개발/품질/생산기술</x:v>
      </x:c>
      <x:c r="L20" s="680" t="str"/>
      <x:c r="M20" s="681" t="str"/>
      <x:c r="N20" s="636" t="str">
        <x:v>미종결</x:v>
      </x:c>
    </x:row>
    <x:row r="21" ht="60" customHeight="1">
      <x:c r="A21" s="634" t="n">
        <x:v>15</x:v>
      </x:c>
      <x:c r="B21" s="635" t="str">
        <x:v>FA1A8HRAAC</x:v>
      </x:c>
      <x:c r="C21" s="635" t="str">
        <x:v>6-5</x:v>
      </x:c>
      <x:c r="D21" s="635" t="str">
        <x:v>작업자 자격</x:v>
      </x:c>
      <x:c r="E21" s="635" t="str">
        <x:v>SQ 대상 용접 작업자/검사원 자격인정·교육·최신성</x:v>
      </x:c>
      <x:c r="F21" s="635" t="str">
        <x:v>교육일지/작업자 자격/배치 기록</x:v>
      </x:c>
      <x:c r="G21" s="680" t="str">
        <x:v>미확인</x:v>
      </x:c>
      <x:c r="H21" s="667" t="str">
        <x:v>미확인</x:v>
      </x:c>
      <x:c r="I21" s="667" t="str"/>
      <x:c r="J21" s="681" t="str"/>
      <x:c r="K21" s="635" t="str">
        <x:v>생산/경영관리</x:v>
      </x:c>
      <x:c r="L21" s="680" t="str"/>
      <x:c r="M21" s="681" t="str"/>
      <x:c r="N21" s="636" t="str">
        <x:v>미종결</x:v>
      </x:c>
    </x:row>
    <x:row r="22" ht="60" customHeight="1">
      <x:c r="A22" s="634" t="n">
        <x:v>16</x:v>
      </x:c>
      <x:c r="B22" s="635" t="str">
        <x:v>FA1A8HRAAC</x:v>
      </x:c>
      <x:c r="C22" s="635" t="str">
        <x:v>6-7</x:v>
      </x:c>
      <x:c r="D22" s="635" t="str">
        <x:v>부적합·격리</x:v>
      </x:c>
      <x:c r="E22" s="635" t="str">
        <x:v>용접불량 식별→보류/격리→판정→재검사·출하차단</x:v>
      </x:c>
      <x:c r="F22" s="635" t="str">
        <x:v>실제 사례/격리현장/판정·재작업 기록</x:v>
      </x:c>
      <x:c r="G22" s="680" t="str">
        <x:v>미확인</x:v>
      </x:c>
      <x:c r="H22" s="667" t="str">
        <x:v>미확인</x:v>
      </x:c>
      <x:c r="I22" s="667" t="str"/>
      <x:c r="J22" s="681" t="str"/>
      <x:c r="K22" s="635" t="str">
        <x:v>생산/품질</x:v>
      </x:c>
      <x:c r="L22" s="680" t="str"/>
      <x:c r="M22" s="681" t="str"/>
      <x:c r="N22" s="636" t="str">
        <x:v>미종결</x:v>
      </x:c>
    </x:row>
    <x:row r="23" ht="60" customHeight="1">
      <x:c r="A23" s="634" t="n">
        <x:v>17</x:v>
      </x:c>
      <x:c r="B23" s="635" t="str">
        <x:v>FA1A8HRAAC</x:v>
      </x:c>
      <x:c r="C23" s="635" t="str">
        <x:v>6-12</x:v>
      </x:c>
      <x:c r="D23" s="635" t="str">
        <x:v>재작업(Rework)</x:v>
      </x:c>
      <x:c r="E23" s="635" t="str">
        <x:v>원문 6-12 무배점 기재행: 재작업 절차·원 LOT·전후검사·승인</x:v>
      </x:c>
      <x:c r="F23" s="635" t="str">
        <x:v>실제 REWORK 작업표준/이력/재검사</x:v>
      </x:c>
      <x:c r="G23" s="680" t="str">
        <x:v>미확인</x:v>
      </x:c>
      <x:c r="H23" s="667" t="str">
        <x:v>미확인</x:v>
      </x:c>
      <x:c r="I23" s="667" t="str"/>
      <x:c r="J23" s="681" t="str"/>
      <x:c r="K23" s="635" t="str">
        <x:v>생산/품질</x:v>
      </x:c>
      <x:c r="L23" s="680" t="str"/>
      <x:c r="M23" s="681" t="str"/>
      <x:c r="N23" s="636" t="str">
        <x:v>미종결</x:v>
      </x:c>
    </x:row>
    <x:row r="24" ht="60" customHeight="1">
      <x:c r="A24" s="634" t="n">
        <x:v>18</x:v>
      </x:c>
      <x:c r="B24" s="635" t="str">
        <x:v>FA1A8HRAAC</x:v>
      </x:c>
      <x:c r="C24" s="635" t="str">
        <x:v>6-12</x:v>
      </x:c>
      <x:c r="D24" s="635" t="str">
        <x:v>파괴시험 교육·자격</x:v>
      </x:c>
      <x:c r="E24" s="635" t="str">
        <x:v>원문 별도 6-12 배점 10점: 이론/실기/파괴시험 합격 관리</x:v>
      </x:c>
      <x:c r="F24" s="635" t="str">
        <x:v>시험원/용접작업자 교육·평가 기록</x:v>
      </x:c>
      <x:c r="G24" s="680" t="str">
        <x:v>미확인</x:v>
      </x:c>
      <x:c r="H24" s="667" t="str">
        <x:v>미확인</x:v>
      </x:c>
      <x:c r="I24" s="667" t="str"/>
      <x:c r="J24" s="681" t="str"/>
      <x:c r="K24" s="635" t="str">
        <x:v>생산/품질</x:v>
      </x:c>
      <x:c r="L24" s="680" t="str"/>
      <x:c r="M24" s="681" t="str"/>
      <x:c r="N24" s="636" t="str">
        <x:v>미종결</x:v>
      </x:c>
    </x:row>
    <x:row r="25" ht="60" customHeight="1">
      <x:c r="A25" s="634" t="n">
        <x:v>19</x:v>
      </x:c>
      <x:c r="B25" s="635" t="str">
        <x:v>FA1A8HRAAC</x:v>
      </x:c>
      <x:c r="C25" s="635" t="str">
        <x:v>1-2</x:v>
      </x:c>
      <x:c r="D25" s="635" t="str">
        <x:v>재가동 승인</x:v>
      </x:c>
      <x:c r="E25" s="635" t="str">
        <x:v>계획/비계획 정지 후 영향품 범위 식별·조건 확인·초품·재가동 승인</x:v>
      </x:c>
      <x:c r="F25" s="635" t="str">
        <x:v>정지/수리/초품 승인기록</x:v>
      </x:c>
      <x:c r="G25" s="680" t="str">
        <x:v>미확인</x:v>
      </x:c>
      <x:c r="H25" s="667" t="str">
        <x:v>미확인</x:v>
      </x:c>
      <x:c r="I25" s="667" t="str"/>
      <x:c r="J25" s="681" t="str"/>
      <x:c r="K25" s="635" t="str">
        <x:v>생산/품질</x:v>
      </x:c>
      <x:c r="L25" s="680" t="str"/>
      <x:c r="M25" s="681" t="str"/>
      <x:c r="N25" s="636" t="str">
        <x:v>미종결</x:v>
      </x:c>
    </x:row>
    <x:row r="26" ht="60" customHeight="1">
      <x:c r="A26" s="634" t="n">
        <x:v>20</x:v>
      </x:c>
      <x:c r="B26" s="635" t="str">
        <x:v>FA1A8HRAAC</x:v>
      </x:c>
      <x:c r="C26" s="635" t="str">
        <x:v>2-5</x:v>
      </x:c>
      <x:c r="D26" s="635" t="str">
        <x:v>계측기 신뢰성</x:v>
      </x:c>
      <x:c r="E26" s="635" t="str">
        <x:v>용접/검사 계측장비 ID·교정성적서·유효라벨·사용상태</x:v>
      </x:c>
      <x:c r="F26" s="635" t="str">
        <x:v>장비대장/교정성적서/현장확인</x:v>
      </x:c>
      <x:c r="G26" s="680" t="str">
        <x:v>미확인</x:v>
      </x:c>
      <x:c r="H26" s="667" t="str">
        <x:v>미확인</x:v>
      </x:c>
      <x:c r="I26" s="667" t="str"/>
      <x:c r="J26" s="681" t="str"/>
      <x:c r="K26" s="635" t="str">
        <x:v>품질</x:v>
      </x:c>
      <x:c r="L26" s="680" t="str"/>
      <x:c r="M26" s="681" t="str"/>
      <x:c r="N26" s="636" t="str">
        <x:v>미종결</x:v>
      </x:c>
    </x:row>
    <x:row r="27" ht="60" customHeight="1">
      <x:c r="A27" s="634" t="n">
        <x:v>21</x:v>
      </x:c>
      <x:c r="B27" s="635" t="str">
        <x:v>FA1A8HRAAC</x:v>
      </x:c>
      <x:c r="C27" s="635" t="str">
        <x:v>2-6</x:v>
      </x:c>
      <x:c r="D27" s="635" t="str">
        <x:v>MSA</x:v>
      </x:c>
      <x:c r="E27" s="635" t="str">
        <x:v>실제 대상 검사장비의 GR&amp;R 등 MSA 판정·조치</x:v>
      </x:c>
      <x:c r="F27" s="635" t="str">
        <x:v>실측 MSA 결과</x:v>
      </x:c>
      <x:c r="G27" s="680" t="str">
        <x:v>미확인</x:v>
      </x:c>
      <x:c r="H27" s="667" t="str">
        <x:v>미확인</x:v>
      </x:c>
      <x:c r="I27" s="667" t="str"/>
      <x:c r="J27" s="681" t="str"/>
      <x:c r="K27" s="635" t="str">
        <x:v>품질</x:v>
      </x:c>
      <x:c r="L27" s="680" t="str"/>
      <x:c r="M27" s="681" t="str"/>
      <x:c r="N27" s="636" t="str">
        <x:v>미종결</x:v>
      </x:c>
    </x:row>
    <x:row r="28" ht="60" customHeight="1">
      <x:c r="A28" s="634" t="n">
        <x:v>22</x:v>
      </x:c>
      <x:c r="B28" s="635" t="str">
        <x:v>FA1A8HRAAC</x:v>
      </x:c>
      <x:c r="C28" s="635" t="str">
        <x:v>6-3</x:v>
      </x:c>
      <x:c r="D28" s="635" t="str">
        <x:v>도면·검사협정 사내대조</x:v>
      </x:c>
      <x:c r="E28" s="635" t="str">
        <x:v>보안 도면 Rev.01과 검사협정/검사기준 일치 여부만 내부 확인</x:v>
      </x:c>
      <x:c r="F28" s="635" t="str">
        <x:v>23_도면_사내대조 결과</x:v>
      </x:c>
      <x:c r="G28" s="680" t="str">
        <x:v>미확인</x:v>
      </x:c>
      <x:c r="H28" s="667" t="str">
        <x:v>미확인</x:v>
      </x:c>
      <x:c r="I28" s="667" t="str"/>
      <x:c r="J28" s="681" t="str"/>
      <x:c r="K28" s="635" t="str">
        <x:v>개발/품질</x:v>
      </x:c>
      <x:c r="L28" s="680" t="str"/>
      <x:c r="M28" s="681" t="str"/>
      <x:c r="N28" s="636" t="str">
        <x:v>미종결</x:v>
      </x:c>
    </x:row>
    <x:row r="29" ht="60" customHeight="1">
      <x:c r="A29" s="634" t="n">
        <x:v>23</x:v>
      </x:c>
      <x:c r="B29" s="635" t="str">
        <x:v>FA1A8HRAAD</x:v>
      </x:c>
      <x:c r="C29" s="635" t="str">
        <x:v>1-5</x:v>
      </x:c>
      <x:c r="D29" s="635" t="str">
        <x:v>적용 용접방식·라인 구성</x:v>
      </x:c>
      <x:c r="E29" s="635" t="str">
        <x:v>FT-ASY-A/C JUMPER 실제 공정별 용접법, 대상 설비 ID, 품번별 공정 순서 확인</x:v>
      </x:c>
      <x:c r="F29" s="635" t="str">
        <x:v>설비대장/공정흐름도/공정별 배치도</x:v>
      </x:c>
      <x:c r="G29" s="680" t="str">
        <x:v>미확인</x:v>
      </x:c>
      <x:c r="H29" s="667" t="str">
        <x:v>미확인</x:v>
      </x:c>
      <x:c r="I29" s="667" t="str"/>
      <x:c r="J29" s="681" t="str"/>
      <x:c r="K29" s="635" t="str">
        <x:v>생산기술</x:v>
      </x:c>
      <x:c r="L29" s="680" t="str"/>
      <x:c r="M29" s="681" t="str"/>
      <x:c r="N29" s="636" t="str">
        <x:v>미종결</x:v>
      </x:c>
    </x:row>
    <x:row r="30" ht="60" customHeight="1">
      <x:c r="A30" s="634" t="n">
        <x:v>24</x:v>
      </x:c>
      <x:c r="B30" s="635" t="str">
        <x:v>FA1A8HRAAD</x:v>
      </x:c>
      <x:c r="C30" s="635" t="str">
        <x:v>1-5</x:v>
      </x:c>
      <x:c r="D30" s="635" t="str">
        <x:v>승인 공정조건</x:v>
      </x:c>
      <x:c r="E30" s="635" t="str">
        <x:v>용접방식별 승인조건과 현장 설정값·실측 검증값 일치(원문 CO₂/스폿 요구는 적용 시에만)</x:v>
      </x:c>
      <x:c r="F30" s="635" t="str">
        <x:v>조건표/설비조건 캡처 또는 사내검증기록</x:v>
      </x:c>
      <x:c r="G30" s="680" t="str">
        <x:v>미확인</x:v>
      </x:c>
      <x:c r="H30" s="667" t="str">
        <x:v>미확인</x:v>
      </x:c>
      <x:c r="I30" s="667" t="str"/>
      <x:c r="J30" s="681" t="str"/>
      <x:c r="K30" s="635" t="str">
        <x:v>생산기술/품질</x:v>
      </x:c>
      <x:c r="L30" s="680" t="str"/>
      <x:c r="M30" s="681" t="str"/>
      <x:c r="N30" s="636" t="str">
        <x:v>미종결</x:v>
      </x:c>
    </x:row>
    <x:row r="31" ht="60" customHeight="1">
      <x:c r="A31" s="634" t="n">
        <x:v>25</x:v>
      </x:c>
      <x:c r="B31" s="635" t="str">
        <x:v>FA1A8HRAAD</x:v>
      </x:c>
      <x:c r="C31" s="635" t="str">
        <x:v>1-5</x:v>
      </x:c>
      <x:c r="D31" s="635" t="str">
        <x:v>용접 프로그램 백업</x:v>
      </x:c>
      <x:c r="E31" s="635" t="str">
        <x:v>프로그램 ID/버전, 변경권한, 백업·복원 확인</x:v>
      </x:c>
      <x:c r="F31" s="635" t="str">
        <x:v>승인 프로그램 목록/백업·변경 기록</x:v>
      </x:c>
      <x:c r="G31" s="680" t="str">
        <x:v>미확인</x:v>
      </x:c>
      <x:c r="H31" s="667" t="str">
        <x:v>미확인</x:v>
      </x:c>
      <x:c r="I31" s="667" t="str"/>
      <x:c r="J31" s="681" t="str"/>
      <x:c r="K31" s="635" t="str">
        <x:v>생산기술</x:v>
      </x:c>
      <x:c r="L31" s="680" t="str"/>
      <x:c r="M31" s="681" t="str"/>
      <x:c r="N31" s="636" t="str">
        <x:v>미종결</x:v>
      </x:c>
    </x:row>
    <x:row r="32" ht="60" customHeight="1">
      <x:c r="A32" s="634" t="n">
        <x:v>26</x:v>
      </x:c>
      <x:c r="B32" s="635" t="str">
        <x:v>FA1A8HRAAD</x:v>
      </x:c>
      <x:c r="C32" s="635" t="str">
        <x:v>2-9</x:v>
      </x:c>
      <x:c r="D32" s="635" t="str">
        <x:v>파괴검사 기준·결과</x:v>
      </x:c>
      <x:c r="E32" s="635" t="str">
        <x:v>해당 용접방식의 시험법, 주기, 시편, 파괴시험 판정 및 원자료 확인</x:v>
      </x:c>
      <x:c r="F32" s="635" t="str">
        <x:v>시험기준/기록/판정표</x:v>
      </x:c>
      <x:c r="G32" s="680" t="str">
        <x:v>미확인</x:v>
      </x:c>
      <x:c r="H32" s="667" t="str">
        <x:v>미확인</x:v>
      </x:c>
      <x:c r="I32" s="667" t="str"/>
      <x:c r="J32" s="681" t="str"/>
      <x:c r="K32" s="635" t="str">
        <x:v>품질/생산기술</x:v>
      </x:c>
      <x:c r="L32" s="680" t="str"/>
      <x:c r="M32" s="681" t="str"/>
      <x:c r="N32" s="636" t="str">
        <x:v>미종결</x:v>
      </x:c>
    </x:row>
    <x:row r="33" ht="60" customHeight="1">
      <x:c r="A33" s="634" t="n">
        <x:v>27</x:v>
      </x:c>
      <x:c r="B33" s="635" t="str">
        <x:v>FA1A8HRAAD</x:v>
      </x:c>
      <x:c r="C33" s="635" t="str">
        <x:v>2-7</x:v>
      </x:c>
      <x:c r="D33" s="635" t="str">
        <x:v>자주검사/초품 승인</x:v>
      </x:c>
      <x:c r="E33" s="635" t="str">
        <x:v>초품·교대·조건변경 시점, 주요 특성 및 검사기록의 현장 일치</x:v>
      </x:c>
      <x:c r="F33" s="635" t="str">
        <x:v>초품/자주검사/공정검사 실제기록</x:v>
      </x:c>
      <x:c r="G33" s="680" t="str">
        <x:v>미확인</x:v>
      </x:c>
      <x:c r="H33" s="667" t="str">
        <x:v>미확인</x:v>
      </x:c>
      <x:c r="I33" s="667" t="str"/>
      <x:c r="J33" s="681" t="str"/>
      <x:c r="K33" s="635" t="str">
        <x:v>생산/품질</x:v>
      </x:c>
      <x:c r="L33" s="680" t="str"/>
      <x:c r="M33" s="681" t="str"/>
      <x:c r="N33" s="636" t="str">
        <x:v>미종결</x:v>
      </x:c>
    </x:row>
    <x:row r="34" ht="60" customHeight="1">
      <x:c r="A34" s="634" t="n">
        <x:v>28</x:v>
      </x:c>
      <x:c r="B34" s="635" t="str">
        <x:v>FA1A8HRAAD</x:v>
      </x:c>
      <x:c r="C34" s="635" t="str">
        <x:v>2-8</x:v>
      </x:c>
      <x:c r="D34" s="635" t="str">
        <x:v>완제품 검사</x:v>
      </x:c>
      <x:c r="E34" s="635" t="str">
        <x:v>두 품번별 최신 검사규격·LOT·측정값·검사원 연결</x:v>
      </x:c>
      <x:c r="F34" s="635" t="str">
        <x:v>완제품 검사기준서/실적</x:v>
      </x:c>
      <x:c r="G34" s="680" t="str">
        <x:v>미확인</x:v>
      </x:c>
      <x:c r="H34" s="667" t="str">
        <x:v>미확인</x:v>
      </x:c>
      <x:c r="I34" s="667" t="str"/>
      <x:c r="J34" s="681" t="str"/>
      <x:c r="K34" s="635" t="str">
        <x:v>품질</x:v>
      </x:c>
      <x:c r="L34" s="680" t="str"/>
      <x:c r="M34" s="681" t="str"/>
      <x:c r="N34" s="636" t="str">
        <x:v>미종결</x:v>
      </x:c>
    </x:row>
    <x:row r="35" ht="60" customHeight="1">
      <x:c r="A35" s="634" t="n">
        <x:v>29</x:v>
      </x:c>
      <x:c r="B35" s="635" t="str">
        <x:v>FA1A8HRAAD</x:v>
      </x:c>
      <x:c r="C35" s="635" t="str">
        <x:v>3-1</x:v>
      </x:c>
      <x:c r="D35" s="635" t="str">
        <x:v>일상점검</x:v>
      </x:c>
      <x:c r="E35" s="635" t="str">
        <x:v>6동 대상 용접설비와 JIG 일상점검 항목 및 이상 대응</x:v>
      </x:c>
      <x:c r="F35" s="635" t="str">
        <x:v>설비별 일상점검 원본</x:v>
      </x:c>
      <x:c r="G35" s="680" t="str">
        <x:v>미확인</x:v>
      </x:c>
      <x:c r="H35" s="667" t="str">
        <x:v>미확인</x:v>
      </x:c>
      <x:c r="I35" s="667" t="str"/>
      <x:c r="J35" s="681" t="str"/>
      <x:c r="K35" s="635" t="str">
        <x:v>생산/생산기술</x:v>
      </x:c>
      <x:c r="L35" s="680" t="str"/>
      <x:c r="M35" s="681" t="str"/>
      <x:c r="N35" s="636" t="str">
        <x:v>미종결</x:v>
      </x:c>
    </x:row>
    <x:row r="36" ht="60" customHeight="1">
      <x:c r="A36" s="634" t="n">
        <x:v>30</x:v>
      </x:c>
      <x:c r="B36" s="635" t="str">
        <x:v>FA1A8HRAAD</x:v>
      </x:c>
      <x:c r="C36" s="635" t="str">
        <x:v>3-2</x:v>
      </x:c>
      <x:c r="D36" s="635" t="str">
        <x:v>정기 예방보전</x:v>
      </x:c>
      <x:c r="E36" s="635" t="str">
        <x:v>예방보전 계획-실적-이상수리-재가동 승인 연계</x:v>
      </x:c>
      <x:c r="F36" s="635" t="str">
        <x:v>PM 계획/실적/고장이력</x:v>
      </x:c>
      <x:c r="G36" s="680" t="str">
        <x:v>미확인</x:v>
      </x:c>
      <x:c r="H36" s="667" t="str">
        <x:v>미확인</x:v>
      </x:c>
      <x:c r="I36" s="667" t="str"/>
      <x:c r="J36" s="681" t="str"/>
      <x:c r="K36" s="635" t="str">
        <x:v>생산기술</x:v>
      </x:c>
      <x:c r="L36" s="680" t="str"/>
      <x:c r="M36" s="681" t="str"/>
      <x:c r="N36" s="636" t="str">
        <x:v>미종결</x:v>
      </x:c>
    </x:row>
    <x:row r="37" ht="60" customHeight="1">
      <x:c r="A37" s="634" t="n">
        <x:v>31</x:v>
      </x:c>
      <x:c r="B37" s="635" t="str">
        <x:v>FA1A8HRAAD</x:v>
      </x:c>
      <x:c r="C37" s="635" t="str">
        <x:v>3-3</x:v>
      </x:c>
      <x:c r="D37" s="635" t="str">
        <x:v>용접부 유지/소모품 점검</x:v>
      </x:c>
      <x:c r="E37" s="635" t="str">
        <x:v>사용 용접방식에 해당되는 팁·노즐·와이어·전극·전원·냉각수 등만 적용 확인</x:v>
      </x:c>
      <x:c r="F37" s="635" t="str">
        <x:v>용접기 점검표/부품교환이력</x:v>
      </x:c>
      <x:c r="G37" s="680" t="str">
        <x:v>미확인</x:v>
      </x:c>
      <x:c r="H37" s="667" t="str">
        <x:v>미확인</x:v>
      </x:c>
      <x:c r="I37" s="667" t="str"/>
      <x:c r="J37" s="681" t="str"/>
      <x:c r="K37" s="635" t="str">
        <x:v>생산/생산기술</x:v>
      </x:c>
      <x:c r="L37" s="680" t="str"/>
      <x:c r="M37" s="681" t="str"/>
      <x:c r="N37" s="636" t="str">
        <x:v>미종결</x:v>
      </x:c>
    </x:row>
    <x:row r="38" ht="60" customHeight="1">
      <x:c r="A38" s="634" t="n">
        <x:v>32</x:v>
      </x:c>
      <x:c r="B38" s="635" t="str">
        <x:v>FA1A8HRAAD</x:v>
      </x:c>
      <x:c r="C38" s="635" t="str">
        <x:v>3-5</x:v>
      </x:c>
      <x:c r="D38" s="635" t="str">
        <x:v>Fool Proof 작동성</x:v>
      </x:c>
      <x:c r="E38" s="635" t="str">
        <x:v>전극·가스·냉각수/검출장치 등 설치여부와 기능시험, 비구축 시 통제기준</x:v>
      </x:c>
      <x:c r="F38" s="635" t="str">
        <x:v>F/P 기능점검/우회승인 기록</x:v>
      </x:c>
      <x:c r="G38" s="680" t="str">
        <x:v>미확인</x:v>
      </x:c>
      <x:c r="H38" s="667" t="str">
        <x:v>미확인</x:v>
      </x:c>
      <x:c r="I38" s="667" t="str"/>
      <x:c r="J38" s="681" t="str"/>
      <x:c r="K38" s="635" t="str">
        <x:v>생산기술/품질</x:v>
      </x:c>
      <x:c r="L38" s="680" t="str"/>
      <x:c r="M38" s="681" t="str"/>
      <x:c r="N38" s="636" t="str">
        <x:v>미종결</x:v>
      </x:c>
    </x:row>
    <x:row r="39" ht="60" customHeight="1">
      <x:c r="A39" s="634" t="n">
        <x:v>33</x:v>
      </x:c>
      <x:c r="B39" s="635" t="str">
        <x:v>FA1A8HRAAD</x:v>
      </x:c>
      <x:c r="C39" s="635" t="str">
        <x:v>3-6</x:v>
      </x:c>
      <x:c r="D39" s="635" t="str">
        <x:v>JIG 관리</x:v>
      </x:c>
      <x:c r="E39" s="635" t="str">
        <x:v>JIG 식별번호·마모·위치결정·점검주기·교환 및 보전이력</x:v>
      </x:c>
      <x:c r="F39" s="635" t="str">
        <x:v>JIG 대장/점검표</x:v>
      </x:c>
      <x:c r="G39" s="680" t="str">
        <x:v>미확인</x:v>
      </x:c>
      <x:c r="H39" s="667" t="str">
        <x:v>미확인</x:v>
      </x:c>
      <x:c r="I39" s="667" t="str"/>
      <x:c r="J39" s="681" t="str"/>
      <x:c r="K39" s="635" t="str">
        <x:v>생산/생산기술</x:v>
      </x:c>
      <x:c r="L39" s="680" t="str"/>
      <x:c r="M39" s="681" t="str"/>
      <x:c r="N39" s="636" t="str">
        <x:v>미종결</x:v>
      </x:c>
    </x:row>
    <x:row r="40" ht="60" customHeight="1">
      <x:c r="A40" s="634" t="n">
        <x:v>34</x:v>
      </x:c>
      <x:c r="B40" s="635" t="str">
        <x:v>FA1A8HRAAD</x:v>
      </x:c>
      <x:c r="C40" s="635" t="str">
        <x:v>4-1</x:v>
      </x:c>
      <x:c r="D40" s="635" t="str">
        <x:v>금형/용접 JIG 관리</x:v>
      </x:c>
      <x:c r="E40" s="635" t="str">
        <x:v>용접 JIG 관련 점검·교정/정도확인·유지보수 실적</x:v>
      </x:c>
      <x:c r="F40" s="635" t="str">
        <x:v>JIG 보전/치공구 관리기록</x:v>
      </x:c>
      <x:c r="G40" s="680" t="str">
        <x:v>미확인</x:v>
      </x:c>
      <x:c r="H40" s="667" t="str">
        <x:v>미확인</x:v>
      </x:c>
      <x:c r="I40" s="667" t="str"/>
      <x:c r="J40" s="681" t="str"/>
      <x:c r="K40" s="635" t="str">
        <x:v>생산/생산기술</x:v>
      </x:c>
      <x:c r="L40" s="680" t="str"/>
      <x:c r="M40" s="681" t="str"/>
      <x:c r="N40" s="636" t="str">
        <x:v>미종결</x:v>
      </x:c>
    </x:row>
    <x:row r="41" ht="60" customHeight="1">
      <x:c r="A41" s="634" t="n">
        <x:v>35</x:v>
      </x:c>
      <x:c r="B41" s="635" t="str">
        <x:v>FA1A8HRAAD</x:v>
      </x:c>
      <x:c r="C41" s="635" t="str">
        <x:v>5-1</x:v>
      </x:c>
      <x:c r="D41" s="635" t="str">
        <x:v>LOT 추적</x:v>
      </x:c>
      <x:c r="E41" s="635" t="str">
        <x:v>완성품 LOT→용접조건·설비·작업자·소재 LOT·출하까지 정/역추적</x:v>
      </x:c>
      <x:c r="F41" s="635" t="str">
        <x:v>실제 양산 LOT/추적 로그/수량대사</x:v>
      </x:c>
      <x:c r="G41" s="680" t="str">
        <x:v>미확인</x:v>
      </x:c>
      <x:c r="H41" s="667" t="str">
        <x:v>미확인</x:v>
      </x:c>
      <x:c r="I41" s="667" t="str"/>
      <x:c r="J41" s="681" t="str"/>
      <x:c r="K41" s="635" t="str">
        <x:v>자재/생산/품질</x:v>
      </x:c>
      <x:c r="L41" s="680" t="str"/>
      <x:c r="M41" s="681" t="str"/>
      <x:c r="N41" s="636" t="str">
        <x:v>미종결</x:v>
      </x:c>
    </x:row>
    <x:row r="42" ht="60" customHeight="1">
      <x:c r="A42" s="634" t="n">
        <x:v>36</x:v>
      </x:c>
      <x:c r="B42" s="635" t="str">
        <x:v>FA1A8HRAAD</x:v>
      </x:c>
      <x:c r="C42" s="635" t="str">
        <x:v>6-2</x:v>
      </x:c>
      <x:c r="D42" s="635" t="str">
        <x:v>4M 변경</x:v>
      </x:c>
      <x:c r="E42" s="635" t="str">
        <x:v>설비·JIG·조건·프로그램 변경 발생 시 검토/승인/검증</x:v>
      </x:c>
      <x:c r="F42" s="635" t="str">
        <x:v>최근 변경관리 기록 또는 변경없음 근거</x:v>
      </x:c>
      <x:c r="G42" s="680" t="str">
        <x:v>미확인</x:v>
      </x:c>
      <x:c r="H42" s="667" t="str">
        <x:v>미확인</x:v>
      </x:c>
      <x:c r="I42" s="667" t="str"/>
      <x:c r="J42" s="681" t="str"/>
      <x:c r="K42" s="635" t="str">
        <x:v>개발/품질/생산기술</x:v>
      </x:c>
      <x:c r="L42" s="680" t="str"/>
      <x:c r="M42" s="681" t="str"/>
      <x:c r="N42" s="636" t="str">
        <x:v>미종결</x:v>
      </x:c>
    </x:row>
    <x:row r="43" ht="60" customHeight="1">
      <x:c r="A43" s="634" t="n">
        <x:v>37</x:v>
      </x:c>
      <x:c r="B43" s="635" t="str">
        <x:v>FA1A8HRAAD</x:v>
      </x:c>
      <x:c r="C43" s="635" t="str">
        <x:v>6-5</x:v>
      </x:c>
      <x:c r="D43" s="635" t="str">
        <x:v>작업자 자격</x:v>
      </x:c>
      <x:c r="E43" s="635" t="str">
        <x:v>SQ 대상 용접 작업자/검사원 자격인정·교육·최신성</x:v>
      </x:c>
      <x:c r="F43" s="635" t="str">
        <x:v>교육일지/작업자 자격/배치 기록</x:v>
      </x:c>
      <x:c r="G43" s="680" t="str">
        <x:v>미확인</x:v>
      </x:c>
      <x:c r="H43" s="667" t="str">
        <x:v>미확인</x:v>
      </x:c>
      <x:c r="I43" s="667" t="str"/>
      <x:c r="J43" s="681" t="str"/>
      <x:c r="K43" s="635" t="str">
        <x:v>생산/경영관리</x:v>
      </x:c>
      <x:c r="L43" s="680" t="str"/>
      <x:c r="M43" s="681" t="str"/>
      <x:c r="N43" s="636" t="str">
        <x:v>미종결</x:v>
      </x:c>
    </x:row>
    <x:row r="44" ht="60" customHeight="1">
      <x:c r="A44" s="634" t="n">
        <x:v>38</x:v>
      </x:c>
      <x:c r="B44" s="635" t="str">
        <x:v>FA1A8HRAAD</x:v>
      </x:c>
      <x:c r="C44" s="635" t="str">
        <x:v>6-7</x:v>
      </x:c>
      <x:c r="D44" s="635" t="str">
        <x:v>부적합·격리</x:v>
      </x:c>
      <x:c r="E44" s="635" t="str">
        <x:v>용접불량 식별→보류/격리→판정→재검사·출하차단</x:v>
      </x:c>
      <x:c r="F44" s="635" t="str">
        <x:v>실제 사례/격리현장/판정·재작업 기록</x:v>
      </x:c>
      <x:c r="G44" s="680" t="str">
        <x:v>미확인</x:v>
      </x:c>
      <x:c r="H44" s="667" t="str">
        <x:v>미확인</x:v>
      </x:c>
      <x:c r="I44" s="667" t="str"/>
      <x:c r="J44" s="681" t="str"/>
      <x:c r="K44" s="635" t="str">
        <x:v>생산/품질</x:v>
      </x:c>
      <x:c r="L44" s="680" t="str"/>
      <x:c r="M44" s="681" t="str"/>
      <x:c r="N44" s="636" t="str">
        <x:v>미종결</x:v>
      </x:c>
    </x:row>
    <x:row r="45" ht="60" customHeight="1">
      <x:c r="A45" s="634" t="n">
        <x:v>39</x:v>
      </x:c>
      <x:c r="B45" s="635" t="str">
        <x:v>FA1A8HRAAD</x:v>
      </x:c>
      <x:c r="C45" s="635" t="str">
        <x:v>6-12</x:v>
      </x:c>
      <x:c r="D45" s="635" t="str">
        <x:v>재작업(Rework)</x:v>
      </x:c>
      <x:c r="E45" s="635" t="str">
        <x:v>원문 6-12 무배점 기재행: 재작업 절차·원 LOT·전후검사·승인</x:v>
      </x:c>
      <x:c r="F45" s="635" t="str">
        <x:v>실제 REWORK 작업표준/이력/재검사</x:v>
      </x:c>
      <x:c r="G45" s="680" t="str">
        <x:v>미확인</x:v>
      </x:c>
      <x:c r="H45" s="667" t="str">
        <x:v>미확인</x:v>
      </x:c>
      <x:c r="I45" s="667" t="str"/>
      <x:c r="J45" s="681" t="str"/>
      <x:c r="K45" s="635" t="str">
        <x:v>생산/품질</x:v>
      </x:c>
      <x:c r="L45" s="680" t="str"/>
      <x:c r="M45" s="681" t="str"/>
      <x:c r="N45" s="636" t="str">
        <x:v>미종결</x:v>
      </x:c>
    </x:row>
    <x:row r="46" ht="60" customHeight="1">
      <x:c r="A46" s="634" t="n">
        <x:v>40</x:v>
      </x:c>
      <x:c r="B46" s="635" t="str">
        <x:v>FA1A8HRAAD</x:v>
      </x:c>
      <x:c r="C46" s="635" t="str">
        <x:v>6-12</x:v>
      </x:c>
      <x:c r="D46" s="635" t="str">
        <x:v>파괴시험 교육·자격</x:v>
      </x:c>
      <x:c r="E46" s="635" t="str">
        <x:v>원문 별도 6-12 배점 10점: 이론/실기/파괴시험 합격 관리</x:v>
      </x:c>
      <x:c r="F46" s="635" t="str">
        <x:v>시험원/용접작업자 교육·평가 기록</x:v>
      </x:c>
      <x:c r="G46" s="680" t="str">
        <x:v>미확인</x:v>
      </x:c>
      <x:c r="H46" s="667" t="str">
        <x:v>미확인</x:v>
      </x:c>
      <x:c r="I46" s="667" t="str"/>
      <x:c r="J46" s="681" t="str"/>
      <x:c r="K46" s="635" t="str">
        <x:v>생산/품질</x:v>
      </x:c>
      <x:c r="L46" s="680" t="str"/>
      <x:c r="M46" s="681" t="str"/>
      <x:c r="N46" s="636" t="str">
        <x:v>미종결</x:v>
      </x:c>
    </x:row>
    <x:row r="47" ht="60" customHeight="1">
      <x:c r="A47" s="634" t="n">
        <x:v>41</x:v>
      </x:c>
      <x:c r="B47" s="635" t="str">
        <x:v>FA1A8HRAAD</x:v>
      </x:c>
      <x:c r="C47" s="635" t="str">
        <x:v>1-2</x:v>
      </x:c>
      <x:c r="D47" s="635" t="str">
        <x:v>재가동 승인</x:v>
      </x:c>
      <x:c r="E47" s="635" t="str">
        <x:v>계획/비계획 정지 후 영향품 범위 식별·조건 확인·초품·재가동 승인</x:v>
      </x:c>
      <x:c r="F47" s="635" t="str">
        <x:v>정지/수리/초품 승인기록</x:v>
      </x:c>
      <x:c r="G47" s="680" t="str">
        <x:v>미확인</x:v>
      </x:c>
      <x:c r="H47" s="667" t="str">
        <x:v>미확인</x:v>
      </x:c>
      <x:c r="I47" s="667" t="str"/>
      <x:c r="J47" s="681" t="str"/>
      <x:c r="K47" s="635" t="str">
        <x:v>생산/품질</x:v>
      </x:c>
      <x:c r="L47" s="680" t="str"/>
      <x:c r="M47" s="681" t="str"/>
      <x:c r="N47" s="636" t="str">
        <x:v>미종결</x:v>
      </x:c>
    </x:row>
    <x:row r="48" ht="60" customHeight="1">
      <x:c r="A48" s="634" t="n">
        <x:v>42</x:v>
      </x:c>
      <x:c r="B48" s="635" t="str">
        <x:v>FA1A8HRAAD</x:v>
      </x:c>
      <x:c r="C48" s="635" t="str">
        <x:v>2-5</x:v>
      </x:c>
      <x:c r="D48" s="635" t="str">
        <x:v>계측기 신뢰성</x:v>
      </x:c>
      <x:c r="E48" s="635" t="str">
        <x:v>용접/검사 계측장비 ID·교정성적서·유효라벨·사용상태</x:v>
      </x:c>
      <x:c r="F48" s="635" t="str">
        <x:v>장비대장/교정성적서/현장확인</x:v>
      </x:c>
      <x:c r="G48" s="680" t="str">
        <x:v>미확인</x:v>
      </x:c>
      <x:c r="H48" s="667" t="str">
        <x:v>미확인</x:v>
      </x:c>
      <x:c r="I48" s="667" t="str"/>
      <x:c r="J48" s="681" t="str"/>
      <x:c r="K48" s="635" t="str">
        <x:v>품질</x:v>
      </x:c>
      <x:c r="L48" s="680" t="str"/>
      <x:c r="M48" s="681" t="str"/>
      <x:c r="N48" s="636" t="str">
        <x:v>미종결</x:v>
      </x:c>
    </x:row>
    <x:row r="49" ht="60" customHeight="1">
      <x:c r="A49" s="634" t="n">
        <x:v>43</x:v>
      </x:c>
      <x:c r="B49" s="635" t="str">
        <x:v>FA1A8HRAAD</x:v>
      </x:c>
      <x:c r="C49" s="635" t="str">
        <x:v>2-6</x:v>
      </x:c>
      <x:c r="D49" s="635" t="str">
        <x:v>MSA</x:v>
      </x:c>
      <x:c r="E49" s="635" t="str">
        <x:v>실제 대상 검사장비의 GR&amp;R 등 MSA 판정·조치</x:v>
      </x:c>
      <x:c r="F49" s="635" t="str">
        <x:v>실측 MSA 결과</x:v>
      </x:c>
      <x:c r="G49" s="680" t="str">
        <x:v>미확인</x:v>
      </x:c>
      <x:c r="H49" s="667" t="str">
        <x:v>미확인</x:v>
      </x:c>
      <x:c r="I49" s="667" t="str"/>
      <x:c r="J49" s="681" t="str"/>
      <x:c r="K49" s="635" t="str">
        <x:v>품질</x:v>
      </x:c>
      <x:c r="L49" s="680" t="str"/>
      <x:c r="M49" s="681" t="str"/>
      <x:c r="N49" s="636" t="str">
        <x:v>미종결</x:v>
      </x:c>
    </x:row>
    <x:row r="50" ht="60" customHeight="1">
      <x:c r="A50" s="637" t="n">
        <x:v>44</x:v>
      </x:c>
      <x:c r="B50" s="638" t="str">
        <x:v>FA1A8HRAAD</x:v>
      </x:c>
      <x:c r="C50" s="638" t="str">
        <x:v>6-3</x:v>
      </x:c>
      <x:c r="D50" s="638" t="str">
        <x:v>도면·검사협정 사내대조</x:v>
      </x:c>
      <x:c r="E50" s="638" t="str">
        <x:v>보안 도면 Rev.01과 검사협정/검사기준 일치 여부만 내부 확인</x:v>
      </x:c>
      <x:c r="F50" s="638" t="str">
        <x:v>23_도면_사내대조 결과</x:v>
      </x:c>
      <x:c r="G50" s="682" t="str">
        <x:v>미확인</x:v>
      </x:c>
      <x:c r="H50" s="668" t="str">
        <x:v>미확인</x:v>
      </x:c>
      <x:c r="I50" s="668" t="str"/>
      <x:c r="J50" s="683" t="str"/>
      <x:c r="K50" s="638" t="str">
        <x:v>개발/품질</x:v>
      </x:c>
      <x:c r="L50" s="682" t="str"/>
      <x:c r="M50" s="683" t="str"/>
      <x:c r="N50" s="639" t="str">
        <x:v>미종결</x:v>
      </x:c>
    </x:row>
  </x:sheetData>
  <x:mergeCells>
    <x:mergeCell ref="A1:N2"/>
    <x:mergeCell ref="A3:N4"/>
  </x:mergeCells>
  <x:conditionalFormatting sqref="N7:N50">
    <x:cfRule type="expression" dxfId="37" priority="1">
      <x:formula>N7="종결"</x:formula>
    </x:cfRule>
  </x:conditionalFormatting>
  <x:conditionalFormatting sqref="H7:H50">
    <x:cfRule type="expression" dxfId="38" priority="2">
      <x:formula>H7="부적합"</x:formula>
    </x:cfRule>
  </x:conditionalFormatting>
  <x:dataValidations count="3">
    <x:dataValidation type="list" sqref="G7:G50">
      <x:formula1>"미확인,적용,비적용(근거확인)"</x:formula1>
    </x:dataValidation>
    <x:dataValidation type="list" sqref="H7:H50">
      <x:formula1>"미확인,적합,부적합"</x:formula1>
    </x:dataValidation>
    <x:dataValidation type="list" sqref="N7:N50">
      <x:formula1>"미종결,종결,해당없음"</x:formula1>
    </x:dataValidation>
  </x:dataValidations>
  <x:pageMargins left="0.7" right="0.7" top="0.75" bottom="0.75" header="0.3" footer="0.3"/>
</x:worksheet>
</file>

<file path=xl/worksheets/sheet2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5" hidden="0" customWidth="1"/>
    <x:col min="2" max="2" width="11" hidden="0" customWidth="1"/>
    <x:col min="3" max="3" width="18" hidden="0" customWidth="1"/>
    <x:col min="4" max="4" width="17" hidden="0" customWidth="1"/>
    <x:col min="5" max="5" width="25" hidden="0" customWidth="1"/>
    <x:col min="6" max="6" width="58" hidden="0" customWidth="1"/>
    <x:col min="7" max="7" width="20" hidden="0" customWidth="1"/>
    <x:col min="8" max="8" width="35" hidden="0" customWidth="1"/>
    <x:col min="9" max="9" width="42" hidden="0" customWidth="1"/>
    <x:col min="10" max="10" width="17" hidden="0" customWidth="1"/>
    <x:col min="11" max="11" width="16" hidden="0" customWidth="1"/>
    <x:col min="12" max="12" width="36" hidden="0" customWidth="1"/>
  </x:cols>
  <x:sheetData>
    <x:row r="1">
      <x:c r="A1" s="543" t="str">
        <x:v>4단계 | 고객 기밀도면 Rev.01 사내 대조 전용</x:v>
      </x:c>
      <x:c r="B1" s="543"/>
      <x:c r="C1" s="543"/>
      <x:c r="D1" s="543"/>
      <x:c r="E1" s="543"/>
      <x:c r="F1" s="543"/>
      <x:c r="G1" s="543"/>
      <x:c r="H1" s="543"/>
      <x:c r="I1" s="543"/>
      <x:c r="J1" s="543"/>
      <x:c r="K1" s="543"/>
      <x:c r="L1" s="543"/>
    </x:row>
    <x:row r="2">
      <x:c r="A2" s="543"/>
      <x:c r="B2" s="543"/>
      <x:c r="C2" s="543"/>
      <x:c r="D2" s="543"/>
      <x:c r="E2" s="543"/>
      <x:c r="F2" s="543"/>
      <x:c r="G2" s="543"/>
      <x:c r="H2" s="543"/>
      <x:c r="I2" s="543"/>
      <x:c r="J2" s="543"/>
      <x:c r="K2" s="543"/>
      <x:c r="L2" s="543"/>
    </x:row>
    <x:row r="3">
      <x:c r="A3" s="561" t="str">
        <x:v>중요: 승인 고객도면의 PDF·사진·치수값·용접부 상세도는 ChatGPT에 올리지 않습니다. 개발/품질 담당자가 허용된 사내 시스템에서 직접 열람하고, 일치·불일치와 검토자/일자/시정조치만 기록합니다. 도면 Rev.01은 사용자 확인값이지 도면 원본 확인 완료가 아닙니다.</x:v>
      </x:c>
      <x:c r="B3" s="562"/>
      <x:c r="C3" s="562"/>
      <x:c r="D3" s="562"/>
      <x:c r="E3" s="562"/>
      <x:c r="F3" s="562"/>
      <x:c r="G3" s="562"/>
      <x:c r="H3" s="562"/>
      <x:c r="I3" s="562"/>
      <x:c r="J3" s="562"/>
      <x:c r="K3" s="562"/>
      <x:c r="L3" s="563"/>
    </x:row>
    <x:row r="4">
      <x:c r="A4" s="564"/>
      <x:c r="B4" s="565"/>
      <x:c r="C4" s="565"/>
      <x:c r="D4" s="565"/>
      <x:c r="E4" s="565"/>
      <x:c r="F4" s="565"/>
      <x:c r="G4" s="565"/>
      <x:c r="H4" s="565"/>
      <x:c r="I4" s="565"/>
      <x:c r="J4" s="565"/>
      <x:c r="K4" s="565"/>
      <x:c r="L4" s="566"/>
    </x:row>
    <x:row r="6">
      <x:c r="A6" s="597" t="str">
        <x:v>No</x:v>
      </x:c>
      <x:c r="B6" s="598" t="str">
        <x:v>차종</x:v>
      </x:c>
      <x:c r="C6" s="598" t="str">
        <x:v>관리 품번</x:v>
      </x:c>
      <x:c r="D6" s="598" t="str">
        <x:v>도면 Rev(사용자 확인)</x:v>
      </x:c>
      <x:c r="E6" s="598" t="str">
        <x:v>사내 점검 포인트</x:v>
      </x:c>
      <x:c r="F6" s="598" t="str">
        <x:v>보안 도면 사내 확인 방법</x:v>
      </x:c>
      <x:c r="G6" s="598" t="str">
        <x:v>대조 결과</x:v>
      </x:c>
      <x:c r="H6" s="598" t="str">
        <x:v>관련 문서/사내 기록번호</x:v>
      </x:c>
      <x:c r="I6" s="598" t="str">
        <x:v>불일치·조치(기밀정보 제외)</x:v>
      </x:c>
      <x:c r="J6" s="598" t="str">
        <x:v>확인 담당</x:v>
      </x:c>
      <x:c r="K6" s="598" t="str">
        <x:v>사내 확인일</x:v>
      </x:c>
      <x:c r="L6" s="599" t="str">
        <x:v>증빙 연계</x:v>
      </x:c>
    </x:row>
    <x:row r="7" ht="54" customHeight="1">
      <x:c r="A7" s="631" t="n">
        <x:v>1</x:v>
      </x:c>
      <x:c r="B7" s="632" t="str">
        <x:v>RG3 HEV</x:v>
      </x:c>
      <x:c r="C7" s="632" t="str">
        <x:v>FA1A8HRAAC</x:v>
      </x:c>
      <x:c r="D7" s="632" t="str">
        <x:v>Rev.01</x:v>
      </x:c>
      <x:c r="E7" s="632" t="str">
        <x:v>전체 품번 철자</x:v>
      </x:c>
      <x:c r="F7" s="632" t="str">
        <x:v>도면 표제란 품번과 ERP/생산지시 표시 철자 1:1 대조(특히 AD 축약 표기)</x:v>
      </x:c>
      <x:c r="G7" s="678" t="str">
        <x:v>미확인</x:v>
      </x:c>
      <x:c r="H7" s="666" t="str"/>
      <x:c r="I7" s="679" t="str"/>
      <x:c r="J7" s="632" t="str">
        <x:v>개발/품질</x:v>
      </x:c>
      <x:c r="K7" s="669" t="str"/>
      <x:c r="L7" s="633" t="str">
        <x:v>도면/ERP 원본 열람</x:v>
      </x:c>
    </x:row>
    <x:row r="8" ht="54" customHeight="1">
      <x:c r="A8" s="634" t="n">
        <x:v>2</x:v>
      </x:c>
      <x:c r="B8" s="635" t="str">
        <x:v>RG3 HEV</x:v>
      </x:c>
      <x:c r="C8" s="635" t="str">
        <x:v>FA1A8HRAAC</x:v>
      </x:c>
      <x:c r="D8" s="635" t="str">
        <x:v>Rev.01</x:v>
      </x:c>
      <x:c r="E8" s="635" t="str">
        <x:v>도면 Rev.01 상태</x:v>
      </x:c>
      <x:c r="F8" s="635" t="str">
        <x:v>도면 표제란 실제 승인 Rev.01인지, 구 Rev. 현장 사용 여부 확인</x:v>
      </x:c>
      <x:c r="G8" s="680" t="str">
        <x:v>미확인</x:v>
      </x:c>
      <x:c r="H8" s="667" t="str"/>
      <x:c r="I8" s="681" t="str"/>
      <x:c r="J8" s="635" t="str">
        <x:v>개발/품질</x:v>
      </x:c>
      <x:c r="K8" s="670" t="str"/>
      <x:c r="L8" s="636" t="str">
        <x:v>승인 도면 표제란 확인</x:v>
      </x:c>
    </x:row>
    <x:row r="9" ht="54" customHeight="1">
      <x:c r="A9" s="634" t="n">
        <x:v>3</x:v>
      </x:c>
      <x:c r="B9" s="635" t="str">
        <x:v>RG3 HEV</x:v>
      </x:c>
      <x:c r="C9" s="635" t="str">
        <x:v>FA1A8HRAAC</x:v>
      </x:c>
      <x:c r="D9" s="635" t="str">
        <x:v>Rev.01</x:v>
      </x:c>
      <x:c r="E9" s="635" t="str">
        <x:v>고객명·품명</x:v>
      </x:c>
      <x:c r="F9" s="635" t="str">
        <x:v>도면 표제란 고객·품명과 현장 작업표준/검사기준 일치 확인</x:v>
      </x:c>
      <x:c r="G9" s="680" t="str">
        <x:v>미확인</x:v>
      </x:c>
      <x:c r="H9" s="667" t="str"/>
      <x:c r="I9" s="681" t="str"/>
      <x:c r="J9" s="635" t="str">
        <x:v>개발/품질</x:v>
      </x:c>
      <x:c r="K9" s="670" t="str"/>
      <x:c r="L9" s="636" t="str">
        <x:v>도면/품목 Master 대조</x:v>
      </x:c>
    </x:row>
    <x:row r="10" ht="54" customHeight="1">
      <x:c r="A10" s="634" t="n">
        <x:v>4</x:v>
      </x:c>
      <x:c r="B10" s="635" t="str">
        <x:v>RG3 HEV</x:v>
      </x:c>
      <x:c r="C10" s="635" t="str">
        <x:v>FA1A8HRAAC</x:v>
      </x:c>
      <x:c r="D10" s="635" t="str">
        <x:v>Rev.01</x:v>
      </x:c>
      <x:c r="E10" s="635" t="str">
        <x:v>공정 흐름·용접범위</x:v>
      </x:c>
      <x:c r="F10" s="635" t="str">
        <x:v>점프 튜브 용접/조립이 승인 도면 요구와 공정 Flow에서 일치</x:v>
      </x:c>
      <x:c r="G10" s="680" t="str">
        <x:v>미확인</x:v>
      </x:c>
      <x:c r="H10" s="667" t="str"/>
      <x:c r="I10" s="681" t="str"/>
      <x:c r="J10" s="635" t="str">
        <x:v>개발/품질</x:v>
      </x:c>
      <x:c r="K10" s="670" t="str"/>
      <x:c r="L10" s="636" t="str">
        <x:v>도면 및 Process Flow 대조</x:v>
      </x:c>
    </x:row>
    <x:row r="11" ht="54" customHeight="1">
      <x:c r="A11" s="634" t="n">
        <x:v>5</x:v>
      </x:c>
      <x:c r="B11" s="635" t="str">
        <x:v>RG3 HEV</x:v>
      </x:c>
      <x:c r="C11" s="635" t="str">
        <x:v>FA1A8HRAAC</x:v>
      </x:c>
      <x:c r="D11" s="635" t="str">
        <x:v>Rev.01</x:v>
      </x:c>
      <x:c r="E11" s="635" t="str">
        <x:v>중요/특별특성</x:v>
      </x:c>
      <x:c r="F11" s="635" t="str">
        <x:v>고객 별도 기호·중요특성이 PFMEA·CP·검사기준에 전개됐는지</x:v>
      </x:c>
      <x:c r="G11" s="680" t="str">
        <x:v>미확인</x:v>
      </x:c>
      <x:c r="H11" s="667" t="str"/>
      <x:c r="I11" s="681" t="str"/>
      <x:c r="J11" s="635" t="str">
        <x:v>개발/품질</x:v>
      </x:c>
      <x:c r="K11" s="670" t="str"/>
      <x:c r="L11" s="636" t="str">
        <x:v>도면 특성표시→문서 연결 검사</x:v>
      </x:c>
    </x:row>
    <x:row r="12" ht="54" customHeight="1">
      <x:c r="A12" s="634" t="n">
        <x:v>6</x:v>
      </x:c>
      <x:c r="B12" s="635" t="str">
        <x:v>RG3 HEV</x:v>
      </x:c>
      <x:c r="C12" s="635" t="str">
        <x:v>FA1A8HRAAC</x:v>
      </x:c>
      <x:c r="D12" s="635" t="str">
        <x:v>Rev.01</x:v>
      </x:c>
      <x:c r="E12" s="635" t="str">
        <x:v>용접 기호·검사 요구</x:v>
      </x:c>
      <x:c r="F12" s="635" t="str">
        <x:v>용접 위치/방법·강도·누설·파괴시험 적용 여부를 현장 WI/검사기준과 대조</x:v>
      </x:c>
      <x:c r="G12" s="680" t="str">
        <x:v>미확인</x:v>
      </x:c>
      <x:c r="H12" s="667" t="str"/>
      <x:c r="I12" s="681" t="str"/>
      <x:c r="J12" s="635" t="str">
        <x:v>개발/품질</x:v>
      </x:c>
      <x:c r="K12" s="670" t="str"/>
      <x:c r="L12" s="636" t="str">
        <x:v>필요시 사내 관련문서 비교</x:v>
      </x:c>
    </x:row>
    <x:row r="13" ht="54" customHeight="1">
      <x:c r="A13" s="634" t="n">
        <x:v>7</x:v>
      </x:c>
      <x:c r="B13" s="635" t="str">
        <x:v>RG3 HEV</x:v>
      </x:c>
      <x:c r="C13" s="635" t="str">
        <x:v>FA1A8HRAAC</x:v>
      </x:c>
      <x:c r="D13" s="635" t="str">
        <x:v>Rev.01</x:v>
      </x:c>
      <x:c r="E13" s="635" t="str">
        <x:v>주요 치수·공차</x:v>
      </x:c>
      <x:c r="F13" s="635" t="str">
        <x:v>숫자 외부 전송 없이 주요 특성의 CP 규격/공차 동일 여부만 확인</x:v>
      </x:c>
      <x:c r="G13" s="680" t="str">
        <x:v>미확인</x:v>
      </x:c>
      <x:c r="H13" s="667" t="str"/>
      <x:c r="I13" s="681" t="str"/>
      <x:c r="J13" s="635" t="str">
        <x:v>개발/품질</x:v>
      </x:c>
      <x:c r="K13" s="670" t="str"/>
      <x:c r="L13" s="636" t="str">
        <x:v>특성별 일치/불일치 기록</x:v>
      </x:c>
    </x:row>
    <x:row r="14" ht="54" customHeight="1">
      <x:c r="A14" s="634" t="n">
        <x:v>8</x:v>
      </x:c>
      <x:c r="B14" s="635" t="str">
        <x:v>RG3 HEV</x:v>
      </x:c>
      <x:c r="C14" s="635" t="str">
        <x:v>FA1A8HRAAC</x:v>
      </x:c>
      <x:c r="D14" s="635" t="str">
        <x:v>Rev.01</x:v>
      </x:c>
      <x:c r="E14" s="635" t="str">
        <x:v>검사협정·합격판정</x:v>
      </x:c>
      <x:c r="F14" s="635" t="str">
        <x:v>고객 합의 검사협정서와 검사규격·시료·빈도·판정 일치 여부</x:v>
      </x:c>
      <x:c r="G14" s="680" t="str">
        <x:v>미확인</x:v>
      </x:c>
      <x:c r="H14" s="667" t="str"/>
      <x:c r="I14" s="681" t="str"/>
      <x:c r="J14" s="635" t="str">
        <x:v>개발/품질</x:v>
      </x:c>
      <x:c r="K14" s="670" t="str"/>
      <x:c r="L14" s="636" t="str">
        <x:v>내부 검사협정서/CP 대조</x:v>
      </x:c>
    </x:row>
    <x:row r="15" ht="54" customHeight="1">
      <x:c r="A15" s="634" t="n">
        <x:v>9</x:v>
      </x:c>
      <x:c r="B15" s="635" t="str">
        <x:v>RG3 HEV</x:v>
      </x:c>
      <x:c r="C15" s="635" t="str">
        <x:v>FA1A8HRAAC</x:v>
      </x:c>
      <x:c r="D15" s="635" t="str">
        <x:v>Rev.01</x:v>
      </x:c>
      <x:c r="E15" s="635" t="str">
        <x:v>변경/배포관리</x:v>
      </x:c>
      <x:c r="F15" s="635" t="str">
        <x:v>Rev.01 적용일·적용범위·고객승인 및 현장 구도면 회수 확인</x:v>
      </x:c>
      <x:c r="G15" s="680" t="str">
        <x:v>미확인</x:v>
      </x:c>
      <x:c r="H15" s="667" t="str"/>
      <x:c r="I15" s="681" t="str"/>
      <x:c r="J15" s="635" t="str">
        <x:v>개발/품질</x:v>
      </x:c>
      <x:c r="K15" s="670" t="str"/>
      <x:c r="L15" s="636" t="str">
        <x:v>내부 문서대장·배포이력</x:v>
      </x:c>
    </x:row>
    <x:row r="16" ht="54" customHeight="1">
      <x:c r="A16" s="634" t="n">
        <x:v>10</x:v>
      </x:c>
      <x:c r="B16" s="635" t="str">
        <x:v>RG3 HEV</x:v>
      </x:c>
      <x:c r="C16" s="635" t="str">
        <x:v>FA1A8HRAAD</x:v>
      </x:c>
      <x:c r="D16" s="635" t="str">
        <x:v>Rev.01</x:v>
      </x:c>
      <x:c r="E16" s="635" t="str">
        <x:v>전체 품번 철자</x:v>
      </x:c>
      <x:c r="F16" s="635" t="str">
        <x:v>도면 표제란 품번과 ERP/생산지시 표시 철자 1:1 대조(특히 AD 축약 표기)</x:v>
      </x:c>
      <x:c r="G16" s="680" t="str">
        <x:v>미확인</x:v>
      </x:c>
      <x:c r="H16" s="667" t="str"/>
      <x:c r="I16" s="681" t="str"/>
      <x:c r="J16" s="635" t="str">
        <x:v>개발/품질</x:v>
      </x:c>
      <x:c r="K16" s="670" t="str"/>
      <x:c r="L16" s="636" t="str">
        <x:v>도면/ERP 원본 열람</x:v>
      </x:c>
    </x:row>
    <x:row r="17" ht="54" customHeight="1">
      <x:c r="A17" s="634" t="n">
        <x:v>11</x:v>
      </x:c>
      <x:c r="B17" s="635" t="str">
        <x:v>RG3 HEV</x:v>
      </x:c>
      <x:c r="C17" s="635" t="str">
        <x:v>FA1A8HRAAD</x:v>
      </x:c>
      <x:c r="D17" s="635" t="str">
        <x:v>Rev.01</x:v>
      </x:c>
      <x:c r="E17" s="635" t="str">
        <x:v>도면 Rev.01 상태</x:v>
      </x:c>
      <x:c r="F17" s="635" t="str">
        <x:v>도면 표제란 실제 승인 Rev.01인지, 구 Rev. 현장 사용 여부 확인</x:v>
      </x:c>
      <x:c r="G17" s="680" t="str">
        <x:v>미확인</x:v>
      </x:c>
      <x:c r="H17" s="667" t="str"/>
      <x:c r="I17" s="681" t="str"/>
      <x:c r="J17" s="635" t="str">
        <x:v>개발/품질</x:v>
      </x:c>
      <x:c r="K17" s="670" t="str"/>
      <x:c r="L17" s="636" t="str">
        <x:v>승인 도면 표제란 확인</x:v>
      </x:c>
    </x:row>
    <x:row r="18" ht="54" customHeight="1">
      <x:c r="A18" s="634" t="n">
        <x:v>12</x:v>
      </x:c>
      <x:c r="B18" s="635" t="str">
        <x:v>RG3 HEV</x:v>
      </x:c>
      <x:c r="C18" s="635" t="str">
        <x:v>FA1A8HRAAD</x:v>
      </x:c>
      <x:c r="D18" s="635" t="str">
        <x:v>Rev.01</x:v>
      </x:c>
      <x:c r="E18" s="635" t="str">
        <x:v>고객명·품명</x:v>
      </x:c>
      <x:c r="F18" s="635" t="str">
        <x:v>도면 표제란 고객·품명과 현장 작업표준/검사기준 일치 확인</x:v>
      </x:c>
      <x:c r="G18" s="680" t="str">
        <x:v>미확인</x:v>
      </x:c>
      <x:c r="H18" s="667" t="str"/>
      <x:c r="I18" s="681" t="str"/>
      <x:c r="J18" s="635" t="str">
        <x:v>개발/품질</x:v>
      </x:c>
      <x:c r="K18" s="670" t="str"/>
      <x:c r="L18" s="636" t="str">
        <x:v>도면/품목 Master 대조</x:v>
      </x:c>
    </x:row>
    <x:row r="19" ht="54" customHeight="1">
      <x:c r="A19" s="634" t="n">
        <x:v>13</x:v>
      </x:c>
      <x:c r="B19" s="635" t="str">
        <x:v>RG3 HEV</x:v>
      </x:c>
      <x:c r="C19" s="635" t="str">
        <x:v>FA1A8HRAAD</x:v>
      </x:c>
      <x:c r="D19" s="635" t="str">
        <x:v>Rev.01</x:v>
      </x:c>
      <x:c r="E19" s="635" t="str">
        <x:v>공정 흐름·용접범위</x:v>
      </x:c>
      <x:c r="F19" s="635" t="str">
        <x:v>점프 튜브 용접/조립이 승인 도면 요구와 공정 Flow에서 일치</x:v>
      </x:c>
      <x:c r="G19" s="680" t="str">
        <x:v>미확인</x:v>
      </x:c>
      <x:c r="H19" s="667" t="str"/>
      <x:c r="I19" s="681" t="str"/>
      <x:c r="J19" s="635" t="str">
        <x:v>개발/품질</x:v>
      </x:c>
      <x:c r="K19" s="670" t="str"/>
      <x:c r="L19" s="636" t="str">
        <x:v>도면 및 Process Flow 대조</x:v>
      </x:c>
    </x:row>
    <x:row r="20" ht="54" customHeight="1">
      <x:c r="A20" s="634" t="n">
        <x:v>14</x:v>
      </x:c>
      <x:c r="B20" s="635" t="str">
        <x:v>RG3 HEV</x:v>
      </x:c>
      <x:c r="C20" s="635" t="str">
        <x:v>FA1A8HRAAD</x:v>
      </x:c>
      <x:c r="D20" s="635" t="str">
        <x:v>Rev.01</x:v>
      </x:c>
      <x:c r="E20" s="635" t="str">
        <x:v>중요/특별특성</x:v>
      </x:c>
      <x:c r="F20" s="635" t="str">
        <x:v>고객 별도 기호·중요특성이 PFMEA·CP·검사기준에 전개됐는지</x:v>
      </x:c>
      <x:c r="G20" s="680" t="str">
        <x:v>미확인</x:v>
      </x:c>
      <x:c r="H20" s="667" t="str"/>
      <x:c r="I20" s="681" t="str"/>
      <x:c r="J20" s="635" t="str">
        <x:v>개발/품질</x:v>
      </x:c>
      <x:c r="K20" s="670" t="str"/>
      <x:c r="L20" s="636" t="str">
        <x:v>도면 특성표시→문서 연결 검사</x:v>
      </x:c>
    </x:row>
    <x:row r="21" ht="54" customHeight="1">
      <x:c r="A21" s="634" t="n">
        <x:v>15</x:v>
      </x:c>
      <x:c r="B21" s="635" t="str">
        <x:v>RG3 HEV</x:v>
      </x:c>
      <x:c r="C21" s="635" t="str">
        <x:v>FA1A8HRAAD</x:v>
      </x:c>
      <x:c r="D21" s="635" t="str">
        <x:v>Rev.01</x:v>
      </x:c>
      <x:c r="E21" s="635" t="str">
        <x:v>용접 기호·검사 요구</x:v>
      </x:c>
      <x:c r="F21" s="635" t="str">
        <x:v>용접 위치/방법·강도·누설·파괴시험 적용 여부를 현장 WI/검사기준과 대조</x:v>
      </x:c>
      <x:c r="G21" s="680" t="str">
        <x:v>미확인</x:v>
      </x:c>
      <x:c r="H21" s="667" t="str"/>
      <x:c r="I21" s="681" t="str"/>
      <x:c r="J21" s="635" t="str">
        <x:v>개발/품질</x:v>
      </x:c>
      <x:c r="K21" s="670" t="str"/>
      <x:c r="L21" s="636" t="str">
        <x:v>필요시 사내 관련문서 비교</x:v>
      </x:c>
    </x:row>
    <x:row r="22" ht="54" customHeight="1">
      <x:c r="A22" s="634" t="n">
        <x:v>16</x:v>
      </x:c>
      <x:c r="B22" s="635" t="str">
        <x:v>RG3 HEV</x:v>
      </x:c>
      <x:c r="C22" s="635" t="str">
        <x:v>FA1A8HRAAD</x:v>
      </x:c>
      <x:c r="D22" s="635" t="str">
        <x:v>Rev.01</x:v>
      </x:c>
      <x:c r="E22" s="635" t="str">
        <x:v>주요 치수·공차</x:v>
      </x:c>
      <x:c r="F22" s="635" t="str">
        <x:v>숫자 외부 전송 없이 주요 특성의 CP 규격/공차 동일 여부만 확인</x:v>
      </x:c>
      <x:c r="G22" s="680" t="str">
        <x:v>미확인</x:v>
      </x:c>
      <x:c r="H22" s="667" t="str"/>
      <x:c r="I22" s="681" t="str"/>
      <x:c r="J22" s="635" t="str">
        <x:v>개발/품질</x:v>
      </x:c>
      <x:c r="K22" s="670" t="str"/>
      <x:c r="L22" s="636" t="str">
        <x:v>특성별 일치/불일치 기록</x:v>
      </x:c>
    </x:row>
    <x:row r="23" ht="54" customHeight="1">
      <x:c r="A23" s="634" t="n">
        <x:v>17</x:v>
      </x:c>
      <x:c r="B23" s="635" t="str">
        <x:v>RG3 HEV</x:v>
      </x:c>
      <x:c r="C23" s="635" t="str">
        <x:v>FA1A8HRAAD</x:v>
      </x:c>
      <x:c r="D23" s="635" t="str">
        <x:v>Rev.01</x:v>
      </x:c>
      <x:c r="E23" s="635" t="str">
        <x:v>검사협정·합격판정</x:v>
      </x:c>
      <x:c r="F23" s="635" t="str">
        <x:v>고객 합의 검사협정서와 검사규격·시료·빈도·판정 일치 여부</x:v>
      </x:c>
      <x:c r="G23" s="680" t="str">
        <x:v>미확인</x:v>
      </x:c>
      <x:c r="H23" s="667" t="str"/>
      <x:c r="I23" s="681" t="str"/>
      <x:c r="J23" s="635" t="str">
        <x:v>개발/품질</x:v>
      </x:c>
      <x:c r="K23" s="670" t="str"/>
      <x:c r="L23" s="636" t="str">
        <x:v>내부 검사협정서/CP 대조</x:v>
      </x:c>
    </x:row>
    <x:row r="24" ht="54" customHeight="1">
      <x:c r="A24" s="637" t="n">
        <x:v>18</x:v>
      </x:c>
      <x:c r="B24" s="638" t="str">
        <x:v>RG3 HEV</x:v>
      </x:c>
      <x:c r="C24" s="638" t="str">
        <x:v>FA1A8HRAAD</x:v>
      </x:c>
      <x:c r="D24" s="638" t="str">
        <x:v>Rev.01</x:v>
      </x:c>
      <x:c r="E24" s="638" t="str">
        <x:v>변경/배포관리</x:v>
      </x:c>
      <x:c r="F24" s="638" t="str">
        <x:v>Rev.01 적용일·적용범위·고객승인 및 현장 구도면 회수 확인</x:v>
      </x:c>
      <x:c r="G24" s="682" t="str">
        <x:v>미확인</x:v>
      </x:c>
      <x:c r="H24" s="668" t="str"/>
      <x:c r="I24" s="683" t="str"/>
      <x:c r="J24" s="638" t="str">
        <x:v>개발/품질</x:v>
      </x:c>
      <x:c r="K24" s="671" t="str"/>
      <x:c r="L24" s="639" t="str">
        <x:v>내부 문서대장·배포이력</x:v>
      </x:c>
    </x:row>
  </x:sheetData>
  <x:mergeCells>
    <x:mergeCell ref="A1:L2"/>
    <x:mergeCell ref="A3:L4"/>
  </x:mergeCells>
  <x:conditionalFormatting sqref="G7:G24">
    <x:cfRule type="expression" dxfId="39" priority="1">
      <x:formula>G7="일치"</x:formula>
    </x:cfRule>
    <x:cfRule type="expression" dxfId="40" priority="2">
      <x:formula>G7="불일치"</x:formula>
    </x:cfRule>
  </x:conditionalFormatting>
  <x:dataValidations count="1">
    <x:dataValidation type="list" sqref="G7:G24">
      <x:formula1>"미확인,일치,불일치,해당없음(근거확인)"</x:formula1>
    </x:dataValidation>
  </x:dataValidations>
  <x:pageMargins left="0.7" right="0.7" top="0.75" bottom="0.75" header="0.3" footer="0.3"/>
</x:worksheet>
</file>

<file path=xl/worksheets/sheet25.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7" hidden="0" customWidth="1"/>
    <x:col min="2" max="2" width="19" hidden="0" customWidth="1"/>
    <x:col min="3" max="3" width="25" hidden="0" customWidth="1"/>
    <x:col min="4" max="4" width="42" hidden="0" customWidth="1"/>
    <x:col min="5" max="5" width="48" hidden="0" customWidth="1"/>
    <x:col min="6" max="6" width="25" hidden="0" customWidth="1"/>
    <x:col min="7" max="7" width="16" hidden="0" customWidth="1"/>
    <x:col min="8" max="8" width="14" hidden="0" customWidth="1"/>
    <x:col min="9" max="9" width="14" hidden="0" customWidth="1"/>
    <x:col min="10" max="10" width="36" hidden="0" customWidth="1"/>
    <x:col min="11" max="11" width="13" hidden="0" customWidth="1"/>
    <x:col min="12" max="12" width="40" hidden="0" customWidth="1"/>
    <x:col min="13" max="13" width="16" hidden="0" customWidth="1"/>
  </x:cols>
  <x:sheetData>
    <x:row r="1">
      <x:c r="A1" s="543" t="str">
        <x:v>5단계 | 부서별 실제 증빙 제출·회수 관리</x:v>
      </x:c>
      <x:c r="B1" s="543"/>
      <x:c r="C1" s="543"/>
      <x:c r="D1" s="543"/>
      <x:c r="E1" s="543"/>
      <x:c r="F1" s="543"/>
      <x:c r="G1" s="543"/>
      <x:c r="H1" s="543"/>
      <x:c r="I1" s="543"/>
      <x:c r="J1" s="543"/>
      <x:c r="K1" s="543"/>
      <x:c r="L1" s="543"/>
      <x:c r="M1" s="543"/>
    </x:row>
    <x:row r="2">
      <x:c r="A2" s="543"/>
      <x:c r="B2" s="543"/>
      <x:c r="C2" s="543"/>
      <x:c r="D2" s="543"/>
      <x:c r="E2" s="543"/>
      <x:c r="F2" s="543"/>
      <x:c r="G2" s="543"/>
      <x:c r="H2" s="543"/>
      <x:c r="I2" s="543"/>
      <x:c r="J2" s="543"/>
      <x:c r="K2" s="543"/>
      <x:c r="L2" s="543"/>
      <x:c r="M2" s="543"/>
    </x:row>
    <x:row r="3">
      <x:c r="A3" s="561" t="str">
        <x:v>진행표의 요청일·목표일은 제안 일정(2026-10-26 기산)이며 한온 확정 심사일이 아닙니다. 기밀 도면 원본은 회수/업로드 대상에서 제외하며 사내 확인 결과만 받습니다.</x:v>
      </x:c>
      <x:c r="B3" s="562"/>
      <x:c r="C3" s="562"/>
      <x:c r="D3" s="562"/>
      <x:c r="E3" s="562"/>
      <x:c r="F3" s="562"/>
      <x:c r="G3" s="562"/>
      <x:c r="H3" s="562"/>
      <x:c r="I3" s="562"/>
      <x:c r="J3" s="562"/>
      <x:c r="K3" s="562"/>
      <x:c r="L3" s="562"/>
      <x:c r="M3" s="563"/>
    </x:row>
    <x:row r="4">
      <x:c r="A4" s="564"/>
      <x:c r="B4" s="565"/>
      <x:c r="C4" s="565"/>
      <x:c r="D4" s="565"/>
      <x:c r="E4" s="565"/>
      <x:c r="F4" s="565"/>
      <x:c r="G4" s="565"/>
      <x:c r="H4" s="565"/>
      <x:c r="I4" s="565"/>
      <x:c r="J4" s="565"/>
      <x:c r="K4" s="565"/>
      <x:c r="L4" s="565"/>
      <x:c r="M4" s="566"/>
    </x:row>
    <x:row r="6">
      <x:c r="A6" s="597" t="str">
        <x:v>우선</x:v>
      </x:c>
      <x:c r="B6" s="598" t="str">
        <x:v>평가코드</x:v>
      </x:c>
      <x:c r="C6" s="598" t="str">
        <x:v>제출주관</x:v>
      </x:c>
      <x:c r="D6" s="598" t="str">
        <x:v>받아야 할 자료</x:v>
      </x:c>
      <x:c r="E6" s="598" t="str">
        <x:v>완료인정 조건</x:v>
      </x:c>
      <x:c r="F6" s="598" t="str">
        <x:v>대상</x:v>
      </x:c>
      <x:c r="G6" s="598" t="str">
        <x:v>요청기한(권고)</x:v>
      </x:c>
      <x:c r="H6" s="598" t="str">
        <x:v>실제 회수일</x:v>
      </x:c>
      <x:c r="I6" s="598" t="str">
        <x:v>준비상태</x:v>
      </x:c>
      <x:c r="J6" s="598" t="str">
        <x:v>사내 파일/대장 위치</x:v>
      </x:c>
      <x:c r="K6" s="598" t="str">
        <x:v>검토자</x:v>
      </x:c>
      <x:c r="L6" s="598" t="str">
        <x:v>부족한 사항</x:v>
      </x:c>
      <x:c r="M6" s="599" t="str">
        <x:v>추가조치 목표일</x:v>
      </x:c>
    </x:row>
    <x:row r="7" ht="58" customHeight="1">
      <x:c r="A7" s="631" t="n">
        <x:v>1</x:v>
      </x:c>
      <x:c r="B7" s="632" t="str">
        <x:v>공통 G1</x:v>
      </x:c>
      <x:c r="C7" s="632" t="str">
        <x:v>영업·품질</x:v>
      </x:c>
      <x:c r="D7" s="632" t="str">
        <x:v>한온 SQ 평가표 공식 배포·최신 개정 근거</x:v>
      </x:c>
      <x:c r="E7" s="632" t="str">
        <x:v>배포 메일 또는 공식 담당 확인/Rev·적용범위 확인</x:v>
      </x:c>
      <x:c r="F7" s="632" t="str">
        <x:v>RG3 HEV / 6동</x:v>
      </x:c>
      <x:c r="G7" s="632" t="str">
        <x:v>2026-10-27</x:v>
      </x:c>
      <x:c r="H7" s="678" t="str"/>
      <x:c r="I7" s="666" t="str">
        <x:v>미회수</x:v>
      </x:c>
      <x:c r="J7" s="666" t="str"/>
      <x:c r="K7" s="666" t="str"/>
      <x:c r="L7" s="666" t="str"/>
      <x:c r="M7" s="679" t="str"/>
    </x:row>
    <x:row r="8" ht="58" customHeight="1">
      <x:c r="A8" s="634" t="n">
        <x:v>2</x:v>
      </x:c>
      <x:c r="B8" s="635" t="str">
        <x:v>6-3</x:v>
      </x:c>
      <x:c r="C8" s="635" t="str">
        <x:v>개발·품질</x:v>
      </x:c>
      <x:c r="D8" s="635" t="str">
        <x:v>두 품번 도면 Rev.01 사내 대조 결과</x:v>
      </x:c>
      <x:c r="E8" s="635" t="str">
        <x:v>23시트 18항목 내부 확인자/일자 및 불일치 조치</x:v>
      </x:c>
      <x:c r="F8" s="635" t="str">
        <x:v>FA1A8HRAAC·FA1A8HRAAD</x:v>
      </x:c>
      <x:c r="G8" s="635" t="str">
        <x:v>2026-10-28</x:v>
      </x:c>
      <x:c r="H8" s="680" t="str"/>
      <x:c r="I8" s="667" t="str">
        <x:v>미회수</x:v>
      </x:c>
      <x:c r="J8" s="667" t="str"/>
      <x:c r="K8" s="667" t="str"/>
      <x:c r="L8" s="667" t="str"/>
      <x:c r="M8" s="681" t="str"/>
    </x:row>
    <x:row r="9" ht="58" customHeight="1">
      <x:c r="A9" s="634" t="n">
        <x:v>3</x:v>
      </x:c>
      <x:c r="B9" s="635" t="str">
        <x:v>1-1/6-3</x:v>
      </x:c>
      <x:c r="C9" s="635" t="str">
        <x:v>품질·생산</x:v>
      </x:c>
      <x:c r="D9" s="635" t="str">
        <x:v>두 품번 Flow/PFMEA/CP/WI·검사기준</x:v>
      </x:c>
      <x:c r="E9" s="635" t="str">
        <x:v>공정번호·특성·Rev 일치, 현장 대조</x:v>
      </x:c>
      <x:c r="F9" s="635" t="str">
        <x:v>2품번</x:v>
      </x:c>
      <x:c r="G9" s="635" t="str">
        <x:v>2026-10-28</x:v>
      </x:c>
      <x:c r="H9" s="680" t="str"/>
      <x:c r="I9" s="667" t="str">
        <x:v>미회수</x:v>
      </x:c>
      <x:c r="J9" s="667" t="str"/>
      <x:c r="K9" s="667" t="str"/>
      <x:c r="L9" s="667" t="str"/>
      <x:c r="M9" s="681" t="str"/>
    </x:row>
    <x:row r="10" ht="58" customHeight="1">
      <x:c r="A10" s="634" t="n">
        <x:v>4</x:v>
      </x:c>
      <x:c r="B10" s="635" t="str">
        <x:v>1-5</x:v>
      </x:c>
      <x:c r="C10" s="635" t="str">
        <x:v>생산기술</x:v>
      </x:c>
      <x:c r="D10" s="635" t="str">
        <x:v>2동 자동 브레이징 자동2호기 승인조건·프로그램·가동실적</x:v>
      </x:c>
      <x:c r="E10" s="635" t="str">
        <x:v>사용자 방식 확인, 설비대장·승인조건/최근 실적·동간 이송품 식별 사내 대조</x:v>
      </x:c>
      <x:c r="F10" s="635" t="str">
        <x:v>2동 브레이징 용접라인</x:v>
      </x:c>
      <x:c r="G10" s="635" t="str">
        <x:v>2026-10-29</x:v>
      </x:c>
      <x:c r="H10" s="680" t="str"/>
      <x:c r="I10" s="667" t="str">
        <x:v>미회수</x:v>
      </x:c>
      <x:c r="J10" s="667" t="str"/>
      <x:c r="K10" s="667" t="str"/>
      <x:c r="L10" s="667" t="str"/>
      <x:c r="M10" s="681" t="str"/>
    </x:row>
    <x:row r="11" ht="58" customHeight="1">
      <x:c r="A11" s="634" t="n">
        <x:v>5</x:v>
      </x:c>
      <x:c r="B11" s="635" t="str">
        <x:v>2-9</x:v>
      </x:c>
      <x:c r="C11" s="635" t="str">
        <x:v>품질·생산기술</x:v>
      </x:c>
      <x:c r="D11" s="635" t="str">
        <x:v>브레이징 품질검사(파괴시험 등 해당 시) 및 에어 리크 테스트기 전자검사 원본로그</x:v>
      </x:c>
      <x:c r="E11" s="635" t="str">
        <x:v>기밀검사 설비 전자 로그의 검사조건·측정/판정·검사일시·LOT연계·설비ID·조회/보존 확인; 종이 성적서 요구하지 않음</x:v>
      </x:c>
      <x:c r="F11" s="635" t="str">
        <x:v>2품번</x:v>
      </x:c>
      <x:c r="G11" s="635" t="str">
        <x:v>2026-10-29</x:v>
      </x:c>
      <x:c r="H11" s="680" t="str"/>
      <x:c r="I11" s="667" t="str">
        <x:v>미회수</x:v>
      </x:c>
      <x:c r="J11" s="667" t="str"/>
      <x:c r="K11" s="667" t="str"/>
      <x:c r="L11" s="667" t="str"/>
      <x:c r="M11" s="681" t="str"/>
    </x:row>
    <x:row r="12" ht="58" customHeight="1">
      <x:c r="A12" s="634" t="n">
        <x:v>6</x:v>
      </x:c>
      <x:c r="B12" s="635" t="str">
        <x:v>3-1~3-6</x:v>
      </x:c>
      <x:c r="C12" s="635" t="str">
        <x:v>생산·생산기술</x:v>
      </x:c>
      <x:c r="D12" s="635" t="str">
        <x:v>설비·JIG 일상/정기 점검/수리/복구 기록</x:v>
      </x:c>
      <x:c r="E12" s="635" t="str">
        <x:v>대상 설비/JIG별 최근 실적, 이상 후 조치</x:v>
      </x:c>
      <x:c r="F12" s="635" t="str">
        <x:v>2동 브레이징 용접라인</x:v>
      </x:c>
      <x:c r="G12" s="635" t="str">
        <x:v>2026-10-30</x:v>
      </x:c>
      <x:c r="H12" s="680" t="str"/>
      <x:c r="I12" s="667" t="str">
        <x:v>미회수</x:v>
      </x:c>
      <x:c r="J12" s="667" t="str"/>
      <x:c r="K12" s="667" t="str"/>
      <x:c r="L12" s="667" t="str"/>
      <x:c r="M12" s="681" t="str"/>
    </x:row>
    <x:row r="13" ht="58" customHeight="1">
      <x:c r="A13" s="634" t="n">
        <x:v>7</x:v>
      </x:c>
      <x:c r="B13" s="635" t="str">
        <x:v>2-5/2-6</x:v>
      </x:c>
      <x:c r="C13" s="635" t="str">
        <x:v>품질</x:v>
      </x:c>
      <x:c r="D13" s="635" t="str">
        <x:v>교정성적서/계측기대장/MSA 원자료</x:v>
      </x:c>
      <x:c r="E13" s="635" t="str">
        <x:v>기기ID·유효기간·검사특성별 실제 MSA 결과</x:v>
      </x:c>
      <x:c r="F13" s="635" t="str">
        <x:v>2품번 적용 계측기</x:v>
      </x:c>
      <x:c r="G13" s="635" t="str">
        <x:v>2026-10-30</x:v>
      </x:c>
      <x:c r="H13" s="680" t="str"/>
      <x:c r="I13" s="667" t="str">
        <x:v>미회수</x:v>
      </x:c>
      <x:c r="J13" s="667" t="str"/>
      <x:c r="K13" s="667" t="str"/>
      <x:c r="L13" s="667" t="str"/>
      <x:c r="M13" s="681" t="str"/>
    </x:row>
    <x:row r="14" ht="58" customHeight="1">
      <x:c r="A14" s="634" t="n">
        <x:v>8</x:v>
      </x:c>
      <x:c r="B14" s="635" t="str">
        <x:v>2-7/2-8</x:v>
      </x:c>
      <x:c r="C14" s="635" t="str">
        <x:v>품질·생산</x:v>
      </x:c>
      <x:c r="D14" s="635" t="str">
        <x:v>실제 초품·자주·완제품 검사기록</x:v>
      </x:c>
      <x:c r="E14" s="635" t="str">
        <x:v>최근 생산 LOT/실측값/검사자/기기/판정 연결</x:v>
      </x:c>
      <x:c r="F14" s="635" t="str">
        <x:v>2품번</x:v>
      </x:c>
      <x:c r="G14" s="635" t="str">
        <x:v>2026-10-30</x:v>
      </x:c>
      <x:c r="H14" s="680" t="str"/>
      <x:c r="I14" s="667" t="str">
        <x:v>미회수</x:v>
      </x:c>
      <x:c r="J14" s="667" t="str"/>
      <x:c r="K14" s="667" t="str"/>
      <x:c r="L14" s="667" t="str"/>
      <x:c r="M14" s="681" t="str"/>
    </x:row>
    <x:row r="15" ht="58" customHeight="1">
      <x:c r="A15" s="634" t="n">
        <x:v>9</x:v>
      </x:c>
      <x:c r="B15" s="635" t="str">
        <x:v>5-1</x:v>
      </x:c>
      <x:c r="C15" s="635" t="str">
        <x:v>자재·생산·품질</x:v>
      </x:c>
      <x:c r="D15" s="635" t="str">
        <x:v>실제 6동→2동 이송 포함 LOT 정·역추적/수량대사</x:v>
      </x:c>
      <x:c r="E15" s="635" t="str">
        <x:v>6동 가공 LOT→동간 이송→2동 브레이징 자동2호기→기밀검사→출하/60분 내</x:v>
      </x:c>
      <x:c r="F15" s="635" t="str">
        <x:v>2품번 중 실제 생산 LOT</x:v>
      </x:c>
      <x:c r="G15" s="635" t="str">
        <x:v>2026-10-30</x:v>
      </x:c>
      <x:c r="H15" s="680" t="str"/>
      <x:c r="I15" s="667" t="str">
        <x:v>미회수</x:v>
      </x:c>
      <x:c r="J15" s="667" t="str"/>
      <x:c r="K15" s="667" t="str"/>
      <x:c r="L15" s="667" t="str"/>
      <x:c r="M15" s="681" t="str"/>
    </x:row>
    <x:row r="16" ht="58" customHeight="1">
      <x:c r="A16" s="634" t="n">
        <x:v>10</x:v>
      </x:c>
      <x:c r="B16" s="635" t="str">
        <x:v>6-5/6-12</x:v>
      </x:c>
      <x:c r="C16" s="635" t="str">
        <x:v>생산·경영관리</x:v>
      </x:c>
      <x:c r="D16" s="635" t="str">
        <x:v>용접 작업자/검사원 자격·교육·시험</x:v>
      </x:c>
      <x:c r="E16" s="635" t="str">
        <x:v>이론/실기/파괴시험(적용 시)·자격유효</x:v>
      </x:c>
      <x:c r="F16" s="635" t="str">
        <x:v>6동 작업자·검사원</x:v>
      </x:c>
      <x:c r="G16" s="635" t="str">
        <x:v>2026-11-02</x:v>
      </x:c>
      <x:c r="H16" s="680" t="str"/>
      <x:c r="I16" s="667" t="str">
        <x:v>미회수</x:v>
      </x:c>
      <x:c r="J16" s="667" t="str"/>
      <x:c r="K16" s="667" t="str"/>
      <x:c r="L16" s="667" t="str"/>
      <x:c r="M16" s="681" t="str"/>
    </x:row>
    <x:row r="17" ht="58" customHeight="1">
      <x:c r="A17" s="634" t="n">
        <x:v>11</x:v>
      </x:c>
      <x:c r="B17" s="635" t="str">
        <x:v>6-2/6-7/6-12</x:v>
      </x:c>
      <x:c r="C17" s="635" t="str">
        <x:v>개발·품질·생산</x:v>
      </x:c>
      <x:c r="D17" s="635" t="str">
        <x:v>4M 변경·부적합·REWORK 최근 사례</x:v>
      </x:c>
      <x:c r="E17" s="635" t="str">
        <x:v>승인/격리/원인/전후검사/LOT/재발방지 연결</x:v>
      </x:c>
      <x:c r="F17" s="635" t="str">
        <x:v>2품번 또는 적용라인</x:v>
      </x:c>
      <x:c r="G17" s="635" t="str">
        <x:v>2026-11-02</x:v>
      </x:c>
      <x:c r="H17" s="680" t="str"/>
      <x:c r="I17" s="667" t="str">
        <x:v>미회수</x:v>
      </x:c>
      <x:c r="J17" s="667" t="str"/>
      <x:c r="K17" s="667" t="str"/>
      <x:c r="L17" s="667" t="str"/>
      <x:c r="M17" s="681" t="str"/>
    </x:row>
    <x:row r="18" ht="58" customHeight="1">
      <x:c r="A18" s="634" t="n">
        <x:v>12</x:v>
      </x:c>
      <x:c r="B18" s="635" t="str">
        <x:v>2-1~2-4/5-2~5-4</x:v>
      </x:c>
      <x:c r="C18" s="635" t="str">
        <x:v>구매자재·품질</x:v>
      </x:c>
      <x:c r="D18" s="635" t="str">
        <x:v>입고검사·성적서·창고보관/식별·용기 관리</x:v>
      </x:c>
      <x:c r="E18" s="635" t="str">
        <x:v>대표 원자재 LOT부터 수입검사·FIFO까지 추적</x:v>
      </x:c>
      <x:c r="F18" s="635" t="str">
        <x:v>대표 자재</x:v>
      </x:c>
      <x:c r="G18" s="635" t="str">
        <x:v>2026-11-02</x:v>
      </x:c>
      <x:c r="H18" s="680" t="str"/>
      <x:c r="I18" s="667" t="str">
        <x:v>미회수</x:v>
      </x:c>
      <x:c r="J18" s="667" t="str"/>
      <x:c r="K18" s="667" t="str"/>
      <x:c r="L18" s="667" t="str"/>
      <x:c r="M18" s="681" t="str"/>
    </x:row>
    <x:row r="19" ht="58" customHeight="1">
      <x:c r="A19" s="634" t="n">
        <x:v>13</x:v>
      </x:c>
      <x:c r="B19" s="635" t="str">
        <x:v>6-8/6-11</x:v>
      </x:c>
      <x:c r="C19" s="635" t="str">
        <x:v>품질·생산관리</x:v>
      </x:c>
      <x:c r="D19" s="635" t="str">
        <x:v>실제 불량/생산실적·자동화 개선 원자료</x:v>
      </x:c>
      <x:c r="E19" s="635" t="str">
        <x:v>동일품번·동일기간, 측정산식, 개선효과 검증</x:v>
      </x:c>
      <x:c r="F19" s="635" t="str">
        <x:v>RG3 HEV</x:v>
      </x:c>
      <x:c r="G19" s="635" t="str">
        <x:v>2026-11-03</x:v>
      </x:c>
      <x:c r="H19" s="680" t="str"/>
      <x:c r="I19" s="667" t="str">
        <x:v>미회수</x:v>
      </x:c>
      <x:c r="J19" s="667" t="str"/>
      <x:c r="K19" s="667" t="str"/>
      <x:c r="L19" s="667" t="str"/>
      <x:c r="M19" s="681" t="str"/>
    </x:row>
    <x:row r="20" ht="58" customHeight="1">
      <x:c r="A20" s="634" t="n">
        <x:v>14</x:v>
      </x:c>
      <x:c r="B20" s="635" t="str">
        <x:v>공통 문서통제</x:v>
      </x:c>
      <x:c r="C20" s="635" t="str">
        <x:v>품질·문서관리</x:v>
      </x:c>
      <x:c r="D20" s="635" t="str">
        <x:v>Rev.03 QMS 실제 승인·배포·회수</x:v>
      </x:c>
      <x:c r="E20" s="635" t="str">
        <x:v>승인/배포일/수령자/구본회수 기록 증빙</x:v>
      </x:c>
      <x:c r="F20" s="635" t="str">
        <x:v>6동·2동 현장 적용</x:v>
      </x:c>
      <x:c r="G20" s="635" t="str">
        <x:v>2026-11-03</x:v>
      </x:c>
      <x:c r="H20" s="680" t="str"/>
      <x:c r="I20" s="667" t="str">
        <x:v>미회수</x:v>
      </x:c>
      <x:c r="J20" s="667" t="str"/>
      <x:c r="K20" s="667" t="str"/>
      <x:c r="L20" s="667" t="str"/>
      <x:c r="M20" s="681" t="str"/>
    </x:row>
    <x:row r="21" ht="58" customHeight="1">
      <x:c r="A21" s="634" t="n">
        <x:v>15</x:v>
      </x:c>
      <x:c r="B21" s="635" t="str">
        <x:v>전 코드</x:v>
      </x:c>
      <x:c r="C21" s="635" t="str">
        <x:v>품질 총괄</x:v>
      </x:c>
      <x:c r="D21" s="635" t="str">
        <x:v>21시트 43개 코드행 실제 객관증빙 일치검토</x:v>
      </x:c>
      <x:c r="E21" s="635" t="str">
        <x:v>담당별 문서/현장/운영기록/확인자·일자</x:v>
      </x:c>
      <x:c r="F21" s="635" t="str">
        <x:v>전체 SQ</x:v>
      </x:c>
      <x:c r="G21" s="635" t="str">
        <x:v>2026-11-04</x:v>
      </x:c>
      <x:c r="H21" s="680" t="str"/>
      <x:c r="I21" s="667" t="str">
        <x:v>미회수</x:v>
      </x:c>
      <x:c r="J21" s="667" t="str"/>
      <x:c r="K21" s="667" t="str"/>
      <x:c r="L21" s="667" t="str"/>
      <x:c r="M21" s="681" t="str"/>
    </x:row>
    <x:row r="22" ht="58" customHeight="1">
      <x:c r="A22" s="637" t="n">
        <x:v>16</x:v>
      </x:c>
      <x:c r="B22" s="638" t="str">
        <x:v>최종 모의심사</x:v>
      </x:c>
      <x:c r="C22" s="638" t="str">
        <x:v>품질 주관 전부서</x:v>
      </x:c>
      <x:c r="D22" s="638" t="str">
        <x:v>6동 자동가공·2동 브레이징·기밀검사 합동 모의심사</x:v>
      </x:c>
      <x:c r="E22" s="638" t="str">
        <x:v>실제 결과/미흡시정/재확인·폐쇄</x:v>
      </x:c>
      <x:c r="F22" s="638" t="str">
        <x:v>RG3 HEV/6동</x:v>
      </x:c>
      <x:c r="G22" s="638" t="str">
        <x:v>2026-11-05</x:v>
      </x:c>
      <x:c r="H22" s="682" t="str"/>
      <x:c r="I22" s="668" t="str">
        <x:v>미회수</x:v>
      </x:c>
      <x:c r="J22" s="668" t="str"/>
      <x:c r="K22" s="668" t="str"/>
      <x:c r="L22" s="668" t="str"/>
      <x:c r="M22" s="683" t="str"/>
    </x:row>
  </x:sheetData>
  <x:mergeCells>
    <x:mergeCell ref="A1:M2"/>
    <x:mergeCell ref="A3:M4"/>
  </x:mergeCells>
  <x:conditionalFormatting sqref="I7:I22">
    <x:cfRule type="expression" dxfId="41" priority="1">
      <x:formula>I7="검토완료"</x:formula>
    </x:cfRule>
    <x:cfRule type="expression" dxfId="42" priority="2">
      <x:formula>I7="미회수"</x:formula>
    </x:cfRule>
  </x:conditionalFormatting>
  <x:dataValidations count="1">
    <x:dataValidation type="list" sqref="I7:I22">
      <x:formula1>"미회수,회수중,자료확보,검토완료,보완필요"</x:formula1>
    </x:dataValidation>
  </x:dataValidations>
  <x:pageMargins left="0.7" right="0.7" top="0.75" bottom="0.75" header="0.3" footer="0.3"/>
</x:worksheet>
</file>

<file path=xl/worksheets/sheet26.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21" hidden="0" customWidth="1"/>
    <x:col min="2" max="2" width="42" hidden="0" customWidth="1"/>
    <x:col min="3" max="3" width="16" hidden="0" customWidth="1"/>
    <x:col min="4" max="4" width="15" hidden="0" customWidth="1"/>
    <x:col min="5" max="5" width="18" hidden="0" customWidth="1"/>
    <x:col min="6" max="6" width="20" hidden="0" customWidth="1"/>
    <x:col min="7" max="7" width="17" hidden="0" customWidth="1"/>
    <x:col min="8" max="8" width="18" hidden="0" customWidth="1"/>
    <x:col min="9" max="9" width="21" hidden="0" customWidth="1"/>
    <x:col min="10" max="10" width="17" hidden="0" customWidth="1"/>
    <x:col min="11" max="11" width="16" hidden="0" customWidth="1"/>
    <x:col min="12" max="12" width="17" hidden="0" customWidth="1"/>
    <x:col min="13" max="13" width="16" hidden="0" customWidth="1"/>
  </x:cols>
  <x:sheetData>
    <x:row r="1">
      <x:c r="A1" s="543" t="str">
        <x:v>6동 RG3 HEV | SQ 3단계 증빙 확보 대시보드</x:v>
      </x:c>
      <x:c r="B1" s="543"/>
      <x:c r="C1" s="543"/>
      <x:c r="D1" s="543"/>
      <x:c r="E1" s="543"/>
      <x:c r="F1" s="543"/>
      <x:c r="G1" s="543"/>
      <x:c r="H1" s="543"/>
      <x:c r="I1" s="543"/>
      <x:c r="J1" s="543"/>
      <x:c r="K1" s="543"/>
      <x:c r="L1" s="543"/>
      <x:c r="M1" s="543"/>
    </x:row>
    <x:row r="2">
      <x:c r="A2" s="543"/>
      <x:c r="B2" s="543"/>
      <x:c r="C2" s="543"/>
      <x:c r="D2" s="543"/>
      <x:c r="E2" s="543"/>
      <x:c r="F2" s="543"/>
      <x:c r="G2" s="543"/>
      <x:c r="H2" s="543"/>
      <x:c r="I2" s="543"/>
      <x:c r="J2" s="543"/>
      <x:c r="K2" s="543"/>
      <x:c r="L2" s="543"/>
      <x:c r="M2" s="543"/>
    </x:row>
    <x:row r="3">
      <x:c r="A3" s="561" t="str">
        <x:v>현장 증빙 확인 완료 전 모든 점수는 0점에서 시작합니다. '내부 증빙확인 배점'은 준비현황을 가중평가한 숫자이며, 한온 SQ의 공식 획득점수·합격 판정이 아닙니다. 원본 주차별 관리도의 229건은 별도 단위라 여기서 섞어 계산하지 않습니다.</x:v>
      </x:c>
      <x:c r="B3" s="562"/>
      <x:c r="C3" s="562"/>
      <x:c r="D3" s="562"/>
      <x:c r="E3" s="562"/>
      <x:c r="F3" s="562"/>
      <x:c r="G3" s="562"/>
      <x:c r="H3" s="562"/>
      <x:c r="I3" s="562"/>
      <x:c r="J3" s="562"/>
      <x:c r="K3" s="562"/>
      <x:c r="L3" s="562"/>
      <x:c r="M3" s="563"/>
    </x:row>
    <x:row r="4">
      <x:c r="A4" s="564"/>
      <x:c r="B4" s="565"/>
      <x:c r="C4" s="565"/>
      <x:c r="D4" s="565"/>
      <x:c r="E4" s="565"/>
      <x:c r="F4" s="565"/>
      <x:c r="G4" s="565"/>
      <x:c r="H4" s="565"/>
      <x:c r="I4" s="565"/>
      <x:c r="J4" s="565"/>
      <x:c r="K4" s="565"/>
      <x:c r="L4" s="565"/>
      <x:c r="M4" s="566"/>
    </x:row>
    <x:row r="6">
      <x:c r="A6" s="597" t="str">
        <x:v>원문코드 기재행</x:v>
      </x:c>
      <x:c r="B6" s="598" t="str">
        <x:v>건수</x:v>
      </x:c>
      <x:c r="C6" s="598" t="str">
        <x:v>배점 있는 코드</x:v>
      </x:c>
      <x:c r="D6" s="598" t="str">
        <x:v>건수</x:v>
      </x:c>
      <x:c r="E6" s="598" t="str">
        <x:v>원본 총 배점</x:v>
      </x:c>
      <x:c r="F6" s="598" t="str">
        <x:v>점</x:v>
      </x:c>
      <x:c r="G6" s="598" t="str">
        <x:v>증빙확인 코드</x:v>
      </x:c>
      <x:c r="H6" s="598" t="str">
        <x:v>건수</x:v>
      </x:c>
      <x:c r="I6" s="598" t="str">
        <x:v>증빙확인 배점</x:v>
      </x:c>
      <x:c r="J6" s="598" t="str">
        <x:v>점</x:v>
      </x:c>
      <x:c r="K6" s="598" t="str">
        <x:v>가중 준비율</x:v>
      </x:c>
      <x:c r="L6" s="599" t="str">
        <x:v>비율</x:v>
      </x:c>
    </x:row>
    <x:row r="7">
      <x:c r="A7" s="698"/>
      <x:c r="B7" s="699" t="n">
        <x:f>COUNTA('21_코드별_심사실행'!A7:A49)</x:f>
        <x:v>43</x:v>
      </x:c>
      <x:c r="C7" s="699"/>
      <x:c r="D7" s="699" t="n">
        <x:f>COUNT('21_코드별_심사실행'!D7:D49)</x:f>
        <x:v>42</x:v>
      </x:c>
      <x:c r="E7" s="699"/>
      <x:c r="F7" s="699" t="n">
        <x:f>SUM('21_코드별_심사실행'!D7:D49)</x:f>
        <x:v>1000</x:v>
      </x:c>
      <x:c r="G7" s="699"/>
      <x:c r="H7" s="699" t="n">
        <x:f>COUNTIF('21_코드별_심사실행'!P7:P49,"증빙확인")</x:f>
        <x:v>0</x:v>
      </x:c>
      <x:c r="I7" s="699"/>
      <x:c r="J7" s="699" t="n">
        <x:f>SUM('21_코드별_심사실행'!Q7:Q49)</x:f>
        <x:v>0</x:v>
      </x:c>
      <x:c r="K7" s="699"/>
      <x:c r="L7" s="712" t="n">
        <x:f>IFERROR(J7/F7,0)</x:f>
        <x:v>0</x:v>
      </x:c>
    </x:row>
    <x:row r="10">
      <x:c r="A10" s="597" t="str">
        <x:v>평가분야</x:v>
      </x:c>
      <x:c r="B10" s="598" t="str">
        <x:v>원본 배점</x:v>
      </x:c>
      <x:c r="C10" s="598" t="str">
        <x:v>증빙확인 배점</x:v>
      </x:c>
      <x:c r="D10" s="598" t="str">
        <x:v>내부 준비율</x:v>
      </x:c>
      <x:c r="E10" s="598" t="str">
        <x:v>미확인 배점</x:v>
      </x:c>
      <x:c r="F10" s="599" t="str">
        <x:v>증빙확인 코드수</x:v>
      </x:c>
    </x:row>
    <x:row r="11">
      <x:c r="A11" s="631" t="str">
        <x:v>생산조건관리</x:v>
      </x:c>
      <x:c r="B11" s="632" t="n">
        <x:f>SUMIF('21_코드별_심사실행'!$B$7:$B$49,A11,'21_코드별_심사실행'!$D$7:$D$49)</x:f>
        <x:v>140</x:v>
      </x:c>
      <x:c r="C11" s="632" t="n">
        <x:f>SUMIF('21_코드별_심사실행'!$B$7:$B$49,A11,'21_코드별_심사실행'!$Q$7:$Q$49)</x:f>
        <x:v>0</x:v>
      </x:c>
      <x:c r="D11" s="714" t="n">
        <x:f>IFERROR(C11/B11,0)</x:f>
        <x:v>0</x:v>
      </x:c>
      <x:c r="E11" s="632" t="n">
        <x:f>B11-C11</x:f>
        <x:v>140</x:v>
      </x:c>
      <x:c r="F11" s="633" t="n">
        <x:f>COUNTIFS('21_코드별_심사실행'!$B$7:$B$49,A11,'21_코드별_심사실행'!$P$7:$P$49,"증빙확인")</x:f>
        <x:v>0</x:v>
      </x:c>
    </x:row>
    <x:row r="12">
      <x:c r="A12" s="634" t="str">
        <x:v>검사시험</x:v>
      </x:c>
      <x:c r="B12" s="635" t="n">
        <x:f>SUMIF('21_코드별_심사실행'!$B$7:$B$49,A12,'21_코드별_심사실행'!$D$7:$D$49)</x:f>
        <x:v>310</x:v>
      </x:c>
      <x:c r="C12" s="635" t="n">
        <x:f>SUMIF('21_코드별_심사실행'!$B$7:$B$49,A12,'21_코드별_심사실행'!$Q$7:$Q$49)</x:f>
        <x:v>0</x:v>
      </x:c>
      <x:c r="D12" s="715" t="n">
        <x:f>IFERROR(C12/B12,0)</x:f>
        <x:v>0</x:v>
      </x:c>
      <x:c r="E12" s="635" t="n">
        <x:f>B12-C12</x:f>
        <x:v>310</x:v>
      </x:c>
      <x:c r="F12" s="636" t="n">
        <x:f>COUNTIFS('21_코드별_심사실행'!$B$7:$B$49,A12,'21_코드별_심사실행'!$P$7:$P$49,"증빙확인")</x:f>
        <x:v>0</x:v>
      </x:c>
    </x:row>
    <x:row r="13">
      <x:c r="A13" s="634" t="str">
        <x:v>설비관리</x:v>
      </x:c>
      <x:c r="B13" s="635" t="n">
        <x:f>SUMIF('21_코드별_심사실행'!$B$7:$B$49,A13,'21_코드별_심사실행'!$D$7:$D$49)</x:f>
        <x:v>160</x:v>
      </x:c>
      <x:c r="C13" s="635" t="n">
        <x:f>SUMIF('21_코드별_심사실행'!$B$7:$B$49,A13,'21_코드별_심사실행'!$Q$7:$Q$49)</x:f>
        <x:v>0</x:v>
      </x:c>
      <x:c r="D13" s="715" t="n">
        <x:f>IFERROR(C13/B13,0)</x:f>
        <x:v>0</x:v>
      </x:c>
      <x:c r="E13" s="635" t="n">
        <x:f>B13-C13</x:f>
        <x:v>160</x:v>
      </x:c>
      <x:c r="F13" s="636" t="n">
        <x:f>COUNTIFS('21_코드별_심사실행'!$B$7:$B$49,A13,'21_코드별_심사실행'!$P$7:$P$49,"증빙확인")</x:f>
        <x:v>0</x:v>
      </x:c>
    </x:row>
    <x:row r="14">
      <x:c r="A14" s="634" t="str">
        <x:v>금형관리</x:v>
      </x:c>
      <x:c r="B14" s="635" t="n">
        <x:f>SUMIF('21_코드별_심사실행'!$B$7:$B$49,A14,'21_코드별_심사실행'!$D$7:$D$49)</x:f>
        <x:v>90</x:v>
      </x:c>
      <x:c r="C14" s="635" t="n">
        <x:f>SUMIF('21_코드별_심사실행'!$B$7:$B$49,A14,'21_코드별_심사실행'!$Q$7:$Q$49)</x:f>
        <x:v>0</x:v>
      </x:c>
      <x:c r="D14" s="715" t="n">
        <x:f>IFERROR(C14/B14,0)</x:f>
        <x:v>0</x:v>
      </x:c>
      <x:c r="E14" s="635" t="n">
        <x:f>B14-C14</x:f>
        <x:v>90</x:v>
      </x:c>
      <x:c r="F14" s="636" t="n">
        <x:f>COUNTIFS('21_코드별_심사실행'!$B$7:$B$49,A14,'21_코드별_심사실행'!$P$7:$P$49,"증빙확인")</x:f>
        <x:v>0</x:v>
      </x:c>
    </x:row>
    <x:row r="15">
      <x:c r="A15" s="634" t="str">
        <x:v>자재관리</x:v>
      </x:c>
      <x:c r="B15" s="635" t="n">
        <x:f>SUMIF('21_코드별_심사실행'!$B$7:$B$49,A15,'21_코드별_심사실행'!$D$7:$D$49)</x:f>
        <x:v>90</x:v>
      </x:c>
      <x:c r="C15" s="635" t="n">
        <x:f>SUMIF('21_코드별_심사실행'!$B$7:$B$49,A15,'21_코드별_심사실행'!$Q$7:$Q$49)</x:f>
        <x:v>0</x:v>
      </x:c>
      <x:c r="D15" s="715" t="n">
        <x:f>IFERROR(C15/B15,0)</x:f>
        <x:v>0</x:v>
      </x:c>
      <x:c r="E15" s="635" t="n">
        <x:f>B15-C15</x:f>
        <x:v>90</x:v>
      </x:c>
      <x:c r="F15" s="636" t="n">
        <x:f>COUNTIFS('21_코드별_심사실행'!$B$7:$B$49,A15,'21_코드별_심사실행'!$P$7:$P$49,"증빙확인")</x:f>
        <x:v>0</x:v>
      </x:c>
    </x:row>
    <x:row r="16">
      <x:c r="A16" s="637" t="str">
        <x:v>품질경영체제</x:v>
      </x:c>
      <x:c r="B16" s="638" t="n">
        <x:f>SUMIF('21_코드별_심사실행'!$B$7:$B$49,A16,'21_코드별_심사실행'!$D$7:$D$49)</x:f>
        <x:v>210</x:v>
      </x:c>
      <x:c r="C16" s="638" t="n">
        <x:f>SUMIF('21_코드별_심사실행'!$B$7:$B$49,A16,'21_코드별_심사실행'!$Q$7:$Q$49)</x:f>
        <x:v>0</x:v>
      </x:c>
      <x:c r="D16" s="716" t="n">
        <x:f>IFERROR(C16/B16,0)</x:f>
        <x:v>0</x:v>
      </x:c>
      <x:c r="E16" s="638" t="n">
        <x:f>B16-C16</x:f>
        <x:v>210</x:v>
      </x:c>
      <x:c r="F16" s="639" t="n">
        <x:f>COUNTIFS('21_코드별_심사실행'!$B$7:$B$49,A16,'21_코드별_심사실행'!$P$7:$P$49,"증빙확인")</x:f>
        <x:v>0</x:v>
      </x:c>
    </x:row>
    <x:row r="17">
      <x:c r="A17" s="724" t="str">
        <x:v>합계</x:v>
      </x:c>
      <x:c r="B17" s="725" t="n">
        <x:f>SUM(B11:B16)</x:f>
        <x:v>1000</x:v>
      </x:c>
      <x:c r="C17" s="725" t="n">
        <x:f>SUM(C11:C16)</x:f>
        <x:v>0</x:v>
      </x:c>
      <x:c r="D17" s="726" t="n">
        <x:f>IFERROR(C17/B17,0)</x:f>
        <x:v>0</x:v>
      </x:c>
      <x:c r="E17" s="725" t="n">
        <x:f>SUM(E11:E16)</x:f>
        <x:v>1000</x:v>
      </x:c>
      <x:c r="F17" s="727" t="n">
        <x:f>SUM(F11:F16)</x:f>
        <x:v>0</x:v>
      </x:c>
    </x:row>
    <x:row r="20">
      <x:c r="A20" s="597" t="str">
        <x:v>단계</x:v>
      </x:c>
      <x:c r="B20" s="599" t="str">
        <x:v>현재 정리 현황</x:v>
      </x:c>
    </x:row>
    <x:row r="21">
      <x:c r="A21" s="631" t="str">
        <x:v>한온 공식 최신성</x:v>
      </x:c>
      <x:c r="B21" s="633" t="str">
        <x:f>IF('17_사용자_최우선'!H9="완료","최신성 확인완료","공식 최신성 확인 대기")</x:f>
        <x:v>공식 최신성 확인 대기</x:v>
      </x:c>
    </x:row>
    <x:row r="22">
      <x:c r="A22" s="634" t="str">
        <x:v>대상 범위</x:v>
      </x:c>
      <x:c r="B22" s="636" t="str">
        <x:f>"RG3 HEV / 6동 / FT-ASY-A/C JUMPER / Rev.01(사용자 확인)"</x:f>
        <x:v>RG3 HEV / 6동 / FT-ASY-A/C JUMPER / Rev.01(사용자 확인)</x:v>
      </x:c>
    </x:row>
    <x:row r="23">
      <x:c r="A23" s="634" t="str">
        <x:v>도면 사내확인</x:v>
      </x:c>
      <x:c r="B23" s="636" t="str">
        <x:f>COUNTIFS('23_도면_사내대조'!G7:G24,"일치",'23_도면_사내대조'!H7:H24,"&lt;&gt;",'23_도면_사내대조'!K7:K24,"&lt;&gt;")&amp;"/18건 사내 일치·기록 확인"</x:f>
        <x:v>0/18건 사내 일치·기록 확인</x:v>
      </x:c>
    </x:row>
    <x:row r="24">
      <x:c r="A24" s="634" t="str">
        <x:v>용접 현장점검</x:v>
      </x:c>
      <x:c r="B24" s="636" t="str">
        <x:f>COUNTIFS('22_2동_브레이징_점검'!N7:N50,"종결",'22_2동_브레이징_점검'!H7:H50,"적합",'22_2동_브레이징_점검'!I7:I50,"&lt;&gt;",'22_2동_브레이징_점검'!L7:L50,"&lt;&gt;",'22_2동_브레이징_점검'!M7:M50,"&lt;&gt;")&amp;"/44건 실증 종결"</x:f>
        <x:v>0/44건 실증 종결</x:v>
      </x:c>
    </x:row>
    <x:row r="25">
      <x:c r="A25" s="634" t="str">
        <x:v>증빙회수</x:v>
      </x:c>
      <x:c r="B25" s="636" t="str">
        <x:f>COUNTIFS('24_부서별_자료회수'!I7:I22,"검토완료",'24_부서별_자료회수'!H7:H22,"&lt;&gt;",'24_부서별_자료회수'!J7:J22,"&lt;&gt;",'24_부서별_자료회수'!K7:K22,"&lt;&gt;")&amp;"/16개 묶음 검토완료"</x:f>
        <x:v>0/16개 묶음 검토완료</x:v>
      </x:c>
    </x:row>
    <x:row r="26">
      <x:c r="A26" s="634" t="str">
        <x:v>평가코드 검증</x:v>
      </x:c>
      <x:c r="B26" s="636" t="str">
        <x:f>COUNTIF('21_코드별_심사실행'!P7:P49,"증빙확인")&amp;"/43행 증빙확인"</x:f>
        <x:v>0/43행 증빙확인</x:v>
      </x:c>
    </x:row>
    <x:row r="27">
      <x:c r="A27" s="637" t="str">
        <x:v>모의심사</x:v>
      </x:c>
      <x:c r="B27" s="639" t="str">
        <x:f>COUNTIFS('09_모의심사_최종'!G5:G24,"적합",'09_모의심사_최종'!F5:F24,"&lt;&gt;",'09_모의심사_최종'!F5:F24,"&lt;&gt;[확인]")&amp;"/20문항 실제확인"</x:f>
        <x:v>0/20문항 실제확인</x:v>
      </x:c>
    </x:row>
    <x:row r="30">
      <x:c r="A30" s="597" t="str">
        <x:v>준비 Gate (자동 1차 판정)</x:v>
      </x:c>
      <x:c r="B30" s="598"/>
      <x:c r="C30" s="598"/>
      <x:c r="D30" s="598"/>
      <x:c r="E30" s="598"/>
      <x:c r="F30" s="599"/>
    </x:row>
    <x:row r="31">
      <x:c r="A31" s="754" t="str">
        <x:f>'11_FINAL_READY_GATE'!I9</x:f>
        <x:v>NOT READY</x:v>
      </x:c>
      <x:c r="B31" s="755"/>
      <x:c r="C31" s="755"/>
      <x:c r="D31" s="755"/>
      <x:c r="E31" s="755"/>
      <x:c r="F31" s="756"/>
    </x:row>
    <x:row r="32">
      <x:c r="A32" s="757"/>
      <x:c r="B32" s="758"/>
      <x:c r="C32" s="758"/>
      <x:c r="D32" s="758"/>
      <x:c r="E32" s="758"/>
      <x:c r="F32" s="759"/>
    </x:row>
    <x:row r="33">
      <x:c r="A33" s="760"/>
      <x:c r="B33" s="761"/>
      <x:c r="C33" s="761"/>
      <x:c r="D33" s="761"/>
      <x:c r="E33" s="761"/>
      <x:c r="F33" s="762"/>
    </x:row>
    <x:row r="35">
      <x:c r="A35" s="809" t="str">
        <x:v>Rev.09 현행 관리: 39(진척)·36(전자데이터 보존/원본 검증)·37(두 품번 실제 LOT 로그 대사)·38(현장 조회 시연) → 32(기밀검사 20) → 11(최종 READY). 확정된 내용: 2동 에어 리크 테스트기 기밀검사, 기록형태 설비 전자데이터만 보관. 단, 실제 로그/검사기 고유ID/조건/LOT 연결 및 양품·NG 수량은 미검증. 구형 Rev.05/06 이전 시트 설명은 이력용.</x:v>
      </x:c>
      <x:c r="B35" s="810"/>
      <x:c r="C35" s="810"/>
      <x:c r="D35" s="810"/>
      <x:c r="E35" s="810"/>
      <x:c r="F35" s="811"/>
    </x:row>
    <x:row r="36">
      <x:c r="A36" s="812"/>
      <x:c r="B36" s="813"/>
      <x:c r="C36" s="813"/>
      <x:c r="D36" s="813"/>
      <x:c r="E36" s="813"/>
      <x:c r="F36" s="814"/>
    </x:row>
    <x:row r="37">
      <x:c r="A37" s="812"/>
      <x:c r="B37" s="813"/>
      <x:c r="C37" s="813"/>
      <x:c r="D37" s="813"/>
      <x:c r="E37" s="813"/>
      <x:c r="F37" s="814"/>
    </x:row>
    <x:row r="38">
      <x:c r="A38" s="812"/>
      <x:c r="B38" s="813"/>
      <x:c r="C38" s="813"/>
      <x:c r="D38" s="813"/>
      <x:c r="E38" s="813"/>
      <x:c r="F38" s="814"/>
    </x:row>
    <x:row r="39">
      <x:c r="A39" s="815"/>
      <x:c r="B39" s="816"/>
      <x:c r="C39" s="816"/>
      <x:c r="D39" s="816"/>
      <x:c r="E39" s="816"/>
      <x:c r="F39" s="817"/>
    </x:row>
  </x:sheetData>
  <x:mergeCells>
    <x:mergeCell ref="A1:M2"/>
    <x:mergeCell ref="A3:M4"/>
    <x:mergeCell ref="A30:F30"/>
    <x:mergeCell ref="A31:F33"/>
    <x:mergeCell ref="A35:F39"/>
  </x:mergeCells>
  <x:conditionalFormatting sqref="A31:F33">
    <x:cfRule type="expression" dxfId="43" priority="1">
      <x:formula>$A$31="내부 READY"</x:formula>
    </x:cfRule>
  </x:conditionalFormatting>
  <x:pageMargins left="0.7" right="0.7" top="0.75" bottom="0.75" header="0.3" footer="0.3"/>
  <x:drawing xmlns:r="http://schemas.openxmlformats.org/officeDocument/2006/relationships" r:id="R58fb325076384595"/>
</x:worksheet>
</file>

<file path=xl/worksheets/sheet2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hidden="0" customWidth="1"/>
    <x:col min="2" max="2" width="28" hidden="0" customWidth="1"/>
    <x:col min="3" max="3" width="14" hidden="0" customWidth="1"/>
    <x:col min="4" max="4" width="51" hidden="0" customWidth="1"/>
    <x:col min="5" max="5" width="38" hidden="0" customWidth="1"/>
    <x:col min="6" max="6" width="20" hidden="0" customWidth="1"/>
    <x:col min="7" max="7" width="15" hidden="0" customWidth="1"/>
    <x:col min="8" max="8" width="43" hidden="0" customWidth="1"/>
  </x:cols>
  <x:sheetData>
    <x:row r="1">
      <x:c r="A1" s="1390" t="str">
        <x:v>(주)신화에이치앤티 | 한온 SQ 심사준비 MASTER Rev.05 운영안내 (이력 보존본)</x:v>
      </x:c>
      <x:c r="B1" s="1390"/>
      <x:c r="C1" s="1390"/>
      <x:c r="D1" s="1390"/>
      <x:c r="E1" s="1390"/>
      <x:c r="F1" s="1390"/>
      <x:c r="G1" s="1390"/>
      <x:c r="H1" s="1390"/>
    </x:row>
    <x:row r="2">
      <x:c r="A2" s="1390"/>
      <x:c r="B2" s="1390"/>
      <x:c r="C2" s="1390"/>
      <x:c r="D2" s="1390"/>
      <x:c r="E2" s="1390"/>
      <x:c r="F2" s="1390"/>
      <x:c r="G2" s="1390"/>
      <x:c r="H2" s="1390"/>
    </x:row>
    <x:row r="3">
      <x:c r="A3" s="1405" t="str">
        <x:v>적용: 한온시스템 / RG3 HEV / 6동 점프 튜브 및 FT-ASY-A/C JUMPER 용접라인 / 대표 품번 FA1A8HRAAC·FA1A8HRAAD(후자 전체철자 사내확인 필요). 도면 Rev.01은 사용자 확인값. 고객 보안 도면은 외부 업로드하지 않고 사내 대조 결과만 기록합니다.</x:v>
      </x:c>
      <x:c r="B3" s="1406"/>
      <x:c r="C3" s="1406"/>
      <x:c r="D3" s="1406"/>
      <x:c r="E3" s="1406"/>
      <x:c r="F3" s="1406"/>
      <x:c r="G3" s="1406"/>
      <x:c r="H3" s="1407"/>
    </x:row>
    <x:row r="4">
      <x:c r="A4" s="1408"/>
      <x:c r="B4" s="1409"/>
      <x:c r="C4" s="1409"/>
      <x:c r="D4" s="1409"/>
      <x:c r="E4" s="1409"/>
      <x:c r="F4" s="1409"/>
      <x:c r="G4" s="1409"/>
      <x:c r="H4" s="1410"/>
    </x:row>
    <x:row r="6">
      <x:c r="A6" s="1415" t="str">
        <x:v>순서</x:v>
      </x:c>
      <x:c r="B6" s="1416" t="str">
        <x:v>사용할 시트</x:v>
      </x:c>
      <x:c r="C6" s="1416" t="str">
        <x:v>입력/조회</x:v>
      </x:c>
      <x:c r="D6" s="1416" t="str">
        <x:v>무엇을 입력하는가</x:v>
      </x:c>
      <x:c r="E6" s="1416" t="str">
        <x:v>완료 기준</x:v>
      </x:c>
      <x:c r="F6" s="1416" t="str">
        <x:v>주관</x:v>
      </x:c>
      <x:c r="G6" s="1416" t="str">
        <x:v>현재</x:v>
      </x:c>
      <x:c r="H6" s="1417" t="str">
        <x:v>필수 주의</x:v>
      </x:c>
    </x:row>
    <x:row r="7">
      <x:c r="A7" s="1436" t="n">
        <x:v>1</x:v>
      </x:c>
      <x:c r="B7" s="1437" t="str">
        <x:v>17_사용자_최우선</x:v>
      </x:c>
      <x:c r="C7" s="1445" t="str">
        <x:v>입력</x:v>
      </x:c>
      <x:c r="D7" s="1448" t="str">
        <x:v>공식 최신성, 6-12 코드, 229건, 부서 확인 실적</x:v>
      </x:c>
      <x:c r="E7" s="1437" t="str">
        <x:v>근거 파일/확인자 포함</x:v>
      </x:c>
      <x:c r="F7" s="1437" t="str">
        <x:v>영업/품질</x:v>
      </x:c>
      <x:c r="G7" s="1437" t="str">
        <x:v>확인중</x:v>
      </x:c>
      <x:c r="H7" s="1438" t="str">
        <x:v>G1 막는 핵심 업무</x:v>
      </x:c>
    </x:row>
    <x:row r="8">
      <x:c r="A8" s="1439" t="n">
        <x:v>2</x:v>
      </x:c>
      <x:c r="B8" s="1440" t="str">
        <x:v>19_RG3HEV_대상범위</x:v>
      </x:c>
      <x:c r="C8" s="1446" t="str">
        <x:v>확정·조회</x:v>
      </x:c>
      <x:c r="D8" s="1449" t="str">
        <x:v>6동·차종·품번·용접라인 확인값</x:v>
      </x:c>
      <x:c r="E8" s="1440" t="str">
        <x:v>범위 G2 PASS 유지</x:v>
      </x:c>
      <x:c r="F8" s="1440" t="str">
        <x:v>사용자/생산</x:v>
      </x:c>
      <x:c r="G8" s="1440" t="str">
        <x:v>범위 확정</x:v>
      </x:c>
      <x:c r="H8" s="1441" t="str">
        <x:v>FA1A8HRAAD 철자·설비ID는 별도 확인</x:v>
      </x:c>
    </x:row>
    <x:row r="9">
      <x:c r="A9" s="1439" t="n">
        <x:v>3</x:v>
      </x:c>
      <x:c r="B9" s="1440" t="str">
        <x:v>24_부서별_자료회수</x:v>
      </x:c>
      <x:c r="C9" s="1446" t="str">
        <x:v>입력</x:v>
      </x:c>
      <x:c r="D9" s="1449" t="str">
        <x:v>자료 회수일 H, 검토상태 I, 실제 파일 J, 검토자 K</x:v>
      </x:c>
      <x:c r="E9" s="1440" t="str">
        <x:v>16개 묶음 증빙 대사</x:v>
      </x:c>
      <x:c r="F9" s="1440" t="str">
        <x:v>각부서/품질</x:v>
      </x:c>
      <x:c r="G9" s="1440" t="str">
        <x:v>미확인</x:v>
      </x:c>
      <x:c r="H9" s="1441" t="str">
        <x:v>자료명만 있는 것은 완료 아님</x:v>
      </x:c>
    </x:row>
    <x:row r="10">
      <x:c r="A10" s="1439" t="n">
        <x:v>4</x:v>
      </x:c>
      <x:c r="B10" s="1440" t="str">
        <x:v>23_도면_사내대조</x:v>
      </x:c>
      <x:c r="C10" s="1446" t="str">
        <x:v>입력</x:v>
      </x:c>
      <x:c r="D10" s="1449" t="str">
        <x:v>실제 사내 기록번호 H, 결과 G, 확인일 K</x:v>
      </x:c>
      <x:c r="E10" s="1440" t="str">
        <x:v>2품번 각 9건, 총18건</x:v>
      </x:c>
      <x:c r="F10" s="1440" t="str">
        <x:v>개발/품질</x:v>
      </x:c>
      <x:c r="G10" s="1440" t="str">
        <x:v>미확인</x:v>
      </x:c>
      <x:c r="H10" s="1441" t="str">
        <x:v>원도면 파일을 이곳에 첨부하지 않음</x:v>
      </x:c>
    </x:row>
    <x:row r="11">
      <x:c r="A11" s="1439" t="n">
        <x:v>5</x:v>
      </x:c>
      <x:c r="B11" s="1440" t="str">
        <x:v>22_2동_브레이징_점검</x:v>
      </x:c>
      <x:c r="C11" s="1446" t="str">
        <x:v>입력</x:v>
      </x:c>
      <x:c r="D11" s="1449" t="str">
        <x:v>결과 H, 증빙 I, 점검자 L, 날짜 M, 종결 N</x:v>
      </x:c>
      <x:c r="E11" s="1440" t="str">
        <x:v>2품번 총44건 확인</x:v>
      </x:c>
      <x:c r="F11" s="1440" t="str">
        <x:v>생산기술/품질</x:v>
      </x:c>
      <x:c r="G11" s="1440" t="str">
        <x:v>미확인</x:v>
      </x:c>
      <x:c r="H11" s="1441" t="str">
        <x:v>용접법 확정 전 CO₂/스폿/브레이징 임의 적용 금지</x:v>
      </x:c>
    </x:row>
    <x:row r="12">
      <x:c r="A12" s="1439" t="n">
        <x:v>6</x:v>
      </x:c>
      <x:c r="B12" s="1440" t="str">
        <x:v>21_코드별_심사실행</x:v>
      </x:c>
      <x:c r="C12" s="1446" t="str">
        <x:v>입력 원장</x:v>
      </x:c>
      <x:c r="D12" s="1449" t="str">
        <x:v>G 적용여부 / J 증빙번호 / K·L·M 검증 / N 확인자 / O 확인일</x:v>
      </x:c>
      <x:c r="E12" s="1440" t="str">
        <x:v>P 자동증빙확인, Q 자동배점</x:v>
      </x:c>
      <x:c r="F12" s="1440" t="str">
        <x:v>품질 총괄</x:v>
      </x:c>
      <x:c r="G12" s="1440" t="str">
        <x:v>0/43</x:v>
      </x:c>
      <x:c r="H12" s="1441" t="str">
        <x:v>필수 입력은 실제 자료와 사내 확인 근거</x:v>
      </x:c>
    </x:row>
    <x:row r="13">
      <x:c r="A13" s="1439" t="n">
        <x:v>7</x:v>
      </x:c>
      <x:c r="B13" s="1440" t="str">
        <x:v>13_원문평가코드</x:v>
      </x:c>
      <x:c r="C13" s="1446" t="str">
        <x:v>조회 전용</x:v>
      </x:c>
      <x:c r="D13" s="1449" t="str">
        <x:v>원문 평가코드·배점 확인, 21시트 자동 결과 조회</x:v>
      </x:c>
      <x:c r="E13" s="1440" t="str">
        <x:v>J:O 직접 입력 금지</x:v>
      </x:c>
      <x:c r="F13" s="1440" t="str">
        <x:v>품질</x:v>
      </x:c>
      <x:c r="G13" s="1440" t="str">
        <x:v>원문 보존</x:v>
      </x:c>
      <x:c r="H13" s="1441" t="str">
        <x:v>6-12 중복 원문은 수정하지 않음</x:v>
      </x:c>
    </x:row>
    <x:row r="14">
      <x:c r="A14" s="1439" t="n">
        <x:v>8</x:v>
      </x:c>
      <x:c r="B14" s="1440" t="str">
        <x:v>08_최종_증빙패키지</x:v>
      </x:c>
      <x:c r="C14" s="1446" t="str">
        <x:v>입력</x:v>
      </x:c>
      <x:c r="D14" s="1449" t="str">
        <x:v>F 실제 파일/위치, J 최종적합, K 확인자</x:v>
      </x:c>
      <x:c r="E14" s="1440" t="str">
        <x:v>E 자동 증빙확보, 28개 묶음</x:v>
      </x:c>
      <x:c r="F14" s="1440" t="str">
        <x:v>전부서/품질</x:v>
      </x:c>
      <x:c r="G14" s="1440" t="str">
        <x:v>0/28</x:v>
      </x:c>
      <x:c r="H14" s="1441" t="str">
        <x:v>‘[파일명]’ 같은 예시값은 인정 제외</x:v>
      </x:c>
    </x:row>
    <x:row r="15">
      <x:c r="A15" s="1439" t="n">
        <x:v>9</x:v>
      </x:c>
      <x:c r="B15" s="1440" t="str">
        <x:v>09_모의심사_최종</x:v>
      </x:c>
      <x:c r="C15" s="1446" t="str">
        <x:v>입력</x:v>
      </x:c>
      <x:c r="D15" s="1449" t="str">
        <x:v>F 현장확인, G 적합여부, 필요 시 H 조치</x:v>
      </x:c>
      <x:c r="E15" s="1440" t="str">
        <x:v>실제 확인 20문항 적합</x:v>
      </x:c>
      <x:c r="F15" s="1440" t="str">
        <x:v>품질/전부서</x:v>
      </x:c>
      <x:c r="G15" s="1440" t="str">
        <x:v>0/20</x:v>
      </x:c>
      <x:c r="H15" s="1441" t="str">
        <x:v>현장 확인값이 [확인]이면 적합 집계 제외</x:v>
      </x:c>
    </x:row>
    <x:row r="16">
      <x:c r="A16" s="1439" t="n">
        <x:v>10</x:v>
      </x:c>
      <x:c r="B16" s="1440" t="str">
        <x:v>25_3단계_진척관리</x:v>
      </x:c>
      <x:c r="C16" s="1446" t="str">
        <x:v>자동 집계</x:v>
      </x:c>
      <x:c r="D16" s="1449" t="str">
        <x:v>6개 평가분야·배점·준비율·진척</x:v>
      </x:c>
      <x:c r="E16" s="1440" t="str">
        <x:v>원장/현장/도면/회수 현황 조회</x:v>
      </x:c>
      <x:c r="F16" s="1440" t="str">
        <x:v>관리자</x:v>
      </x:c>
      <x:c r="G16" s="1440" t="str">
        <x:v>0점</x:v>
      </x:c>
      <x:c r="H16" s="1441" t="str">
        <x:v>한온 공식 심사점수와 구분</x:v>
      </x:c>
    </x:row>
    <x:row r="17">
      <x:c r="A17" s="1442" t="n">
        <x:v>11</x:v>
      </x:c>
      <x:c r="B17" s="1443" t="str">
        <x:v>11_FINAL_READY_GATE</x:v>
      </x:c>
      <x:c r="C17" s="1447" t="str">
        <x:v>자동 판정</x:v>
      </x:c>
      <x:c r="D17" s="1450" t="str">
        <x:v>G1~G10, 증빙 28건, 사용자 20업무 교차 판정</x:v>
      </x:c>
      <x:c r="E17" s="1443" t="str">
        <x:v>전부 충족한 경우에만 READY</x:v>
      </x:c>
      <x:c r="F17" s="1443" t="str">
        <x:v>품질책임자</x:v>
      </x:c>
      <x:c r="G17" s="1443" t="str">
        <x:v>NOT READY</x:v>
      </x:c>
      <x:c r="H17" s="1444" t="str">
        <x:v>상태값만 임의 변경해도 인정하지 않음</x:v>
      </x:c>
    </x:row>
    <x:row r="19">
      <x:c r="A19" s="1452" t="str">
        <x:v>Rev.05 계산 구조 및 보존 기준</x:v>
      </x:c>
      <x:c r="B19" s="1453"/>
      <x:c r="C19" s="1453"/>
      <x:c r="D19" s="1453"/>
      <x:c r="E19" s="1453"/>
      <x:c r="F19" s="1453"/>
      <x:c r="G19" s="1453"/>
      <x:c r="H19" s="1454"/>
    </x:row>
    <x:row r="20" ht="32" customHeight="1">
      <x:c r="A20" s="1462" t="str">
        <x:v>① 한온 원문: 42개 배점그룹·총 1,000점 / 코드 기재행 43개. 6-12 중복 1건(무배점)이 포함되어 있으므로 별도 최신 평가표에서 정오표 확인이 필요합니다.</x:v>
      </x:c>
      <x:c r="B20" s="1463"/>
      <x:c r="C20" s="1463"/>
      <x:c r="D20" s="1463"/>
      <x:c r="E20" s="1463"/>
      <x:c r="F20" s="1463"/>
      <x:c r="G20" s="1463"/>
      <x:c r="H20" s="1464"/>
    </x:row>
    <x:row r="21" ht="32" customHeight="1">
      <x:c r="A21" s="1473" t="str">
        <x:v>② 별도 추진자료 229건은 코드 43개와 집계 단위가 다르고 원자료 요약 숫자가 불일치하므로 이번 내부 준비배점과 합산하지 않습니다.</x:v>
      </x:c>
      <x:c r="B21" s="1474"/>
      <x:c r="C21" s="1474"/>
      <x:c r="D21" s="1474"/>
      <x:c r="E21" s="1474"/>
      <x:c r="F21" s="1474"/>
      <x:c r="G21" s="1474"/>
      <x:c r="H21" s="1475"/>
    </x:row>
    <x:row r="22" ht="32" customHeight="1">
      <x:c r="A22" s="1462" t="str">
        <x:v>③ 21시트 '증빙확인'은 J/K/L/M/N/O 실증 입력을 갖춘 경우만 자동판정합니다. '비적용검토'는 한온 적용성 근거 확인 전까지 점수를 더하지 않습니다.</x:v>
      </x:c>
      <x:c r="B22" s="1463"/>
      <x:c r="C22" s="1463"/>
      <x:c r="D22" s="1463"/>
      <x:c r="E22" s="1463"/>
      <x:c r="F22" s="1463"/>
      <x:c r="G22" s="1463"/>
      <x:c r="H22" s="1464"/>
    </x:row>
    <x:row r="23" ht="32" customHeight="1">
      <x:c r="A23" s="1473" t="str">
        <x:v>④ 13시트 J:O는 21시트를 조회하며, 15시트 확인배점도 21의 Q합계로 자동 산출됩니다. 08시트 E는 F/J/K를 바탕으로 자동 판정합니다.</x:v>
      </x:c>
      <x:c r="B23" s="1474"/>
      <x:c r="C23" s="1474"/>
      <x:c r="D23" s="1474"/>
      <x:c r="E23" s="1474"/>
      <x:c r="F23" s="1474"/>
      <x:c r="G23" s="1474"/>
      <x:c r="H23" s="1475"/>
    </x:row>
    <x:row r="24" ht="32" customHeight="1">
      <x:c r="A24" s="1462" t="str">
        <x:v>⑤ 11시트 READY는 단순 수기 체크가 아닙니다. 공식 최신성·현장/도면 사내확인·실제 기록·증빙 28건·20개 사용자업무·모의심사를 모두 확인합니다.</x:v>
      </x:c>
      <x:c r="B24" s="1463"/>
      <x:c r="C24" s="1463"/>
      <x:c r="D24" s="1463"/>
      <x:c r="E24" s="1463"/>
      <x:c r="F24" s="1463"/>
      <x:c r="G24" s="1463"/>
      <x:c r="H24" s="1464"/>
    </x:row>
    <x:row r="25" ht="32" customHeight="1">
      <x:c r="A25" s="1473" t="str">
        <x:v>⑥ 과거 00~12번 단계별 요약·평가자료의 수치는 작성 시점의 이력입니다. 현재 실증상태는 17·21~25·11번 시트와 이 운영안내에서 확인하세요.</x:v>
      </x:c>
      <x:c r="B25" s="1474"/>
      <x:c r="C25" s="1474"/>
      <x:c r="D25" s="1474"/>
      <x:c r="E25" s="1474"/>
      <x:c r="F25" s="1474"/>
      <x:c r="G25" s="1474"/>
      <x:c r="H25" s="1475"/>
    </x:row>
    <x:row r="26" ht="32" customHeight="1">
      <x:c r="A26" s="1462" t="str">
        <x:v>⑦ 도면 Rev.01은 신화 사용자 확인값입니다. 품번별 승인 도면 실제 Rev, FA1A8HRAAD 전체 철자, 특별특성은 23시트에서 담당자가 사내 대조합니다.</x:v>
      </x:c>
      <x:c r="B26" s="1463"/>
      <x:c r="C26" s="1463"/>
      <x:c r="D26" s="1463"/>
      <x:c r="E26" s="1463"/>
      <x:c r="F26" s="1463"/>
      <x:c r="G26" s="1463"/>
      <x:c r="H26" s="1464"/>
    </x:row>
    <x:row r="27" ht="32" customHeight="1">
      <x:c r="A27" s="1473" t="str">
        <x:v>⑧ 본 파일은 심사 준비관리 도구입니다. READY 표시는 회사 내부 준비판정일 뿐 한온시스템의 공식 인증/합격을 보장하지 않습니다.</x:v>
      </x:c>
      <x:c r="B27" s="1474"/>
      <x:c r="C27" s="1474"/>
      <x:c r="D27" s="1474"/>
      <x:c r="E27" s="1474"/>
      <x:c r="F27" s="1474"/>
      <x:c r="G27" s="1474"/>
      <x:c r="H27" s="1475"/>
    </x:row>
    <x:row r="29">
      <x:c r="A29" s="1496" t="str">
        <x:v>우선 조치: (1) 한온 공식 최신 평가기준 확인 + 6-12 중복과 229건 집계기준 확인 (2) FT-ASY-A/C JUMPER 실제 용접방식·설비번호·승인조건 (3) 두 품번별 도면 Rev.01 사내 대조(원본 외부 업로드 금지) (4) 실제 검사·설비·MSA/SPC·LOT 운영기록 수집.</x:v>
      </x:c>
      <x:c r="B29" s="1497"/>
      <x:c r="C29" s="1497"/>
      <x:c r="D29" s="1497"/>
      <x:c r="E29" s="1497"/>
      <x:c r="F29" s="1497"/>
      <x:c r="G29" s="1497"/>
      <x:c r="H29" s="1498"/>
    </x:row>
    <x:row r="30">
      <x:c r="A30" s="1499"/>
      <x:c r="B30" s="1500"/>
      <x:c r="C30" s="1500"/>
      <x:c r="D30" s="1500"/>
      <x:c r="E30" s="1500"/>
      <x:c r="F30" s="1500"/>
      <x:c r="G30" s="1500"/>
      <x:c r="H30" s="1501"/>
    </x:row>
    <x:row r="31">
      <x:c r="A31" s="1502"/>
      <x:c r="B31" s="1503"/>
      <x:c r="C31" s="1503"/>
      <x:c r="D31" s="1503"/>
      <x:c r="E31" s="1503"/>
      <x:c r="F31" s="1503"/>
      <x:c r="G31" s="1503"/>
      <x:c r="H31" s="1504"/>
    </x:row>
  </x:sheetData>
  <x:mergeCells>
    <x:mergeCell ref="A1:H2"/>
    <x:mergeCell ref="A3:H4"/>
    <x:mergeCell ref="A19:H19"/>
    <x:mergeCell ref="A20:H20"/>
    <x:mergeCell ref="A21:H21"/>
    <x:mergeCell ref="A22:H22"/>
    <x:mergeCell ref="A23:H23"/>
    <x:mergeCell ref="A24:H24"/>
    <x:mergeCell ref="A25:H25"/>
    <x:mergeCell ref="A26:H26"/>
    <x:mergeCell ref="A27:H27"/>
    <x:mergeCell ref="A29:H31"/>
  </x:mergeCells>
  <x:pageMargins left="0.7" right="0.7" top="0.75" bottom="0.75" header="0.3" footer="0.3"/>
</x:worksheet>
</file>

<file path=xl/worksheets/sheet28.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5" hidden="0" customWidth="1"/>
    <x:col min="2" max="2" width="12" hidden="0" customWidth="1"/>
    <x:col min="3" max="3" width="16" hidden="0" customWidth="1"/>
    <x:col min="4" max="4" width="25" hidden="0" customWidth="1"/>
    <x:col min="5" max="5" width="43" hidden="0" customWidth="1"/>
    <x:col min="6" max="6" width="25" hidden="0" customWidth="1"/>
    <x:col min="7" max="7" width="17" hidden="0" customWidth="1"/>
    <x:col min="8" max="8" width="15" hidden="0" customWidth="1"/>
    <x:col min="9" max="9" width="43" hidden="0" customWidth="1"/>
    <x:col min="10" max="10" width="43" hidden="0" customWidth="1"/>
    <x:col min="11" max="11" width="19" hidden="0" customWidth="1"/>
    <x:col min="12" max="12" width="17" hidden="0" customWidth="1"/>
    <x:col min="13" max="13" width="17" hidden="0" customWidth="1"/>
    <x:col min="14" max="14" width="41" hidden="0" customWidth="1"/>
    <x:col min="15" max="15" width="19" hidden="0" customWidth="1"/>
    <x:col min="16" max="16" width="18" hidden="0" customWidth="1"/>
    <x:col min="17" max="17" width="17" hidden="0" customWidth="1"/>
    <x:col min="18" max="18" width="21" hidden="0" customWidth="1"/>
    <x:col min="19" max="19" width="40" hidden="0" customWidth="1"/>
    <x:col min="20" max="20" width="37" hidden="0" customWidth="1"/>
  </x:cols>
  <x:sheetData>
    <x:row r="1">
      <x:c r="A1" s="1578" t="str">
        <x:v>한온 SQ Rev.06 | 원문·6동·2동 현장·기밀도면·자료회수 검증 및 시정조치 통합관리</x:v>
      </x:c>
      <x:c r="B1" s="1578"/>
      <x:c r="C1" s="1578"/>
      <x:c r="D1" s="1578"/>
      <x:c r="E1" s="1578"/>
      <x:c r="F1" s="1578"/>
      <x:c r="G1" s="1578"/>
      <x:c r="H1" s="1578"/>
      <x:c r="I1" s="1578"/>
      <x:c r="J1" s="1578"/>
      <x:c r="K1" s="1578"/>
      <x:c r="L1" s="1578"/>
      <x:c r="M1" s="1578"/>
      <x:c r="N1" s="1578"/>
      <x:c r="O1" s="1578"/>
      <x:c r="P1" s="1578"/>
      <x:c r="Q1" s="1578"/>
      <x:c r="R1" s="1578"/>
      <x:c r="S1" s="1578"/>
      <x:c r="T1" s="1578"/>
    </x:row>
    <x:row r="2">
      <x:c r="A2" s="1578"/>
      <x:c r="B2" s="1578"/>
      <x:c r="C2" s="1578"/>
      <x:c r="D2" s="1578"/>
      <x:c r="E2" s="1578"/>
      <x:c r="F2" s="1578"/>
      <x:c r="G2" s="1578"/>
      <x:c r="H2" s="1578"/>
      <x:c r="I2" s="1578"/>
      <x:c r="J2" s="1578"/>
      <x:c r="K2" s="1578"/>
      <x:c r="L2" s="1578"/>
      <x:c r="M2" s="1578"/>
      <x:c r="N2" s="1578"/>
      <x:c r="O2" s="1578"/>
      <x:c r="P2" s="1578"/>
      <x:c r="Q2" s="1578"/>
      <x:c r="R2" s="1578"/>
      <x:c r="S2" s="1578"/>
      <x:c r="T2" s="1578"/>
    </x:row>
    <x:row r="3">
      <x:c r="A3" s="1593" t="str">
        <x:v>Rev.07는 6동 자동가공/2동 브레이징·기밀검사를 구분합니다. 121개 기존 검증대상은 유지하고, 미확인은 ‘검증대기’입니다. 31·32시트에서 동간 LOT/기밀검사 실증을 추가 관리합니다. 고객 기밀 원도면 외부 업로드 금지.</x:v>
      </x:c>
      <x:c r="B3" s="1594"/>
      <x:c r="C3" s="1594"/>
      <x:c r="D3" s="1594"/>
      <x:c r="E3" s="1594"/>
      <x:c r="F3" s="1594"/>
      <x:c r="G3" s="1594"/>
      <x:c r="H3" s="1594"/>
      <x:c r="I3" s="1594"/>
      <x:c r="J3" s="1594"/>
      <x:c r="K3" s="1594"/>
      <x:c r="L3" s="1594"/>
      <x:c r="M3" s="1594"/>
      <x:c r="N3" s="1594"/>
      <x:c r="O3" s="1594"/>
      <x:c r="P3" s="1594"/>
      <x:c r="Q3" s="1594"/>
      <x:c r="R3" s="1594"/>
      <x:c r="S3" s="1594"/>
      <x:c r="T3" s="1595"/>
    </x:row>
    <x:row r="4">
      <x:c r="A4" s="1596"/>
      <x:c r="B4" s="1597"/>
      <x:c r="C4" s="1597"/>
      <x:c r="D4" s="1597"/>
      <x:c r="E4" s="1597"/>
      <x:c r="F4" s="1597"/>
      <x:c r="G4" s="1597"/>
      <x:c r="H4" s="1597"/>
      <x:c r="I4" s="1597"/>
      <x:c r="J4" s="1597"/>
      <x:c r="K4" s="1597"/>
      <x:c r="L4" s="1597"/>
      <x:c r="M4" s="1597"/>
      <x:c r="N4" s="1597"/>
      <x:c r="O4" s="1597"/>
      <x:c r="P4" s="1597"/>
      <x:c r="Q4" s="1597"/>
      <x:c r="R4" s="1597"/>
      <x:c r="S4" s="1597"/>
      <x:c r="T4" s="1598"/>
    </x:row>
    <x:row r="6" ht="34" customHeight="1">
      <x:c r="A6" s="1610" t="str">
        <x:v>관리ID</x:v>
      </x:c>
      <x:c r="B6" s="1611" t="str">
        <x:v>원천구분</x:v>
      </x:c>
      <x:c r="C6" s="1611" t="str">
        <x:v>평가코드</x:v>
      </x:c>
      <x:c r="D6" s="1611" t="str">
        <x:v>차종/대상품번</x:v>
      </x:c>
      <x:c r="E6" s="1611" t="str">
        <x:v>검증 항목</x:v>
      </x:c>
      <x:c r="F6" s="1611" t="str">
        <x:v>주관/담당(원천)</x:v>
      </x:c>
      <x:c r="G6" s="1611" t="str">
        <x:v>원천 실증판정(자동)</x:v>
      </x:c>
      <x:c r="H6" s="1611" t="str">
        <x:v>품질판정(입력)</x:v>
      </x:c>
      <x:c r="I6" s="1611" t="str">
        <x:v>부적합 내용·원인(입력)</x:v>
      </x:c>
      <x:c r="J6" s="1611" t="str">
        <x:v>시정/예방조치(입력)</x:v>
      </x:c>
      <x:c r="K6" s="1611" t="str">
        <x:v>조치담당(입력)</x:v>
      </x:c>
      <x:c r="L6" s="1611" t="str">
        <x:v>목표일(입력)</x:v>
      </x:c>
      <x:c r="M6" s="1611" t="str">
        <x:v>완료일(입력)</x:v>
      </x:c>
      <x:c r="N6" s="1611" t="str">
        <x:v>조치 증빙·사내경로(입력)</x:v>
      </x:c>
      <x:c r="O6" s="1611" t="str">
        <x:v>효과·재발 검증(입력)</x:v>
      </x:c>
      <x:c r="P6" s="1611" t="str">
        <x:v>재검증자(입력)</x:v>
      </x:c>
      <x:c r="Q6" s="1611" t="str">
        <x:v>재검증일(입력)</x:v>
      </x:c>
      <x:c r="R6" s="1611" t="str">
        <x:v>최종 조치상태(자동)</x:v>
      </x:c>
      <x:c r="S6" s="1611" t="str">
        <x:v>원천시트/행</x:v>
      </x:c>
      <x:c r="T6" s="1612" t="str">
        <x:v>추가심사대응 메모</x:v>
      </x:c>
    </x:row>
    <x:row r="7" ht="29" customHeight="1">
      <x:c r="A7" s="1629" t="str">
        <x:v>SQ-E001</x:v>
      </x:c>
      <x:c r="B7" s="1630" t="str">
        <x:v>원문평가</x:v>
      </x:c>
      <x:c r="C7" s="1630" t="str">
        <x:v>1-1</x:v>
      </x:c>
      <x:c r="D7" s="1630" t="str">
        <x:v>RG3 HEV / 6동</x:v>
      </x:c>
      <x:c r="E7" s="1630" t="str">
        <x:v>표준류 작성및 준수상태</x:v>
      </x:c>
      <x:c r="F7" s="1630" t="str">
        <x:v>이광재 / 지성규 / 품질팀 / 생산팀</x:v>
      </x:c>
      <x:c r="G7" s="1644" t="str">
        <x:f>IF('21_코드별_심사실행'!P7="증빙확인","검증완료",IF(OR('21_코드별_심사실행'!K7="불일치",'21_코드별_심사실행'!L7="불일치"),"부적합확인","미확인"))</x:f>
        <x:v>미확인</x:v>
      </x:c>
      <x:c r="H7" s="1638" t="str">
        <x:v>미판정</x:v>
      </x:c>
      <x:c r="I7" s="1638"/>
      <x:c r="J7" s="1638"/>
      <x:c r="K7" s="1638"/>
      <x:c r="L7" s="1638" t="str">
        <x:v>2026-11-03</x:v>
      </x:c>
      <x:c r="M7" s="1638"/>
      <x:c r="N7" s="1638"/>
      <x:c r="O7" s="1638" t="str">
        <x:v>미확인</x:v>
      </x:c>
      <x:c r="P7" s="1638"/>
      <x:c r="Q7" s="1638"/>
      <x:c r="R7" s="1644" t="str">
        <x:f>IF(G7="부적합확인",IF(H7&lt;&gt;"부적합","부적합 판정필요",IF(AND(I7&lt;&gt;"",J7&lt;&gt;"",K7&lt;&gt;"",M7&lt;&gt;"",N7&lt;&gt;"",O7="적합",P7&lt;&gt;"",Q7&lt;&gt;""),"시정조치 종결","시정조치 진행")),IF(H7="부적합",IF(AND(G7="검증완료",I7&lt;&gt;"",J7&lt;&gt;"",K7&lt;&gt;"",M7&lt;&gt;"",N7&lt;&gt;"",O7="적합",P7&lt;&gt;"",Q7&lt;&gt;""),"시정조치 종결","시정조치 진행"),IF(AND(G7="검증완료",H7="적합"),"적합확인",IF(G7="검증완료","판정대기","검증대기"))))</x:f>
        <x:v>검증대기</x:v>
      </x:c>
      <x:c r="S7" s="1630" t="str">
        <x:v>21_코드별_심사실행!7행</x:v>
      </x:c>
      <x:c r="T7" s="1641"/>
    </x:row>
    <x:row r="8" ht="29" customHeight="1">
      <x:c r="A8" s="1632" t="str">
        <x:v>SQ-E002</x:v>
      </x:c>
      <x:c r="B8" s="1633" t="str">
        <x:v>원문평가</x:v>
      </x:c>
      <x:c r="C8" s="1633" t="str">
        <x:v>1-2</x:v>
      </x:c>
      <x:c r="D8" s="1633" t="str">
        <x:v>RG3 HEV / 6동</x:v>
      </x:c>
      <x:c r="E8" s="1633" t="str">
        <x:v>설비 가동중단(계획/비계획)후 재가동시 업무처리 절차 수립 및 준수상태</x:v>
      </x:c>
      <x:c r="F8" s="1633" t="str">
        <x:v>지성규 / 이광재 / 생산팀 / 품질팀</x:v>
      </x:c>
      <x:c r="G8" s="1645" t="str">
        <x:f>IF('21_코드별_심사실행'!P8="증빙확인","검증완료",IF(OR('21_코드별_심사실행'!K8="불일치",'21_코드별_심사실행'!L8="불일치"),"부적합확인","미확인"))</x:f>
        <x:v>미확인</x:v>
      </x:c>
      <x:c r="H8" s="1639" t="str">
        <x:v>미판정</x:v>
      </x:c>
      <x:c r="I8" s="1639"/>
      <x:c r="J8" s="1639"/>
      <x:c r="K8" s="1639"/>
      <x:c r="L8" s="1639" t="str">
        <x:v>2026-11-03</x:v>
      </x:c>
      <x:c r="M8" s="1639"/>
      <x:c r="N8" s="1639"/>
      <x:c r="O8" s="1639" t="str">
        <x:v>미확인</x:v>
      </x:c>
      <x:c r="P8" s="1639"/>
      <x:c r="Q8" s="1639"/>
      <x:c r="R8" s="1645" t="str">
        <x:f>IF(G8="부적합확인",IF(H8&lt;&gt;"부적합","부적합 판정필요",IF(AND(I8&lt;&gt;"",J8&lt;&gt;"",K8&lt;&gt;"",M8&lt;&gt;"",N8&lt;&gt;"",O8="적합",P8&lt;&gt;"",Q8&lt;&gt;""),"시정조치 종결","시정조치 진행")),IF(H8="부적합",IF(AND(G8="검증완료",I8&lt;&gt;"",J8&lt;&gt;"",K8&lt;&gt;"",M8&lt;&gt;"",N8&lt;&gt;"",O8="적합",P8&lt;&gt;"",Q8&lt;&gt;""),"시정조치 종결","시정조치 진행"),IF(AND(G8="검증완료",H8="적합"),"적합확인",IF(G8="검증완료","판정대기","검증대기"))))</x:f>
        <x:v>검증대기</x:v>
      </x:c>
      <x:c r="S8" s="1633" t="str">
        <x:v>21_코드별_심사실행!8행</x:v>
      </x:c>
      <x:c r="T8" s="1642"/>
    </x:row>
    <x:row r="9" ht="29" customHeight="1">
      <x:c r="A9" s="1632" t="str">
        <x:v>SQ-E003</x:v>
      </x:c>
      <x:c r="B9" s="1633" t="str">
        <x:v>원문평가</x:v>
      </x:c>
      <x:c r="C9" s="1633" t="str">
        <x:v>1-3</x:v>
      </x:c>
      <x:c r="D9" s="1633" t="str">
        <x:v>RG3 HEV / 6동</x:v>
      </x:c>
      <x:c r="E9" s="1633" t="str">
        <x:v>외국인 배치 운영공정 현지어 번역/게시된 표준류 반영상태</x:v>
      </x:c>
      <x:c r="F9" s="1633" t="str">
        <x:v>지성규 / 이광재 / 생산팀 / 품질팀</x:v>
      </x:c>
      <x:c r="G9" s="1645" t="str">
        <x:f>IF('21_코드별_심사실행'!P9="증빙확인","검증완료",IF(OR('21_코드별_심사실행'!K9="불일치",'21_코드별_심사실행'!L9="불일치"),"부적합확인","미확인"))</x:f>
        <x:v>미확인</x:v>
      </x:c>
      <x:c r="H9" s="1639" t="str">
        <x:v>미판정</x:v>
      </x:c>
      <x:c r="I9" s="1639"/>
      <x:c r="J9" s="1639"/>
      <x:c r="K9" s="1639"/>
      <x:c r="L9" s="1639" t="str">
        <x:v>2026-11-03</x:v>
      </x:c>
      <x:c r="M9" s="1639"/>
      <x:c r="N9" s="1639"/>
      <x:c r="O9" s="1639" t="str">
        <x:v>미확인</x:v>
      </x:c>
      <x:c r="P9" s="1639"/>
      <x:c r="Q9" s="1639"/>
      <x:c r="R9" s="1645" t="str">
        <x:f>IF(G9="부적합확인",IF(H9&lt;&gt;"부적합","부적합 판정필요",IF(AND(I9&lt;&gt;"",J9&lt;&gt;"",K9&lt;&gt;"",M9&lt;&gt;"",N9&lt;&gt;"",O9="적합",P9&lt;&gt;"",Q9&lt;&gt;""),"시정조치 종결","시정조치 진행")),IF(H9="부적합",IF(AND(G9="검증완료",I9&lt;&gt;"",J9&lt;&gt;"",K9&lt;&gt;"",M9&lt;&gt;"",N9&lt;&gt;"",O9="적합",P9&lt;&gt;"",Q9&lt;&gt;""),"시정조치 종결","시정조치 진행"),IF(AND(G9="검증완료",H9="적합"),"적합확인",IF(G9="검증완료","판정대기","검증대기"))))</x:f>
        <x:v>검증대기</x:v>
      </x:c>
      <x:c r="S9" s="1633" t="str">
        <x:v>21_코드별_심사실행!9행</x:v>
      </x:c>
      <x:c r="T9" s="1642"/>
    </x:row>
    <x:row r="10" ht="29" customHeight="1">
      <x:c r="A10" s="1632" t="str">
        <x:v>SQ-E004</x:v>
      </x:c>
      <x:c r="B10" s="1633" t="str">
        <x:v>원문평가</x:v>
      </x:c>
      <x:c r="C10" s="1633" t="str">
        <x:v>1-4</x:v>
      </x:c>
      <x:c r="D10" s="1633" t="str">
        <x:v>RG3 HEV / 6동</x:v>
      </x:c>
      <x:c r="E10" s="1633" t="str">
        <x:v>품질관리 취약 시간대 관리기준 수립 및 관리상태</x:v>
      </x:c>
      <x:c r="F10" s="1633" t="str">
        <x:v>지성규 / 이광재 / 생산팀 / 품질팀</x:v>
      </x:c>
      <x:c r="G10" s="1645" t="str">
        <x:f>IF('21_코드별_심사실행'!P10="증빙확인","검증완료",IF(OR('21_코드별_심사실행'!K10="불일치",'21_코드별_심사실행'!L10="불일치"),"부적합확인","미확인"))</x:f>
        <x:v>미확인</x:v>
      </x:c>
      <x:c r="H10" s="1639" t="str">
        <x:v>미판정</x:v>
      </x:c>
      <x:c r="I10" s="1639"/>
      <x:c r="J10" s="1639"/>
      <x:c r="K10" s="1639"/>
      <x:c r="L10" s="1639" t="str">
        <x:v>2026-11-03</x:v>
      </x:c>
      <x:c r="M10" s="1639"/>
      <x:c r="N10" s="1639"/>
      <x:c r="O10" s="1639" t="str">
        <x:v>미확인</x:v>
      </x:c>
      <x:c r="P10" s="1639"/>
      <x:c r="Q10" s="1639"/>
      <x:c r="R10" s="1645" t="str">
        <x:f>IF(G10="부적합확인",IF(H10&lt;&gt;"부적합","부적합 판정필요",IF(AND(I10&lt;&gt;"",J10&lt;&gt;"",K10&lt;&gt;"",M10&lt;&gt;"",N10&lt;&gt;"",O10="적합",P10&lt;&gt;"",Q10&lt;&gt;""),"시정조치 종결","시정조치 진행")),IF(H10="부적합",IF(AND(G10="검증완료",I10&lt;&gt;"",J10&lt;&gt;"",K10&lt;&gt;"",M10&lt;&gt;"",N10&lt;&gt;"",O10="적합",P10&lt;&gt;"",Q10&lt;&gt;""),"시정조치 종결","시정조치 진행"),IF(AND(G10="검증완료",H10="적합"),"적합확인",IF(G10="검증완료","판정대기","검증대기"))))</x:f>
        <x:v>검증대기</x:v>
      </x:c>
      <x:c r="S10" s="1633" t="str">
        <x:v>21_코드별_심사실행!10행</x:v>
      </x:c>
      <x:c r="T10" s="1642"/>
    </x:row>
    <x:row r="11" ht="29" customHeight="1">
      <x:c r="A11" s="1632" t="str">
        <x:v>SQ-E005</x:v>
      </x:c>
      <x:c r="B11" s="1633" t="str">
        <x:v>원문평가</x:v>
      </x:c>
      <x:c r="C11" s="1633" t="str">
        <x:v>1-5</x:v>
      </x:c>
      <x:c r="D11" s="1633" t="str">
        <x:v>RG3 HEV / 6동</x:v>
      </x:c>
      <x:c r="E11" s="1633" t="str">
        <x:v>주요조건 기준수립및 현장관리 상태 비교검증</x:v>
      </x:c>
      <x:c r="F11" s="1633" t="str">
        <x:v>지성규 / 황지환 / 생산팀 / 생산기술</x:v>
      </x:c>
      <x:c r="G11" s="1645" t="str">
        <x:f>IF('21_코드별_심사실행'!P11="증빙확인","검증완료",IF(OR('21_코드별_심사실행'!K11="불일치",'21_코드별_심사실행'!L11="불일치"),"부적합확인","미확인"))</x:f>
        <x:v>미확인</x:v>
      </x:c>
      <x:c r="H11" s="1639" t="str">
        <x:v>미판정</x:v>
      </x:c>
      <x:c r="I11" s="1639"/>
      <x:c r="J11" s="1639"/>
      <x:c r="K11" s="1639"/>
      <x:c r="L11" s="1639" t="str">
        <x:v>2026-10-29</x:v>
      </x:c>
      <x:c r="M11" s="1639"/>
      <x:c r="N11" s="1639"/>
      <x:c r="O11" s="1639" t="str">
        <x:v>미확인</x:v>
      </x:c>
      <x:c r="P11" s="1639"/>
      <x:c r="Q11" s="1639"/>
      <x:c r="R11" s="1645" t="str">
        <x:f>IF(G11="부적합확인",IF(H11&lt;&gt;"부적합","부적합 판정필요",IF(AND(I11&lt;&gt;"",J11&lt;&gt;"",K11&lt;&gt;"",M11&lt;&gt;"",N11&lt;&gt;"",O11="적합",P11&lt;&gt;"",Q11&lt;&gt;""),"시정조치 종결","시정조치 진행")),IF(H11="부적합",IF(AND(G11="검증완료",I11&lt;&gt;"",J11&lt;&gt;"",K11&lt;&gt;"",M11&lt;&gt;"",N11&lt;&gt;"",O11="적합",P11&lt;&gt;"",Q11&lt;&gt;""),"시정조치 종결","시정조치 진행"),IF(AND(G11="검증완료",H11="적합"),"적합확인",IF(G11="검증완료","판정대기","검증대기"))))</x:f>
        <x:v>검증대기</x:v>
      </x:c>
      <x:c r="S11" s="1633" t="str">
        <x:v>21_코드별_심사실행!11행</x:v>
      </x:c>
      <x:c r="T11" s="1642"/>
    </x:row>
    <x:row r="12" ht="29" customHeight="1">
      <x:c r="A12" s="1632" t="str">
        <x:v>SQ-E006</x:v>
      </x:c>
      <x:c r="B12" s="1633" t="str">
        <x:v>원문평가</x:v>
      </x:c>
      <x:c r="C12" s="1633" t="str">
        <x:v>2-1</x:v>
      </x:c>
      <x:c r="D12" s="1633" t="str">
        <x:v>RG3 HEV / 6동</x:v>
      </x:c>
      <x:c r="E12" s="1633" t="str">
        <x:v>수입검사 실시기준 수립 및 준수상태</x:v>
      </x:c>
      <x:c r="F12" s="1633" t="str">
        <x:v>이은주
박철호 / 구매자재팀</x:v>
      </x:c>
      <x:c r="G12" s="1645" t="str">
        <x:f>IF('21_코드별_심사실행'!P12="증빙확인","검증완료",IF(OR('21_코드별_심사실행'!K12="불일치",'21_코드별_심사실행'!L12="불일치"),"부적합확인","미확인"))</x:f>
        <x:v>미확인</x:v>
      </x:c>
      <x:c r="H12" s="1639" t="str">
        <x:v>미판정</x:v>
      </x:c>
      <x:c r="I12" s="1639"/>
      <x:c r="J12" s="1639"/>
      <x:c r="K12" s="1639"/>
      <x:c r="L12" s="1639" t="str">
        <x:v>2026-10-29</x:v>
      </x:c>
      <x:c r="M12" s="1639"/>
      <x:c r="N12" s="1639"/>
      <x:c r="O12" s="1639" t="str">
        <x:v>미확인</x:v>
      </x:c>
      <x:c r="P12" s="1639"/>
      <x:c r="Q12" s="1639"/>
      <x:c r="R12" s="1645" t="str">
        <x:f>IF(G12="부적합확인",IF(H12&lt;&gt;"부적합","부적합 판정필요",IF(AND(I12&lt;&gt;"",J12&lt;&gt;"",K12&lt;&gt;"",M12&lt;&gt;"",N12&lt;&gt;"",O12="적합",P12&lt;&gt;"",Q12&lt;&gt;""),"시정조치 종결","시정조치 진행")),IF(H12="부적합",IF(AND(G12="검증완료",I12&lt;&gt;"",J12&lt;&gt;"",K12&lt;&gt;"",M12&lt;&gt;"",N12&lt;&gt;"",O12="적합",P12&lt;&gt;"",Q12&lt;&gt;""),"시정조치 종결","시정조치 진행"),IF(AND(G12="검증완료",H12="적합"),"적합확인",IF(G12="검증완료","판정대기","검증대기"))))</x:f>
        <x:v>검증대기</x:v>
      </x:c>
      <x:c r="S12" s="1633" t="str">
        <x:v>21_코드별_심사실행!12행</x:v>
      </x:c>
      <x:c r="T12" s="1642"/>
    </x:row>
    <x:row r="13" ht="29" customHeight="1">
      <x:c r="A13" s="1632" t="str">
        <x:v>SQ-E007</x:v>
      </x:c>
      <x:c r="B13" s="1633" t="str">
        <x:v>원문평가</x:v>
      </x:c>
      <x:c r="C13" s="1633" t="str">
        <x:v>2-2</x:v>
      </x:c>
      <x:c r="D13" s="1633" t="str">
        <x:v>RG3 HEV / 6동</x:v>
      </x:c>
      <x:c r="E13" s="1633" t="str">
        <x:v>수입검사 누락방지 절차 수립 수입검사 대장 LIST 작성및 준수 불량품 처리절차 수립 및 준수</x:v>
      </x:c>
      <x:c r="F13" s="1633" t="str">
        <x:v>김명용 / 이은주 / 이광재 / 품질팀 / 구매자재팀</x:v>
      </x:c>
      <x:c r="G13" s="1645" t="str">
        <x:f>IF('21_코드별_심사실행'!P13="증빙확인","검증완료",IF(OR('21_코드별_심사실행'!K13="불일치",'21_코드별_심사실행'!L13="불일치"),"부적합확인","미확인"))</x:f>
        <x:v>미확인</x:v>
      </x:c>
      <x:c r="H13" s="1639" t="str">
        <x:v>미판정</x:v>
      </x:c>
      <x:c r="I13" s="1639"/>
      <x:c r="J13" s="1639"/>
      <x:c r="K13" s="1639"/>
      <x:c r="L13" s="1639" t="str">
        <x:v>2026-10-29</x:v>
      </x:c>
      <x:c r="M13" s="1639"/>
      <x:c r="N13" s="1639"/>
      <x:c r="O13" s="1639" t="str">
        <x:v>미확인</x:v>
      </x:c>
      <x:c r="P13" s="1639"/>
      <x:c r="Q13" s="1639"/>
      <x:c r="R13" s="1645" t="str">
        <x:f>IF(G13="부적합확인",IF(H13&lt;&gt;"부적합","부적합 판정필요",IF(AND(I13&lt;&gt;"",J13&lt;&gt;"",K13&lt;&gt;"",M13&lt;&gt;"",N13&lt;&gt;"",O13="적합",P13&lt;&gt;"",Q13&lt;&gt;""),"시정조치 종결","시정조치 진행")),IF(H13="부적합",IF(AND(G13="검증완료",I13&lt;&gt;"",J13&lt;&gt;"",K13&lt;&gt;"",M13&lt;&gt;"",N13&lt;&gt;"",O13="적합",P13&lt;&gt;"",Q13&lt;&gt;""),"시정조치 종결","시정조치 진행"),IF(AND(G13="검증완료",H13="적합"),"적합확인",IF(G13="검증완료","판정대기","검증대기"))))</x:f>
        <x:v>검증대기</x:v>
      </x:c>
      <x:c r="S13" s="1633" t="str">
        <x:v>21_코드별_심사실행!13행</x:v>
      </x:c>
      <x:c r="T13" s="1642"/>
    </x:row>
    <x:row r="14" ht="29" customHeight="1">
      <x:c r="A14" s="1632" t="str">
        <x:v>SQ-E008</x:v>
      </x:c>
      <x:c r="B14" s="1633" t="str">
        <x:v>원문평가</x:v>
      </x:c>
      <x:c r="C14" s="1633" t="str">
        <x:v>2-3</x:v>
      </x:c>
      <x:c r="D14" s="1633" t="str">
        <x:v>RG3 HEV / 6동</x:v>
      </x:c>
      <x:c r="E14" s="1633" t="str">
        <x:v>검사용 마스터(한도견본) 관리기준 수립 및 준수상태</x:v>
      </x:c>
      <x:c r="F14" s="1633" t="str">
        <x:v>김명용 / 지성규 / 품질팀 / 생산팀</x:v>
      </x:c>
      <x:c r="G14" s="1645" t="str">
        <x:f>IF('21_코드별_심사실행'!P14="증빙확인","검증완료",IF(OR('21_코드별_심사실행'!K14="불일치",'21_코드별_심사실행'!L14="불일치"),"부적합확인","미확인"))</x:f>
        <x:v>미확인</x:v>
      </x:c>
      <x:c r="H14" s="1639" t="str">
        <x:v>미판정</x:v>
      </x:c>
      <x:c r="I14" s="1639"/>
      <x:c r="J14" s="1639"/>
      <x:c r="K14" s="1639"/>
      <x:c r="L14" s="1639" t="str">
        <x:v>2026-11-03</x:v>
      </x:c>
      <x:c r="M14" s="1639"/>
      <x:c r="N14" s="1639"/>
      <x:c r="O14" s="1639" t="str">
        <x:v>미확인</x:v>
      </x:c>
      <x:c r="P14" s="1639"/>
      <x:c r="Q14" s="1639"/>
      <x:c r="R14" s="1645" t="str">
        <x:f>IF(G14="부적합확인",IF(H14&lt;&gt;"부적합","부적합 판정필요",IF(AND(I14&lt;&gt;"",J14&lt;&gt;"",K14&lt;&gt;"",M14&lt;&gt;"",N14&lt;&gt;"",O14="적합",P14&lt;&gt;"",Q14&lt;&gt;""),"시정조치 종결","시정조치 진행")),IF(H14="부적합",IF(AND(G14="검증완료",I14&lt;&gt;"",J14&lt;&gt;"",K14&lt;&gt;"",M14&lt;&gt;"",N14&lt;&gt;"",O14="적합",P14&lt;&gt;"",Q14&lt;&gt;""),"시정조치 종결","시정조치 진행"),IF(AND(G14="검증완료",H14="적합"),"적합확인",IF(G14="검증완료","판정대기","검증대기"))))</x:f>
        <x:v>검증대기</x:v>
      </x:c>
      <x:c r="S14" s="1633" t="str">
        <x:v>21_코드별_심사실행!14행</x:v>
      </x:c>
      <x:c r="T14" s="1642"/>
    </x:row>
    <x:row r="15" ht="29" customHeight="1">
      <x:c r="A15" s="1632" t="str">
        <x:v>SQ-E009</x:v>
      </x:c>
      <x:c r="B15" s="1633" t="str">
        <x:v>원문평가</x:v>
      </x:c>
      <x:c r="C15" s="1633" t="str">
        <x:v>2-4</x:v>
      </x:c>
      <x:c r="D15" s="1633" t="str">
        <x:v>RG3 HEV / 6동</x:v>
      </x:c>
      <x:c r="E15" s="1633" t="str">
        <x:v>정기신뢰성 검사 실시계획 수립 및 준수상태 (실시결과 신뢰성 확보 요구됨)</x:v>
      </x:c>
      <x:c r="F15" s="1633" t="str">
        <x:v>이광재 / 이은주 / 품질팀 / 구매자재팀</x:v>
      </x:c>
      <x:c r="G15" s="1645" t="str">
        <x:f>IF('21_코드별_심사실행'!P15="증빙확인","검증완료",IF(OR('21_코드별_심사실행'!K15="불일치",'21_코드별_심사실행'!L15="불일치"),"부적합확인","미확인"))</x:f>
        <x:v>미확인</x:v>
      </x:c>
      <x:c r="H15" s="1639" t="str">
        <x:v>미판정</x:v>
      </x:c>
      <x:c r="I15" s="1639"/>
      <x:c r="J15" s="1639"/>
      <x:c r="K15" s="1639"/>
      <x:c r="L15" s="1639" t="str">
        <x:v>2026-10-29</x:v>
      </x:c>
      <x:c r="M15" s="1639"/>
      <x:c r="N15" s="1639"/>
      <x:c r="O15" s="1639" t="str">
        <x:v>미확인</x:v>
      </x:c>
      <x:c r="P15" s="1639"/>
      <x:c r="Q15" s="1639"/>
      <x:c r="R15" s="1645" t="str">
        <x:f>IF(G15="부적합확인",IF(H15&lt;&gt;"부적합","부적합 판정필요",IF(AND(I15&lt;&gt;"",J15&lt;&gt;"",K15&lt;&gt;"",M15&lt;&gt;"",N15&lt;&gt;"",O15="적합",P15&lt;&gt;"",Q15&lt;&gt;""),"시정조치 종결","시정조치 진행")),IF(H15="부적합",IF(AND(G15="검증완료",I15&lt;&gt;"",J15&lt;&gt;"",K15&lt;&gt;"",M15&lt;&gt;"",N15&lt;&gt;"",O15="적합",P15&lt;&gt;"",Q15&lt;&gt;""),"시정조치 종결","시정조치 진행"),IF(AND(G15="검증완료",H15="적합"),"적합확인",IF(G15="검증완료","판정대기","검증대기"))))</x:f>
        <x:v>검증대기</x:v>
      </x:c>
      <x:c r="S15" s="1633" t="str">
        <x:v>21_코드별_심사실행!15행</x:v>
      </x:c>
      <x:c r="T15" s="1642"/>
    </x:row>
    <x:row r="16" ht="29" customHeight="1">
      <x:c r="A16" s="1632" t="str">
        <x:v>SQ-E010</x:v>
      </x:c>
      <x:c r="B16" s="1633" t="str">
        <x:v>원문평가</x:v>
      </x:c>
      <x:c r="C16" s="1633" t="str">
        <x:v>2-5</x:v>
      </x:c>
      <x:c r="D16" s="1633" t="str">
        <x:v>RG3 HEV / 6동</x:v>
      </x:c>
      <x:c r="E16" s="1633" t="str">
        <x:v>계측기/검사구 보유 및 신뢰성 확보상태 (검교정 주기설정, 교정상태)</x:v>
      </x:c>
      <x:c r="F16" s="1633" t="str">
        <x:v>김명용 / 김주태 / 품질팀</x:v>
      </x:c>
      <x:c r="G16" s="1645" t="str">
        <x:f>IF('21_코드별_심사실행'!P16="증빙확인","검증완료",IF(OR('21_코드별_심사실행'!K16="불일치",'21_코드별_심사실행'!L16="불일치"),"부적합확인","미확인"))</x:f>
        <x:v>미확인</x:v>
      </x:c>
      <x:c r="H16" s="1639" t="str">
        <x:v>미판정</x:v>
      </x:c>
      <x:c r="I16" s="1639"/>
      <x:c r="J16" s="1639"/>
      <x:c r="K16" s="1639"/>
      <x:c r="L16" s="1639" t="str">
        <x:v>2026-11-03</x:v>
      </x:c>
      <x:c r="M16" s="1639"/>
      <x:c r="N16" s="1639"/>
      <x:c r="O16" s="1639" t="str">
        <x:v>미확인</x:v>
      </x:c>
      <x:c r="P16" s="1639"/>
      <x:c r="Q16" s="1639"/>
      <x:c r="R16" s="1645" t="str">
        <x:f>IF(G16="부적합확인",IF(H16&lt;&gt;"부적합","부적합 판정필요",IF(AND(I16&lt;&gt;"",J16&lt;&gt;"",K16&lt;&gt;"",M16&lt;&gt;"",N16&lt;&gt;"",O16="적합",P16&lt;&gt;"",Q16&lt;&gt;""),"시정조치 종결","시정조치 진행")),IF(H16="부적합",IF(AND(G16="검증완료",I16&lt;&gt;"",J16&lt;&gt;"",K16&lt;&gt;"",M16&lt;&gt;"",N16&lt;&gt;"",O16="적합",P16&lt;&gt;"",Q16&lt;&gt;""),"시정조치 종결","시정조치 진행"),IF(AND(G16="검증완료",H16="적합"),"적합확인",IF(G16="검증완료","판정대기","검증대기"))))</x:f>
        <x:v>검증대기</x:v>
      </x:c>
      <x:c r="S16" s="1633" t="str">
        <x:v>21_코드별_심사실행!16행</x:v>
      </x:c>
      <x:c r="T16" s="1642"/>
    </x:row>
    <x:row r="17" ht="29" customHeight="1">
      <x:c r="A17" s="1632" t="str">
        <x:v>SQ-E011</x:v>
      </x:c>
      <x:c r="B17" s="1633" t="str">
        <x:v>원문평가</x:v>
      </x:c>
      <x:c r="C17" s="1633" t="str">
        <x:v>2-6</x:v>
      </x:c>
      <x:c r="D17" s="1633" t="str">
        <x:v>RG3 HEV / 6동</x:v>
      </x:c>
      <x:c r="E17" s="1633" t="str">
        <x:v>게이지 R&amp;R 실시기준 수립 및 준수 상태</x:v>
      </x:c>
      <x:c r="F17" s="1633" t="str">
        <x:v>김명용 / 품질팀</x:v>
      </x:c>
      <x:c r="G17" s="1645" t="str">
        <x:f>IF('21_코드별_심사실행'!P17="증빙확인","검증완료",IF(OR('21_코드별_심사실행'!K17="불일치",'21_코드별_심사실행'!L17="불일치"),"부적합확인","미확인"))</x:f>
        <x:v>미확인</x:v>
      </x:c>
      <x:c r="H17" s="1639" t="str">
        <x:v>미판정</x:v>
      </x:c>
      <x:c r="I17" s="1639"/>
      <x:c r="J17" s="1639"/>
      <x:c r="K17" s="1639"/>
      <x:c r="L17" s="1639" t="str">
        <x:v>2026-11-03</x:v>
      </x:c>
      <x:c r="M17" s="1639"/>
      <x:c r="N17" s="1639"/>
      <x:c r="O17" s="1639" t="str">
        <x:v>미확인</x:v>
      </x:c>
      <x:c r="P17" s="1639"/>
      <x:c r="Q17" s="1639"/>
      <x:c r="R17" s="1645" t="str">
        <x:f>IF(G17="부적합확인",IF(H17&lt;&gt;"부적합","부적합 판정필요",IF(AND(I17&lt;&gt;"",J17&lt;&gt;"",K17&lt;&gt;"",M17&lt;&gt;"",N17&lt;&gt;"",O17="적합",P17&lt;&gt;"",Q17&lt;&gt;""),"시정조치 종결","시정조치 진행")),IF(H17="부적합",IF(AND(G17="검증완료",I17&lt;&gt;"",J17&lt;&gt;"",K17&lt;&gt;"",M17&lt;&gt;"",N17&lt;&gt;"",O17="적합",P17&lt;&gt;"",Q17&lt;&gt;""),"시정조치 종결","시정조치 진행"),IF(AND(G17="검증완료",H17="적합"),"적합확인",IF(G17="검증완료","판정대기","검증대기"))))</x:f>
        <x:v>검증대기</x:v>
      </x:c>
      <x:c r="S17" s="1633" t="str">
        <x:v>21_코드별_심사실행!17행</x:v>
      </x:c>
      <x:c r="T17" s="1642"/>
    </x:row>
    <x:row r="18" ht="29" customHeight="1">
      <x:c r="A18" s="1632" t="str">
        <x:v>SQ-E012</x:v>
      </x:c>
      <x:c r="B18" s="1633" t="str">
        <x:v>원문평가</x:v>
      </x:c>
      <x:c r="C18" s="1633" t="str">
        <x:v>2-7</x:v>
      </x:c>
      <x:c r="D18" s="1633" t="str">
        <x:v>RG3 HEV / 6동</x:v>
      </x:c>
      <x:c r="E18" s="1633" t="str">
        <x:v>자주검사 기준설정 및 준수상태</x:v>
      </x:c>
      <x:c r="F18" s="1633" t="str">
        <x:v>이광재 / 지성규 / 품질팀 / 생산팀</x:v>
      </x:c>
      <x:c r="G18" s="1645" t="str">
        <x:f>IF('21_코드별_심사실행'!P18="증빙확인","검증완료",IF(OR('21_코드별_심사실행'!K18="불일치",'21_코드별_심사실행'!L18="불일치"),"부적합확인","미확인"))</x:f>
        <x:v>미확인</x:v>
      </x:c>
      <x:c r="H18" s="1639" t="str">
        <x:v>미판정</x:v>
      </x:c>
      <x:c r="I18" s="1639"/>
      <x:c r="J18" s="1639"/>
      <x:c r="K18" s="1639"/>
      <x:c r="L18" s="1639" t="str">
        <x:v>2026-10-29</x:v>
      </x:c>
      <x:c r="M18" s="1639"/>
      <x:c r="N18" s="1639"/>
      <x:c r="O18" s="1639" t="str">
        <x:v>미확인</x:v>
      </x:c>
      <x:c r="P18" s="1639"/>
      <x:c r="Q18" s="1639"/>
      <x:c r="R18" s="1645" t="str">
        <x:f>IF(G18="부적합확인",IF(H18&lt;&gt;"부적합","부적합 판정필요",IF(AND(I18&lt;&gt;"",J18&lt;&gt;"",K18&lt;&gt;"",M18&lt;&gt;"",N18&lt;&gt;"",O18="적합",P18&lt;&gt;"",Q18&lt;&gt;""),"시정조치 종결","시정조치 진행")),IF(H18="부적합",IF(AND(G18="검증완료",I18&lt;&gt;"",J18&lt;&gt;"",K18&lt;&gt;"",M18&lt;&gt;"",N18&lt;&gt;"",O18="적합",P18&lt;&gt;"",Q18&lt;&gt;""),"시정조치 종결","시정조치 진행"),IF(AND(G18="검증완료",H18="적합"),"적합확인",IF(G18="검증완료","판정대기","검증대기"))))</x:f>
        <x:v>검증대기</x:v>
      </x:c>
      <x:c r="S18" s="1633" t="str">
        <x:v>21_코드별_심사실행!18행</x:v>
      </x:c>
      <x:c r="T18" s="1642"/>
    </x:row>
    <x:row r="19" ht="29" customHeight="1">
      <x:c r="A19" s="1632" t="str">
        <x:v>SQ-E013</x:v>
      </x:c>
      <x:c r="B19" s="1633" t="str">
        <x:v>원문평가</x:v>
      </x:c>
      <x:c r="C19" s="1633" t="str">
        <x:v>2-8</x:v>
      </x:c>
      <x:c r="D19" s="1633" t="str">
        <x:v>RG3 HEV / 6동</x:v>
      </x:c>
      <x:c r="E19" s="1633" t="str">
        <x:v>완제품 검사기준 수립 및 준수상태 점검</x:v>
      </x:c>
      <x:c r="F19" s="1633" t="str">
        <x:v>김명용 / 품질팀</x:v>
      </x:c>
      <x:c r="G19" s="1645" t="str">
        <x:f>IF('21_코드별_심사실행'!P19="증빙확인","검증완료",IF(OR('21_코드별_심사실행'!K19="불일치",'21_코드별_심사실행'!L19="불일치"),"부적합확인","미확인"))</x:f>
        <x:v>미확인</x:v>
      </x:c>
      <x:c r="H19" s="1639" t="str">
        <x:v>미판정</x:v>
      </x:c>
      <x:c r="I19" s="1639"/>
      <x:c r="J19" s="1639"/>
      <x:c r="K19" s="1639"/>
      <x:c r="L19" s="1639" t="str">
        <x:v>2026-10-29</x:v>
      </x:c>
      <x:c r="M19" s="1639"/>
      <x:c r="N19" s="1639"/>
      <x:c r="O19" s="1639" t="str">
        <x:v>미확인</x:v>
      </x:c>
      <x:c r="P19" s="1639"/>
      <x:c r="Q19" s="1639"/>
      <x:c r="R19" s="1645" t="str">
        <x:f>IF(G19="부적합확인",IF(H19&lt;&gt;"부적합","부적합 판정필요",IF(AND(I19&lt;&gt;"",J19&lt;&gt;"",K19&lt;&gt;"",M19&lt;&gt;"",N19&lt;&gt;"",O19="적합",P19&lt;&gt;"",Q19&lt;&gt;""),"시정조치 종결","시정조치 진행")),IF(H19="부적합",IF(AND(G19="검증완료",I19&lt;&gt;"",J19&lt;&gt;"",K19&lt;&gt;"",M19&lt;&gt;"",N19&lt;&gt;"",O19="적합",P19&lt;&gt;"",Q19&lt;&gt;""),"시정조치 종결","시정조치 진행"),IF(AND(G19="검증완료",H19="적합"),"적합확인",IF(G19="검증완료","판정대기","검증대기"))))</x:f>
        <x:v>검증대기</x:v>
      </x:c>
      <x:c r="S19" s="1633" t="str">
        <x:v>21_코드별_심사실행!19행</x:v>
      </x:c>
      <x:c r="T19" s="1642"/>
    </x:row>
    <x:row r="20" ht="29" customHeight="1">
      <x:c r="A20" s="1632" t="str">
        <x:v>SQ-E014</x:v>
      </x:c>
      <x:c r="B20" s="1633" t="str">
        <x:v>원문평가</x:v>
      </x:c>
      <x:c r="C20" s="1633" t="str">
        <x:v>2-9</x:v>
      </x:c>
      <x:c r="D20" s="1633" t="str">
        <x:v>RG3 HEV / 6동</x:v>
      </x:c>
      <x:c r="E20" s="1633" t="str">
        <x:v>용접 파괴검사 방법, 기준 설정 및 준수상태, DATA 관리</x:v>
      </x:c>
      <x:c r="F20" s="1633" t="str">
        <x:v>이광재 / 한상돈 / 품질팀 / 생산팀</x:v>
      </x:c>
      <x:c r="G20" s="1645" t="str">
        <x:f>IF('21_코드별_심사실행'!P20="증빙확인","검증완료",IF(OR('21_코드별_심사실행'!K20="불일치",'21_코드별_심사실행'!L20="불일치"),"부적합확인","미확인"))</x:f>
        <x:v>미확인</x:v>
      </x:c>
      <x:c r="H20" s="1639" t="str">
        <x:v>미판정</x:v>
      </x:c>
      <x:c r="I20" s="1639"/>
      <x:c r="J20" s="1639"/>
      <x:c r="K20" s="1639"/>
      <x:c r="L20" s="1639" t="str">
        <x:v>2026-10-29</x:v>
      </x:c>
      <x:c r="M20" s="1639"/>
      <x:c r="N20" s="1639"/>
      <x:c r="O20" s="1639" t="str">
        <x:v>미확인</x:v>
      </x:c>
      <x:c r="P20" s="1639"/>
      <x:c r="Q20" s="1639"/>
      <x:c r="R20" s="1645" t="str">
        <x:f>IF(G20="부적합확인",IF(H20&lt;&gt;"부적합","부적합 판정필요",IF(AND(I20&lt;&gt;"",J20&lt;&gt;"",K20&lt;&gt;"",M20&lt;&gt;"",N20&lt;&gt;"",O20="적합",P20&lt;&gt;"",Q20&lt;&gt;""),"시정조치 종결","시정조치 진행")),IF(H20="부적합",IF(AND(G20="검증완료",I20&lt;&gt;"",J20&lt;&gt;"",K20&lt;&gt;"",M20&lt;&gt;"",N20&lt;&gt;"",O20="적합",P20&lt;&gt;"",Q20&lt;&gt;""),"시정조치 종결","시정조치 진행"),IF(AND(G20="검증완료",H20="적합"),"적합확인",IF(G20="검증완료","판정대기","검증대기"))))</x:f>
        <x:v>검증대기</x:v>
      </x:c>
      <x:c r="S20" s="1633" t="str">
        <x:v>21_코드별_심사실행!20행</x:v>
      </x:c>
      <x:c r="T20" s="1642"/>
    </x:row>
    <x:row r="21" ht="29" customHeight="1">
      <x:c r="A21" s="1632" t="str">
        <x:v>SQ-E015</x:v>
      </x:c>
      <x:c r="B21" s="1633" t="str">
        <x:v>원문평가</x:v>
      </x:c>
      <x:c r="C21" s="1633" t="str">
        <x:v>3-1</x:v>
      </x:c>
      <x:c r="D21" s="1633" t="str">
        <x:v>RG3 HEV / 6동</x:v>
      </x:c>
      <x:c r="E21" s="1633" t="str">
        <x:v>설비 일상점검 업무절차 수립 및 준수여부</x:v>
      </x:c>
      <x:c r="F21" s="1633" t="str">
        <x:v>한상돈 / 생산팀 / 생산기술</x:v>
      </x:c>
      <x:c r="G21" s="1645" t="str">
        <x:f>IF('21_코드별_심사실행'!P21="증빙확인","검증완료",IF(OR('21_코드별_심사실행'!K21="불일치",'21_코드별_심사실행'!L21="불일치"),"부적합확인","미확인"))</x:f>
        <x:v>미확인</x:v>
      </x:c>
      <x:c r="H21" s="1639" t="str">
        <x:v>미판정</x:v>
      </x:c>
      <x:c r="I21" s="1639"/>
      <x:c r="J21" s="1639"/>
      <x:c r="K21" s="1639"/>
      <x:c r="L21" s="1639" t="str">
        <x:v>2026-10-29</x:v>
      </x:c>
      <x:c r="M21" s="1639"/>
      <x:c r="N21" s="1639"/>
      <x:c r="O21" s="1639" t="str">
        <x:v>미확인</x:v>
      </x:c>
      <x:c r="P21" s="1639"/>
      <x:c r="Q21" s="1639"/>
      <x:c r="R21" s="1645" t="str">
        <x:f>IF(G21="부적합확인",IF(H21&lt;&gt;"부적합","부적합 판정필요",IF(AND(I21&lt;&gt;"",J21&lt;&gt;"",K21&lt;&gt;"",M21&lt;&gt;"",N21&lt;&gt;"",O21="적합",P21&lt;&gt;"",Q21&lt;&gt;""),"시정조치 종결","시정조치 진행")),IF(H21="부적합",IF(AND(G21="검증완료",I21&lt;&gt;"",J21&lt;&gt;"",K21&lt;&gt;"",M21&lt;&gt;"",N21&lt;&gt;"",O21="적합",P21&lt;&gt;"",Q21&lt;&gt;""),"시정조치 종결","시정조치 진행"),IF(AND(G21="검증완료",H21="적합"),"적합확인",IF(G21="검증완료","판정대기","검증대기"))))</x:f>
        <x:v>검증대기</x:v>
      </x:c>
      <x:c r="S21" s="1633" t="str">
        <x:v>21_코드별_심사실행!21행</x:v>
      </x:c>
      <x:c r="T21" s="1642"/>
    </x:row>
    <x:row r="22" ht="29" customHeight="1">
      <x:c r="A22" s="1632" t="str">
        <x:v>SQ-E016</x:v>
      </x:c>
      <x:c r="B22" s="1633" t="str">
        <x:v>원문평가</x:v>
      </x:c>
      <x:c r="C22" s="1633" t="str">
        <x:v>3-2</x:v>
      </x:c>
      <x:c r="D22" s="1633" t="str">
        <x:v>RG3 HEV / 6동</x:v>
      </x:c>
      <x:c r="E22" s="1633" t="str">
        <x:v>설비 정기점검 업무절차 수립 및 준수여부</x:v>
      </x:c>
      <x:c r="F22" s="1633" t="str">
        <x:v>황지환 / 생산기술</x:v>
      </x:c>
      <x:c r="G22" s="1645" t="str">
        <x:f>IF('21_코드별_심사실행'!P22="증빙확인","검증완료",IF(OR('21_코드별_심사실행'!K22="불일치",'21_코드별_심사실행'!L22="불일치"),"부적합확인","미확인"))</x:f>
        <x:v>미확인</x:v>
      </x:c>
      <x:c r="H22" s="1639" t="str">
        <x:v>미판정</x:v>
      </x:c>
      <x:c r="I22" s="1639"/>
      <x:c r="J22" s="1639"/>
      <x:c r="K22" s="1639"/>
      <x:c r="L22" s="1639" t="str">
        <x:v>2026-10-29</x:v>
      </x:c>
      <x:c r="M22" s="1639"/>
      <x:c r="N22" s="1639"/>
      <x:c r="O22" s="1639" t="str">
        <x:v>미확인</x:v>
      </x:c>
      <x:c r="P22" s="1639"/>
      <x:c r="Q22" s="1639"/>
      <x:c r="R22" s="1645" t="str">
        <x:f>IF(G22="부적합확인",IF(H22&lt;&gt;"부적합","부적합 판정필요",IF(AND(I22&lt;&gt;"",J22&lt;&gt;"",K22&lt;&gt;"",M22&lt;&gt;"",N22&lt;&gt;"",O22="적합",P22&lt;&gt;"",Q22&lt;&gt;""),"시정조치 종결","시정조치 진행")),IF(H22="부적합",IF(AND(G22="검증완료",I22&lt;&gt;"",J22&lt;&gt;"",K22&lt;&gt;"",M22&lt;&gt;"",N22&lt;&gt;"",O22="적합",P22&lt;&gt;"",Q22&lt;&gt;""),"시정조치 종결","시정조치 진행"),IF(AND(G22="검증완료",H22="적합"),"적합확인",IF(G22="검증완료","판정대기","검증대기"))))</x:f>
        <x:v>검증대기</x:v>
      </x:c>
      <x:c r="S22" s="1633" t="str">
        <x:v>21_코드별_심사실행!22행</x:v>
      </x:c>
      <x:c r="T22" s="1642"/>
    </x:row>
    <x:row r="23" ht="29" customHeight="1">
      <x:c r="A23" s="1632" t="str">
        <x:v>SQ-E017</x:v>
      </x:c>
      <x:c r="B23" s="1633" t="str">
        <x:v>원문평가</x:v>
      </x:c>
      <x:c r="C23" s="1633" t="str">
        <x:v>3-3</x:v>
      </x:c>
      <x:c r="D23" s="1633" t="str">
        <x:v>RG3 HEV / 6동</x:v>
      </x:c>
      <x:c r="E23" s="1633" t="str">
        <x:v>용접기: 팁 교환. 노즐청소. 와이어 공급기. 케이블. 전류 전압. 전극 드레싱 및 교환</x:v>
      </x:c>
      <x:c r="F23" s="1633" t="str">
        <x:v>김운주 / 생산팀</x:v>
      </x:c>
      <x:c r="G23" s="1645" t="str">
        <x:f>IF('21_코드별_심사실행'!P23="증빙확인","검증완료",IF(OR('21_코드별_심사실행'!K23="불일치",'21_코드별_심사실행'!L23="불일치"),"부적합확인","미확인"))</x:f>
        <x:v>미확인</x:v>
      </x:c>
      <x:c r="H23" s="1639" t="str">
        <x:v>미판정</x:v>
      </x:c>
      <x:c r="I23" s="1639"/>
      <x:c r="J23" s="1639"/>
      <x:c r="K23" s="1639"/>
      <x:c r="L23" s="1639" t="str">
        <x:v>2026-10-29</x:v>
      </x:c>
      <x:c r="M23" s="1639"/>
      <x:c r="N23" s="1639"/>
      <x:c r="O23" s="1639" t="str">
        <x:v>미확인</x:v>
      </x:c>
      <x:c r="P23" s="1639"/>
      <x:c r="Q23" s="1639"/>
      <x:c r="R23" s="1645" t="str">
        <x:f>IF(G23="부적합확인",IF(H23&lt;&gt;"부적합","부적합 판정필요",IF(AND(I23&lt;&gt;"",J23&lt;&gt;"",K23&lt;&gt;"",M23&lt;&gt;"",N23&lt;&gt;"",O23="적합",P23&lt;&gt;"",Q23&lt;&gt;""),"시정조치 종결","시정조치 진행")),IF(H23="부적합",IF(AND(G23="검증완료",I23&lt;&gt;"",J23&lt;&gt;"",K23&lt;&gt;"",M23&lt;&gt;"",N23&lt;&gt;"",O23="적합",P23&lt;&gt;"",Q23&lt;&gt;""),"시정조치 종결","시정조치 진행"),IF(AND(G23="검증완료",H23="적합"),"적합확인",IF(G23="검증완료","판정대기","검증대기"))))</x:f>
        <x:v>검증대기</x:v>
      </x:c>
      <x:c r="S23" s="1633" t="str">
        <x:v>21_코드별_심사실행!23행</x:v>
      </x:c>
      <x:c r="T23" s="1642"/>
    </x:row>
    <x:row r="24" ht="29" customHeight="1">
      <x:c r="A24" s="1632" t="str">
        <x:v>SQ-E018</x:v>
      </x:c>
      <x:c r="B24" s="1633" t="str">
        <x:v>원문평가</x:v>
      </x:c>
      <x:c r="C24" s="1633" t="str">
        <x:v>3-4</x:v>
      </x:c>
      <x:c r="D24" s="1633" t="str">
        <x:v>RG3 HEV / 6동</x:v>
      </x:c>
      <x:c r="E24" s="1633" t="str">
        <x:v>설비별 정기점검 항목 설정 상태 및 시행 여부</x:v>
      </x:c>
      <x:c r="F24" s="1633" t="str">
        <x:v>황지환 / 생산기술</x:v>
      </x:c>
      <x:c r="G24" s="1645" t="str">
        <x:f>IF('21_코드별_심사실행'!P24="증빙확인","검증완료",IF(OR('21_코드별_심사실행'!K24="불일치",'21_코드별_심사실행'!L24="불일치"),"부적합확인","미확인"))</x:f>
        <x:v>미확인</x:v>
      </x:c>
      <x:c r="H24" s="1639" t="str">
        <x:v>미판정</x:v>
      </x:c>
      <x:c r="I24" s="1639"/>
      <x:c r="J24" s="1639"/>
      <x:c r="K24" s="1639"/>
      <x:c r="L24" s="1639" t="str">
        <x:v>2026-11-03</x:v>
      </x:c>
      <x:c r="M24" s="1639"/>
      <x:c r="N24" s="1639"/>
      <x:c r="O24" s="1639" t="str">
        <x:v>미확인</x:v>
      </x:c>
      <x:c r="P24" s="1639"/>
      <x:c r="Q24" s="1639"/>
      <x:c r="R24" s="1645" t="str">
        <x:f>IF(G24="부적합확인",IF(H24&lt;&gt;"부적합","부적합 판정필요",IF(AND(I24&lt;&gt;"",J24&lt;&gt;"",K24&lt;&gt;"",M24&lt;&gt;"",N24&lt;&gt;"",O24="적합",P24&lt;&gt;"",Q24&lt;&gt;""),"시정조치 종결","시정조치 진행")),IF(H24="부적합",IF(AND(G24="검증완료",I24&lt;&gt;"",J24&lt;&gt;"",K24&lt;&gt;"",M24&lt;&gt;"",N24&lt;&gt;"",O24="적합",P24&lt;&gt;"",Q24&lt;&gt;""),"시정조치 종결","시정조치 진행"),IF(AND(G24="검증완료",H24="적합"),"적합확인",IF(G24="검증완료","판정대기","검증대기"))))</x:f>
        <x:v>검증대기</x:v>
      </x:c>
      <x:c r="S24" s="1633" t="str">
        <x:v>21_코드별_심사실행!24행</x:v>
      </x:c>
      <x:c r="T24" s="1642"/>
    </x:row>
    <x:row r="25" ht="29" customHeight="1">
      <x:c r="A25" s="1632" t="str">
        <x:v>SQ-E019</x:v>
      </x:c>
      <x:c r="B25" s="1633" t="str">
        <x:v>원문평가</x:v>
      </x:c>
      <x:c r="C25" s="1633" t="str">
        <x:v>3-5</x:v>
      </x:c>
      <x:c r="D25" s="1633" t="str">
        <x:v>RG3 HEV / 6동</x:v>
      </x:c>
      <x:c r="E25" s="1633" t="str">
        <x:v>전극, 가스잔량, 냉각수 온도 F/PROOF 구축, 미구축시 관리기준 수립 및 이행 상태</x:v>
      </x:c>
      <x:c r="F25" s="1633" t="str">
        <x:v>황지환 / 생산팀</x:v>
      </x:c>
      <x:c r="G25" s="1645" t="str">
        <x:f>IF('21_코드별_심사실행'!P25="증빙확인","검증완료",IF(OR('21_코드별_심사실행'!K25="불일치",'21_코드별_심사실행'!L25="불일치"),"부적합확인","미확인"))</x:f>
        <x:v>미확인</x:v>
      </x:c>
      <x:c r="H25" s="1639" t="str">
        <x:v>미판정</x:v>
      </x:c>
      <x:c r="I25" s="1639"/>
      <x:c r="J25" s="1639"/>
      <x:c r="K25" s="1639"/>
      <x:c r="L25" s="1639" t="str">
        <x:v>2026-10-29</x:v>
      </x:c>
      <x:c r="M25" s="1639"/>
      <x:c r="N25" s="1639"/>
      <x:c r="O25" s="1639" t="str">
        <x:v>미확인</x:v>
      </x:c>
      <x:c r="P25" s="1639"/>
      <x:c r="Q25" s="1639"/>
      <x:c r="R25" s="1645" t="str">
        <x:f>IF(G25="부적합확인",IF(H25&lt;&gt;"부적합","부적합 판정필요",IF(AND(I25&lt;&gt;"",J25&lt;&gt;"",K25&lt;&gt;"",M25&lt;&gt;"",N25&lt;&gt;"",O25="적합",P25&lt;&gt;"",Q25&lt;&gt;""),"시정조치 종결","시정조치 진행")),IF(H25="부적합",IF(AND(G25="검증완료",I25&lt;&gt;"",J25&lt;&gt;"",K25&lt;&gt;"",M25&lt;&gt;"",N25&lt;&gt;"",O25="적합",P25&lt;&gt;"",Q25&lt;&gt;""),"시정조치 종결","시정조치 진행"),IF(AND(G25="검증완료",H25="적합"),"적합확인",IF(G25="검증완료","판정대기","검증대기"))))</x:f>
        <x:v>검증대기</x:v>
      </x:c>
      <x:c r="S25" s="1633" t="str">
        <x:v>21_코드별_심사실행!25행</x:v>
      </x:c>
      <x:c r="T25" s="1642"/>
    </x:row>
    <x:row r="26" ht="29" customHeight="1">
      <x:c r="A26" s="1632" t="str">
        <x:v>SQ-E020</x:v>
      </x:c>
      <x:c r="B26" s="1633" t="str">
        <x:v>원문평가</x:v>
      </x:c>
      <x:c r="C26" s="1633" t="str">
        <x:v>3-6</x:v>
      </x:c>
      <x:c r="D26" s="1633" t="str">
        <x:v>RG3 HEV / 6동</x:v>
      </x:c>
      <x:c r="E26" s="1633" t="str">
        <x:v>용접 지그 점검주기, 관리주기 설정 및 이행상태</x:v>
      </x:c>
      <x:c r="F26" s="1633" t="str">
        <x:v>지성규 / 생산팀</x:v>
      </x:c>
      <x:c r="G26" s="1645" t="str">
        <x:f>IF('21_코드별_심사실행'!P26="증빙확인","검증완료",IF(OR('21_코드별_심사실행'!K26="불일치",'21_코드별_심사실행'!L26="불일치"),"부적합확인","미확인"))</x:f>
        <x:v>미확인</x:v>
      </x:c>
      <x:c r="H26" s="1639" t="str">
        <x:v>미판정</x:v>
      </x:c>
      <x:c r="I26" s="1639"/>
      <x:c r="J26" s="1639"/>
      <x:c r="K26" s="1639"/>
      <x:c r="L26" s="1639" t="str">
        <x:v>2026-10-29</x:v>
      </x:c>
      <x:c r="M26" s="1639"/>
      <x:c r="N26" s="1639"/>
      <x:c r="O26" s="1639" t="str">
        <x:v>미확인</x:v>
      </x:c>
      <x:c r="P26" s="1639"/>
      <x:c r="Q26" s="1639"/>
      <x:c r="R26" s="1645" t="str">
        <x:f>IF(G26="부적합확인",IF(H26&lt;&gt;"부적합","부적합 판정필요",IF(AND(I26&lt;&gt;"",J26&lt;&gt;"",K26&lt;&gt;"",M26&lt;&gt;"",N26&lt;&gt;"",O26="적합",P26&lt;&gt;"",Q26&lt;&gt;""),"시정조치 종결","시정조치 진행")),IF(H26="부적합",IF(AND(G26="검증완료",I26&lt;&gt;"",J26&lt;&gt;"",K26&lt;&gt;"",M26&lt;&gt;"",N26&lt;&gt;"",O26="적합",P26&lt;&gt;"",Q26&lt;&gt;""),"시정조치 종결","시정조치 진행"),IF(AND(G26="검증완료",H26="적합"),"적합확인",IF(G26="검증완료","판정대기","검증대기"))))</x:f>
        <x:v>검증대기</x:v>
      </x:c>
      <x:c r="S26" s="1633" t="str">
        <x:v>21_코드별_심사실행!26행</x:v>
      </x:c>
      <x:c r="T26" s="1642"/>
    </x:row>
    <x:row r="27" ht="29" customHeight="1">
      <x:c r="A27" s="1632" t="str">
        <x:v>SQ-E021</x:v>
      </x:c>
      <x:c r="B27" s="1633" t="str">
        <x:v>원문평가</x:v>
      </x:c>
      <x:c r="C27" s="1633" t="str">
        <x:v>4-1</x:v>
      </x:c>
      <x:c r="D27" s="1633" t="str">
        <x:v>RG3 HEV / 6동</x:v>
      </x:c>
      <x:c r="E27" s="1633" t="str">
        <x:v>금형/용접지그 일상/점기점검 프로세스 수립 및 준수상태</x:v>
      </x:c>
      <x:c r="F27" s="1633" t="str">
        <x:v>지성규 / 생산팀</x:v>
      </x:c>
      <x:c r="G27" s="1645" t="str">
        <x:f>IF('21_코드별_심사실행'!P27="증빙확인","검증완료",IF(OR('21_코드별_심사실행'!K27="불일치",'21_코드별_심사실행'!L27="불일치"),"부적합확인","미확인"))</x:f>
        <x:v>미확인</x:v>
      </x:c>
      <x:c r="H27" s="1639" t="str">
        <x:v>미판정</x:v>
      </x:c>
      <x:c r="I27" s="1639"/>
      <x:c r="J27" s="1639"/>
      <x:c r="K27" s="1639"/>
      <x:c r="L27" s="1639" t="str">
        <x:v>2026-10-29</x:v>
      </x:c>
      <x:c r="M27" s="1639"/>
      <x:c r="N27" s="1639"/>
      <x:c r="O27" s="1639" t="str">
        <x:v>미확인</x:v>
      </x:c>
      <x:c r="P27" s="1639"/>
      <x:c r="Q27" s="1639"/>
      <x:c r="R27" s="1645" t="str">
        <x:f>IF(G27="부적합확인",IF(H27&lt;&gt;"부적합","부적합 판정필요",IF(AND(I27&lt;&gt;"",J27&lt;&gt;"",K27&lt;&gt;"",M27&lt;&gt;"",N27&lt;&gt;"",O27="적합",P27&lt;&gt;"",Q27&lt;&gt;""),"시정조치 종결","시정조치 진행")),IF(H27="부적합",IF(AND(G27="검증완료",I27&lt;&gt;"",J27&lt;&gt;"",K27&lt;&gt;"",M27&lt;&gt;"",N27&lt;&gt;"",O27="적합",P27&lt;&gt;"",Q27&lt;&gt;""),"시정조치 종결","시정조치 진행"),IF(AND(G27="검증완료",H27="적합"),"적합확인",IF(G27="검증완료","판정대기","검증대기"))))</x:f>
        <x:v>검증대기</x:v>
      </x:c>
      <x:c r="S27" s="1633" t="str">
        <x:v>21_코드별_심사실행!27행</x:v>
      </x:c>
      <x:c r="T27" s="1642"/>
    </x:row>
    <x:row r="28" ht="29" customHeight="1">
      <x:c r="A28" s="1632" t="str">
        <x:v>SQ-E022</x:v>
      </x:c>
      <x:c r="B28" s="1633" t="str">
        <x:v>원문평가</x:v>
      </x:c>
      <x:c r="C28" s="1633" t="str">
        <x:v>4-2</x:v>
      </x:c>
      <x:c r="D28" s="1633" t="str">
        <x:v>RG3 HEV / 6동</x:v>
      </x:c>
      <x:c r="E28" s="1633" t="str">
        <x:v>금형 세척관리 프로세스 수립 및 준수상태</x:v>
      </x:c>
      <x:c r="F28" s="1633" t="str">
        <x:v>지성규 / 생산팀</x:v>
      </x:c>
      <x:c r="G28" s="1645" t="str">
        <x:f>IF('21_코드별_심사실행'!P28="증빙확인","검증완료",IF(OR('21_코드별_심사실행'!K28="불일치",'21_코드별_심사실행'!L28="불일치"),"부적합확인","미확인"))</x:f>
        <x:v>미확인</x:v>
      </x:c>
      <x:c r="H28" s="1639" t="str">
        <x:v>미판정</x:v>
      </x:c>
      <x:c r="I28" s="1639"/>
      <x:c r="J28" s="1639"/>
      <x:c r="K28" s="1639"/>
      <x:c r="L28" s="1639" t="str">
        <x:v>2026-10-29</x:v>
      </x:c>
      <x:c r="M28" s="1639"/>
      <x:c r="N28" s="1639"/>
      <x:c r="O28" s="1639" t="str">
        <x:v>미확인</x:v>
      </x:c>
      <x:c r="P28" s="1639"/>
      <x:c r="Q28" s="1639"/>
      <x:c r="R28" s="1645" t="str">
        <x:f>IF(G28="부적합확인",IF(H28&lt;&gt;"부적합","부적합 판정필요",IF(AND(I28&lt;&gt;"",J28&lt;&gt;"",K28&lt;&gt;"",M28&lt;&gt;"",N28&lt;&gt;"",O28="적합",P28&lt;&gt;"",Q28&lt;&gt;""),"시정조치 종결","시정조치 진행")),IF(H28="부적합",IF(AND(G28="검증완료",I28&lt;&gt;"",J28&lt;&gt;"",K28&lt;&gt;"",M28&lt;&gt;"",N28&lt;&gt;"",O28="적합",P28&lt;&gt;"",Q28&lt;&gt;""),"시정조치 종결","시정조치 진행"),IF(AND(G28="검증완료",H28="적합"),"적합확인",IF(G28="검증완료","판정대기","검증대기"))))</x:f>
        <x:v>검증대기</x:v>
      </x:c>
      <x:c r="S28" s="1633" t="str">
        <x:v>21_코드별_심사실행!28행</x:v>
      </x:c>
      <x:c r="T28" s="1642"/>
    </x:row>
    <x:row r="29" ht="29" customHeight="1">
      <x:c r="A29" s="1632" t="str">
        <x:v>SQ-E023</x:v>
      </x:c>
      <x:c r="B29" s="1633" t="str">
        <x:v>원문평가</x:v>
      </x:c>
      <x:c r="C29" s="1633" t="str">
        <x:v>4-3</x:v>
      </x:c>
      <x:c r="D29" s="1633" t="str">
        <x:v>RG3 HEV / 6동</x:v>
      </x:c>
      <x:c r="E29" s="1633" t="str">
        <x:v>금형보전 관리기준 설정 및 준수상태</x:v>
      </x:c>
      <x:c r="F29" s="1633" t="str">
        <x:v>한상돈 / 개발팀 / 개밸팀</x:v>
      </x:c>
      <x:c r="G29" s="1645" t="str">
        <x:f>IF('21_코드별_심사실행'!P29="증빙확인","검증완료",IF(OR('21_코드별_심사실행'!K29="불일치",'21_코드별_심사실행'!L29="불일치"),"부적합확인","미확인"))</x:f>
        <x:v>미확인</x:v>
      </x:c>
      <x:c r="H29" s="1639" t="str">
        <x:v>미판정</x:v>
      </x:c>
      <x:c r="I29" s="1639"/>
      <x:c r="J29" s="1639"/>
      <x:c r="K29" s="1639"/>
      <x:c r="L29" s="1639" t="str">
        <x:v>2026-11-03</x:v>
      </x:c>
      <x:c r="M29" s="1639"/>
      <x:c r="N29" s="1639"/>
      <x:c r="O29" s="1639" t="str">
        <x:v>미확인</x:v>
      </x:c>
      <x:c r="P29" s="1639"/>
      <x:c r="Q29" s="1639"/>
      <x:c r="R29" s="1645" t="str">
        <x:f>IF(G29="부적합확인",IF(H29&lt;&gt;"부적합","부적합 판정필요",IF(AND(I29&lt;&gt;"",J29&lt;&gt;"",K29&lt;&gt;"",M29&lt;&gt;"",N29&lt;&gt;"",O29="적합",P29&lt;&gt;"",Q29&lt;&gt;""),"시정조치 종결","시정조치 진행")),IF(H29="부적합",IF(AND(G29="검증완료",I29&lt;&gt;"",J29&lt;&gt;"",K29&lt;&gt;"",M29&lt;&gt;"",N29&lt;&gt;"",O29="적합",P29&lt;&gt;"",Q29&lt;&gt;""),"시정조치 종결","시정조치 진행"),IF(AND(G29="검증완료",H29="적합"),"적합확인",IF(G29="검증완료","판정대기","검증대기"))))</x:f>
        <x:v>검증대기</x:v>
      </x:c>
      <x:c r="S29" s="1633" t="str">
        <x:v>21_코드별_심사실행!29행</x:v>
      </x:c>
      <x:c r="T29" s="1642"/>
    </x:row>
    <x:row r="30" ht="29" customHeight="1">
      <x:c r="A30" s="1632" t="str">
        <x:v>SQ-E024</x:v>
      </x:c>
      <x:c r="B30" s="1633" t="str">
        <x:v>원문평가</x:v>
      </x:c>
      <x:c r="C30" s="1633" t="str">
        <x:v>4-4</x:v>
      </x:c>
      <x:c r="D30" s="1633" t="str">
        <x:v>RG3 HEV / 6동</x:v>
      </x:c>
      <x:c r="E30" s="1633" t="str">
        <x:v>금형 보관관리 프로세스 수립 및 준수상태</x:v>
      </x:c>
      <x:c r="F30" s="1633" t="str">
        <x:v>지성규 / 현장 / 생산팀</x:v>
      </x:c>
      <x:c r="G30" s="1645" t="str">
        <x:f>IF('21_코드별_심사실행'!P30="증빙확인","검증완료",IF(OR('21_코드별_심사실행'!K30="불일치",'21_코드별_심사실행'!L30="불일치"),"부적합확인","미확인"))</x:f>
        <x:v>미확인</x:v>
      </x:c>
      <x:c r="H30" s="1639" t="str">
        <x:v>미판정</x:v>
      </x:c>
      <x:c r="I30" s="1639"/>
      <x:c r="J30" s="1639"/>
      <x:c r="K30" s="1639"/>
      <x:c r="L30" s="1639" t="str">
        <x:v>2026-11-03</x:v>
      </x:c>
      <x:c r="M30" s="1639"/>
      <x:c r="N30" s="1639"/>
      <x:c r="O30" s="1639" t="str">
        <x:v>미확인</x:v>
      </x:c>
      <x:c r="P30" s="1639"/>
      <x:c r="Q30" s="1639"/>
      <x:c r="R30" s="1645" t="str">
        <x:f>IF(G30="부적합확인",IF(H30&lt;&gt;"부적합","부적합 판정필요",IF(AND(I30&lt;&gt;"",J30&lt;&gt;"",K30&lt;&gt;"",M30&lt;&gt;"",N30&lt;&gt;"",O30="적합",P30&lt;&gt;"",Q30&lt;&gt;""),"시정조치 종결","시정조치 진행")),IF(H30="부적합",IF(AND(G30="검증완료",I30&lt;&gt;"",J30&lt;&gt;"",K30&lt;&gt;"",M30&lt;&gt;"",N30&lt;&gt;"",O30="적합",P30&lt;&gt;"",Q30&lt;&gt;""),"시정조치 종결","시정조치 진행"),IF(AND(G30="검증완료",H30="적합"),"적합확인",IF(G30="검증완료","판정대기","검증대기"))))</x:f>
        <x:v>검증대기</x:v>
      </x:c>
      <x:c r="S30" s="1633" t="str">
        <x:v>21_코드별_심사실행!30행</x:v>
      </x:c>
      <x:c r="T30" s="1642"/>
    </x:row>
    <x:row r="31" ht="29" customHeight="1">
      <x:c r="A31" s="1632" t="str">
        <x:v>SQ-E025</x:v>
      </x:c>
      <x:c r="B31" s="1633" t="str">
        <x:v>원문평가</x:v>
      </x:c>
      <x:c r="C31" s="1633" t="str">
        <x:v>4-5</x:v>
      </x:c>
      <x:c r="D31" s="1633" t="str">
        <x:v>RG3 HEV / 6동</x:v>
      </x:c>
      <x:c r="E31" s="1633" t="str">
        <x:v>금형 이관 프로세스 수립 및 준수상태</x:v>
      </x:c>
      <x:c r="F31" s="1633" t="str">
        <x:v>사무실 / 생산팀</x:v>
      </x:c>
      <x:c r="G31" s="1645" t="str">
        <x:f>IF('21_코드별_심사실행'!P31="증빙확인","검증완료",IF(OR('21_코드별_심사실행'!K31="불일치",'21_코드별_심사실행'!L31="불일치"),"부적합확인","미확인"))</x:f>
        <x:v>미확인</x:v>
      </x:c>
      <x:c r="H31" s="1639" t="str">
        <x:v>미판정</x:v>
      </x:c>
      <x:c r="I31" s="1639"/>
      <x:c r="J31" s="1639"/>
      <x:c r="K31" s="1639"/>
      <x:c r="L31" s="1639" t="str">
        <x:v>2026-11-03</x:v>
      </x:c>
      <x:c r="M31" s="1639"/>
      <x:c r="N31" s="1639"/>
      <x:c r="O31" s="1639" t="str">
        <x:v>미확인</x:v>
      </x:c>
      <x:c r="P31" s="1639"/>
      <x:c r="Q31" s="1639"/>
      <x:c r="R31" s="1645" t="str">
        <x:f>IF(G31="부적합확인",IF(H31&lt;&gt;"부적합","부적합 판정필요",IF(AND(I31&lt;&gt;"",J31&lt;&gt;"",K31&lt;&gt;"",M31&lt;&gt;"",N31&lt;&gt;"",O31="적합",P31&lt;&gt;"",Q31&lt;&gt;""),"시정조치 종결","시정조치 진행")),IF(H31="부적합",IF(AND(G31="검증완료",I31&lt;&gt;"",J31&lt;&gt;"",K31&lt;&gt;"",M31&lt;&gt;"",N31&lt;&gt;"",O31="적합",P31&lt;&gt;"",Q31&lt;&gt;""),"시정조치 종결","시정조치 진행"),IF(AND(G31="검증완료",H31="적합"),"적합확인",IF(G31="검증완료","판정대기","검증대기"))))</x:f>
        <x:v>검증대기</x:v>
      </x:c>
      <x:c r="S31" s="1633" t="str">
        <x:v>21_코드별_심사실행!31행</x:v>
      </x:c>
      <x:c r="T31" s="1642"/>
    </x:row>
    <x:row r="32" ht="29" customHeight="1">
      <x:c r="A32" s="1632" t="str">
        <x:v>SQ-E026</x:v>
      </x:c>
      <x:c r="B32" s="1633" t="str">
        <x:v>원문평가</x:v>
      </x:c>
      <x:c r="C32" s="1633" t="str">
        <x:v>5-1</x:v>
      </x:c>
      <x:c r="D32" s="1633" t="str">
        <x:v>RG3 HEV / 6동</x:v>
      </x:c>
      <x:c r="E32" s="1633" t="str">
        <x:v>원자재 및 재공품, 출하품 LOT 추적성 관리 프로세스 수립 및 준수상태</x:v>
      </x:c>
      <x:c r="F32" s="1633" t="str">
        <x:v>이은주 / 지성규 / 구매자재팀 / 생산팀</x:v>
      </x:c>
      <x:c r="G32" s="1645" t="str">
        <x:f>IF('21_코드별_심사실행'!P32="증빙확인","검증완료",IF(OR('21_코드별_심사실행'!K32="불일치",'21_코드별_심사실행'!L32="불일치"),"부적합확인","미확인"))</x:f>
        <x:v>미확인</x:v>
      </x:c>
      <x:c r="H32" s="1639" t="str">
        <x:v>미판정</x:v>
      </x:c>
      <x:c r="I32" s="1639"/>
      <x:c r="J32" s="1639"/>
      <x:c r="K32" s="1639"/>
      <x:c r="L32" s="1639" t="str">
        <x:v>2026-10-29</x:v>
      </x:c>
      <x:c r="M32" s="1639"/>
      <x:c r="N32" s="1639"/>
      <x:c r="O32" s="1639" t="str">
        <x:v>미확인</x:v>
      </x:c>
      <x:c r="P32" s="1639"/>
      <x:c r="Q32" s="1639"/>
      <x:c r="R32" s="1645" t="str">
        <x:f>IF(G32="부적합확인",IF(H32&lt;&gt;"부적합","부적합 판정필요",IF(AND(I32&lt;&gt;"",J32&lt;&gt;"",K32&lt;&gt;"",M32&lt;&gt;"",N32&lt;&gt;"",O32="적합",P32&lt;&gt;"",Q32&lt;&gt;""),"시정조치 종결","시정조치 진행")),IF(H32="부적합",IF(AND(G32="검증완료",I32&lt;&gt;"",J32&lt;&gt;"",K32&lt;&gt;"",M32&lt;&gt;"",N32&lt;&gt;"",O32="적합",P32&lt;&gt;"",Q32&lt;&gt;""),"시정조치 종결","시정조치 진행"),IF(AND(G32="검증완료",H32="적합"),"적합확인",IF(G32="검증완료","판정대기","검증대기"))))</x:f>
        <x:v>검증대기</x:v>
      </x:c>
      <x:c r="S32" s="1633" t="str">
        <x:v>21_코드별_심사실행!32행</x:v>
      </x:c>
      <x:c r="T32" s="1642"/>
    </x:row>
    <x:row r="33" ht="29" customHeight="1">
      <x:c r="A33" s="1632" t="str">
        <x:v>SQ-E027</x:v>
      </x:c>
      <x:c r="B33" s="1633" t="str">
        <x:v>원문평가</x:v>
      </x:c>
      <x:c r="C33" s="1633" t="str">
        <x:v>5-2</x:v>
      </x:c>
      <x:c r="D33" s="1633" t="str">
        <x:v>RG3 HEV / 6동</x:v>
      </x:c>
      <x:c r="E33" s="1633" t="str">
        <x:v>수입자재 보관장 관리기준 수립 및 준수상태</x:v>
      </x:c>
      <x:c r="F33" s="1633" t="str">
        <x:v>이은주 / 지성규 / 구매자재팀 / 생산팀</x:v>
      </x:c>
      <x:c r="G33" s="1645" t="str">
        <x:f>IF('21_코드별_심사실행'!P33="증빙확인","검증완료",IF(OR('21_코드별_심사실행'!K33="불일치",'21_코드별_심사실행'!L33="불일치"),"부적합확인","미확인"))</x:f>
        <x:v>미확인</x:v>
      </x:c>
      <x:c r="H33" s="1639" t="str">
        <x:v>미판정</x:v>
      </x:c>
      <x:c r="I33" s="1639"/>
      <x:c r="J33" s="1639"/>
      <x:c r="K33" s="1639"/>
      <x:c r="L33" s="1639" t="str">
        <x:v>2026-11-03</x:v>
      </x:c>
      <x:c r="M33" s="1639"/>
      <x:c r="N33" s="1639"/>
      <x:c r="O33" s="1639" t="str">
        <x:v>미확인</x:v>
      </x:c>
      <x:c r="P33" s="1639"/>
      <x:c r="Q33" s="1639"/>
      <x:c r="R33" s="1645" t="str">
        <x:f>IF(G33="부적합확인",IF(H33&lt;&gt;"부적합","부적합 판정필요",IF(AND(I33&lt;&gt;"",J33&lt;&gt;"",K33&lt;&gt;"",M33&lt;&gt;"",N33&lt;&gt;"",O33="적합",P33&lt;&gt;"",Q33&lt;&gt;""),"시정조치 종결","시정조치 진행")),IF(H33="부적합",IF(AND(G33="검증완료",I33&lt;&gt;"",J33&lt;&gt;"",K33&lt;&gt;"",M33&lt;&gt;"",N33&lt;&gt;"",O33="적합",P33&lt;&gt;"",Q33&lt;&gt;""),"시정조치 종결","시정조치 진행"),IF(AND(G33="검증완료",H33="적합"),"적합확인",IF(G33="검증완료","판정대기","검증대기"))))</x:f>
        <x:v>검증대기</x:v>
      </x:c>
      <x:c r="S33" s="1633" t="str">
        <x:v>21_코드별_심사실행!33행</x:v>
      </x:c>
      <x:c r="T33" s="1642"/>
    </x:row>
    <x:row r="34" ht="29" customHeight="1">
      <x:c r="A34" s="1632" t="str">
        <x:v>SQ-E028</x:v>
      </x:c>
      <x:c r="B34" s="1633" t="str">
        <x:v>원문평가</x:v>
      </x:c>
      <x:c r="C34" s="1633" t="str">
        <x:v>5-3</x:v>
      </x:c>
      <x:c r="D34" s="1633" t="str">
        <x:v>RG3 HEV / 6동</x:v>
      </x:c>
      <x:c r="E34" s="1633" t="str">
        <x:v>입고품 식별관리 기준 수립 및 준수여부</x:v>
      </x:c>
      <x:c r="F34" s="1633" t="str">
        <x:v>이은주 / 지성규 / 구매자재팀 / 생산팀</x:v>
      </x:c>
      <x:c r="G34" s="1645" t="str">
        <x:f>IF('21_코드별_심사실행'!P34="증빙확인","검증완료",IF(OR('21_코드별_심사실행'!K34="불일치",'21_코드별_심사실행'!L34="불일치"),"부적합확인","미확인"))</x:f>
        <x:v>미확인</x:v>
      </x:c>
      <x:c r="H34" s="1639" t="str">
        <x:v>미판정</x:v>
      </x:c>
      <x:c r="I34" s="1639"/>
      <x:c r="J34" s="1639"/>
      <x:c r="K34" s="1639"/>
      <x:c r="L34" s="1639" t="str">
        <x:v>2026-11-03</x:v>
      </x:c>
      <x:c r="M34" s="1639"/>
      <x:c r="N34" s="1639"/>
      <x:c r="O34" s="1639" t="str">
        <x:v>미확인</x:v>
      </x:c>
      <x:c r="P34" s="1639"/>
      <x:c r="Q34" s="1639"/>
      <x:c r="R34" s="1645" t="str">
        <x:f>IF(G34="부적합확인",IF(H34&lt;&gt;"부적합","부적합 판정필요",IF(AND(I34&lt;&gt;"",J34&lt;&gt;"",K34&lt;&gt;"",M34&lt;&gt;"",N34&lt;&gt;"",O34="적합",P34&lt;&gt;"",Q34&lt;&gt;""),"시정조치 종결","시정조치 진행")),IF(H34="부적합",IF(AND(G34="검증완료",I34&lt;&gt;"",J34&lt;&gt;"",K34&lt;&gt;"",M34&lt;&gt;"",N34&lt;&gt;"",O34="적합",P34&lt;&gt;"",Q34&lt;&gt;""),"시정조치 종결","시정조치 진행"),IF(AND(G34="검증완료",H34="적합"),"적합확인",IF(G34="검증완료","판정대기","검증대기"))))</x:f>
        <x:v>검증대기</x:v>
      </x:c>
      <x:c r="S34" s="1633" t="str">
        <x:v>21_코드별_심사실행!34행</x:v>
      </x:c>
      <x:c r="T34" s="1642"/>
    </x:row>
    <x:row r="35" ht="29" customHeight="1">
      <x:c r="A35" s="1632" t="str">
        <x:v>SQ-E029</x:v>
      </x:c>
      <x:c r="B35" s="1633" t="str">
        <x:v>원문평가</x:v>
      </x:c>
      <x:c r="C35" s="1633" t="str">
        <x:v>5-4</x:v>
      </x:c>
      <x:c r="D35" s="1633" t="str">
        <x:v>RG3 HEV / 6동</x:v>
      </x:c>
      <x:c r="E35" s="1633" t="str">
        <x:v>재공품/완제품 용기 표준화 관리기준 수립 및 이행상태</x:v>
      </x:c>
      <x:c r="F35" s="1633" t="str">
        <x:v>지성규 / 이은주 / 생산팀 / 구매자재팀</x:v>
      </x:c>
      <x:c r="G35" s="1645" t="str">
        <x:f>IF('21_코드별_심사실행'!P35="증빙확인","검증완료",IF(OR('21_코드별_심사실행'!K35="불일치",'21_코드별_심사실행'!L35="불일치"),"부적합확인","미확인"))</x:f>
        <x:v>미확인</x:v>
      </x:c>
      <x:c r="H35" s="1639" t="str">
        <x:v>미판정</x:v>
      </x:c>
      <x:c r="I35" s="1639"/>
      <x:c r="J35" s="1639"/>
      <x:c r="K35" s="1639"/>
      <x:c r="L35" s="1639" t="str">
        <x:v>2026-11-03</x:v>
      </x:c>
      <x:c r="M35" s="1639"/>
      <x:c r="N35" s="1639"/>
      <x:c r="O35" s="1639" t="str">
        <x:v>미확인</x:v>
      </x:c>
      <x:c r="P35" s="1639"/>
      <x:c r="Q35" s="1639"/>
      <x:c r="R35" s="1645" t="str">
        <x:f>IF(G35="부적합확인",IF(H35&lt;&gt;"부적합","부적합 판정필요",IF(AND(I35&lt;&gt;"",J35&lt;&gt;"",K35&lt;&gt;"",M35&lt;&gt;"",N35&lt;&gt;"",O35="적합",P35&lt;&gt;"",Q35&lt;&gt;""),"시정조치 종결","시정조치 진행")),IF(H35="부적합",IF(AND(G35="검증완료",I35&lt;&gt;"",J35&lt;&gt;"",K35&lt;&gt;"",M35&lt;&gt;"",N35&lt;&gt;"",O35="적합",P35&lt;&gt;"",Q35&lt;&gt;""),"시정조치 종결","시정조치 진행"),IF(AND(G35="검증완료",H35="적합"),"적합확인",IF(G35="검증완료","판정대기","검증대기"))))</x:f>
        <x:v>검증대기</x:v>
      </x:c>
      <x:c r="S35" s="1633" t="str">
        <x:v>21_코드별_심사실행!35행</x:v>
      </x:c>
      <x:c r="T35" s="1642"/>
    </x:row>
    <x:row r="36" ht="29" customHeight="1">
      <x:c r="A36" s="1632" t="str">
        <x:v>SQ-E030</x:v>
      </x:c>
      <x:c r="B36" s="1633" t="str">
        <x:v>원문평가</x:v>
      </x:c>
      <x:c r="C36" s="1633" t="str">
        <x:v>6-1</x:v>
      </x:c>
      <x:c r="D36" s="1633" t="str">
        <x:v>RG3 HEV / 6동</x:v>
      </x:c>
      <x:c r="E36" s="1633" t="str">
        <x:v>안전사고 발생 예방을 위한 업무 프로세스 수립 및 준수실태</x:v>
      </x:c>
      <x:c r="F36" s="1633" t="str">
        <x:v>지성규 / 생산팀</x:v>
      </x:c>
      <x:c r="G36" s="1645" t="str">
        <x:f>IF('21_코드별_심사실행'!P36="증빙확인","검증완료",IF(OR('21_코드별_심사실행'!K36="불일치",'21_코드별_심사실행'!L36="불일치"),"부적합확인","미확인"))</x:f>
        <x:v>미확인</x:v>
      </x:c>
      <x:c r="H36" s="1639" t="str">
        <x:v>미판정</x:v>
      </x:c>
      <x:c r="I36" s="1639"/>
      <x:c r="J36" s="1639"/>
      <x:c r="K36" s="1639"/>
      <x:c r="L36" s="1639" t="str">
        <x:v>2026-10-29</x:v>
      </x:c>
      <x:c r="M36" s="1639"/>
      <x:c r="N36" s="1639"/>
      <x:c r="O36" s="1639" t="str">
        <x:v>미확인</x:v>
      </x:c>
      <x:c r="P36" s="1639"/>
      <x:c r="Q36" s="1639"/>
      <x:c r="R36" s="1645" t="str">
        <x:f>IF(G36="부적합확인",IF(H36&lt;&gt;"부적합","부적합 판정필요",IF(AND(I36&lt;&gt;"",J36&lt;&gt;"",K36&lt;&gt;"",M36&lt;&gt;"",N36&lt;&gt;"",O36="적합",P36&lt;&gt;"",Q36&lt;&gt;""),"시정조치 종결","시정조치 진행")),IF(H36="부적합",IF(AND(G36="검증완료",I36&lt;&gt;"",J36&lt;&gt;"",K36&lt;&gt;"",M36&lt;&gt;"",N36&lt;&gt;"",O36="적합",P36&lt;&gt;"",Q36&lt;&gt;""),"시정조치 종결","시정조치 진행"),IF(AND(G36="검증완료",H36="적합"),"적합확인",IF(G36="검증완료","판정대기","검증대기"))))</x:f>
        <x:v>검증대기</x:v>
      </x:c>
      <x:c r="S36" s="1633" t="str">
        <x:v>21_코드별_심사실행!36행</x:v>
      </x:c>
      <x:c r="T36" s="1642"/>
    </x:row>
    <x:row r="37" ht="29" customHeight="1">
      <x:c r="A37" s="1632" t="str">
        <x:v>SQ-E031</x:v>
      </x:c>
      <x:c r="B37" s="1633" t="str">
        <x:v>원문평가</x:v>
      </x:c>
      <x:c r="C37" s="1633" t="str">
        <x:v>6-2</x:v>
      </x:c>
      <x:c r="D37" s="1633" t="str">
        <x:v>RG3 HEV / 6동</x:v>
      </x:c>
      <x:c r="E37" s="1633" t="str">
        <x:v>설계변경, 4M 변경처리업무절차 수립 및 준수여부</x:v>
      </x:c>
      <x:c r="F37" s="1633" t="str">
        <x:v>이광재 / 품질팀</x:v>
      </x:c>
      <x:c r="G37" s="1645" t="str">
        <x:f>IF('21_코드별_심사실행'!P37="증빙확인","검증완료",IF(OR('21_코드별_심사실행'!K37="불일치",'21_코드별_심사실행'!L37="불일치"),"부적합확인","미확인"))</x:f>
        <x:v>미확인</x:v>
      </x:c>
      <x:c r="H37" s="1639" t="str">
        <x:v>미판정</x:v>
      </x:c>
      <x:c r="I37" s="1639"/>
      <x:c r="J37" s="1639"/>
      <x:c r="K37" s="1639"/>
      <x:c r="L37" s="1639" t="str">
        <x:v>2026-11-03</x:v>
      </x:c>
      <x:c r="M37" s="1639"/>
      <x:c r="N37" s="1639"/>
      <x:c r="O37" s="1639" t="str">
        <x:v>미확인</x:v>
      </x:c>
      <x:c r="P37" s="1639"/>
      <x:c r="Q37" s="1639"/>
      <x:c r="R37" s="1645" t="str">
        <x:f>IF(G37="부적합확인",IF(H37&lt;&gt;"부적합","부적합 판정필요",IF(AND(I37&lt;&gt;"",J37&lt;&gt;"",K37&lt;&gt;"",M37&lt;&gt;"",N37&lt;&gt;"",O37="적합",P37&lt;&gt;"",Q37&lt;&gt;""),"시정조치 종결","시정조치 진행")),IF(H37="부적합",IF(AND(G37="검증완료",I37&lt;&gt;"",J37&lt;&gt;"",K37&lt;&gt;"",M37&lt;&gt;"",N37&lt;&gt;"",O37="적합",P37&lt;&gt;"",Q37&lt;&gt;""),"시정조치 종결","시정조치 진행"),IF(AND(G37="검증완료",H37="적합"),"적합확인",IF(G37="검증완료","판정대기","검증대기"))))</x:f>
        <x:v>검증대기</x:v>
      </x:c>
      <x:c r="S37" s="1633" t="str">
        <x:v>21_코드별_심사실행!37행</x:v>
      </x:c>
      <x:c r="T37" s="1642"/>
    </x:row>
    <x:row r="38" ht="29" customHeight="1">
      <x:c r="A38" s="1632" t="str">
        <x:v>SQ-E032</x:v>
      </x:c>
      <x:c r="B38" s="1633" t="str">
        <x:v>원문평가</x:v>
      </x:c>
      <x:c r="C38" s="1633" t="str">
        <x:v>6-3</x:v>
      </x:c>
      <x:c r="D38" s="1633" t="str">
        <x:v>RG3 HEV / 6동</x:v>
      </x:c>
      <x:c r="E38" s="1633" t="str">
        <x:v>품목별  도면기준 검사협정 체결 및 관리기준 준수상태 (도면 일치성)</x:v>
      </x:c>
      <x:c r="F38" s="1633" t="str">
        <x:v>이광재 / 품질팀</x:v>
      </x:c>
      <x:c r="G38" s="1645" t="str">
        <x:f>IF('21_코드별_심사실행'!P38="증빙확인","검증완료",IF(OR('21_코드별_심사실행'!K38="불일치",'21_코드별_심사실행'!L38="불일치"),"부적합확인","미확인"))</x:f>
        <x:v>미확인</x:v>
      </x:c>
      <x:c r="H38" s="1639" t="str">
        <x:v>미판정</x:v>
      </x:c>
      <x:c r="I38" s="1639"/>
      <x:c r="J38" s="1639"/>
      <x:c r="K38" s="1639"/>
      <x:c r="L38" s="1639" t="str">
        <x:v>2026-11-03</x:v>
      </x:c>
      <x:c r="M38" s="1639"/>
      <x:c r="N38" s="1639"/>
      <x:c r="O38" s="1639" t="str">
        <x:v>미확인</x:v>
      </x:c>
      <x:c r="P38" s="1639"/>
      <x:c r="Q38" s="1639"/>
      <x:c r="R38" s="1645" t="str">
        <x:f>IF(G38="부적합확인",IF(H38&lt;&gt;"부적합","부적합 판정필요",IF(AND(I38&lt;&gt;"",J38&lt;&gt;"",K38&lt;&gt;"",M38&lt;&gt;"",N38&lt;&gt;"",O38="적합",P38&lt;&gt;"",Q38&lt;&gt;""),"시정조치 종결","시정조치 진행")),IF(H38="부적합",IF(AND(G38="검증완료",I38&lt;&gt;"",J38&lt;&gt;"",K38&lt;&gt;"",M38&lt;&gt;"",N38&lt;&gt;"",O38="적합",P38&lt;&gt;"",Q38&lt;&gt;""),"시정조치 종결","시정조치 진행"),IF(AND(G38="검증완료",H38="적합"),"적합확인",IF(G38="검증완료","판정대기","검증대기"))))</x:f>
        <x:v>검증대기</x:v>
      </x:c>
      <x:c r="S38" s="1633" t="str">
        <x:v>21_코드별_심사실행!38행</x:v>
      </x:c>
      <x:c r="T38" s="1642"/>
    </x:row>
    <x:row r="39" ht="29" customHeight="1">
      <x:c r="A39" s="1632" t="str">
        <x:v>SQ-E033</x:v>
      </x:c>
      <x:c r="B39" s="1633" t="str">
        <x:v>원문평가</x:v>
      </x:c>
      <x:c r="C39" s="1633" t="str">
        <x:v>6-4</x:v>
      </x:c>
      <x:c r="D39" s="1633" t="str">
        <x:v>RG3 HEV / 6동</x:v>
      </x:c>
      <x:c r="E39" s="1633" t="str">
        <x:v>품질 경영체제 구축/유지를 위한 위한 조직구성 및 운영 상태 조직구성 및 운영 상태</x:v>
      </x:c>
      <x:c r="F39" s="1633" t="str">
        <x:v>이광재 / 품질팀</x:v>
      </x:c>
      <x:c r="G39" s="1645" t="str">
        <x:f>IF('21_코드별_심사실행'!P39="증빙확인","검증완료",IF(OR('21_코드별_심사실행'!K39="불일치",'21_코드별_심사실행'!L39="불일치"),"부적합확인","미확인"))</x:f>
        <x:v>미확인</x:v>
      </x:c>
      <x:c r="H39" s="1639" t="str">
        <x:v>미판정</x:v>
      </x:c>
      <x:c r="I39" s="1639"/>
      <x:c r="J39" s="1639"/>
      <x:c r="K39" s="1639"/>
      <x:c r="L39" s="1639" t="str">
        <x:v>2026-11-03</x:v>
      </x:c>
      <x:c r="M39" s="1639"/>
      <x:c r="N39" s="1639"/>
      <x:c r="O39" s="1639" t="str">
        <x:v>미확인</x:v>
      </x:c>
      <x:c r="P39" s="1639"/>
      <x:c r="Q39" s="1639"/>
      <x:c r="R39" s="1645" t="str">
        <x:f>IF(G39="부적합확인",IF(H39&lt;&gt;"부적합","부적합 판정필요",IF(AND(I39&lt;&gt;"",J39&lt;&gt;"",K39&lt;&gt;"",M39&lt;&gt;"",N39&lt;&gt;"",O39="적합",P39&lt;&gt;"",Q39&lt;&gt;""),"시정조치 종결","시정조치 진행")),IF(H39="부적합",IF(AND(G39="검증완료",I39&lt;&gt;"",J39&lt;&gt;"",K39&lt;&gt;"",M39&lt;&gt;"",N39&lt;&gt;"",O39="적합",P39&lt;&gt;"",Q39&lt;&gt;""),"시정조치 종결","시정조치 진행"),IF(AND(G39="검증완료",H39="적합"),"적합확인",IF(G39="검증완료","판정대기","검증대기"))))</x:f>
        <x:v>검증대기</x:v>
      </x:c>
      <x:c r="S39" s="1633" t="str">
        <x:v>21_코드별_심사실행!39행</x:v>
      </x:c>
      <x:c r="T39" s="1642"/>
    </x:row>
    <x:row r="40" ht="29" customHeight="1">
      <x:c r="A40" s="1632" t="str">
        <x:v>SQ-E034</x:v>
      </x:c>
      <x:c r="B40" s="1633" t="str">
        <x:v>원문평가</x:v>
      </x:c>
      <x:c r="C40" s="1633" t="str">
        <x:v>6-5</x:v>
      </x:c>
      <x:c r="D40" s="1633" t="str">
        <x:v>RG3 HEV / 6동</x:v>
      </x:c>
      <x:c r="E40" s="1633" t="str">
        <x:v>자격인증 관리기준 수립 및 준수상태</x:v>
      </x:c>
      <x:c r="F40" s="1633" t="str">
        <x:v>이광재 / 지성규 / 품질팀 / 생산팀</x:v>
      </x:c>
      <x:c r="G40" s="1645" t="str">
        <x:f>IF('21_코드별_심사실행'!P40="증빙확인","검증완료",IF(OR('21_코드별_심사실행'!K40="불일치",'21_코드별_심사실행'!L40="불일치"),"부적합확인","미확인"))</x:f>
        <x:v>미확인</x:v>
      </x:c>
      <x:c r="H40" s="1639" t="str">
        <x:v>미판정</x:v>
      </x:c>
      <x:c r="I40" s="1639"/>
      <x:c r="J40" s="1639"/>
      <x:c r="K40" s="1639"/>
      <x:c r="L40" s="1639" t="str">
        <x:v>2026-11-03</x:v>
      </x:c>
      <x:c r="M40" s="1639"/>
      <x:c r="N40" s="1639"/>
      <x:c r="O40" s="1639" t="str">
        <x:v>미확인</x:v>
      </x:c>
      <x:c r="P40" s="1639"/>
      <x:c r="Q40" s="1639"/>
      <x:c r="R40" s="1645" t="str">
        <x:f>IF(G40="부적합확인",IF(H40&lt;&gt;"부적합","부적합 판정필요",IF(AND(I40&lt;&gt;"",J40&lt;&gt;"",K40&lt;&gt;"",M40&lt;&gt;"",N40&lt;&gt;"",O40="적합",P40&lt;&gt;"",Q40&lt;&gt;""),"시정조치 종결","시정조치 진행")),IF(H40="부적합",IF(AND(G40="검증완료",I40&lt;&gt;"",J40&lt;&gt;"",K40&lt;&gt;"",M40&lt;&gt;"",N40&lt;&gt;"",O40="적합",P40&lt;&gt;"",Q40&lt;&gt;""),"시정조치 종결","시정조치 진행"),IF(AND(G40="검증완료",H40="적합"),"적합확인",IF(G40="검증완료","판정대기","검증대기"))))</x:f>
        <x:v>검증대기</x:v>
      </x:c>
      <x:c r="S40" s="1633" t="str">
        <x:v>21_코드별_심사실행!40행</x:v>
      </x:c>
      <x:c r="T40" s="1642"/>
    </x:row>
    <x:row r="41" ht="29" customHeight="1">
      <x:c r="A41" s="1632" t="str">
        <x:v>SQ-E035</x:v>
      </x:c>
      <x:c r="B41" s="1633" t="str">
        <x:v>원문평가</x:v>
      </x:c>
      <x:c r="C41" s="1633" t="str">
        <x:v>6-6</x:v>
      </x:c>
      <x:c r="D41" s="1633" t="str">
        <x:v>RG3 HEV / 6동</x:v>
      </x:c>
      <x:c r="E41" s="1633" t="str">
        <x:v>정기적 품질 중요성에 교안작성 및 임직원 교육 실시 이행상태</x:v>
      </x:c>
      <x:c r="F41" s="1633" t="str">
        <x:v>김명용 / 품질팀</x:v>
      </x:c>
      <x:c r="G41" s="1645" t="str">
        <x:f>IF('21_코드별_심사실행'!P41="증빙확인","검증완료",IF(OR('21_코드별_심사실행'!K41="불일치",'21_코드별_심사실행'!L41="불일치"),"부적합확인","미확인"))</x:f>
        <x:v>미확인</x:v>
      </x:c>
      <x:c r="H41" s="1639" t="str">
        <x:v>미판정</x:v>
      </x:c>
      <x:c r="I41" s="1639"/>
      <x:c r="J41" s="1639"/>
      <x:c r="K41" s="1639"/>
      <x:c r="L41" s="1639" t="str">
        <x:v>2026-11-03</x:v>
      </x:c>
      <x:c r="M41" s="1639"/>
      <x:c r="N41" s="1639"/>
      <x:c r="O41" s="1639" t="str">
        <x:v>미확인</x:v>
      </x:c>
      <x:c r="P41" s="1639"/>
      <x:c r="Q41" s="1639"/>
      <x:c r="R41" s="1645" t="str">
        <x:f>IF(G41="부적합확인",IF(H41&lt;&gt;"부적합","부적합 판정필요",IF(AND(I41&lt;&gt;"",J41&lt;&gt;"",K41&lt;&gt;"",M41&lt;&gt;"",N41&lt;&gt;"",O41="적합",P41&lt;&gt;"",Q41&lt;&gt;""),"시정조치 종결","시정조치 진행")),IF(H41="부적합",IF(AND(G41="검증완료",I41&lt;&gt;"",J41&lt;&gt;"",K41&lt;&gt;"",M41&lt;&gt;"",N41&lt;&gt;"",O41="적합",P41&lt;&gt;"",Q41&lt;&gt;""),"시정조치 종결","시정조치 진행"),IF(AND(G41="검증완료",H41="적합"),"적합확인",IF(G41="검증완료","판정대기","검증대기"))))</x:f>
        <x:v>검증대기</x:v>
      </x:c>
      <x:c r="S41" s="1633" t="str">
        <x:v>21_코드별_심사실행!41행</x:v>
      </x:c>
      <x:c r="T41" s="1642"/>
    </x:row>
    <x:row r="42" ht="29" customHeight="1">
      <x:c r="A42" s="1632" t="str">
        <x:v>SQ-E036</x:v>
      </x:c>
      <x:c r="B42" s="1633" t="str">
        <x:v>원문평가</x:v>
      </x:c>
      <x:c r="C42" s="1633" t="str">
        <x:v>6-7</x:v>
      </x:c>
      <x:c r="D42" s="1633" t="str">
        <x:v>RG3 HEV / 6동</x:v>
      </x:c>
      <x:c r="E42" s="1633" t="str">
        <x:v>수입검사/생산공정/최종검사 부적합(추정)품에 대한 격리/식별절차 수립 및 준수여부</x:v>
      </x:c>
      <x:c r="F42" s="1633" t="str">
        <x:v>이광재 / 품질팀</x:v>
      </x:c>
      <x:c r="G42" s="1645" t="str">
        <x:f>IF('21_코드별_심사실행'!P42="증빙확인","검증완료",IF(OR('21_코드별_심사실행'!K42="불일치",'21_코드별_심사실행'!L42="불일치"),"부적합확인","미확인"))</x:f>
        <x:v>미확인</x:v>
      </x:c>
      <x:c r="H42" s="1639" t="str">
        <x:v>미판정</x:v>
      </x:c>
      <x:c r="I42" s="1639"/>
      <x:c r="J42" s="1639"/>
      <x:c r="K42" s="1639"/>
      <x:c r="L42" s="1639" t="str">
        <x:v>2026-11-03</x:v>
      </x:c>
      <x:c r="M42" s="1639"/>
      <x:c r="N42" s="1639"/>
      <x:c r="O42" s="1639" t="str">
        <x:v>미확인</x:v>
      </x:c>
      <x:c r="P42" s="1639"/>
      <x:c r="Q42" s="1639"/>
      <x:c r="R42" s="1645" t="str">
        <x:f>IF(G42="부적합확인",IF(H42&lt;&gt;"부적합","부적합 판정필요",IF(AND(I42&lt;&gt;"",J42&lt;&gt;"",K42&lt;&gt;"",M42&lt;&gt;"",N42&lt;&gt;"",O42="적합",P42&lt;&gt;"",Q42&lt;&gt;""),"시정조치 종결","시정조치 진행")),IF(H42="부적합",IF(AND(G42="검증완료",I42&lt;&gt;"",J42&lt;&gt;"",K42&lt;&gt;"",M42&lt;&gt;"",N42&lt;&gt;"",O42="적합",P42&lt;&gt;"",Q42&lt;&gt;""),"시정조치 종결","시정조치 진행"),IF(AND(G42="검증완료",H42="적합"),"적합확인",IF(G42="검증완료","판정대기","검증대기"))))</x:f>
        <x:v>검증대기</x:v>
      </x:c>
      <x:c r="S42" s="1633" t="str">
        <x:v>21_코드별_심사실행!42행</x:v>
      </x:c>
      <x:c r="T42" s="1642"/>
    </x:row>
    <x:row r="43" ht="29" customHeight="1">
      <x:c r="A43" s="1632" t="str">
        <x:v>SQ-E037</x:v>
      </x:c>
      <x:c r="B43" s="1633" t="str">
        <x:v>원문평가</x:v>
      </x:c>
      <x:c r="C43" s="1633" t="str">
        <x:v>6-8</x:v>
      </x:c>
      <x:c r="D43" s="1633" t="str">
        <x:v>RG3 HEV / 6동</x:v>
      </x:c>
      <x:c r="E43" s="1633" t="str">
        <x:v>품질실적 점검 프로세스 수립 및 개선활동 실시상태</x:v>
      </x:c>
      <x:c r="F43" s="1633" t="str">
        <x:v>박철호 / 품질팀 / 품질팀</x:v>
      </x:c>
      <x:c r="G43" s="1645" t="str">
        <x:f>IF('21_코드별_심사실행'!P43="증빙확인","검증완료",IF(OR('21_코드별_심사실행'!K43="불일치",'21_코드별_심사실행'!L43="불일치"),"부적합확인","미확인"))</x:f>
        <x:v>미확인</x:v>
      </x:c>
      <x:c r="H43" s="1639" t="str">
        <x:v>미판정</x:v>
      </x:c>
      <x:c r="I43" s="1639"/>
      <x:c r="J43" s="1639"/>
      <x:c r="K43" s="1639"/>
      <x:c r="L43" s="1639" t="str">
        <x:v>2026-11-03</x:v>
      </x:c>
      <x:c r="M43" s="1639"/>
      <x:c r="N43" s="1639"/>
      <x:c r="O43" s="1639" t="str">
        <x:v>미확인</x:v>
      </x:c>
      <x:c r="P43" s="1639"/>
      <x:c r="Q43" s="1639"/>
      <x:c r="R43" s="1645" t="str">
        <x:f>IF(G43="부적합확인",IF(H43&lt;&gt;"부적합","부적합 판정필요",IF(AND(I43&lt;&gt;"",J43&lt;&gt;"",K43&lt;&gt;"",M43&lt;&gt;"",N43&lt;&gt;"",O43="적합",P43&lt;&gt;"",Q43&lt;&gt;""),"시정조치 종결","시정조치 진행")),IF(H43="부적합",IF(AND(G43="검증완료",I43&lt;&gt;"",J43&lt;&gt;"",K43&lt;&gt;"",M43&lt;&gt;"",N43&lt;&gt;"",O43="적합",P43&lt;&gt;"",Q43&lt;&gt;""),"시정조치 종결","시정조치 진행"),IF(AND(G43="검증완료",H43="적합"),"적합확인",IF(G43="검증완료","판정대기","검증대기"))))</x:f>
        <x:v>검증대기</x:v>
      </x:c>
      <x:c r="S43" s="1633" t="str">
        <x:v>21_코드별_심사실행!43행</x:v>
      </x:c>
      <x:c r="T43" s="1642"/>
    </x:row>
    <x:row r="44" ht="29" customHeight="1">
      <x:c r="A44" s="1632" t="str">
        <x:v>SQ-E038</x:v>
      </x:c>
      <x:c r="B44" s="1633" t="str">
        <x:v>원문평가</x:v>
      </x:c>
      <x:c r="C44" s="1633" t="str">
        <x:v>6-9</x:v>
      </x:c>
      <x:c r="D44" s="1633" t="str">
        <x:v>RG3 HEV / 6동</x:v>
      </x:c>
      <x:c r="E44" s="1633" t="str">
        <x:v>검사 유효성 확보를 위한 조도 관리프로세스 수립 및 준수실태</x:v>
      </x:c>
      <x:c r="F44" s="1633" t="str">
        <x:v>지성규 / 생산팀</x:v>
      </x:c>
      <x:c r="G44" s="1645" t="str">
        <x:f>IF('21_코드별_심사실행'!P44="증빙확인","검증완료",IF(OR('21_코드별_심사실행'!K44="불일치",'21_코드별_심사실행'!L44="불일치"),"부적합확인","미확인"))</x:f>
        <x:v>미확인</x:v>
      </x:c>
      <x:c r="H44" s="1639" t="str">
        <x:v>미판정</x:v>
      </x:c>
      <x:c r="I44" s="1639"/>
      <x:c r="J44" s="1639"/>
      <x:c r="K44" s="1639"/>
      <x:c r="L44" s="1639" t="str">
        <x:v>2026-11-03</x:v>
      </x:c>
      <x:c r="M44" s="1639"/>
      <x:c r="N44" s="1639"/>
      <x:c r="O44" s="1639" t="str">
        <x:v>미확인</x:v>
      </x:c>
      <x:c r="P44" s="1639"/>
      <x:c r="Q44" s="1639"/>
      <x:c r="R44" s="1645" t="str">
        <x:f>IF(G44="부적합확인",IF(H44&lt;&gt;"부적합","부적합 판정필요",IF(AND(I44&lt;&gt;"",J44&lt;&gt;"",K44&lt;&gt;"",M44&lt;&gt;"",N44&lt;&gt;"",O44="적합",P44&lt;&gt;"",Q44&lt;&gt;""),"시정조치 종결","시정조치 진행")),IF(H44="부적합",IF(AND(G44="검증완료",I44&lt;&gt;"",J44&lt;&gt;"",K44&lt;&gt;"",M44&lt;&gt;"",N44&lt;&gt;"",O44="적합",P44&lt;&gt;"",Q44&lt;&gt;""),"시정조치 종결","시정조치 진행"),IF(AND(G44="검증완료",H44="적합"),"적합확인",IF(G44="검증완료","판정대기","검증대기"))))</x:f>
        <x:v>검증대기</x:v>
      </x:c>
      <x:c r="S44" s="1633" t="str">
        <x:v>21_코드별_심사실행!44행</x:v>
      </x:c>
      <x:c r="T44" s="1642"/>
    </x:row>
    <x:row r="45" ht="29" customHeight="1">
      <x:c r="A45" s="1632" t="str">
        <x:v>SQ-E039</x:v>
      </x:c>
      <x:c r="B45" s="1633" t="str">
        <x:v>원문평가</x:v>
      </x:c>
      <x:c r="C45" s="1633" t="str">
        <x:v>6-10</x:v>
      </x:c>
      <x:c r="D45" s="1633" t="str">
        <x:v>RG3 HEV / 6동</x:v>
      </x:c>
      <x:c r="E45" s="1633" t="str">
        <x:v>3정 5행 관리 프로세스 수립 및 준수실태</x:v>
      </x:c>
      <x:c r="F45" s="1633" t="str">
        <x:v>지성규 / 생산팀</x:v>
      </x:c>
      <x:c r="G45" s="1645" t="str">
        <x:f>IF('21_코드별_심사실행'!P45="증빙확인","검증완료",IF(OR('21_코드별_심사실행'!K45="불일치",'21_코드별_심사실행'!L45="불일치"),"부적합확인","미확인"))</x:f>
        <x:v>미확인</x:v>
      </x:c>
      <x:c r="H45" s="1639" t="str">
        <x:v>미판정</x:v>
      </x:c>
      <x:c r="I45" s="1639"/>
      <x:c r="J45" s="1639"/>
      <x:c r="K45" s="1639"/>
      <x:c r="L45" s="1639" t="str">
        <x:v>2026-11-03</x:v>
      </x:c>
      <x:c r="M45" s="1639"/>
      <x:c r="N45" s="1639"/>
      <x:c r="O45" s="1639" t="str">
        <x:v>미확인</x:v>
      </x:c>
      <x:c r="P45" s="1639"/>
      <x:c r="Q45" s="1639"/>
      <x:c r="R45" s="1645" t="str">
        <x:f>IF(G45="부적합확인",IF(H45&lt;&gt;"부적합","부적합 판정필요",IF(AND(I45&lt;&gt;"",J45&lt;&gt;"",K45&lt;&gt;"",M45&lt;&gt;"",N45&lt;&gt;"",O45="적합",P45&lt;&gt;"",Q45&lt;&gt;""),"시정조치 종결","시정조치 진행")),IF(H45="부적합",IF(AND(G45="검증완료",I45&lt;&gt;"",J45&lt;&gt;"",K45&lt;&gt;"",M45&lt;&gt;"",N45&lt;&gt;"",O45="적합",P45&lt;&gt;"",Q45&lt;&gt;""),"시정조치 종결","시정조치 진행"),IF(AND(G45="검증완료",H45="적합"),"적합확인",IF(G45="검증완료","판정대기","검증대기"))))</x:f>
        <x:v>검증대기</x:v>
      </x:c>
      <x:c r="S45" s="1633" t="str">
        <x:v>21_코드별_심사실행!45행</x:v>
      </x:c>
      <x:c r="T45" s="1642"/>
    </x:row>
    <x:row r="46" ht="29" customHeight="1">
      <x:c r="A46" s="1632" t="str">
        <x:v>SQ-E040</x:v>
      </x:c>
      <x:c r="B46" s="1633" t="str">
        <x:v>원문평가</x:v>
      </x:c>
      <x:c r="C46" s="1633" t="str">
        <x:v>6-11</x:v>
      </x:c>
      <x:c r="D46" s="1633" t="str">
        <x:v>RG3 HEV / 6동</x:v>
      </x:c>
      <x:c r="E46" s="1633" t="str">
        <x:v>주요 품질현황 작성 및 수평전개 실시상태</x:v>
      </x:c>
      <x:c r="F46" s="1633" t="str">
        <x:v>김명용 / 품질팀</x:v>
      </x:c>
      <x:c r="G46" s="1645" t="str">
        <x:f>IF('21_코드별_심사실행'!P46="증빙확인","검증완료",IF(OR('21_코드별_심사실행'!K46="불일치",'21_코드별_심사실행'!L46="불일치"),"부적합확인","미확인"))</x:f>
        <x:v>미확인</x:v>
      </x:c>
      <x:c r="H46" s="1639" t="str">
        <x:v>미판정</x:v>
      </x:c>
      <x:c r="I46" s="1639"/>
      <x:c r="J46" s="1639"/>
      <x:c r="K46" s="1639"/>
      <x:c r="L46" s="1639" t="str">
        <x:v>2026-11-03</x:v>
      </x:c>
      <x:c r="M46" s="1639"/>
      <x:c r="N46" s="1639"/>
      <x:c r="O46" s="1639" t="str">
        <x:v>미확인</x:v>
      </x:c>
      <x:c r="P46" s="1639"/>
      <x:c r="Q46" s="1639"/>
      <x:c r="R46" s="1645" t="str">
        <x:f>IF(G46="부적합확인",IF(H46&lt;&gt;"부적합","부적합 판정필요",IF(AND(I46&lt;&gt;"",J46&lt;&gt;"",K46&lt;&gt;"",M46&lt;&gt;"",N46&lt;&gt;"",O46="적합",P46&lt;&gt;"",Q46&lt;&gt;""),"시정조치 종결","시정조치 진행")),IF(H46="부적합",IF(AND(G46="검증완료",I46&lt;&gt;"",J46&lt;&gt;"",K46&lt;&gt;"",M46&lt;&gt;"",N46&lt;&gt;"",O46="적합",P46&lt;&gt;"",Q46&lt;&gt;""),"시정조치 종결","시정조치 진행"),IF(AND(G46="검증완료",H46="적합"),"적합확인",IF(G46="검증완료","판정대기","검증대기"))))</x:f>
        <x:v>검증대기</x:v>
      </x:c>
      <x:c r="S46" s="1633" t="str">
        <x:v>21_코드별_심사실행!46행</x:v>
      </x:c>
      <x:c r="T46" s="1642"/>
    </x:row>
    <x:row r="47" ht="29" customHeight="1">
      <x:c r="A47" s="1632" t="str">
        <x:v>SQ-E041</x:v>
      </x:c>
      <x:c r="B47" s="1633" t="str">
        <x:v>원문평가</x:v>
      </x:c>
      <x:c r="C47" s="1633" t="str">
        <x:v>6-12</x:v>
      </x:c>
      <x:c r="D47" s="1633" t="str">
        <x:v>RG3 HEV / 6동</x:v>
      </x:c>
      <x:c r="E47" s="1633" t="str">
        <x:v>불량부품 REWORK시 업무처리 절차 수립 및 이행 상태</x:v>
      </x:c>
      <x:c r="F47" s="1633" t="str">
        <x:v>지성규 / 이광재 / 생산팀 / 품질팀</x:v>
      </x:c>
      <x:c r="G47" s="1645" t="str">
        <x:f>IF('21_코드별_심사실행'!P47="증빙확인","검증완료",IF(OR('21_코드별_심사실행'!K47="불일치",'21_코드별_심사실행'!L47="불일치"),"부적합확인","미확인"))</x:f>
        <x:v>미확인</x:v>
      </x:c>
      <x:c r="H47" s="1639" t="str">
        <x:v>미판정</x:v>
      </x:c>
      <x:c r="I47" s="1639"/>
      <x:c r="J47" s="1639"/>
      <x:c r="K47" s="1639"/>
      <x:c r="L47" s="1639" t="str">
        <x:v>2026-10-29</x:v>
      </x:c>
      <x:c r="M47" s="1639"/>
      <x:c r="N47" s="1639"/>
      <x:c r="O47" s="1639" t="str">
        <x:v>미확인</x:v>
      </x:c>
      <x:c r="P47" s="1639"/>
      <x:c r="Q47" s="1639"/>
      <x:c r="R47" s="1645" t="str">
        <x:f>IF(G47="부적합확인",IF(H47&lt;&gt;"부적합","부적합 판정필요",IF(AND(I47&lt;&gt;"",J47&lt;&gt;"",K47&lt;&gt;"",M47&lt;&gt;"",N47&lt;&gt;"",O47="적합",P47&lt;&gt;"",Q47&lt;&gt;""),"시정조치 종결","시정조치 진행")),IF(H47="부적합",IF(AND(G47="검증완료",I47&lt;&gt;"",J47&lt;&gt;"",K47&lt;&gt;"",M47&lt;&gt;"",N47&lt;&gt;"",O47="적합",P47&lt;&gt;"",Q47&lt;&gt;""),"시정조치 종결","시정조치 진행"),IF(AND(G47="검증완료",H47="적합"),"적합확인",IF(G47="검증완료","판정대기","검증대기"))))</x:f>
        <x:v>검증대기</x:v>
      </x:c>
      <x:c r="S47" s="1633" t="str">
        <x:v>21_코드별_심사실행!47행</x:v>
      </x:c>
      <x:c r="T47" s="1642"/>
    </x:row>
    <x:row r="48" ht="29" customHeight="1">
      <x:c r="A48" s="1632" t="str">
        <x:v>SQ-E042</x:v>
      </x:c>
      <x:c r="B48" s="1633" t="str">
        <x:v>원문평가</x:v>
      </x:c>
      <x:c r="C48" s="1633" t="str">
        <x:v>6-12</x:v>
      </x:c>
      <x:c r="D48" s="1633" t="str">
        <x:v>RG3 HEV / 6동</x:v>
      </x:c>
      <x:c r="E48" s="1633" t="str">
        <x:v>이론 및 실습 교육 절차 ▷(이론평가 / 실기평가 ▷파괴시험 합격) 수립 및 시행</x:v>
      </x:c>
      <x:c r="F48" s="1633" t="str">
        <x:v>안종명 / 생산팀</x:v>
      </x:c>
      <x:c r="G48" s="1645" t="str">
        <x:f>IF('21_코드별_심사실행'!P48="증빙확인","검증완료",IF(OR('21_코드별_심사실행'!K48="불일치",'21_코드별_심사실행'!L48="불일치"),"부적합확인","미확인"))</x:f>
        <x:v>미확인</x:v>
      </x:c>
      <x:c r="H48" s="1639" t="str">
        <x:v>미판정</x:v>
      </x:c>
      <x:c r="I48" s="1639"/>
      <x:c r="J48" s="1639"/>
      <x:c r="K48" s="1639"/>
      <x:c r="L48" s="1639" t="str">
        <x:v>2026-10-29</x:v>
      </x:c>
      <x:c r="M48" s="1639"/>
      <x:c r="N48" s="1639"/>
      <x:c r="O48" s="1639" t="str">
        <x:v>미확인</x:v>
      </x:c>
      <x:c r="P48" s="1639"/>
      <x:c r="Q48" s="1639"/>
      <x:c r="R48" s="1645" t="str">
        <x:f>IF(G48="부적합확인",IF(H48&lt;&gt;"부적합","부적합 판정필요",IF(AND(I48&lt;&gt;"",J48&lt;&gt;"",K48&lt;&gt;"",M48&lt;&gt;"",N48&lt;&gt;"",O48="적합",P48&lt;&gt;"",Q48&lt;&gt;""),"시정조치 종결","시정조치 진행")),IF(H48="부적합",IF(AND(G48="검증완료",I48&lt;&gt;"",J48&lt;&gt;"",K48&lt;&gt;"",M48&lt;&gt;"",N48&lt;&gt;"",O48="적합",P48&lt;&gt;"",Q48&lt;&gt;""),"시정조치 종결","시정조치 진행"),IF(AND(G48="검증완료",H48="적합"),"적합확인",IF(G48="검증완료","판정대기","검증대기"))))</x:f>
        <x:v>검증대기</x:v>
      </x:c>
      <x:c r="S48" s="1633" t="str">
        <x:v>21_코드별_심사실행!48행</x:v>
      </x:c>
      <x:c r="T48" s="1642"/>
    </x:row>
    <x:row r="49" ht="29" customHeight="1">
      <x:c r="A49" s="1632" t="str">
        <x:v>SQ-E043</x:v>
      </x:c>
      <x:c r="B49" s="1633" t="str">
        <x:v>원문평가</x:v>
      </x:c>
      <x:c r="C49" s="1633" t="str">
        <x:v>6-13</x:v>
      </x:c>
      <x:c r="D49" s="1633" t="str">
        <x:v>RG3 HEV / 6동</x:v>
      </x:c>
      <x:c r="E49" s="1633" t="str">
        <x:v>『정성품질』 운영 프로세스는 마련되어 있고, 점검 및 포상활동은 실시되는가? 합     계</x:v>
      </x:c>
      <x:c r="F49" s="1633" t="str">
        <x:v>김명용 / 품질팀</x:v>
      </x:c>
      <x:c r="G49" s="1645" t="str">
        <x:f>IF('21_코드별_심사실행'!P49="증빙확인","검증완료",IF(OR('21_코드별_심사실행'!K49="불일치",'21_코드별_심사실행'!L49="불일치"),"부적합확인","미확인"))</x:f>
        <x:v>미확인</x:v>
      </x:c>
      <x:c r="H49" s="1639" t="str">
        <x:v>미판정</x:v>
      </x:c>
      <x:c r="I49" s="1639"/>
      <x:c r="J49" s="1639"/>
      <x:c r="K49" s="1639"/>
      <x:c r="L49" s="1639" t="str">
        <x:v>2026-11-03</x:v>
      </x:c>
      <x:c r="M49" s="1639"/>
      <x:c r="N49" s="1639"/>
      <x:c r="O49" s="1639" t="str">
        <x:v>미확인</x:v>
      </x:c>
      <x:c r="P49" s="1639"/>
      <x:c r="Q49" s="1639"/>
      <x:c r="R49" s="1645" t="str">
        <x:f>IF(G49="부적합확인",IF(H49&lt;&gt;"부적합","부적합 판정필요",IF(AND(I49&lt;&gt;"",J49&lt;&gt;"",K49&lt;&gt;"",M49&lt;&gt;"",N49&lt;&gt;"",O49="적합",P49&lt;&gt;"",Q49&lt;&gt;""),"시정조치 종결","시정조치 진행")),IF(H49="부적합",IF(AND(G49="검증완료",I49&lt;&gt;"",J49&lt;&gt;"",K49&lt;&gt;"",M49&lt;&gt;"",N49&lt;&gt;"",O49="적합",P49&lt;&gt;"",Q49&lt;&gt;""),"시정조치 종결","시정조치 진행"),IF(AND(G49="검증완료",H49="적합"),"적합확인",IF(G49="검증완료","판정대기","검증대기"))))</x:f>
        <x:v>검증대기</x:v>
      </x:c>
      <x:c r="S49" s="1633" t="str">
        <x:v>21_코드별_심사실행!49행</x:v>
      </x:c>
      <x:c r="T49" s="1642"/>
    </x:row>
    <x:row r="50" ht="29" customHeight="1">
      <x:c r="A50" s="1632" t="str">
        <x:v>SQ-W001</x:v>
      </x:c>
      <x:c r="B50" s="1633" t="str">
        <x:v>2동브레이징</x:v>
      </x:c>
      <x:c r="C50" s="1633" t="str">
        <x:v>1-5</x:v>
      </x:c>
      <x:c r="D50" s="1633" t="str">
        <x:v>FA1A8HRAAC</x:v>
      </x:c>
      <x:c r="E50" s="1633" t="str">
        <x:v>적용 용접방식·라인 구성</x:v>
      </x:c>
      <x:c r="F50" s="1633" t="str">
        <x:v>생산기술</x:v>
      </x:c>
      <x:c r="G50" s="1645" t="str">
        <x:f>IF(AND('22_2동_브레이징_점검'!N7="종결",'22_2동_브레이징_점검'!H7="적합",'22_2동_브레이징_점검'!I7&lt;&gt;"",'22_2동_브레이징_점검'!L7&lt;&gt;"",'22_2동_브레이징_점검'!M7&lt;&gt;""),"검증완료",IF('22_2동_브레이징_점검'!H7="부적합","부적합확인","미확인"))</x:f>
        <x:v>미확인</x:v>
      </x:c>
      <x:c r="H50" s="1639" t="str">
        <x:v>미판정</x:v>
      </x:c>
      <x:c r="I50" s="1639"/>
      <x:c r="J50" s="1639"/>
      <x:c r="K50" s="1639"/>
      <x:c r="L50" s="1639"/>
      <x:c r="M50" s="1639"/>
      <x:c r="N50" s="1639"/>
      <x:c r="O50" s="1639" t="str">
        <x:v>미확인</x:v>
      </x:c>
      <x:c r="P50" s="1639"/>
      <x:c r="Q50" s="1639"/>
      <x:c r="R50" s="1645" t="str">
        <x:f>IF(G50="부적합확인",IF(H50&lt;&gt;"부적합","부적합 판정필요",IF(AND(I50&lt;&gt;"",J50&lt;&gt;"",K50&lt;&gt;"",M50&lt;&gt;"",N50&lt;&gt;"",O50="적합",P50&lt;&gt;"",Q50&lt;&gt;""),"시정조치 종결","시정조치 진행")),IF(H50="부적합",IF(AND(G50="검증완료",I50&lt;&gt;"",J50&lt;&gt;"",K50&lt;&gt;"",M50&lt;&gt;"",N50&lt;&gt;"",O50="적합",P50&lt;&gt;"",Q50&lt;&gt;""),"시정조치 종결","시정조치 진행"),IF(AND(G50="검증완료",H50="적합"),"적합확인",IF(G50="검증완료","판정대기","검증대기"))))</x:f>
        <x:v>검증대기</x:v>
      </x:c>
      <x:c r="S50" s="1633" t="str">
        <x:v>22_2동_브레이징_점검!7행</x:v>
      </x:c>
      <x:c r="T50" s="1642"/>
    </x:row>
    <x:row r="51" ht="29" customHeight="1">
      <x:c r="A51" s="1632" t="str">
        <x:v>SQ-W002</x:v>
      </x:c>
      <x:c r="B51" s="1633" t="str">
        <x:v>2동브레이징</x:v>
      </x:c>
      <x:c r="C51" s="1633" t="str">
        <x:v>1-5</x:v>
      </x:c>
      <x:c r="D51" s="1633" t="str">
        <x:v>FA1A8HRAAC</x:v>
      </x:c>
      <x:c r="E51" s="1633" t="str">
        <x:v>승인 공정조건</x:v>
      </x:c>
      <x:c r="F51" s="1633" t="str">
        <x:v>생산기술/품질</x:v>
      </x:c>
      <x:c r="G51" s="1645" t="str">
        <x:f>IF(AND('22_2동_브레이징_점검'!N8="종결",'22_2동_브레이징_점검'!H8="적합",'22_2동_브레이징_점검'!I8&lt;&gt;"",'22_2동_브레이징_점검'!L8&lt;&gt;"",'22_2동_브레이징_점검'!M8&lt;&gt;""),"검증완료",IF('22_2동_브레이징_점검'!H8="부적합","부적합확인","미확인"))</x:f>
        <x:v>미확인</x:v>
      </x:c>
      <x:c r="H51" s="1639" t="str">
        <x:v>미판정</x:v>
      </x:c>
      <x:c r="I51" s="1639"/>
      <x:c r="J51" s="1639"/>
      <x:c r="K51" s="1639"/>
      <x:c r="L51" s="1639"/>
      <x:c r="M51" s="1639"/>
      <x:c r="N51" s="1639"/>
      <x:c r="O51" s="1639" t="str">
        <x:v>미확인</x:v>
      </x:c>
      <x:c r="P51" s="1639"/>
      <x:c r="Q51" s="1639"/>
      <x:c r="R51" s="1645" t="str">
        <x:f>IF(G51="부적합확인",IF(H51&lt;&gt;"부적합","부적합 판정필요",IF(AND(I51&lt;&gt;"",J51&lt;&gt;"",K51&lt;&gt;"",M51&lt;&gt;"",N51&lt;&gt;"",O51="적합",P51&lt;&gt;"",Q51&lt;&gt;""),"시정조치 종결","시정조치 진행")),IF(H51="부적합",IF(AND(G51="검증완료",I51&lt;&gt;"",J51&lt;&gt;"",K51&lt;&gt;"",M51&lt;&gt;"",N51&lt;&gt;"",O51="적합",P51&lt;&gt;"",Q51&lt;&gt;""),"시정조치 종결","시정조치 진행"),IF(AND(G51="검증완료",H51="적합"),"적합확인",IF(G51="검증완료","판정대기","검증대기"))))</x:f>
        <x:v>검증대기</x:v>
      </x:c>
      <x:c r="S51" s="1633" t="str">
        <x:v>22_2동_브레이징_점검!8행</x:v>
      </x:c>
      <x:c r="T51" s="1642"/>
    </x:row>
    <x:row r="52" ht="29" customHeight="1">
      <x:c r="A52" s="1632" t="str">
        <x:v>SQ-W003</x:v>
      </x:c>
      <x:c r="B52" s="1633" t="str">
        <x:v>2동브레이징</x:v>
      </x:c>
      <x:c r="C52" s="1633" t="str">
        <x:v>1-5</x:v>
      </x:c>
      <x:c r="D52" s="1633" t="str">
        <x:v>FA1A8HRAAC</x:v>
      </x:c>
      <x:c r="E52" s="1633" t="str">
        <x:v>용접 프로그램 백업</x:v>
      </x:c>
      <x:c r="F52" s="1633" t="str">
        <x:v>생산기술</x:v>
      </x:c>
      <x:c r="G52" s="1645" t="str">
        <x:f>IF(AND('22_2동_브레이징_점검'!N9="종결",'22_2동_브레이징_점검'!H9="적합",'22_2동_브레이징_점검'!I9&lt;&gt;"",'22_2동_브레이징_점검'!L9&lt;&gt;"",'22_2동_브레이징_점검'!M9&lt;&gt;""),"검증완료",IF('22_2동_브레이징_점검'!H9="부적합","부적합확인","미확인"))</x:f>
        <x:v>미확인</x:v>
      </x:c>
      <x:c r="H52" s="1639" t="str">
        <x:v>미판정</x:v>
      </x:c>
      <x:c r="I52" s="1639"/>
      <x:c r="J52" s="1639"/>
      <x:c r="K52" s="1639"/>
      <x:c r="L52" s="1639"/>
      <x:c r="M52" s="1639"/>
      <x:c r="N52" s="1639"/>
      <x:c r="O52" s="1639" t="str">
        <x:v>미확인</x:v>
      </x:c>
      <x:c r="P52" s="1639"/>
      <x:c r="Q52" s="1639"/>
      <x:c r="R52" s="1645" t="str">
        <x:f>IF(G52="부적합확인",IF(H52&lt;&gt;"부적합","부적합 판정필요",IF(AND(I52&lt;&gt;"",J52&lt;&gt;"",K52&lt;&gt;"",M52&lt;&gt;"",N52&lt;&gt;"",O52="적합",P52&lt;&gt;"",Q52&lt;&gt;""),"시정조치 종결","시정조치 진행")),IF(H52="부적합",IF(AND(G52="검증완료",I52&lt;&gt;"",J52&lt;&gt;"",K52&lt;&gt;"",M52&lt;&gt;"",N52&lt;&gt;"",O52="적합",P52&lt;&gt;"",Q52&lt;&gt;""),"시정조치 종결","시정조치 진행"),IF(AND(G52="검증완료",H52="적합"),"적합확인",IF(G52="검증완료","판정대기","검증대기"))))</x:f>
        <x:v>검증대기</x:v>
      </x:c>
      <x:c r="S52" s="1633" t="str">
        <x:v>22_2동_브레이징_점검!9행</x:v>
      </x:c>
      <x:c r="T52" s="1642"/>
    </x:row>
    <x:row r="53" ht="29" customHeight="1">
      <x:c r="A53" s="1632" t="str">
        <x:v>SQ-W004</x:v>
      </x:c>
      <x:c r="B53" s="1633" t="str">
        <x:v>2동브레이징</x:v>
      </x:c>
      <x:c r="C53" s="1633" t="str">
        <x:v>2-9</x:v>
      </x:c>
      <x:c r="D53" s="1633" t="str">
        <x:v>FA1A8HRAAC</x:v>
      </x:c>
      <x:c r="E53" s="1633" t="str">
        <x:v>파괴검사 기준·결과</x:v>
      </x:c>
      <x:c r="F53" s="1633" t="str">
        <x:v>품질/생산기술</x:v>
      </x:c>
      <x:c r="G53" s="1645" t="str">
        <x:f>IF(AND('22_2동_브레이징_점검'!N10="종결",'22_2동_브레이징_점검'!H10="적합",'22_2동_브레이징_점검'!I10&lt;&gt;"",'22_2동_브레이징_점검'!L10&lt;&gt;"",'22_2동_브레이징_점검'!M10&lt;&gt;""),"검증완료",IF('22_2동_브레이징_점검'!H10="부적합","부적합확인","미확인"))</x:f>
        <x:v>미확인</x:v>
      </x:c>
      <x:c r="H53" s="1639" t="str">
        <x:v>미판정</x:v>
      </x:c>
      <x:c r="I53" s="1639"/>
      <x:c r="J53" s="1639"/>
      <x:c r="K53" s="1639"/>
      <x:c r="L53" s="1639"/>
      <x:c r="M53" s="1639"/>
      <x:c r="N53" s="1639"/>
      <x:c r="O53" s="1639" t="str">
        <x:v>미확인</x:v>
      </x:c>
      <x:c r="P53" s="1639"/>
      <x:c r="Q53" s="1639"/>
      <x:c r="R53" s="1645" t="str">
        <x:f>IF(G53="부적합확인",IF(H53&lt;&gt;"부적합","부적합 판정필요",IF(AND(I53&lt;&gt;"",J53&lt;&gt;"",K53&lt;&gt;"",M53&lt;&gt;"",N53&lt;&gt;"",O53="적합",P53&lt;&gt;"",Q53&lt;&gt;""),"시정조치 종결","시정조치 진행")),IF(H53="부적합",IF(AND(G53="검증완료",I53&lt;&gt;"",J53&lt;&gt;"",K53&lt;&gt;"",M53&lt;&gt;"",N53&lt;&gt;"",O53="적합",P53&lt;&gt;"",Q53&lt;&gt;""),"시정조치 종결","시정조치 진행"),IF(AND(G53="검증완료",H53="적합"),"적합확인",IF(G53="검증완료","판정대기","검증대기"))))</x:f>
        <x:v>검증대기</x:v>
      </x:c>
      <x:c r="S53" s="1633" t="str">
        <x:v>22_2동_브레이징_점검!10행</x:v>
      </x:c>
      <x:c r="T53" s="1642"/>
    </x:row>
    <x:row r="54" ht="29" customHeight="1">
      <x:c r="A54" s="1632" t="str">
        <x:v>SQ-W005</x:v>
      </x:c>
      <x:c r="B54" s="1633" t="str">
        <x:v>2동브레이징</x:v>
      </x:c>
      <x:c r="C54" s="1633" t="str">
        <x:v>2-7</x:v>
      </x:c>
      <x:c r="D54" s="1633" t="str">
        <x:v>FA1A8HRAAC</x:v>
      </x:c>
      <x:c r="E54" s="1633" t="str">
        <x:v>자주검사/초품 승인</x:v>
      </x:c>
      <x:c r="F54" s="1633" t="str">
        <x:v>생산/품질</x:v>
      </x:c>
      <x:c r="G54" s="1645" t="str">
        <x:f>IF(AND('22_2동_브레이징_점검'!N11="종결",'22_2동_브레이징_점검'!H11="적합",'22_2동_브레이징_점검'!I11&lt;&gt;"",'22_2동_브레이징_점검'!L11&lt;&gt;"",'22_2동_브레이징_점검'!M11&lt;&gt;""),"검증완료",IF('22_2동_브레이징_점검'!H11="부적합","부적합확인","미확인"))</x:f>
        <x:v>미확인</x:v>
      </x:c>
      <x:c r="H54" s="1639" t="str">
        <x:v>미판정</x:v>
      </x:c>
      <x:c r="I54" s="1639"/>
      <x:c r="J54" s="1639"/>
      <x:c r="K54" s="1639"/>
      <x:c r="L54" s="1639"/>
      <x:c r="M54" s="1639"/>
      <x:c r="N54" s="1639"/>
      <x:c r="O54" s="1639" t="str">
        <x:v>미확인</x:v>
      </x:c>
      <x:c r="P54" s="1639"/>
      <x:c r="Q54" s="1639"/>
      <x:c r="R54" s="1645" t="str">
        <x:f>IF(G54="부적합확인",IF(H54&lt;&gt;"부적합","부적합 판정필요",IF(AND(I54&lt;&gt;"",J54&lt;&gt;"",K54&lt;&gt;"",M54&lt;&gt;"",N54&lt;&gt;"",O54="적합",P54&lt;&gt;"",Q54&lt;&gt;""),"시정조치 종결","시정조치 진행")),IF(H54="부적합",IF(AND(G54="검증완료",I54&lt;&gt;"",J54&lt;&gt;"",K54&lt;&gt;"",M54&lt;&gt;"",N54&lt;&gt;"",O54="적합",P54&lt;&gt;"",Q54&lt;&gt;""),"시정조치 종결","시정조치 진행"),IF(AND(G54="검증완료",H54="적합"),"적합확인",IF(G54="검증완료","판정대기","검증대기"))))</x:f>
        <x:v>검증대기</x:v>
      </x:c>
      <x:c r="S54" s="1633" t="str">
        <x:v>22_2동_브레이징_점검!11행</x:v>
      </x:c>
      <x:c r="T54" s="1642"/>
    </x:row>
    <x:row r="55" ht="29" customHeight="1">
      <x:c r="A55" s="1632" t="str">
        <x:v>SQ-W006</x:v>
      </x:c>
      <x:c r="B55" s="1633" t="str">
        <x:v>2동브레이징</x:v>
      </x:c>
      <x:c r="C55" s="1633" t="str">
        <x:v>2-8</x:v>
      </x:c>
      <x:c r="D55" s="1633" t="str">
        <x:v>FA1A8HRAAC</x:v>
      </x:c>
      <x:c r="E55" s="1633" t="str">
        <x:v>완제품 검사</x:v>
      </x:c>
      <x:c r="F55" s="1633" t="str">
        <x:v>품질</x:v>
      </x:c>
      <x:c r="G55" s="1645" t="str">
        <x:f>IF(AND('22_2동_브레이징_점검'!N12="종결",'22_2동_브레이징_점검'!H12="적합",'22_2동_브레이징_점검'!I12&lt;&gt;"",'22_2동_브레이징_점검'!L12&lt;&gt;"",'22_2동_브레이징_점검'!M12&lt;&gt;""),"검증완료",IF('22_2동_브레이징_점검'!H12="부적합","부적합확인","미확인"))</x:f>
        <x:v>미확인</x:v>
      </x:c>
      <x:c r="H55" s="1639" t="str">
        <x:v>미판정</x:v>
      </x:c>
      <x:c r="I55" s="1639"/>
      <x:c r="J55" s="1639"/>
      <x:c r="K55" s="1639"/>
      <x:c r="L55" s="1639"/>
      <x:c r="M55" s="1639"/>
      <x:c r="N55" s="1639"/>
      <x:c r="O55" s="1639" t="str">
        <x:v>미확인</x:v>
      </x:c>
      <x:c r="P55" s="1639"/>
      <x:c r="Q55" s="1639"/>
      <x:c r="R55" s="1645" t="str">
        <x:f>IF(G55="부적합확인",IF(H55&lt;&gt;"부적합","부적합 판정필요",IF(AND(I55&lt;&gt;"",J55&lt;&gt;"",K55&lt;&gt;"",M55&lt;&gt;"",N55&lt;&gt;"",O55="적합",P55&lt;&gt;"",Q55&lt;&gt;""),"시정조치 종결","시정조치 진행")),IF(H55="부적합",IF(AND(G55="검증완료",I55&lt;&gt;"",J55&lt;&gt;"",K55&lt;&gt;"",M55&lt;&gt;"",N55&lt;&gt;"",O55="적합",P55&lt;&gt;"",Q55&lt;&gt;""),"시정조치 종결","시정조치 진행"),IF(AND(G55="검증완료",H55="적합"),"적합확인",IF(G55="검증완료","판정대기","검증대기"))))</x:f>
        <x:v>검증대기</x:v>
      </x:c>
      <x:c r="S55" s="1633" t="str">
        <x:v>22_2동_브레이징_점검!12행</x:v>
      </x:c>
      <x:c r="T55" s="1642"/>
    </x:row>
    <x:row r="56" ht="29" customHeight="1">
      <x:c r="A56" s="1632" t="str">
        <x:v>SQ-W007</x:v>
      </x:c>
      <x:c r="B56" s="1633" t="str">
        <x:v>2동브레이징</x:v>
      </x:c>
      <x:c r="C56" s="1633" t="str">
        <x:v>3-1</x:v>
      </x:c>
      <x:c r="D56" s="1633" t="str">
        <x:v>FA1A8HRAAC</x:v>
      </x:c>
      <x:c r="E56" s="1633" t="str">
        <x:v>일상점검</x:v>
      </x:c>
      <x:c r="F56" s="1633" t="str">
        <x:v>생산/생산기술</x:v>
      </x:c>
      <x:c r="G56" s="1645" t="str">
        <x:f>IF(AND('22_2동_브레이징_점검'!N13="종결",'22_2동_브레이징_점검'!H13="적합",'22_2동_브레이징_점검'!I13&lt;&gt;"",'22_2동_브레이징_점검'!L13&lt;&gt;"",'22_2동_브레이징_점검'!M13&lt;&gt;""),"검증완료",IF('22_2동_브레이징_점검'!H13="부적합","부적합확인","미확인"))</x:f>
        <x:v>미확인</x:v>
      </x:c>
      <x:c r="H56" s="1639" t="str">
        <x:v>미판정</x:v>
      </x:c>
      <x:c r="I56" s="1639"/>
      <x:c r="J56" s="1639"/>
      <x:c r="K56" s="1639"/>
      <x:c r="L56" s="1639"/>
      <x:c r="M56" s="1639"/>
      <x:c r="N56" s="1639"/>
      <x:c r="O56" s="1639" t="str">
        <x:v>미확인</x:v>
      </x:c>
      <x:c r="P56" s="1639"/>
      <x:c r="Q56" s="1639"/>
      <x:c r="R56" s="1645" t="str">
        <x:f>IF(G56="부적합확인",IF(H56&lt;&gt;"부적합","부적합 판정필요",IF(AND(I56&lt;&gt;"",J56&lt;&gt;"",K56&lt;&gt;"",M56&lt;&gt;"",N56&lt;&gt;"",O56="적합",P56&lt;&gt;"",Q56&lt;&gt;""),"시정조치 종결","시정조치 진행")),IF(H56="부적합",IF(AND(G56="검증완료",I56&lt;&gt;"",J56&lt;&gt;"",K56&lt;&gt;"",M56&lt;&gt;"",N56&lt;&gt;"",O56="적합",P56&lt;&gt;"",Q56&lt;&gt;""),"시정조치 종결","시정조치 진행"),IF(AND(G56="검증완료",H56="적합"),"적합확인",IF(G56="검증완료","판정대기","검증대기"))))</x:f>
        <x:v>검증대기</x:v>
      </x:c>
      <x:c r="S56" s="1633" t="str">
        <x:v>22_2동_브레이징_점검!13행</x:v>
      </x:c>
      <x:c r="T56" s="1642"/>
    </x:row>
    <x:row r="57" ht="29" customHeight="1">
      <x:c r="A57" s="1632" t="str">
        <x:v>SQ-W008</x:v>
      </x:c>
      <x:c r="B57" s="1633" t="str">
        <x:v>2동브레이징</x:v>
      </x:c>
      <x:c r="C57" s="1633" t="str">
        <x:v>3-2</x:v>
      </x:c>
      <x:c r="D57" s="1633" t="str">
        <x:v>FA1A8HRAAC</x:v>
      </x:c>
      <x:c r="E57" s="1633" t="str">
        <x:v>정기 예방보전</x:v>
      </x:c>
      <x:c r="F57" s="1633" t="str">
        <x:v>생산기술</x:v>
      </x:c>
      <x:c r="G57" s="1645" t="str">
        <x:f>IF(AND('22_2동_브레이징_점검'!N14="종결",'22_2동_브레이징_점검'!H14="적합",'22_2동_브레이징_점검'!I14&lt;&gt;"",'22_2동_브레이징_점검'!L14&lt;&gt;"",'22_2동_브레이징_점검'!M14&lt;&gt;""),"검증완료",IF('22_2동_브레이징_점검'!H14="부적합","부적합확인","미확인"))</x:f>
        <x:v>미확인</x:v>
      </x:c>
      <x:c r="H57" s="1639" t="str">
        <x:v>미판정</x:v>
      </x:c>
      <x:c r="I57" s="1639"/>
      <x:c r="J57" s="1639"/>
      <x:c r="K57" s="1639"/>
      <x:c r="L57" s="1639"/>
      <x:c r="M57" s="1639"/>
      <x:c r="N57" s="1639"/>
      <x:c r="O57" s="1639" t="str">
        <x:v>미확인</x:v>
      </x:c>
      <x:c r="P57" s="1639"/>
      <x:c r="Q57" s="1639"/>
      <x:c r="R57" s="1645" t="str">
        <x:f>IF(G57="부적합확인",IF(H57&lt;&gt;"부적합","부적합 판정필요",IF(AND(I57&lt;&gt;"",J57&lt;&gt;"",K57&lt;&gt;"",M57&lt;&gt;"",N57&lt;&gt;"",O57="적합",P57&lt;&gt;"",Q57&lt;&gt;""),"시정조치 종결","시정조치 진행")),IF(H57="부적합",IF(AND(G57="검증완료",I57&lt;&gt;"",J57&lt;&gt;"",K57&lt;&gt;"",M57&lt;&gt;"",N57&lt;&gt;"",O57="적합",P57&lt;&gt;"",Q57&lt;&gt;""),"시정조치 종결","시정조치 진행"),IF(AND(G57="검증완료",H57="적합"),"적합확인",IF(G57="검증완료","판정대기","검증대기"))))</x:f>
        <x:v>검증대기</x:v>
      </x:c>
      <x:c r="S57" s="1633" t="str">
        <x:v>22_2동_브레이징_점검!14행</x:v>
      </x:c>
      <x:c r="T57" s="1642"/>
    </x:row>
    <x:row r="58" ht="29" customHeight="1">
      <x:c r="A58" s="1632" t="str">
        <x:v>SQ-W009</x:v>
      </x:c>
      <x:c r="B58" s="1633" t="str">
        <x:v>2동브레이징</x:v>
      </x:c>
      <x:c r="C58" s="1633" t="str">
        <x:v>3-3</x:v>
      </x:c>
      <x:c r="D58" s="1633" t="str">
        <x:v>FA1A8HRAAC</x:v>
      </x:c>
      <x:c r="E58" s="1633" t="str">
        <x:v>용접부 유지/소모품 점검</x:v>
      </x:c>
      <x:c r="F58" s="1633" t="str">
        <x:v>생산/생산기술</x:v>
      </x:c>
      <x:c r="G58" s="1645" t="str">
        <x:f>IF(AND('22_2동_브레이징_점검'!N15="종결",'22_2동_브레이징_점검'!H15="적합",'22_2동_브레이징_점검'!I15&lt;&gt;"",'22_2동_브레이징_점검'!L15&lt;&gt;"",'22_2동_브레이징_점검'!M15&lt;&gt;""),"검증완료",IF('22_2동_브레이징_점검'!H15="부적합","부적합확인","미확인"))</x:f>
        <x:v>미확인</x:v>
      </x:c>
      <x:c r="H58" s="1639" t="str">
        <x:v>미판정</x:v>
      </x:c>
      <x:c r="I58" s="1639"/>
      <x:c r="J58" s="1639"/>
      <x:c r="K58" s="1639"/>
      <x:c r="L58" s="1639"/>
      <x:c r="M58" s="1639"/>
      <x:c r="N58" s="1639"/>
      <x:c r="O58" s="1639" t="str">
        <x:v>미확인</x:v>
      </x:c>
      <x:c r="P58" s="1639"/>
      <x:c r="Q58" s="1639"/>
      <x:c r="R58" s="1645" t="str">
        <x:f>IF(G58="부적합확인",IF(H58&lt;&gt;"부적합","부적합 판정필요",IF(AND(I58&lt;&gt;"",J58&lt;&gt;"",K58&lt;&gt;"",M58&lt;&gt;"",N58&lt;&gt;"",O58="적합",P58&lt;&gt;"",Q58&lt;&gt;""),"시정조치 종결","시정조치 진행")),IF(H58="부적합",IF(AND(G58="검증완료",I58&lt;&gt;"",J58&lt;&gt;"",K58&lt;&gt;"",M58&lt;&gt;"",N58&lt;&gt;"",O58="적합",P58&lt;&gt;"",Q58&lt;&gt;""),"시정조치 종결","시정조치 진행"),IF(AND(G58="검증완료",H58="적합"),"적합확인",IF(G58="검증완료","판정대기","검증대기"))))</x:f>
        <x:v>검증대기</x:v>
      </x:c>
      <x:c r="S58" s="1633" t="str">
        <x:v>22_2동_브레이징_점검!15행</x:v>
      </x:c>
      <x:c r="T58" s="1642"/>
    </x:row>
    <x:row r="59" ht="29" customHeight="1">
      <x:c r="A59" s="1632" t="str">
        <x:v>SQ-W010</x:v>
      </x:c>
      <x:c r="B59" s="1633" t="str">
        <x:v>2동브레이징</x:v>
      </x:c>
      <x:c r="C59" s="1633" t="str">
        <x:v>3-5</x:v>
      </x:c>
      <x:c r="D59" s="1633" t="str">
        <x:v>FA1A8HRAAC</x:v>
      </x:c>
      <x:c r="E59" s="1633" t="str">
        <x:v>Fool Proof 작동성</x:v>
      </x:c>
      <x:c r="F59" s="1633" t="str">
        <x:v>생산기술/품질</x:v>
      </x:c>
      <x:c r="G59" s="1645" t="str">
        <x:f>IF(AND('22_2동_브레이징_점검'!N16="종결",'22_2동_브레이징_점검'!H16="적합",'22_2동_브레이징_점검'!I16&lt;&gt;"",'22_2동_브레이징_점검'!L16&lt;&gt;"",'22_2동_브레이징_점검'!M16&lt;&gt;""),"검증완료",IF('22_2동_브레이징_점검'!H16="부적합","부적합확인","미확인"))</x:f>
        <x:v>미확인</x:v>
      </x:c>
      <x:c r="H59" s="1639" t="str">
        <x:v>미판정</x:v>
      </x:c>
      <x:c r="I59" s="1639"/>
      <x:c r="J59" s="1639"/>
      <x:c r="K59" s="1639"/>
      <x:c r="L59" s="1639"/>
      <x:c r="M59" s="1639"/>
      <x:c r="N59" s="1639"/>
      <x:c r="O59" s="1639" t="str">
        <x:v>미확인</x:v>
      </x:c>
      <x:c r="P59" s="1639"/>
      <x:c r="Q59" s="1639"/>
      <x:c r="R59" s="1645" t="str">
        <x:f>IF(G59="부적합확인",IF(H59&lt;&gt;"부적합","부적합 판정필요",IF(AND(I59&lt;&gt;"",J59&lt;&gt;"",K59&lt;&gt;"",M59&lt;&gt;"",N59&lt;&gt;"",O59="적합",P59&lt;&gt;"",Q59&lt;&gt;""),"시정조치 종결","시정조치 진행")),IF(H59="부적합",IF(AND(G59="검증완료",I59&lt;&gt;"",J59&lt;&gt;"",K59&lt;&gt;"",M59&lt;&gt;"",N59&lt;&gt;"",O59="적합",P59&lt;&gt;"",Q59&lt;&gt;""),"시정조치 종결","시정조치 진행"),IF(AND(G59="검증완료",H59="적합"),"적합확인",IF(G59="검증완료","판정대기","검증대기"))))</x:f>
        <x:v>검증대기</x:v>
      </x:c>
      <x:c r="S59" s="1633" t="str">
        <x:v>22_2동_브레이징_점검!16행</x:v>
      </x:c>
      <x:c r="T59" s="1642"/>
    </x:row>
    <x:row r="60" ht="29" customHeight="1">
      <x:c r="A60" s="1632" t="str">
        <x:v>SQ-W011</x:v>
      </x:c>
      <x:c r="B60" s="1633" t="str">
        <x:v>2동브레이징</x:v>
      </x:c>
      <x:c r="C60" s="1633" t="str">
        <x:v>3-6</x:v>
      </x:c>
      <x:c r="D60" s="1633" t="str">
        <x:v>FA1A8HRAAC</x:v>
      </x:c>
      <x:c r="E60" s="1633" t="str">
        <x:v>JIG 관리</x:v>
      </x:c>
      <x:c r="F60" s="1633" t="str">
        <x:v>생산/생산기술</x:v>
      </x:c>
      <x:c r="G60" s="1645" t="str">
        <x:f>IF(AND('22_2동_브레이징_점검'!N17="종결",'22_2동_브레이징_점검'!H17="적합",'22_2동_브레이징_점검'!I17&lt;&gt;"",'22_2동_브레이징_점검'!L17&lt;&gt;"",'22_2동_브레이징_점검'!M17&lt;&gt;""),"검증완료",IF('22_2동_브레이징_점검'!H17="부적합","부적합확인","미확인"))</x:f>
        <x:v>미확인</x:v>
      </x:c>
      <x:c r="H60" s="1639" t="str">
        <x:v>미판정</x:v>
      </x:c>
      <x:c r="I60" s="1639"/>
      <x:c r="J60" s="1639"/>
      <x:c r="K60" s="1639"/>
      <x:c r="L60" s="1639"/>
      <x:c r="M60" s="1639"/>
      <x:c r="N60" s="1639"/>
      <x:c r="O60" s="1639" t="str">
        <x:v>미확인</x:v>
      </x:c>
      <x:c r="P60" s="1639"/>
      <x:c r="Q60" s="1639"/>
      <x:c r="R60" s="1645" t="str">
        <x:f>IF(G60="부적합확인",IF(H60&lt;&gt;"부적합","부적합 판정필요",IF(AND(I60&lt;&gt;"",J60&lt;&gt;"",K60&lt;&gt;"",M60&lt;&gt;"",N60&lt;&gt;"",O60="적합",P60&lt;&gt;"",Q60&lt;&gt;""),"시정조치 종결","시정조치 진행")),IF(H60="부적합",IF(AND(G60="검증완료",I60&lt;&gt;"",J60&lt;&gt;"",K60&lt;&gt;"",M60&lt;&gt;"",N60&lt;&gt;"",O60="적합",P60&lt;&gt;"",Q60&lt;&gt;""),"시정조치 종결","시정조치 진행"),IF(AND(G60="검증완료",H60="적합"),"적합확인",IF(G60="검증완료","판정대기","검증대기"))))</x:f>
        <x:v>검증대기</x:v>
      </x:c>
      <x:c r="S60" s="1633" t="str">
        <x:v>22_2동_브레이징_점검!17행</x:v>
      </x:c>
      <x:c r="T60" s="1642"/>
    </x:row>
    <x:row r="61" ht="29" customHeight="1">
      <x:c r="A61" s="1632" t="str">
        <x:v>SQ-W012</x:v>
      </x:c>
      <x:c r="B61" s="1633" t="str">
        <x:v>2동브레이징</x:v>
      </x:c>
      <x:c r="C61" s="1633" t="str">
        <x:v>4-1</x:v>
      </x:c>
      <x:c r="D61" s="1633" t="str">
        <x:v>FA1A8HRAAC</x:v>
      </x:c>
      <x:c r="E61" s="1633" t="str">
        <x:v>금형/용접 JIG 관리</x:v>
      </x:c>
      <x:c r="F61" s="1633" t="str">
        <x:v>생산/생산기술</x:v>
      </x:c>
      <x:c r="G61" s="1645" t="str">
        <x:f>IF(AND('22_2동_브레이징_점검'!N18="종결",'22_2동_브레이징_점검'!H18="적합",'22_2동_브레이징_점검'!I18&lt;&gt;"",'22_2동_브레이징_점검'!L18&lt;&gt;"",'22_2동_브레이징_점검'!M18&lt;&gt;""),"검증완료",IF('22_2동_브레이징_점검'!H18="부적합","부적합확인","미확인"))</x:f>
        <x:v>미확인</x:v>
      </x:c>
      <x:c r="H61" s="1639" t="str">
        <x:v>미판정</x:v>
      </x:c>
      <x:c r="I61" s="1639"/>
      <x:c r="J61" s="1639"/>
      <x:c r="K61" s="1639"/>
      <x:c r="L61" s="1639"/>
      <x:c r="M61" s="1639"/>
      <x:c r="N61" s="1639"/>
      <x:c r="O61" s="1639" t="str">
        <x:v>미확인</x:v>
      </x:c>
      <x:c r="P61" s="1639"/>
      <x:c r="Q61" s="1639"/>
      <x:c r="R61" s="1645" t="str">
        <x:f>IF(G61="부적합확인",IF(H61&lt;&gt;"부적합","부적합 판정필요",IF(AND(I61&lt;&gt;"",J61&lt;&gt;"",K61&lt;&gt;"",M61&lt;&gt;"",N61&lt;&gt;"",O61="적합",P61&lt;&gt;"",Q61&lt;&gt;""),"시정조치 종결","시정조치 진행")),IF(H61="부적합",IF(AND(G61="검증완료",I61&lt;&gt;"",J61&lt;&gt;"",K61&lt;&gt;"",M61&lt;&gt;"",N61&lt;&gt;"",O61="적합",P61&lt;&gt;"",Q61&lt;&gt;""),"시정조치 종결","시정조치 진행"),IF(AND(G61="검증완료",H61="적합"),"적합확인",IF(G61="검증완료","판정대기","검증대기"))))</x:f>
        <x:v>검증대기</x:v>
      </x:c>
      <x:c r="S61" s="1633" t="str">
        <x:v>22_2동_브레이징_점검!18행</x:v>
      </x:c>
      <x:c r="T61" s="1642"/>
    </x:row>
    <x:row r="62" ht="29" customHeight="1">
      <x:c r="A62" s="1632" t="str">
        <x:v>SQ-W013</x:v>
      </x:c>
      <x:c r="B62" s="1633" t="str">
        <x:v>2동브레이징</x:v>
      </x:c>
      <x:c r="C62" s="1633" t="str">
        <x:v>5-1</x:v>
      </x:c>
      <x:c r="D62" s="1633" t="str">
        <x:v>FA1A8HRAAC</x:v>
      </x:c>
      <x:c r="E62" s="1633" t="str">
        <x:v>LOT 추적</x:v>
      </x:c>
      <x:c r="F62" s="1633" t="str">
        <x:v>자재/생산/품질</x:v>
      </x:c>
      <x:c r="G62" s="1645" t="str">
        <x:f>IF(AND('22_2동_브레이징_점검'!N19="종결",'22_2동_브레이징_점검'!H19="적합",'22_2동_브레이징_점검'!I19&lt;&gt;"",'22_2동_브레이징_점검'!L19&lt;&gt;"",'22_2동_브레이징_점검'!M19&lt;&gt;""),"검증완료",IF('22_2동_브레이징_점검'!H19="부적합","부적합확인","미확인"))</x:f>
        <x:v>미확인</x:v>
      </x:c>
      <x:c r="H62" s="1639" t="str">
        <x:v>미판정</x:v>
      </x:c>
      <x:c r="I62" s="1639"/>
      <x:c r="J62" s="1639"/>
      <x:c r="K62" s="1639"/>
      <x:c r="L62" s="1639"/>
      <x:c r="M62" s="1639"/>
      <x:c r="N62" s="1639"/>
      <x:c r="O62" s="1639" t="str">
        <x:v>미확인</x:v>
      </x:c>
      <x:c r="P62" s="1639"/>
      <x:c r="Q62" s="1639"/>
      <x:c r="R62" s="1645" t="str">
        <x:f>IF(G62="부적합확인",IF(H62&lt;&gt;"부적합","부적합 판정필요",IF(AND(I62&lt;&gt;"",J62&lt;&gt;"",K62&lt;&gt;"",M62&lt;&gt;"",N62&lt;&gt;"",O62="적합",P62&lt;&gt;"",Q62&lt;&gt;""),"시정조치 종결","시정조치 진행")),IF(H62="부적합",IF(AND(G62="검증완료",I62&lt;&gt;"",J62&lt;&gt;"",K62&lt;&gt;"",M62&lt;&gt;"",N62&lt;&gt;"",O62="적합",P62&lt;&gt;"",Q62&lt;&gt;""),"시정조치 종결","시정조치 진행"),IF(AND(G62="검증완료",H62="적합"),"적합확인",IF(G62="검증완료","판정대기","검증대기"))))</x:f>
        <x:v>검증대기</x:v>
      </x:c>
      <x:c r="S62" s="1633" t="str">
        <x:v>22_2동_브레이징_점검!19행</x:v>
      </x:c>
      <x:c r="T62" s="1642"/>
    </x:row>
    <x:row r="63" ht="29" customHeight="1">
      <x:c r="A63" s="1632" t="str">
        <x:v>SQ-W014</x:v>
      </x:c>
      <x:c r="B63" s="1633" t="str">
        <x:v>2동브레이징</x:v>
      </x:c>
      <x:c r="C63" s="1633" t="str">
        <x:v>6-2</x:v>
      </x:c>
      <x:c r="D63" s="1633" t="str">
        <x:v>FA1A8HRAAC</x:v>
      </x:c>
      <x:c r="E63" s="1633" t="str">
        <x:v>4M 변경</x:v>
      </x:c>
      <x:c r="F63" s="1633" t="str">
        <x:v>개발/품질/생산기술</x:v>
      </x:c>
      <x:c r="G63" s="1645" t="str">
        <x:f>IF(AND('22_2동_브레이징_점검'!N20="종결",'22_2동_브레이징_점검'!H20="적합",'22_2동_브레이징_점검'!I20&lt;&gt;"",'22_2동_브레이징_점검'!L20&lt;&gt;"",'22_2동_브레이징_점검'!M20&lt;&gt;""),"검증완료",IF('22_2동_브레이징_점검'!H20="부적합","부적합확인","미확인"))</x:f>
        <x:v>미확인</x:v>
      </x:c>
      <x:c r="H63" s="1639" t="str">
        <x:v>미판정</x:v>
      </x:c>
      <x:c r="I63" s="1639"/>
      <x:c r="J63" s="1639"/>
      <x:c r="K63" s="1639"/>
      <x:c r="L63" s="1639"/>
      <x:c r="M63" s="1639"/>
      <x:c r="N63" s="1639"/>
      <x:c r="O63" s="1639" t="str">
        <x:v>미확인</x:v>
      </x:c>
      <x:c r="P63" s="1639"/>
      <x:c r="Q63" s="1639"/>
      <x:c r="R63" s="1645" t="str">
        <x:f>IF(G63="부적합확인",IF(H63&lt;&gt;"부적합","부적합 판정필요",IF(AND(I63&lt;&gt;"",J63&lt;&gt;"",K63&lt;&gt;"",M63&lt;&gt;"",N63&lt;&gt;"",O63="적합",P63&lt;&gt;"",Q63&lt;&gt;""),"시정조치 종결","시정조치 진행")),IF(H63="부적합",IF(AND(G63="검증완료",I63&lt;&gt;"",J63&lt;&gt;"",K63&lt;&gt;"",M63&lt;&gt;"",N63&lt;&gt;"",O63="적합",P63&lt;&gt;"",Q63&lt;&gt;""),"시정조치 종결","시정조치 진행"),IF(AND(G63="검증완료",H63="적합"),"적합확인",IF(G63="검증완료","판정대기","검증대기"))))</x:f>
        <x:v>검증대기</x:v>
      </x:c>
      <x:c r="S63" s="1633" t="str">
        <x:v>22_2동_브레이징_점검!20행</x:v>
      </x:c>
      <x:c r="T63" s="1642"/>
    </x:row>
    <x:row r="64" ht="29" customHeight="1">
      <x:c r="A64" s="1632" t="str">
        <x:v>SQ-W015</x:v>
      </x:c>
      <x:c r="B64" s="1633" t="str">
        <x:v>2동브레이징</x:v>
      </x:c>
      <x:c r="C64" s="1633" t="str">
        <x:v>6-5</x:v>
      </x:c>
      <x:c r="D64" s="1633" t="str">
        <x:v>FA1A8HRAAC</x:v>
      </x:c>
      <x:c r="E64" s="1633" t="str">
        <x:v>작업자 자격</x:v>
      </x:c>
      <x:c r="F64" s="1633" t="str">
        <x:v>생산/경영관리</x:v>
      </x:c>
      <x:c r="G64" s="1645" t="str">
        <x:f>IF(AND('22_2동_브레이징_점검'!N21="종결",'22_2동_브레이징_점검'!H21="적합",'22_2동_브레이징_점검'!I21&lt;&gt;"",'22_2동_브레이징_점검'!L21&lt;&gt;"",'22_2동_브레이징_점검'!M21&lt;&gt;""),"검증완료",IF('22_2동_브레이징_점검'!H21="부적합","부적합확인","미확인"))</x:f>
        <x:v>미확인</x:v>
      </x:c>
      <x:c r="H64" s="1639" t="str">
        <x:v>미판정</x:v>
      </x:c>
      <x:c r="I64" s="1639"/>
      <x:c r="J64" s="1639"/>
      <x:c r="K64" s="1639"/>
      <x:c r="L64" s="1639"/>
      <x:c r="M64" s="1639"/>
      <x:c r="N64" s="1639"/>
      <x:c r="O64" s="1639" t="str">
        <x:v>미확인</x:v>
      </x:c>
      <x:c r="P64" s="1639"/>
      <x:c r="Q64" s="1639"/>
      <x:c r="R64" s="1645" t="str">
        <x:f>IF(G64="부적합확인",IF(H64&lt;&gt;"부적합","부적합 판정필요",IF(AND(I64&lt;&gt;"",J64&lt;&gt;"",K64&lt;&gt;"",M64&lt;&gt;"",N64&lt;&gt;"",O64="적합",P64&lt;&gt;"",Q64&lt;&gt;""),"시정조치 종결","시정조치 진행")),IF(H64="부적합",IF(AND(G64="검증완료",I64&lt;&gt;"",J64&lt;&gt;"",K64&lt;&gt;"",M64&lt;&gt;"",N64&lt;&gt;"",O64="적합",P64&lt;&gt;"",Q64&lt;&gt;""),"시정조치 종결","시정조치 진행"),IF(AND(G64="검증완료",H64="적합"),"적합확인",IF(G64="검증완료","판정대기","검증대기"))))</x:f>
        <x:v>검증대기</x:v>
      </x:c>
      <x:c r="S64" s="1633" t="str">
        <x:v>22_2동_브레이징_점검!21행</x:v>
      </x:c>
      <x:c r="T64" s="1642"/>
    </x:row>
    <x:row r="65" ht="29" customHeight="1">
      <x:c r="A65" s="1632" t="str">
        <x:v>SQ-W016</x:v>
      </x:c>
      <x:c r="B65" s="1633" t="str">
        <x:v>2동브레이징</x:v>
      </x:c>
      <x:c r="C65" s="1633" t="str">
        <x:v>6-7</x:v>
      </x:c>
      <x:c r="D65" s="1633" t="str">
        <x:v>FA1A8HRAAC</x:v>
      </x:c>
      <x:c r="E65" s="1633" t="str">
        <x:v>부적합·격리</x:v>
      </x:c>
      <x:c r="F65" s="1633" t="str">
        <x:v>생산/품질</x:v>
      </x:c>
      <x:c r="G65" s="1645" t="str">
        <x:f>IF(AND('22_2동_브레이징_점검'!N22="종결",'22_2동_브레이징_점검'!H22="적합",'22_2동_브레이징_점검'!I22&lt;&gt;"",'22_2동_브레이징_점검'!L22&lt;&gt;"",'22_2동_브레이징_점검'!M22&lt;&gt;""),"검증완료",IF('22_2동_브레이징_점검'!H22="부적합","부적합확인","미확인"))</x:f>
        <x:v>미확인</x:v>
      </x:c>
      <x:c r="H65" s="1639" t="str">
        <x:v>미판정</x:v>
      </x:c>
      <x:c r="I65" s="1639"/>
      <x:c r="J65" s="1639"/>
      <x:c r="K65" s="1639"/>
      <x:c r="L65" s="1639"/>
      <x:c r="M65" s="1639"/>
      <x:c r="N65" s="1639"/>
      <x:c r="O65" s="1639" t="str">
        <x:v>미확인</x:v>
      </x:c>
      <x:c r="P65" s="1639"/>
      <x:c r="Q65" s="1639"/>
      <x:c r="R65" s="1645" t="str">
        <x:f>IF(G65="부적합확인",IF(H65&lt;&gt;"부적합","부적합 판정필요",IF(AND(I65&lt;&gt;"",J65&lt;&gt;"",K65&lt;&gt;"",M65&lt;&gt;"",N65&lt;&gt;"",O65="적합",P65&lt;&gt;"",Q65&lt;&gt;""),"시정조치 종결","시정조치 진행")),IF(H65="부적합",IF(AND(G65="검증완료",I65&lt;&gt;"",J65&lt;&gt;"",K65&lt;&gt;"",M65&lt;&gt;"",N65&lt;&gt;"",O65="적합",P65&lt;&gt;"",Q65&lt;&gt;""),"시정조치 종결","시정조치 진행"),IF(AND(G65="검증완료",H65="적합"),"적합확인",IF(G65="검증완료","판정대기","검증대기"))))</x:f>
        <x:v>검증대기</x:v>
      </x:c>
      <x:c r="S65" s="1633" t="str">
        <x:v>22_2동_브레이징_점검!22행</x:v>
      </x:c>
      <x:c r="T65" s="1642"/>
    </x:row>
    <x:row r="66" ht="29" customHeight="1">
      <x:c r="A66" s="1632" t="str">
        <x:v>SQ-W017</x:v>
      </x:c>
      <x:c r="B66" s="1633" t="str">
        <x:v>2동브레이징</x:v>
      </x:c>
      <x:c r="C66" s="1633" t="str">
        <x:v>6-12</x:v>
      </x:c>
      <x:c r="D66" s="1633" t="str">
        <x:v>FA1A8HRAAC</x:v>
      </x:c>
      <x:c r="E66" s="1633" t="str">
        <x:v>재작업(Rework)</x:v>
      </x:c>
      <x:c r="F66" s="1633" t="str">
        <x:v>생산/품질</x:v>
      </x:c>
      <x:c r="G66" s="1645" t="str">
        <x:f>IF(AND('22_2동_브레이징_점검'!N23="종결",'22_2동_브레이징_점검'!H23="적합",'22_2동_브레이징_점검'!I23&lt;&gt;"",'22_2동_브레이징_점검'!L23&lt;&gt;"",'22_2동_브레이징_점검'!M23&lt;&gt;""),"검증완료",IF('22_2동_브레이징_점검'!H23="부적합","부적합확인","미확인"))</x:f>
        <x:v>미확인</x:v>
      </x:c>
      <x:c r="H66" s="1639" t="str">
        <x:v>미판정</x:v>
      </x:c>
      <x:c r="I66" s="1639"/>
      <x:c r="J66" s="1639"/>
      <x:c r="K66" s="1639"/>
      <x:c r="L66" s="1639"/>
      <x:c r="M66" s="1639"/>
      <x:c r="N66" s="1639"/>
      <x:c r="O66" s="1639" t="str">
        <x:v>미확인</x:v>
      </x:c>
      <x:c r="P66" s="1639"/>
      <x:c r="Q66" s="1639"/>
      <x:c r="R66" s="1645" t="str">
        <x:f>IF(G66="부적합확인",IF(H66&lt;&gt;"부적합","부적합 판정필요",IF(AND(I66&lt;&gt;"",J66&lt;&gt;"",K66&lt;&gt;"",M66&lt;&gt;"",N66&lt;&gt;"",O66="적합",P66&lt;&gt;"",Q66&lt;&gt;""),"시정조치 종결","시정조치 진행")),IF(H66="부적합",IF(AND(G66="검증완료",I66&lt;&gt;"",J66&lt;&gt;"",K66&lt;&gt;"",M66&lt;&gt;"",N66&lt;&gt;"",O66="적합",P66&lt;&gt;"",Q66&lt;&gt;""),"시정조치 종결","시정조치 진행"),IF(AND(G66="검증완료",H66="적합"),"적합확인",IF(G66="검증완료","판정대기","검증대기"))))</x:f>
        <x:v>검증대기</x:v>
      </x:c>
      <x:c r="S66" s="1633" t="str">
        <x:v>22_2동_브레이징_점검!23행</x:v>
      </x:c>
      <x:c r="T66" s="1642"/>
    </x:row>
    <x:row r="67" ht="29" customHeight="1">
      <x:c r="A67" s="1632" t="str">
        <x:v>SQ-W018</x:v>
      </x:c>
      <x:c r="B67" s="1633" t="str">
        <x:v>2동브레이징</x:v>
      </x:c>
      <x:c r="C67" s="1633" t="str">
        <x:v>6-12</x:v>
      </x:c>
      <x:c r="D67" s="1633" t="str">
        <x:v>FA1A8HRAAC</x:v>
      </x:c>
      <x:c r="E67" s="1633" t="str">
        <x:v>파괴시험 교육·자격</x:v>
      </x:c>
      <x:c r="F67" s="1633" t="str">
        <x:v>생산/품질</x:v>
      </x:c>
      <x:c r="G67" s="1645" t="str">
        <x:f>IF(AND('22_2동_브레이징_점검'!N24="종결",'22_2동_브레이징_점검'!H24="적합",'22_2동_브레이징_점검'!I24&lt;&gt;"",'22_2동_브레이징_점검'!L24&lt;&gt;"",'22_2동_브레이징_점검'!M24&lt;&gt;""),"검증완료",IF('22_2동_브레이징_점검'!H24="부적합","부적합확인","미확인"))</x:f>
        <x:v>미확인</x:v>
      </x:c>
      <x:c r="H67" s="1639" t="str">
        <x:v>미판정</x:v>
      </x:c>
      <x:c r="I67" s="1639"/>
      <x:c r="J67" s="1639"/>
      <x:c r="K67" s="1639"/>
      <x:c r="L67" s="1639"/>
      <x:c r="M67" s="1639"/>
      <x:c r="N67" s="1639"/>
      <x:c r="O67" s="1639" t="str">
        <x:v>미확인</x:v>
      </x:c>
      <x:c r="P67" s="1639"/>
      <x:c r="Q67" s="1639"/>
      <x:c r="R67" s="1645" t="str">
        <x:f>IF(G67="부적합확인",IF(H67&lt;&gt;"부적합","부적합 판정필요",IF(AND(I67&lt;&gt;"",J67&lt;&gt;"",K67&lt;&gt;"",M67&lt;&gt;"",N67&lt;&gt;"",O67="적합",P67&lt;&gt;"",Q67&lt;&gt;""),"시정조치 종결","시정조치 진행")),IF(H67="부적합",IF(AND(G67="검증완료",I67&lt;&gt;"",J67&lt;&gt;"",K67&lt;&gt;"",M67&lt;&gt;"",N67&lt;&gt;"",O67="적합",P67&lt;&gt;"",Q67&lt;&gt;""),"시정조치 종결","시정조치 진행"),IF(AND(G67="검증완료",H67="적합"),"적합확인",IF(G67="검증완료","판정대기","검증대기"))))</x:f>
        <x:v>검증대기</x:v>
      </x:c>
      <x:c r="S67" s="1633" t="str">
        <x:v>22_2동_브레이징_점검!24행</x:v>
      </x:c>
      <x:c r="T67" s="1642"/>
    </x:row>
    <x:row r="68" ht="29" customHeight="1">
      <x:c r="A68" s="1632" t="str">
        <x:v>SQ-W019</x:v>
      </x:c>
      <x:c r="B68" s="1633" t="str">
        <x:v>2동브레이징</x:v>
      </x:c>
      <x:c r="C68" s="1633" t="str">
        <x:v>1-2</x:v>
      </x:c>
      <x:c r="D68" s="1633" t="str">
        <x:v>FA1A8HRAAC</x:v>
      </x:c>
      <x:c r="E68" s="1633" t="str">
        <x:v>재가동 승인</x:v>
      </x:c>
      <x:c r="F68" s="1633" t="str">
        <x:v>생산/품질</x:v>
      </x:c>
      <x:c r="G68" s="1645" t="str">
        <x:f>IF(AND('22_2동_브레이징_점검'!N25="종결",'22_2동_브레이징_점검'!H25="적합",'22_2동_브레이징_점검'!I25&lt;&gt;"",'22_2동_브레이징_점검'!L25&lt;&gt;"",'22_2동_브레이징_점검'!M25&lt;&gt;""),"검증완료",IF('22_2동_브레이징_점검'!H25="부적합","부적합확인","미확인"))</x:f>
        <x:v>미확인</x:v>
      </x:c>
      <x:c r="H68" s="1639" t="str">
        <x:v>미판정</x:v>
      </x:c>
      <x:c r="I68" s="1639"/>
      <x:c r="J68" s="1639"/>
      <x:c r="K68" s="1639"/>
      <x:c r="L68" s="1639"/>
      <x:c r="M68" s="1639"/>
      <x:c r="N68" s="1639"/>
      <x:c r="O68" s="1639" t="str">
        <x:v>미확인</x:v>
      </x:c>
      <x:c r="P68" s="1639"/>
      <x:c r="Q68" s="1639"/>
      <x:c r="R68" s="1645" t="str">
        <x:f>IF(G68="부적합확인",IF(H68&lt;&gt;"부적합","부적합 판정필요",IF(AND(I68&lt;&gt;"",J68&lt;&gt;"",K68&lt;&gt;"",M68&lt;&gt;"",N68&lt;&gt;"",O68="적합",P68&lt;&gt;"",Q68&lt;&gt;""),"시정조치 종결","시정조치 진행")),IF(H68="부적합",IF(AND(G68="검증완료",I68&lt;&gt;"",J68&lt;&gt;"",K68&lt;&gt;"",M68&lt;&gt;"",N68&lt;&gt;"",O68="적합",P68&lt;&gt;"",Q68&lt;&gt;""),"시정조치 종결","시정조치 진행"),IF(AND(G68="검증완료",H68="적합"),"적합확인",IF(G68="검증완료","판정대기","검증대기"))))</x:f>
        <x:v>검증대기</x:v>
      </x:c>
      <x:c r="S68" s="1633" t="str">
        <x:v>22_2동_브레이징_점검!25행</x:v>
      </x:c>
      <x:c r="T68" s="1642"/>
    </x:row>
    <x:row r="69" ht="29" customHeight="1">
      <x:c r="A69" s="1632" t="str">
        <x:v>SQ-W020</x:v>
      </x:c>
      <x:c r="B69" s="1633" t="str">
        <x:v>2동브레이징</x:v>
      </x:c>
      <x:c r="C69" s="1633" t="str">
        <x:v>2-5</x:v>
      </x:c>
      <x:c r="D69" s="1633" t="str">
        <x:v>FA1A8HRAAC</x:v>
      </x:c>
      <x:c r="E69" s="1633" t="str">
        <x:v>계측기 신뢰성</x:v>
      </x:c>
      <x:c r="F69" s="1633" t="str">
        <x:v>품질</x:v>
      </x:c>
      <x:c r="G69" s="1645" t="str">
        <x:f>IF(AND('22_2동_브레이징_점검'!N26="종결",'22_2동_브레이징_점검'!H26="적합",'22_2동_브레이징_점검'!I26&lt;&gt;"",'22_2동_브레이징_점검'!L26&lt;&gt;"",'22_2동_브레이징_점검'!M26&lt;&gt;""),"검증완료",IF('22_2동_브레이징_점검'!H26="부적합","부적합확인","미확인"))</x:f>
        <x:v>미확인</x:v>
      </x:c>
      <x:c r="H69" s="1639" t="str">
        <x:v>미판정</x:v>
      </x:c>
      <x:c r="I69" s="1639"/>
      <x:c r="J69" s="1639"/>
      <x:c r="K69" s="1639"/>
      <x:c r="L69" s="1639"/>
      <x:c r="M69" s="1639"/>
      <x:c r="N69" s="1639"/>
      <x:c r="O69" s="1639" t="str">
        <x:v>미확인</x:v>
      </x:c>
      <x:c r="P69" s="1639"/>
      <x:c r="Q69" s="1639"/>
      <x:c r="R69" s="1645" t="str">
        <x:f>IF(G69="부적합확인",IF(H69&lt;&gt;"부적합","부적합 판정필요",IF(AND(I69&lt;&gt;"",J69&lt;&gt;"",K69&lt;&gt;"",M69&lt;&gt;"",N69&lt;&gt;"",O69="적합",P69&lt;&gt;"",Q69&lt;&gt;""),"시정조치 종결","시정조치 진행")),IF(H69="부적합",IF(AND(G69="검증완료",I69&lt;&gt;"",J69&lt;&gt;"",K69&lt;&gt;"",M69&lt;&gt;"",N69&lt;&gt;"",O69="적합",P69&lt;&gt;"",Q69&lt;&gt;""),"시정조치 종결","시정조치 진행"),IF(AND(G69="검증완료",H69="적합"),"적합확인",IF(G69="검증완료","판정대기","검증대기"))))</x:f>
        <x:v>검증대기</x:v>
      </x:c>
      <x:c r="S69" s="1633" t="str">
        <x:v>22_2동_브레이징_점검!26행</x:v>
      </x:c>
      <x:c r="T69" s="1642"/>
    </x:row>
    <x:row r="70" ht="29" customHeight="1">
      <x:c r="A70" s="1632" t="str">
        <x:v>SQ-W021</x:v>
      </x:c>
      <x:c r="B70" s="1633" t="str">
        <x:v>2동브레이징</x:v>
      </x:c>
      <x:c r="C70" s="1633" t="str">
        <x:v>2-6</x:v>
      </x:c>
      <x:c r="D70" s="1633" t="str">
        <x:v>FA1A8HRAAC</x:v>
      </x:c>
      <x:c r="E70" s="1633" t="str">
        <x:v>MSA</x:v>
      </x:c>
      <x:c r="F70" s="1633" t="str">
        <x:v>품질</x:v>
      </x:c>
      <x:c r="G70" s="1645" t="str">
        <x:f>IF(AND('22_2동_브레이징_점검'!N27="종결",'22_2동_브레이징_점검'!H27="적합",'22_2동_브레이징_점검'!I27&lt;&gt;"",'22_2동_브레이징_점검'!L27&lt;&gt;"",'22_2동_브레이징_점검'!M27&lt;&gt;""),"검증완료",IF('22_2동_브레이징_점검'!H27="부적합","부적합확인","미확인"))</x:f>
        <x:v>미확인</x:v>
      </x:c>
      <x:c r="H70" s="1639" t="str">
        <x:v>미판정</x:v>
      </x:c>
      <x:c r="I70" s="1639"/>
      <x:c r="J70" s="1639"/>
      <x:c r="K70" s="1639"/>
      <x:c r="L70" s="1639"/>
      <x:c r="M70" s="1639"/>
      <x:c r="N70" s="1639"/>
      <x:c r="O70" s="1639" t="str">
        <x:v>미확인</x:v>
      </x:c>
      <x:c r="P70" s="1639"/>
      <x:c r="Q70" s="1639"/>
      <x:c r="R70" s="1645" t="str">
        <x:f>IF(G70="부적합확인",IF(H70&lt;&gt;"부적합","부적합 판정필요",IF(AND(I70&lt;&gt;"",J70&lt;&gt;"",K70&lt;&gt;"",M70&lt;&gt;"",N70&lt;&gt;"",O70="적합",P70&lt;&gt;"",Q70&lt;&gt;""),"시정조치 종결","시정조치 진행")),IF(H70="부적합",IF(AND(G70="검증완료",I70&lt;&gt;"",J70&lt;&gt;"",K70&lt;&gt;"",M70&lt;&gt;"",N70&lt;&gt;"",O70="적합",P70&lt;&gt;"",Q70&lt;&gt;""),"시정조치 종결","시정조치 진행"),IF(AND(G70="검증완료",H70="적합"),"적합확인",IF(G70="검증완료","판정대기","검증대기"))))</x:f>
        <x:v>검증대기</x:v>
      </x:c>
      <x:c r="S70" s="1633" t="str">
        <x:v>22_2동_브레이징_점검!27행</x:v>
      </x:c>
      <x:c r="T70" s="1642"/>
    </x:row>
    <x:row r="71" ht="29" customHeight="1">
      <x:c r="A71" s="1632" t="str">
        <x:v>SQ-W022</x:v>
      </x:c>
      <x:c r="B71" s="1633" t="str">
        <x:v>2동브레이징</x:v>
      </x:c>
      <x:c r="C71" s="1633" t="str">
        <x:v>6-3</x:v>
      </x:c>
      <x:c r="D71" s="1633" t="str">
        <x:v>FA1A8HRAAC</x:v>
      </x:c>
      <x:c r="E71" s="1633" t="str">
        <x:v>도면·검사협정 사내대조</x:v>
      </x:c>
      <x:c r="F71" s="1633" t="str">
        <x:v>개발/품질</x:v>
      </x:c>
      <x:c r="G71" s="1645" t="str">
        <x:f>IF(AND('22_2동_브레이징_점검'!N28="종결",'22_2동_브레이징_점검'!H28="적합",'22_2동_브레이징_점검'!I28&lt;&gt;"",'22_2동_브레이징_점검'!L28&lt;&gt;"",'22_2동_브레이징_점검'!M28&lt;&gt;""),"검증완료",IF('22_2동_브레이징_점검'!H28="부적합","부적합확인","미확인"))</x:f>
        <x:v>미확인</x:v>
      </x:c>
      <x:c r="H71" s="1639" t="str">
        <x:v>미판정</x:v>
      </x:c>
      <x:c r="I71" s="1639"/>
      <x:c r="J71" s="1639"/>
      <x:c r="K71" s="1639"/>
      <x:c r="L71" s="1639"/>
      <x:c r="M71" s="1639"/>
      <x:c r="N71" s="1639"/>
      <x:c r="O71" s="1639" t="str">
        <x:v>미확인</x:v>
      </x:c>
      <x:c r="P71" s="1639"/>
      <x:c r="Q71" s="1639"/>
      <x:c r="R71" s="1645" t="str">
        <x:f>IF(G71="부적합확인",IF(H71&lt;&gt;"부적합","부적합 판정필요",IF(AND(I71&lt;&gt;"",J71&lt;&gt;"",K71&lt;&gt;"",M71&lt;&gt;"",N71&lt;&gt;"",O71="적합",P71&lt;&gt;"",Q71&lt;&gt;""),"시정조치 종결","시정조치 진행")),IF(H71="부적합",IF(AND(G71="검증완료",I71&lt;&gt;"",J71&lt;&gt;"",K71&lt;&gt;"",M71&lt;&gt;"",N71&lt;&gt;"",O71="적합",P71&lt;&gt;"",Q71&lt;&gt;""),"시정조치 종결","시정조치 진행"),IF(AND(G71="검증완료",H71="적합"),"적합확인",IF(G71="검증완료","판정대기","검증대기"))))</x:f>
        <x:v>검증대기</x:v>
      </x:c>
      <x:c r="S71" s="1633" t="str">
        <x:v>22_2동_브레이징_점검!28행</x:v>
      </x:c>
      <x:c r="T71" s="1642"/>
    </x:row>
    <x:row r="72" ht="29" customHeight="1">
      <x:c r="A72" s="1632" t="str">
        <x:v>SQ-W023</x:v>
      </x:c>
      <x:c r="B72" s="1633" t="str">
        <x:v>2동브레이징</x:v>
      </x:c>
      <x:c r="C72" s="1633" t="str">
        <x:v>1-5</x:v>
      </x:c>
      <x:c r="D72" s="1633" t="str">
        <x:v>FA1A8HRAAD</x:v>
      </x:c>
      <x:c r="E72" s="1633" t="str">
        <x:v>적용 용접방식·라인 구성</x:v>
      </x:c>
      <x:c r="F72" s="1633" t="str">
        <x:v>생산기술</x:v>
      </x:c>
      <x:c r="G72" s="1645" t="str">
        <x:f>IF(AND('22_2동_브레이징_점검'!N29="종결",'22_2동_브레이징_점검'!H29="적합",'22_2동_브레이징_점검'!I29&lt;&gt;"",'22_2동_브레이징_점검'!L29&lt;&gt;"",'22_2동_브레이징_점검'!M29&lt;&gt;""),"검증완료",IF('22_2동_브레이징_점검'!H29="부적합","부적합확인","미확인"))</x:f>
        <x:v>미확인</x:v>
      </x:c>
      <x:c r="H72" s="1639" t="str">
        <x:v>미판정</x:v>
      </x:c>
      <x:c r="I72" s="1639"/>
      <x:c r="J72" s="1639"/>
      <x:c r="K72" s="1639"/>
      <x:c r="L72" s="1639"/>
      <x:c r="M72" s="1639"/>
      <x:c r="N72" s="1639"/>
      <x:c r="O72" s="1639" t="str">
        <x:v>미확인</x:v>
      </x:c>
      <x:c r="P72" s="1639"/>
      <x:c r="Q72" s="1639"/>
      <x:c r="R72" s="1645" t="str">
        <x:f>IF(G72="부적합확인",IF(H72&lt;&gt;"부적합","부적합 판정필요",IF(AND(I72&lt;&gt;"",J72&lt;&gt;"",K72&lt;&gt;"",M72&lt;&gt;"",N72&lt;&gt;"",O72="적합",P72&lt;&gt;"",Q72&lt;&gt;""),"시정조치 종결","시정조치 진행")),IF(H72="부적합",IF(AND(G72="검증완료",I72&lt;&gt;"",J72&lt;&gt;"",K72&lt;&gt;"",M72&lt;&gt;"",N72&lt;&gt;"",O72="적합",P72&lt;&gt;"",Q72&lt;&gt;""),"시정조치 종결","시정조치 진행"),IF(AND(G72="검증완료",H72="적합"),"적합확인",IF(G72="검증완료","판정대기","검증대기"))))</x:f>
        <x:v>검증대기</x:v>
      </x:c>
      <x:c r="S72" s="1633" t="str">
        <x:v>22_2동_브레이징_점검!29행</x:v>
      </x:c>
      <x:c r="T72" s="1642"/>
    </x:row>
    <x:row r="73" ht="29" customHeight="1">
      <x:c r="A73" s="1632" t="str">
        <x:v>SQ-W024</x:v>
      </x:c>
      <x:c r="B73" s="1633" t="str">
        <x:v>2동브레이징</x:v>
      </x:c>
      <x:c r="C73" s="1633" t="str">
        <x:v>1-5</x:v>
      </x:c>
      <x:c r="D73" s="1633" t="str">
        <x:v>FA1A8HRAAD</x:v>
      </x:c>
      <x:c r="E73" s="1633" t="str">
        <x:v>승인 공정조건</x:v>
      </x:c>
      <x:c r="F73" s="1633" t="str">
        <x:v>생산기술/품질</x:v>
      </x:c>
      <x:c r="G73" s="1645" t="str">
        <x:f>IF(AND('22_2동_브레이징_점검'!N30="종결",'22_2동_브레이징_점검'!H30="적합",'22_2동_브레이징_점검'!I30&lt;&gt;"",'22_2동_브레이징_점검'!L30&lt;&gt;"",'22_2동_브레이징_점검'!M30&lt;&gt;""),"검증완료",IF('22_2동_브레이징_점검'!H30="부적합","부적합확인","미확인"))</x:f>
        <x:v>미확인</x:v>
      </x:c>
      <x:c r="H73" s="1639" t="str">
        <x:v>미판정</x:v>
      </x:c>
      <x:c r="I73" s="1639"/>
      <x:c r="J73" s="1639"/>
      <x:c r="K73" s="1639"/>
      <x:c r="L73" s="1639"/>
      <x:c r="M73" s="1639"/>
      <x:c r="N73" s="1639"/>
      <x:c r="O73" s="1639" t="str">
        <x:v>미확인</x:v>
      </x:c>
      <x:c r="P73" s="1639"/>
      <x:c r="Q73" s="1639"/>
      <x:c r="R73" s="1645" t="str">
        <x:f>IF(G73="부적합확인",IF(H73&lt;&gt;"부적합","부적합 판정필요",IF(AND(I73&lt;&gt;"",J73&lt;&gt;"",K73&lt;&gt;"",M73&lt;&gt;"",N73&lt;&gt;"",O73="적합",P73&lt;&gt;"",Q73&lt;&gt;""),"시정조치 종결","시정조치 진행")),IF(H73="부적합",IF(AND(G73="검증완료",I73&lt;&gt;"",J73&lt;&gt;"",K73&lt;&gt;"",M73&lt;&gt;"",N73&lt;&gt;"",O73="적합",P73&lt;&gt;"",Q73&lt;&gt;""),"시정조치 종결","시정조치 진행"),IF(AND(G73="검증완료",H73="적합"),"적합확인",IF(G73="검증완료","판정대기","검증대기"))))</x:f>
        <x:v>검증대기</x:v>
      </x:c>
      <x:c r="S73" s="1633" t="str">
        <x:v>22_2동_브레이징_점검!30행</x:v>
      </x:c>
      <x:c r="T73" s="1642"/>
    </x:row>
    <x:row r="74" ht="29" customHeight="1">
      <x:c r="A74" s="1632" t="str">
        <x:v>SQ-W025</x:v>
      </x:c>
      <x:c r="B74" s="1633" t="str">
        <x:v>2동브레이징</x:v>
      </x:c>
      <x:c r="C74" s="1633" t="str">
        <x:v>1-5</x:v>
      </x:c>
      <x:c r="D74" s="1633" t="str">
        <x:v>FA1A8HRAAD</x:v>
      </x:c>
      <x:c r="E74" s="1633" t="str">
        <x:v>용접 프로그램 백업</x:v>
      </x:c>
      <x:c r="F74" s="1633" t="str">
        <x:v>생산기술</x:v>
      </x:c>
      <x:c r="G74" s="1645" t="str">
        <x:f>IF(AND('22_2동_브레이징_점검'!N31="종결",'22_2동_브레이징_점검'!H31="적합",'22_2동_브레이징_점검'!I31&lt;&gt;"",'22_2동_브레이징_점검'!L31&lt;&gt;"",'22_2동_브레이징_점검'!M31&lt;&gt;""),"검증완료",IF('22_2동_브레이징_점검'!H31="부적합","부적합확인","미확인"))</x:f>
        <x:v>미확인</x:v>
      </x:c>
      <x:c r="H74" s="1639" t="str">
        <x:v>미판정</x:v>
      </x:c>
      <x:c r="I74" s="1639"/>
      <x:c r="J74" s="1639"/>
      <x:c r="K74" s="1639"/>
      <x:c r="L74" s="1639"/>
      <x:c r="M74" s="1639"/>
      <x:c r="N74" s="1639"/>
      <x:c r="O74" s="1639" t="str">
        <x:v>미확인</x:v>
      </x:c>
      <x:c r="P74" s="1639"/>
      <x:c r="Q74" s="1639"/>
      <x:c r="R74" s="1645" t="str">
        <x:f>IF(G74="부적합확인",IF(H74&lt;&gt;"부적합","부적합 판정필요",IF(AND(I74&lt;&gt;"",J74&lt;&gt;"",K74&lt;&gt;"",M74&lt;&gt;"",N74&lt;&gt;"",O74="적합",P74&lt;&gt;"",Q74&lt;&gt;""),"시정조치 종결","시정조치 진행")),IF(H74="부적합",IF(AND(G74="검증완료",I74&lt;&gt;"",J74&lt;&gt;"",K74&lt;&gt;"",M74&lt;&gt;"",N74&lt;&gt;"",O74="적합",P74&lt;&gt;"",Q74&lt;&gt;""),"시정조치 종결","시정조치 진행"),IF(AND(G74="검증완료",H74="적합"),"적합확인",IF(G74="검증완료","판정대기","검증대기"))))</x:f>
        <x:v>검증대기</x:v>
      </x:c>
      <x:c r="S74" s="1633" t="str">
        <x:v>22_2동_브레이징_점검!31행</x:v>
      </x:c>
      <x:c r="T74" s="1642"/>
    </x:row>
    <x:row r="75" ht="29" customHeight="1">
      <x:c r="A75" s="1632" t="str">
        <x:v>SQ-W026</x:v>
      </x:c>
      <x:c r="B75" s="1633" t="str">
        <x:v>2동브레이징</x:v>
      </x:c>
      <x:c r="C75" s="1633" t="str">
        <x:v>2-9</x:v>
      </x:c>
      <x:c r="D75" s="1633" t="str">
        <x:v>FA1A8HRAAD</x:v>
      </x:c>
      <x:c r="E75" s="1633" t="str">
        <x:v>파괴검사 기준·결과</x:v>
      </x:c>
      <x:c r="F75" s="1633" t="str">
        <x:v>품질/생산기술</x:v>
      </x:c>
      <x:c r="G75" s="1645" t="str">
        <x:f>IF(AND('22_2동_브레이징_점검'!N32="종결",'22_2동_브레이징_점검'!H32="적합",'22_2동_브레이징_점검'!I32&lt;&gt;"",'22_2동_브레이징_점검'!L32&lt;&gt;"",'22_2동_브레이징_점검'!M32&lt;&gt;""),"검증완료",IF('22_2동_브레이징_점검'!H32="부적합","부적합확인","미확인"))</x:f>
        <x:v>미확인</x:v>
      </x:c>
      <x:c r="H75" s="1639" t="str">
        <x:v>미판정</x:v>
      </x:c>
      <x:c r="I75" s="1639"/>
      <x:c r="J75" s="1639"/>
      <x:c r="K75" s="1639"/>
      <x:c r="L75" s="1639"/>
      <x:c r="M75" s="1639"/>
      <x:c r="N75" s="1639"/>
      <x:c r="O75" s="1639" t="str">
        <x:v>미확인</x:v>
      </x:c>
      <x:c r="P75" s="1639"/>
      <x:c r="Q75" s="1639"/>
      <x:c r="R75" s="1645" t="str">
        <x:f>IF(G75="부적합확인",IF(H75&lt;&gt;"부적합","부적합 판정필요",IF(AND(I75&lt;&gt;"",J75&lt;&gt;"",K75&lt;&gt;"",M75&lt;&gt;"",N75&lt;&gt;"",O75="적합",P75&lt;&gt;"",Q75&lt;&gt;""),"시정조치 종결","시정조치 진행")),IF(H75="부적합",IF(AND(G75="검증완료",I75&lt;&gt;"",J75&lt;&gt;"",K75&lt;&gt;"",M75&lt;&gt;"",N75&lt;&gt;"",O75="적합",P75&lt;&gt;"",Q75&lt;&gt;""),"시정조치 종결","시정조치 진행"),IF(AND(G75="검증완료",H75="적합"),"적합확인",IF(G75="검증완료","판정대기","검증대기"))))</x:f>
        <x:v>검증대기</x:v>
      </x:c>
      <x:c r="S75" s="1633" t="str">
        <x:v>22_2동_브레이징_점검!32행</x:v>
      </x:c>
      <x:c r="T75" s="1642"/>
    </x:row>
    <x:row r="76" ht="29" customHeight="1">
      <x:c r="A76" s="1632" t="str">
        <x:v>SQ-W027</x:v>
      </x:c>
      <x:c r="B76" s="1633" t="str">
        <x:v>2동브레이징</x:v>
      </x:c>
      <x:c r="C76" s="1633" t="str">
        <x:v>2-7</x:v>
      </x:c>
      <x:c r="D76" s="1633" t="str">
        <x:v>FA1A8HRAAD</x:v>
      </x:c>
      <x:c r="E76" s="1633" t="str">
        <x:v>자주검사/초품 승인</x:v>
      </x:c>
      <x:c r="F76" s="1633" t="str">
        <x:v>생산/품질</x:v>
      </x:c>
      <x:c r="G76" s="1645" t="str">
        <x:f>IF(AND('22_2동_브레이징_점검'!N33="종결",'22_2동_브레이징_점검'!H33="적합",'22_2동_브레이징_점검'!I33&lt;&gt;"",'22_2동_브레이징_점검'!L33&lt;&gt;"",'22_2동_브레이징_점검'!M33&lt;&gt;""),"검증완료",IF('22_2동_브레이징_점검'!H33="부적합","부적합확인","미확인"))</x:f>
        <x:v>미확인</x:v>
      </x:c>
      <x:c r="H76" s="1639" t="str">
        <x:v>미판정</x:v>
      </x:c>
      <x:c r="I76" s="1639"/>
      <x:c r="J76" s="1639"/>
      <x:c r="K76" s="1639"/>
      <x:c r="L76" s="1639"/>
      <x:c r="M76" s="1639"/>
      <x:c r="N76" s="1639"/>
      <x:c r="O76" s="1639" t="str">
        <x:v>미확인</x:v>
      </x:c>
      <x:c r="P76" s="1639"/>
      <x:c r="Q76" s="1639"/>
      <x:c r="R76" s="1645" t="str">
        <x:f>IF(G76="부적합확인",IF(H76&lt;&gt;"부적합","부적합 판정필요",IF(AND(I76&lt;&gt;"",J76&lt;&gt;"",K76&lt;&gt;"",M76&lt;&gt;"",N76&lt;&gt;"",O76="적합",P76&lt;&gt;"",Q76&lt;&gt;""),"시정조치 종결","시정조치 진행")),IF(H76="부적합",IF(AND(G76="검증완료",I76&lt;&gt;"",J76&lt;&gt;"",K76&lt;&gt;"",M76&lt;&gt;"",N76&lt;&gt;"",O76="적합",P76&lt;&gt;"",Q76&lt;&gt;""),"시정조치 종결","시정조치 진행"),IF(AND(G76="검증완료",H76="적합"),"적합확인",IF(G76="검증완료","판정대기","검증대기"))))</x:f>
        <x:v>검증대기</x:v>
      </x:c>
      <x:c r="S76" s="1633" t="str">
        <x:v>22_2동_브레이징_점검!33행</x:v>
      </x:c>
      <x:c r="T76" s="1642"/>
    </x:row>
    <x:row r="77" ht="29" customHeight="1">
      <x:c r="A77" s="1632" t="str">
        <x:v>SQ-W028</x:v>
      </x:c>
      <x:c r="B77" s="1633" t="str">
        <x:v>2동브레이징</x:v>
      </x:c>
      <x:c r="C77" s="1633" t="str">
        <x:v>2-8</x:v>
      </x:c>
      <x:c r="D77" s="1633" t="str">
        <x:v>FA1A8HRAAD</x:v>
      </x:c>
      <x:c r="E77" s="1633" t="str">
        <x:v>완제품 검사</x:v>
      </x:c>
      <x:c r="F77" s="1633" t="str">
        <x:v>품질</x:v>
      </x:c>
      <x:c r="G77" s="1645" t="str">
        <x:f>IF(AND('22_2동_브레이징_점검'!N34="종결",'22_2동_브레이징_점검'!H34="적합",'22_2동_브레이징_점검'!I34&lt;&gt;"",'22_2동_브레이징_점검'!L34&lt;&gt;"",'22_2동_브레이징_점검'!M34&lt;&gt;""),"검증완료",IF('22_2동_브레이징_점검'!H34="부적합","부적합확인","미확인"))</x:f>
        <x:v>미확인</x:v>
      </x:c>
      <x:c r="H77" s="1639" t="str">
        <x:v>미판정</x:v>
      </x:c>
      <x:c r="I77" s="1639"/>
      <x:c r="J77" s="1639"/>
      <x:c r="K77" s="1639"/>
      <x:c r="L77" s="1639"/>
      <x:c r="M77" s="1639"/>
      <x:c r="N77" s="1639"/>
      <x:c r="O77" s="1639" t="str">
        <x:v>미확인</x:v>
      </x:c>
      <x:c r="P77" s="1639"/>
      <x:c r="Q77" s="1639"/>
      <x:c r="R77" s="1645" t="str">
        <x:f>IF(G77="부적합확인",IF(H77&lt;&gt;"부적합","부적합 판정필요",IF(AND(I77&lt;&gt;"",J77&lt;&gt;"",K77&lt;&gt;"",M77&lt;&gt;"",N77&lt;&gt;"",O77="적합",P77&lt;&gt;"",Q77&lt;&gt;""),"시정조치 종결","시정조치 진행")),IF(H77="부적합",IF(AND(G77="검증완료",I77&lt;&gt;"",J77&lt;&gt;"",K77&lt;&gt;"",M77&lt;&gt;"",N77&lt;&gt;"",O77="적합",P77&lt;&gt;"",Q77&lt;&gt;""),"시정조치 종결","시정조치 진행"),IF(AND(G77="검증완료",H77="적합"),"적합확인",IF(G77="검증완료","판정대기","검증대기"))))</x:f>
        <x:v>검증대기</x:v>
      </x:c>
      <x:c r="S77" s="1633" t="str">
        <x:v>22_2동_브레이징_점검!34행</x:v>
      </x:c>
      <x:c r="T77" s="1642"/>
    </x:row>
    <x:row r="78" ht="29" customHeight="1">
      <x:c r="A78" s="1632" t="str">
        <x:v>SQ-W029</x:v>
      </x:c>
      <x:c r="B78" s="1633" t="str">
        <x:v>2동브레이징</x:v>
      </x:c>
      <x:c r="C78" s="1633" t="str">
        <x:v>3-1</x:v>
      </x:c>
      <x:c r="D78" s="1633" t="str">
        <x:v>FA1A8HRAAD</x:v>
      </x:c>
      <x:c r="E78" s="1633" t="str">
        <x:v>일상점검</x:v>
      </x:c>
      <x:c r="F78" s="1633" t="str">
        <x:v>생산/생산기술</x:v>
      </x:c>
      <x:c r="G78" s="1645" t="str">
        <x:f>IF(AND('22_2동_브레이징_점검'!N35="종결",'22_2동_브레이징_점검'!H35="적합",'22_2동_브레이징_점검'!I35&lt;&gt;"",'22_2동_브레이징_점검'!L35&lt;&gt;"",'22_2동_브레이징_점검'!M35&lt;&gt;""),"검증완료",IF('22_2동_브레이징_점검'!H35="부적합","부적합확인","미확인"))</x:f>
        <x:v>미확인</x:v>
      </x:c>
      <x:c r="H78" s="1639" t="str">
        <x:v>미판정</x:v>
      </x:c>
      <x:c r="I78" s="1639"/>
      <x:c r="J78" s="1639"/>
      <x:c r="K78" s="1639"/>
      <x:c r="L78" s="1639"/>
      <x:c r="M78" s="1639"/>
      <x:c r="N78" s="1639"/>
      <x:c r="O78" s="1639" t="str">
        <x:v>미확인</x:v>
      </x:c>
      <x:c r="P78" s="1639"/>
      <x:c r="Q78" s="1639"/>
      <x:c r="R78" s="1645" t="str">
        <x:f>IF(G78="부적합확인",IF(H78&lt;&gt;"부적합","부적합 판정필요",IF(AND(I78&lt;&gt;"",J78&lt;&gt;"",K78&lt;&gt;"",M78&lt;&gt;"",N78&lt;&gt;"",O78="적합",P78&lt;&gt;"",Q78&lt;&gt;""),"시정조치 종결","시정조치 진행")),IF(H78="부적합",IF(AND(G78="검증완료",I78&lt;&gt;"",J78&lt;&gt;"",K78&lt;&gt;"",M78&lt;&gt;"",N78&lt;&gt;"",O78="적합",P78&lt;&gt;"",Q78&lt;&gt;""),"시정조치 종결","시정조치 진행"),IF(AND(G78="검증완료",H78="적합"),"적합확인",IF(G78="검증완료","판정대기","검증대기"))))</x:f>
        <x:v>검증대기</x:v>
      </x:c>
      <x:c r="S78" s="1633" t="str">
        <x:v>22_2동_브레이징_점검!35행</x:v>
      </x:c>
      <x:c r="T78" s="1642"/>
    </x:row>
    <x:row r="79" ht="29" customHeight="1">
      <x:c r="A79" s="1632" t="str">
        <x:v>SQ-W030</x:v>
      </x:c>
      <x:c r="B79" s="1633" t="str">
        <x:v>2동브레이징</x:v>
      </x:c>
      <x:c r="C79" s="1633" t="str">
        <x:v>3-2</x:v>
      </x:c>
      <x:c r="D79" s="1633" t="str">
        <x:v>FA1A8HRAAD</x:v>
      </x:c>
      <x:c r="E79" s="1633" t="str">
        <x:v>정기 예방보전</x:v>
      </x:c>
      <x:c r="F79" s="1633" t="str">
        <x:v>생산기술</x:v>
      </x:c>
      <x:c r="G79" s="1645" t="str">
        <x:f>IF(AND('22_2동_브레이징_점검'!N36="종결",'22_2동_브레이징_점검'!H36="적합",'22_2동_브레이징_점검'!I36&lt;&gt;"",'22_2동_브레이징_점검'!L36&lt;&gt;"",'22_2동_브레이징_점검'!M36&lt;&gt;""),"검증완료",IF('22_2동_브레이징_점검'!H36="부적합","부적합확인","미확인"))</x:f>
        <x:v>미확인</x:v>
      </x:c>
      <x:c r="H79" s="1639" t="str">
        <x:v>미판정</x:v>
      </x:c>
      <x:c r="I79" s="1639"/>
      <x:c r="J79" s="1639"/>
      <x:c r="K79" s="1639"/>
      <x:c r="L79" s="1639"/>
      <x:c r="M79" s="1639"/>
      <x:c r="N79" s="1639"/>
      <x:c r="O79" s="1639" t="str">
        <x:v>미확인</x:v>
      </x:c>
      <x:c r="P79" s="1639"/>
      <x:c r="Q79" s="1639"/>
      <x:c r="R79" s="1645" t="str">
        <x:f>IF(G79="부적합확인",IF(H79&lt;&gt;"부적합","부적합 판정필요",IF(AND(I79&lt;&gt;"",J79&lt;&gt;"",K79&lt;&gt;"",M79&lt;&gt;"",N79&lt;&gt;"",O79="적합",P79&lt;&gt;"",Q79&lt;&gt;""),"시정조치 종결","시정조치 진행")),IF(H79="부적합",IF(AND(G79="검증완료",I79&lt;&gt;"",J79&lt;&gt;"",K79&lt;&gt;"",M79&lt;&gt;"",N79&lt;&gt;"",O79="적합",P79&lt;&gt;"",Q79&lt;&gt;""),"시정조치 종결","시정조치 진행"),IF(AND(G79="검증완료",H79="적합"),"적합확인",IF(G79="검증완료","판정대기","검증대기"))))</x:f>
        <x:v>검증대기</x:v>
      </x:c>
      <x:c r="S79" s="1633" t="str">
        <x:v>22_2동_브레이징_점검!36행</x:v>
      </x:c>
      <x:c r="T79" s="1642"/>
    </x:row>
    <x:row r="80" ht="29" customHeight="1">
      <x:c r="A80" s="1632" t="str">
        <x:v>SQ-W031</x:v>
      </x:c>
      <x:c r="B80" s="1633" t="str">
        <x:v>2동브레이징</x:v>
      </x:c>
      <x:c r="C80" s="1633" t="str">
        <x:v>3-3</x:v>
      </x:c>
      <x:c r="D80" s="1633" t="str">
        <x:v>FA1A8HRAAD</x:v>
      </x:c>
      <x:c r="E80" s="1633" t="str">
        <x:v>용접부 유지/소모품 점검</x:v>
      </x:c>
      <x:c r="F80" s="1633" t="str">
        <x:v>생산/생산기술</x:v>
      </x:c>
      <x:c r="G80" s="1645" t="str">
        <x:f>IF(AND('22_2동_브레이징_점검'!N37="종결",'22_2동_브레이징_점검'!H37="적합",'22_2동_브레이징_점검'!I37&lt;&gt;"",'22_2동_브레이징_점검'!L37&lt;&gt;"",'22_2동_브레이징_점검'!M37&lt;&gt;""),"검증완료",IF('22_2동_브레이징_점검'!H37="부적합","부적합확인","미확인"))</x:f>
        <x:v>미확인</x:v>
      </x:c>
      <x:c r="H80" s="1639" t="str">
        <x:v>미판정</x:v>
      </x:c>
      <x:c r="I80" s="1639"/>
      <x:c r="J80" s="1639"/>
      <x:c r="K80" s="1639"/>
      <x:c r="L80" s="1639"/>
      <x:c r="M80" s="1639"/>
      <x:c r="N80" s="1639"/>
      <x:c r="O80" s="1639" t="str">
        <x:v>미확인</x:v>
      </x:c>
      <x:c r="P80" s="1639"/>
      <x:c r="Q80" s="1639"/>
      <x:c r="R80" s="1645" t="str">
        <x:f>IF(G80="부적합확인",IF(H80&lt;&gt;"부적합","부적합 판정필요",IF(AND(I80&lt;&gt;"",J80&lt;&gt;"",K80&lt;&gt;"",M80&lt;&gt;"",N80&lt;&gt;"",O80="적합",P80&lt;&gt;"",Q80&lt;&gt;""),"시정조치 종결","시정조치 진행")),IF(H80="부적합",IF(AND(G80="검증완료",I80&lt;&gt;"",J80&lt;&gt;"",K80&lt;&gt;"",M80&lt;&gt;"",N80&lt;&gt;"",O80="적합",P80&lt;&gt;"",Q80&lt;&gt;""),"시정조치 종결","시정조치 진행"),IF(AND(G80="검증완료",H80="적합"),"적합확인",IF(G80="검증완료","판정대기","검증대기"))))</x:f>
        <x:v>검증대기</x:v>
      </x:c>
      <x:c r="S80" s="1633" t="str">
        <x:v>22_2동_브레이징_점검!37행</x:v>
      </x:c>
      <x:c r="T80" s="1642"/>
    </x:row>
    <x:row r="81" ht="29" customHeight="1">
      <x:c r="A81" s="1632" t="str">
        <x:v>SQ-W032</x:v>
      </x:c>
      <x:c r="B81" s="1633" t="str">
        <x:v>2동브레이징</x:v>
      </x:c>
      <x:c r="C81" s="1633" t="str">
        <x:v>3-5</x:v>
      </x:c>
      <x:c r="D81" s="1633" t="str">
        <x:v>FA1A8HRAAD</x:v>
      </x:c>
      <x:c r="E81" s="1633" t="str">
        <x:v>Fool Proof 작동성</x:v>
      </x:c>
      <x:c r="F81" s="1633" t="str">
        <x:v>생산기술/품질</x:v>
      </x:c>
      <x:c r="G81" s="1645" t="str">
        <x:f>IF(AND('22_2동_브레이징_점검'!N38="종결",'22_2동_브레이징_점검'!H38="적합",'22_2동_브레이징_점검'!I38&lt;&gt;"",'22_2동_브레이징_점검'!L38&lt;&gt;"",'22_2동_브레이징_점검'!M38&lt;&gt;""),"검증완료",IF('22_2동_브레이징_점검'!H38="부적합","부적합확인","미확인"))</x:f>
        <x:v>미확인</x:v>
      </x:c>
      <x:c r="H81" s="1639" t="str">
        <x:v>미판정</x:v>
      </x:c>
      <x:c r="I81" s="1639"/>
      <x:c r="J81" s="1639"/>
      <x:c r="K81" s="1639"/>
      <x:c r="L81" s="1639"/>
      <x:c r="M81" s="1639"/>
      <x:c r="N81" s="1639"/>
      <x:c r="O81" s="1639" t="str">
        <x:v>미확인</x:v>
      </x:c>
      <x:c r="P81" s="1639"/>
      <x:c r="Q81" s="1639"/>
      <x:c r="R81" s="1645" t="str">
        <x:f>IF(G81="부적합확인",IF(H81&lt;&gt;"부적합","부적합 판정필요",IF(AND(I81&lt;&gt;"",J81&lt;&gt;"",K81&lt;&gt;"",M81&lt;&gt;"",N81&lt;&gt;"",O81="적합",P81&lt;&gt;"",Q81&lt;&gt;""),"시정조치 종결","시정조치 진행")),IF(H81="부적합",IF(AND(G81="검증완료",I81&lt;&gt;"",J81&lt;&gt;"",K81&lt;&gt;"",M81&lt;&gt;"",N81&lt;&gt;"",O81="적합",P81&lt;&gt;"",Q81&lt;&gt;""),"시정조치 종결","시정조치 진행"),IF(AND(G81="검증완료",H81="적합"),"적합확인",IF(G81="검증완료","판정대기","검증대기"))))</x:f>
        <x:v>검증대기</x:v>
      </x:c>
      <x:c r="S81" s="1633" t="str">
        <x:v>22_2동_브레이징_점검!38행</x:v>
      </x:c>
      <x:c r="T81" s="1642"/>
    </x:row>
    <x:row r="82" ht="29" customHeight="1">
      <x:c r="A82" s="1632" t="str">
        <x:v>SQ-W033</x:v>
      </x:c>
      <x:c r="B82" s="1633" t="str">
        <x:v>2동브레이징</x:v>
      </x:c>
      <x:c r="C82" s="1633" t="str">
        <x:v>3-6</x:v>
      </x:c>
      <x:c r="D82" s="1633" t="str">
        <x:v>FA1A8HRAAD</x:v>
      </x:c>
      <x:c r="E82" s="1633" t="str">
        <x:v>JIG 관리</x:v>
      </x:c>
      <x:c r="F82" s="1633" t="str">
        <x:v>생산/생산기술</x:v>
      </x:c>
      <x:c r="G82" s="1645" t="str">
        <x:f>IF(AND('22_2동_브레이징_점검'!N39="종결",'22_2동_브레이징_점검'!H39="적합",'22_2동_브레이징_점검'!I39&lt;&gt;"",'22_2동_브레이징_점검'!L39&lt;&gt;"",'22_2동_브레이징_점검'!M39&lt;&gt;""),"검증완료",IF('22_2동_브레이징_점검'!H39="부적합","부적합확인","미확인"))</x:f>
        <x:v>미확인</x:v>
      </x:c>
      <x:c r="H82" s="1639" t="str">
        <x:v>미판정</x:v>
      </x:c>
      <x:c r="I82" s="1639"/>
      <x:c r="J82" s="1639"/>
      <x:c r="K82" s="1639"/>
      <x:c r="L82" s="1639"/>
      <x:c r="M82" s="1639"/>
      <x:c r="N82" s="1639"/>
      <x:c r="O82" s="1639" t="str">
        <x:v>미확인</x:v>
      </x:c>
      <x:c r="P82" s="1639"/>
      <x:c r="Q82" s="1639"/>
      <x:c r="R82" s="1645" t="str">
        <x:f>IF(G82="부적합확인",IF(H82&lt;&gt;"부적합","부적합 판정필요",IF(AND(I82&lt;&gt;"",J82&lt;&gt;"",K82&lt;&gt;"",M82&lt;&gt;"",N82&lt;&gt;"",O82="적합",P82&lt;&gt;"",Q82&lt;&gt;""),"시정조치 종결","시정조치 진행")),IF(H82="부적합",IF(AND(G82="검증완료",I82&lt;&gt;"",J82&lt;&gt;"",K82&lt;&gt;"",M82&lt;&gt;"",N82&lt;&gt;"",O82="적합",P82&lt;&gt;"",Q82&lt;&gt;""),"시정조치 종결","시정조치 진행"),IF(AND(G82="검증완료",H82="적합"),"적합확인",IF(G82="검증완료","판정대기","검증대기"))))</x:f>
        <x:v>검증대기</x:v>
      </x:c>
      <x:c r="S82" s="1633" t="str">
        <x:v>22_2동_브레이징_점검!39행</x:v>
      </x:c>
      <x:c r="T82" s="1642"/>
    </x:row>
    <x:row r="83" ht="29" customHeight="1">
      <x:c r="A83" s="1632" t="str">
        <x:v>SQ-W034</x:v>
      </x:c>
      <x:c r="B83" s="1633" t="str">
        <x:v>2동브레이징</x:v>
      </x:c>
      <x:c r="C83" s="1633" t="str">
        <x:v>4-1</x:v>
      </x:c>
      <x:c r="D83" s="1633" t="str">
        <x:v>FA1A8HRAAD</x:v>
      </x:c>
      <x:c r="E83" s="1633" t="str">
        <x:v>금형/용접 JIG 관리</x:v>
      </x:c>
      <x:c r="F83" s="1633" t="str">
        <x:v>생산/생산기술</x:v>
      </x:c>
      <x:c r="G83" s="1645" t="str">
        <x:f>IF(AND('22_2동_브레이징_점검'!N40="종결",'22_2동_브레이징_점검'!H40="적합",'22_2동_브레이징_점검'!I40&lt;&gt;"",'22_2동_브레이징_점검'!L40&lt;&gt;"",'22_2동_브레이징_점검'!M40&lt;&gt;""),"검증완료",IF('22_2동_브레이징_점검'!H40="부적합","부적합확인","미확인"))</x:f>
        <x:v>미확인</x:v>
      </x:c>
      <x:c r="H83" s="1639" t="str">
        <x:v>미판정</x:v>
      </x:c>
      <x:c r="I83" s="1639"/>
      <x:c r="J83" s="1639"/>
      <x:c r="K83" s="1639"/>
      <x:c r="L83" s="1639"/>
      <x:c r="M83" s="1639"/>
      <x:c r="N83" s="1639"/>
      <x:c r="O83" s="1639" t="str">
        <x:v>미확인</x:v>
      </x:c>
      <x:c r="P83" s="1639"/>
      <x:c r="Q83" s="1639"/>
      <x:c r="R83" s="1645" t="str">
        <x:f>IF(G83="부적합확인",IF(H83&lt;&gt;"부적합","부적합 판정필요",IF(AND(I83&lt;&gt;"",J83&lt;&gt;"",K83&lt;&gt;"",M83&lt;&gt;"",N83&lt;&gt;"",O83="적합",P83&lt;&gt;"",Q83&lt;&gt;""),"시정조치 종결","시정조치 진행")),IF(H83="부적합",IF(AND(G83="검증완료",I83&lt;&gt;"",J83&lt;&gt;"",K83&lt;&gt;"",M83&lt;&gt;"",N83&lt;&gt;"",O83="적합",P83&lt;&gt;"",Q83&lt;&gt;""),"시정조치 종결","시정조치 진행"),IF(AND(G83="검증완료",H83="적합"),"적합확인",IF(G83="검증완료","판정대기","검증대기"))))</x:f>
        <x:v>검증대기</x:v>
      </x:c>
      <x:c r="S83" s="1633" t="str">
        <x:v>22_2동_브레이징_점검!40행</x:v>
      </x:c>
      <x:c r="T83" s="1642"/>
    </x:row>
    <x:row r="84" ht="29" customHeight="1">
      <x:c r="A84" s="1632" t="str">
        <x:v>SQ-W035</x:v>
      </x:c>
      <x:c r="B84" s="1633" t="str">
        <x:v>2동브레이징</x:v>
      </x:c>
      <x:c r="C84" s="1633" t="str">
        <x:v>5-1</x:v>
      </x:c>
      <x:c r="D84" s="1633" t="str">
        <x:v>FA1A8HRAAD</x:v>
      </x:c>
      <x:c r="E84" s="1633" t="str">
        <x:v>LOT 추적</x:v>
      </x:c>
      <x:c r="F84" s="1633" t="str">
        <x:v>자재/생산/품질</x:v>
      </x:c>
      <x:c r="G84" s="1645" t="str">
        <x:f>IF(AND('22_2동_브레이징_점검'!N41="종결",'22_2동_브레이징_점검'!H41="적합",'22_2동_브레이징_점검'!I41&lt;&gt;"",'22_2동_브레이징_점검'!L41&lt;&gt;"",'22_2동_브레이징_점검'!M41&lt;&gt;""),"검증완료",IF('22_2동_브레이징_점검'!H41="부적합","부적합확인","미확인"))</x:f>
        <x:v>미확인</x:v>
      </x:c>
      <x:c r="H84" s="1639" t="str">
        <x:v>미판정</x:v>
      </x:c>
      <x:c r="I84" s="1639"/>
      <x:c r="J84" s="1639"/>
      <x:c r="K84" s="1639"/>
      <x:c r="L84" s="1639"/>
      <x:c r="M84" s="1639"/>
      <x:c r="N84" s="1639"/>
      <x:c r="O84" s="1639" t="str">
        <x:v>미확인</x:v>
      </x:c>
      <x:c r="P84" s="1639"/>
      <x:c r="Q84" s="1639"/>
      <x:c r="R84" s="1645" t="str">
        <x:f>IF(G84="부적합확인",IF(H84&lt;&gt;"부적합","부적합 판정필요",IF(AND(I84&lt;&gt;"",J84&lt;&gt;"",K84&lt;&gt;"",M84&lt;&gt;"",N84&lt;&gt;"",O84="적합",P84&lt;&gt;"",Q84&lt;&gt;""),"시정조치 종결","시정조치 진행")),IF(H84="부적합",IF(AND(G84="검증완료",I84&lt;&gt;"",J84&lt;&gt;"",K84&lt;&gt;"",M84&lt;&gt;"",N84&lt;&gt;"",O84="적합",P84&lt;&gt;"",Q84&lt;&gt;""),"시정조치 종결","시정조치 진행"),IF(AND(G84="검증완료",H84="적합"),"적합확인",IF(G84="검증완료","판정대기","검증대기"))))</x:f>
        <x:v>검증대기</x:v>
      </x:c>
      <x:c r="S84" s="1633" t="str">
        <x:v>22_2동_브레이징_점검!41행</x:v>
      </x:c>
      <x:c r="T84" s="1642"/>
    </x:row>
    <x:row r="85" ht="29" customHeight="1">
      <x:c r="A85" s="1632" t="str">
        <x:v>SQ-W036</x:v>
      </x:c>
      <x:c r="B85" s="1633" t="str">
        <x:v>2동브레이징</x:v>
      </x:c>
      <x:c r="C85" s="1633" t="str">
        <x:v>6-2</x:v>
      </x:c>
      <x:c r="D85" s="1633" t="str">
        <x:v>FA1A8HRAAD</x:v>
      </x:c>
      <x:c r="E85" s="1633" t="str">
        <x:v>4M 변경</x:v>
      </x:c>
      <x:c r="F85" s="1633" t="str">
        <x:v>개발/품질/생산기술</x:v>
      </x:c>
      <x:c r="G85" s="1645" t="str">
        <x:f>IF(AND('22_2동_브레이징_점검'!N42="종결",'22_2동_브레이징_점검'!H42="적합",'22_2동_브레이징_점검'!I42&lt;&gt;"",'22_2동_브레이징_점검'!L42&lt;&gt;"",'22_2동_브레이징_점검'!M42&lt;&gt;""),"검증완료",IF('22_2동_브레이징_점검'!H42="부적합","부적합확인","미확인"))</x:f>
        <x:v>미확인</x:v>
      </x:c>
      <x:c r="H85" s="1639" t="str">
        <x:v>미판정</x:v>
      </x:c>
      <x:c r="I85" s="1639"/>
      <x:c r="J85" s="1639"/>
      <x:c r="K85" s="1639"/>
      <x:c r="L85" s="1639"/>
      <x:c r="M85" s="1639"/>
      <x:c r="N85" s="1639"/>
      <x:c r="O85" s="1639" t="str">
        <x:v>미확인</x:v>
      </x:c>
      <x:c r="P85" s="1639"/>
      <x:c r="Q85" s="1639"/>
      <x:c r="R85" s="1645" t="str">
        <x:f>IF(G85="부적합확인",IF(H85&lt;&gt;"부적합","부적합 판정필요",IF(AND(I85&lt;&gt;"",J85&lt;&gt;"",K85&lt;&gt;"",M85&lt;&gt;"",N85&lt;&gt;"",O85="적합",P85&lt;&gt;"",Q85&lt;&gt;""),"시정조치 종결","시정조치 진행")),IF(H85="부적합",IF(AND(G85="검증완료",I85&lt;&gt;"",J85&lt;&gt;"",K85&lt;&gt;"",M85&lt;&gt;"",N85&lt;&gt;"",O85="적합",P85&lt;&gt;"",Q85&lt;&gt;""),"시정조치 종결","시정조치 진행"),IF(AND(G85="검증완료",H85="적합"),"적합확인",IF(G85="검증완료","판정대기","검증대기"))))</x:f>
        <x:v>검증대기</x:v>
      </x:c>
      <x:c r="S85" s="1633" t="str">
        <x:v>22_2동_브레이징_점검!42행</x:v>
      </x:c>
      <x:c r="T85" s="1642"/>
    </x:row>
    <x:row r="86" ht="29" customHeight="1">
      <x:c r="A86" s="1632" t="str">
        <x:v>SQ-W037</x:v>
      </x:c>
      <x:c r="B86" s="1633" t="str">
        <x:v>2동브레이징</x:v>
      </x:c>
      <x:c r="C86" s="1633" t="str">
        <x:v>6-5</x:v>
      </x:c>
      <x:c r="D86" s="1633" t="str">
        <x:v>FA1A8HRAAD</x:v>
      </x:c>
      <x:c r="E86" s="1633" t="str">
        <x:v>작업자 자격</x:v>
      </x:c>
      <x:c r="F86" s="1633" t="str">
        <x:v>생산/경영관리</x:v>
      </x:c>
      <x:c r="G86" s="1645" t="str">
        <x:f>IF(AND('22_2동_브레이징_점검'!N43="종결",'22_2동_브레이징_점검'!H43="적합",'22_2동_브레이징_점검'!I43&lt;&gt;"",'22_2동_브레이징_점검'!L43&lt;&gt;"",'22_2동_브레이징_점검'!M43&lt;&gt;""),"검증완료",IF('22_2동_브레이징_점검'!H43="부적합","부적합확인","미확인"))</x:f>
        <x:v>미확인</x:v>
      </x:c>
      <x:c r="H86" s="1639" t="str">
        <x:v>미판정</x:v>
      </x:c>
      <x:c r="I86" s="1639"/>
      <x:c r="J86" s="1639"/>
      <x:c r="K86" s="1639"/>
      <x:c r="L86" s="1639"/>
      <x:c r="M86" s="1639"/>
      <x:c r="N86" s="1639"/>
      <x:c r="O86" s="1639" t="str">
        <x:v>미확인</x:v>
      </x:c>
      <x:c r="P86" s="1639"/>
      <x:c r="Q86" s="1639"/>
      <x:c r="R86" s="1645" t="str">
        <x:f>IF(G86="부적합확인",IF(H86&lt;&gt;"부적합","부적합 판정필요",IF(AND(I86&lt;&gt;"",J86&lt;&gt;"",K86&lt;&gt;"",M86&lt;&gt;"",N86&lt;&gt;"",O86="적합",P86&lt;&gt;"",Q86&lt;&gt;""),"시정조치 종결","시정조치 진행")),IF(H86="부적합",IF(AND(G86="검증완료",I86&lt;&gt;"",J86&lt;&gt;"",K86&lt;&gt;"",M86&lt;&gt;"",N86&lt;&gt;"",O86="적합",P86&lt;&gt;"",Q86&lt;&gt;""),"시정조치 종결","시정조치 진행"),IF(AND(G86="검증완료",H86="적합"),"적합확인",IF(G86="검증완료","판정대기","검증대기"))))</x:f>
        <x:v>검증대기</x:v>
      </x:c>
      <x:c r="S86" s="1633" t="str">
        <x:v>22_2동_브레이징_점검!43행</x:v>
      </x:c>
      <x:c r="T86" s="1642"/>
    </x:row>
    <x:row r="87" ht="29" customHeight="1">
      <x:c r="A87" s="1632" t="str">
        <x:v>SQ-W038</x:v>
      </x:c>
      <x:c r="B87" s="1633" t="str">
        <x:v>2동브레이징</x:v>
      </x:c>
      <x:c r="C87" s="1633" t="str">
        <x:v>6-7</x:v>
      </x:c>
      <x:c r="D87" s="1633" t="str">
        <x:v>FA1A8HRAAD</x:v>
      </x:c>
      <x:c r="E87" s="1633" t="str">
        <x:v>부적합·격리</x:v>
      </x:c>
      <x:c r="F87" s="1633" t="str">
        <x:v>생산/품질</x:v>
      </x:c>
      <x:c r="G87" s="1645" t="str">
        <x:f>IF(AND('22_2동_브레이징_점검'!N44="종결",'22_2동_브레이징_점검'!H44="적합",'22_2동_브레이징_점검'!I44&lt;&gt;"",'22_2동_브레이징_점검'!L44&lt;&gt;"",'22_2동_브레이징_점검'!M44&lt;&gt;""),"검증완료",IF('22_2동_브레이징_점검'!H44="부적합","부적합확인","미확인"))</x:f>
        <x:v>미확인</x:v>
      </x:c>
      <x:c r="H87" s="1639" t="str">
        <x:v>미판정</x:v>
      </x:c>
      <x:c r="I87" s="1639"/>
      <x:c r="J87" s="1639"/>
      <x:c r="K87" s="1639"/>
      <x:c r="L87" s="1639"/>
      <x:c r="M87" s="1639"/>
      <x:c r="N87" s="1639"/>
      <x:c r="O87" s="1639" t="str">
        <x:v>미확인</x:v>
      </x:c>
      <x:c r="P87" s="1639"/>
      <x:c r="Q87" s="1639"/>
      <x:c r="R87" s="1645" t="str">
        <x:f>IF(G87="부적합확인",IF(H87&lt;&gt;"부적합","부적합 판정필요",IF(AND(I87&lt;&gt;"",J87&lt;&gt;"",K87&lt;&gt;"",M87&lt;&gt;"",N87&lt;&gt;"",O87="적합",P87&lt;&gt;"",Q87&lt;&gt;""),"시정조치 종결","시정조치 진행")),IF(H87="부적합",IF(AND(G87="검증완료",I87&lt;&gt;"",J87&lt;&gt;"",K87&lt;&gt;"",M87&lt;&gt;"",N87&lt;&gt;"",O87="적합",P87&lt;&gt;"",Q87&lt;&gt;""),"시정조치 종결","시정조치 진행"),IF(AND(G87="검증완료",H87="적합"),"적합확인",IF(G87="검증완료","판정대기","검증대기"))))</x:f>
        <x:v>검증대기</x:v>
      </x:c>
      <x:c r="S87" s="1633" t="str">
        <x:v>22_2동_브레이징_점검!44행</x:v>
      </x:c>
      <x:c r="T87" s="1642"/>
    </x:row>
    <x:row r="88" ht="29" customHeight="1">
      <x:c r="A88" s="1632" t="str">
        <x:v>SQ-W039</x:v>
      </x:c>
      <x:c r="B88" s="1633" t="str">
        <x:v>2동브레이징</x:v>
      </x:c>
      <x:c r="C88" s="1633" t="str">
        <x:v>6-12</x:v>
      </x:c>
      <x:c r="D88" s="1633" t="str">
        <x:v>FA1A8HRAAD</x:v>
      </x:c>
      <x:c r="E88" s="1633" t="str">
        <x:v>재작업(Rework)</x:v>
      </x:c>
      <x:c r="F88" s="1633" t="str">
        <x:v>생산/품질</x:v>
      </x:c>
      <x:c r="G88" s="1645" t="str">
        <x:f>IF(AND('22_2동_브레이징_점검'!N45="종결",'22_2동_브레이징_점검'!H45="적합",'22_2동_브레이징_점검'!I45&lt;&gt;"",'22_2동_브레이징_점검'!L45&lt;&gt;"",'22_2동_브레이징_점검'!M45&lt;&gt;""),"검증완료",IF('22_2동_브레이징_점검'!H45="부적합","부적합확인","미확인"))</x:f>
        <x:v>미확인</x:v>
      </x:c>
      <x:c r="H88" s="1639" t="str">
        <x:v>미판정</x:v>
      </x:c>
      <x:c r="I88" s="1639"/>
      <x:c r="J88" s="1639"/>
      <x:c r="K88" s="1639"/>
      <x:c r="L88" s="1639"/>
      <x:c r="M88" s="1639"/>
      <x:c r="N88" s="1639"/>
      <x:c r="O88" s="1639" t="str">
        <x:v>미확인</x:v>
      </x:c>
      <x:c r="P88" s="1639"/>
      <x:c r="Q88" s="1639"/>
      <x:c r="R88" s="1645" t="str">
        <x:f>IF(G88="부적합확인",IF(H88&lt;&gt;"부적합","부적합 판정필요",IF(AND(I88&lt;&gt;"",J88&lt;&gt;"",K88&lt;&gt;"",M88&lt;&gt;"",N88&lt;&gt;"",O88="적합",P88&lt;&gt;"",Q88&lt;&gt;""),"시정조치 종결","시정조치 진행")),IF(H88="부적합",IF(AND(G88="검증완료",I88&lt;&gt;"",J88&lt;&gt;"",K88&lt;&gt;"",M88&lt;&gt;"",N88&lt;&gt;"",O88="적합",P88&lt;&gt;"",Q88&lt;&gt;""),"시정조치 종결","시정조치 진행"),IF(AND(G88="검증완료",H88="적합"),"적합확인",IF(G88="검증완료","판정대기","검증대기"))))</x:f>
        <x:v>검증대기</x:v>
      </x:c>
      <x:c r="S88" s="1633" t="str">
        <x:v>22_2동_브레이징_점검!45행</x:v>
      </x:c>
      <x:c r="T88" s="1642"/>
    </x:row>
    <x:row r="89" ht="29" customHeight="1">
      <x:c r="A89" s="1632" t="str">
        <x:v>SQ-W040</x:v>
      </x:c>
      <x:c r="B89" s="1633" t="str">
        <x:v>2동브레이징</x:v>
      </x:c>
      <x:c r="C89" s="1633" t="str">
        <x:v>6-12</x:v>
      </x:c>
      <x:c r="D89" s="1633" t="str">
        <x:v>FA1A8HRAAD</x:v>
      </x:c>
      <x:c r="E89" s="1633" t="str">
        <x:v>파괴시험 교육·자격</x:v>
      </x:c>
      <x:c r="F89" s="1633" t="str">
        <x:v>생산/품질</x:v>
      </x:c>
      <x:c r="G89" s="1645" t="str">
        <x:f>IF(AND('22_2동_브레이징_점검'!N46="종결",'22_2동_브레이징_점검'!H46="적합",'22_2동_브레이징_점검'!I46&lt;&gt;"",'22_2동_브레이징_점검'!L46&lt;&gt;"",'22_2동_브레이징_점검'!M46&lt;&gt;""),"검증완료",IF('22_2동_브레이징_점검'!H46="부적합","부적합확인","미확인"))</x:f>
        <x:v>미확인</x:v>
      </x:c>
      <x:c r="H89" s="1639" t="str">
        <x:v>미판정</x:v>
      </x:c>
      <x:c r="I89" s="1639"/>
      <x:c r="J89" s="1639"/>
      <x:c r="K89" s="1639"/>
      <x:c r="L89" s="1639"/>
      <x:c r="M89" s="1639"/>
      <x:c r="N89" s="1639"/>
      <x:c r="O89" s="1639" t="str">
        <x:v>미확인</x:v>
      </x:c>
      <x:c r="P89" s="1639"/>
      <x:c r="Q89" s="1639"/>
      <x:c r="R89" s="1645" t="str">
        <x:f>IF(G89="부적합확인",IF(H89&lt;&gt;"부적합","부적합 판정필요",IF(AND(I89&lt;&gt;"",J89&lt;&gt;"",K89&lt;&gt;"",M89&lt;&gt;"",N89&lt;&gt;"",O89="적합",P89&lt;&gt;"",Q89&lt;&gt;""),"시정조치 종결","시정조치 진행")),IF(H89="부적합",IF(AND(G89="검증완료",I89&lt;&gt;"",J89&lt;&gt;"",K89&lt;&gt;"",M89&lt;&gt;"",N89&lt;&gt;"",O89="적합",P89&lt;&gt;"",Q89&lt;&gt;""),"시정조치 종결","시정조치 진행"),IF(AND(G89="검증완료",H89="적합"),"적합확인",IF(G89="검증완료","판정대기","검증대기"))))</x:f>
        <x:v>검증대기</x:v>
      </x:c>
      <x:c r="S89" s="1633" t="str">
        <x:v>22_2동_브레이징_점검!46행</x:v>
      </x:c>
      <x:c r="T89" s="1642"/>
    </x:row>
    <x:row r="90" ht="29" customHeight="1">
      <x:c r="A90" s="1632" t="str">
        <x:v>SQ-W041</x:v>
      </x:c>
      <x:c r="B90" s="1633" t="str">
        <x:v>2동브레이징</x:v>
      </x:c>
      <x:c r="C90" s="1633" t="str">
        <x:v>1-2</x:v>
      </x:c>
      <x:c r="D90" s="1633" t="str">
        <x:v>FA1A8HRAAD</x:v>
      </x:c>
      <x:c r="E90" s="1633" t="str">
        <x:v>재가동 승인</x:v>
      </x:c>
      <x:c r="F90" s="1633" t="str">
        <x:v>생산/품질</x:v>
      </x:c>
      <x:c r="G90" s="1645" t="str">
        <x:f>IF(AND('22_2동_브레이징_점검'!N47="종결",'22_2동_브레이징_점검'!H47="적합",'22_2동_브레이징_점검'!I47&lt;&gt;"",'22_2동_브레이징_점검'!L47&lt;&gt;"",'22_2동_브레이징_점검'!M47&lt;&gt;""),"검증완료",IF('22_2동_브레이징_점검'!H47="부적합","부적합확인","미확인"))</x:f>
        <x:v>미확인</x:v>
      </x:c>
      <x:c r="H90" s="1639" t="str">
        <x:v>미판정</x:v>
      </x:c>
      <x:c r="I90" s="1639"/>
      <x:c r="J90" s="1639"/>
      <x:c r="K90" s="1639"/>
      <x:c r="L90" s="1639"/>
      <x:c r="M90" s="1639"/>
      <x:c r="N90" s="1639"/>
      <x:c r="O90" s="1639" t="str">
        <x:v>미확인</x:v>
      </x:c>
      <x:c r="P90" s="1639"/>
      <x:c r="Q90" s="1639"/>
      <x:c r="R90" s="1645" t="str">
        <x:f>IF(G90="부적합확인",IF(H90&lt;&gt;"부적합","부적합 판정필요",IF(AND(I90&lt;&gt;"",J90&lt;&gt;"",K90&lt;&gt;"",M90&lt;&gt;"",N90&lt;&gt;"",O90="적합",P90&lt;&gt;"",Q90&lt;&gt;""),"시정조치 종결","시정조치 진행")),IF(H90="부적합",IF(AND(G90="검증완료",I90&lt;&gt;"",J90&lt;&gt;"",K90&lt;&gt;"",M90&lt;&gt;"",N90&lt;&gt;"",O90="적합",P90&lt;&gt;"",Q90&lt;&gt;""),"시정조치 종결","시정조치 진행"),IF(AND(G90="검증완료",H90="적합"),"적합확인",IF(G90="검증완료","판정대기","검증대기"))))</x:f>
        <x:v>검증대기</x:v>
      </x:c>
      <x:c r="S90" s="1633" t="str">
        <x:v>22_2동_브레이징_점검!47행</x:v>
      </x:c>
      <x:c r="T90" s="1642"/>
    </x:row>
    <x:row r="91" ht="29" customHeight="1">
      <x:c r="A91" s="1632" t="str">
        <x:v>SQ-W042</x:v>
      </x:c>
      <x:c r="B91" s="1633" t="str">
        <x:v>2동브레이징</x:v>
      </x:c>
      <x:c r="C91" s="1633" t="str">
        <x:v>2-5</x:v>
      </x:c>
      <x:c r="D91" s="1633" t="str">
        <x:v>FA1A8HRAAD</x:v>
      </x:c>
      <x:c r="E91" s="1633" t="str">
        <x:v>계측기 신뢰성</x:v>
      </x:c>
      <x:c r="F91" s="1633" t="str">
        <x:v>품질</x:v>
      </x:c>
      <x:c r="G91" s="1645" t="str">
        <x:f>IF(AND('22_2동_브레이징_점검'!N48="종결",'22_2동_브레이징_점검'!H48="적합",'22_2동_브레이징_점검'!I48&lt;&gt;"",'22_2동_브레이징_점검'!L48&lt;&gt;"",'22_2동_브레이징_점검'!M48&lt;&gt;""),"검증완료",IF('22_2동_브레이징_점검'!H48="부적합","부적합확인","미확인"))</x:f>
        <x:v>미확인</x:v>
      </x:c>
      <x:c r="H91" s="1639" t="str">
        <x:v>미판정</x:v>
      </x:c>
      <x:c r="I91" s="1639"/>
      <x:c r="J91" s="1639"/>
      <x:c r="K91" s="1639"/>
      <x:c r="L91" s="1639"/>
      <x:c r="M91" s="1639"/>
      <x:c r="N91" s="1639"/>
      <x:c r="O91" s="1639" t="str">
        <x:v>미확인</x:v>
      </x:c>
      <x:c r="P91" s="1639"/>
      <x:c r="Q91" s="1639"/>
      <x:c r="R91" s="1645" t="str">
        <x:f>IF(G91="부적합확인",IF(H91&lt;&gt;"부적합","부적합 판정필요",IF(AND(I91&lt;&gt;"",J91&lt;&gt;"",K91&lt;&gt;"",M91&lt;&gt;"",N91&lt;&gt;"",O91="적합",P91&lt;&gt;"",Q91&lt;&gt;""),"시정조치 종결","시정조치 진행")),IF(H91="부적합",IF(AND(G91="검증완료",I91&lt;&gt;"",J91&lt;&gt;"",K91&lt;&gt;"",M91&lt;&gt;"",N91&lt;&gt;"",O91="적합",P91&lt;&gt;"",Q91&lt;&gt;""),"시정조치 종결","시정조치 진행"),IF(AND(G91="검증완료",H91="적합"),"적합확인",IF(G91="검증완료","판정대기","검증대기"))))</x:f>
        <x:v>검증대기</x:v>
      </x:c>
      <x:c r="S91" s="1633" t="str">
        <x:v>22_2동_브레이징_점검!48행</x:v>
      </x:c>
      <x:c r="T91" s="1642"/>
    </x:row>
    <x:row r="92" ht="29" customHeight="1">
      <x:c r="A92" s="1632" t="str">
        <x:v>SQ-W043</x:v>
      </x:c>
      <x:c r="B92" s="1633" t="str">
        <x:v>2동브레이징</x:v>
      </x:c>
      <x:c r="C92" s="1633" t="str">
        <x:v>2-6</x:v>
      </x:c>
      <x:c r="D92" s="1633" t="str">
        <x:v>FA1A8HRAAD</x:v>
      </x:c>
      <x:c r="E92" s="1633" t="str">
        <x:v>MSA</x:v>
      </x:c>
      <x:c r="F92" s="1633" t="str">
        <x:v>품질</x:v>
      </x:c>
      <x:c r="G92" s="1645" t="str">
        <x:f>IF(AND('22_2동_브레이징_점검'!N49="종결",'22_2동_브레이징_점검'!H49="적합",'22_2동_브레이징_점검'!I49&lt;&gt;"",'22_2동_브레이징_점검'!L49&lt;&gt;"",'22_2동_브레이징_점검'!M49&lt;&gt;""),"검증완료",IF('22_2동_브레이징_점검'!H49="부적합","부적합확인","미확인"))</x:f>
        <x:v>미확인</x:v>
      </x:c>
      <x:c r="H92" s="1639" t="str">
        <x:v>미판정</x:v>
      </x:c>
      <x:c r="I92" s="1639"/>
      <x:c r="J92" s="1639"/>
      <x:c r="K92" s="1639"/>
      <x:c r="L92" s="1639"/>
      <x:c r="M92" s="1639"/>
      <x:c r="N92" s="1639"/>
      <x:c r="O92" s="1639" t="str">
        <x:v>미확인</x:v>
      </x:c>
      <x:c r="P92" s="1639"/>
      <x:c r="Q92" s="1639"/>
      <x:c r="R92" s="1645" t="str">
        <x:f>IF(G92="부적합확인",IF(H92&lt;&gt;"부적합","부적합 판정필요",IF(AND(I92&lt;&gt;"",J92&lt;&gt;"",K92&lt;&gt;"",M92&lt;&gt;"",N92&lt;&gt;"",O92="적합",P92&lt;&gt;"",Q92&lt;&gt;""),"시정조치 종결","시정조치 진행")),IF(H92="부적합",IF(AND(G92="검증완료",I92&lt;&gt;"",J92&lt;&gt;"",K92&lt;&gt;"",M92&lt;&gt;"",N92&lt;&gt;"",O92="적합",P92&lt;&gt;"",Q92&lt;&gt;""),"시정조치 종결","시정조치 진행"),IF(AND(G92="검증완료",H92="적합"),"적합확인",IF(G92="검증완료","판정대기","검증대기"))))</x:f>
        <x:v>검증대기</x:v>
      </x:c>
      <x:c r="S92" s="1633" t="str">
        <x:v>22_2동_브레이징_점검!49행</x:v>
      </x:c>
      <x:c r="T92" s="1642"/>
    </x:row>
    <x:row r="93" ht="29" customHeight="1">
      <x:c r="A93" s="1632" t="str">
        <x:v>SQ-W044</x:v>
      </x:c>
      <x:c r="B93" s="1633" t="str">
        <x:v>2동브레이징</x:v>
      </x:c>
      <x:c r="C93" s="1633" t="str">
        <x:v>6-3</x:v>
      </x:c>
      <x:c r="D93" s="1633" t="str">
        <x:v>FA1A8HRAAD</x:v>
      </x:c>
      <x:c r="E93" s="1633" t="str">
        <x:v>도면·검사협정 사내대조</x:v>
      </x:c>
      <x:c r="F93" s="1633" t="str">
        <x:v>개발/품질</x:v>
      </x:c>
      <x:c r="G93" s="1645" t="str">
        <x:f>IF(AND('22_2동_브레이징_점검'!N50="종결",'22_2동_브레이징_점검'!H50="적합",'22_2동_브레이징_점검'!I50&lt;&gt;"",'22_2동_브레이징_점검'!L50&lt;&gt;"",'22_2동_브레이징_점검'!M50&lt;&gt;""),"검증완료",IF('22_2동_브레이징_점검'!H50="부적합","부적합확인","미확인"))</x:f>
        <x:v>미확인</x:v>
      </x:c>
      <x:c r="H93" s="1639" t="str">
        <x:v>미판정</x:v>
      </x:c>
      <x:c r="I93" s="1639"/>
      <x:c r="J93" s="1639"/>
      <x:c r="K93" s="1639"/>
      <x:c r="L93" s="1639"/>
      <x:c r="M93" s="1639"/>
      <x:c r="N93" s="1639"/>
      <x:c r="O93" s="1639" t="str">
        <x:v>미확인</x:v>
      </x:c>
      <x:c r="P93" s="1639"/>
      <x:c r="Q93" s="1639"/>
      <x:c r="R93" s="1645" t="str">
        <x:f>IF(G93="부적합확인",IF(H93&lt;&gt;"부적합","부적합 판정필요",IF(AND(I93&lt;&gt;"",J93&lt;&gt;"",K93&lt;&gt;"",M93&lt;&gt;"",N93&lt;&gt;"",O93="적합",P93&lt;&gt;"",Q93&lt;&gt;""),"시정조치 종결","시정조치 진행")),IF(H93="부적합",IF(AND(G93="검증완료",I93&lt;&gt;"",J93&lt;&gt;"",K93&lt;&gt;"",M93&lt;&gt;"",N93&lt;&gt;"",O93="적합",P93&lt;&gt;"",Q93&lt;&gt;""),"시정조치 종결","시정조치 진행"),IF(AND(G93="검증완료",H93="적합"),"적합확인",IF(G93="검증완료","판정대기","검증대기"))))</x:f>
        <x:v>검증대기</x:v>
      </x:c>
      <x:c r="S93" s="1633" t="str">
        <x:v>22_2동_브레이징_점검!50행</x:v>
      </x:c>
      <x:c r="T93" s="1642"/>
    </x:row>
    <x:row r="94" ht="29" customHeight="1">
      <x:c r="A94" s="1632" t="str">
        <x:v>SQ-D001</x:v>
      </x:c>
      <x:c r="B94" s="1633" t="str">
        <x:v>사내도면</x:v>
      </x:c>
      <x:c r="C94" s="1633" t="str">
        <x:v>도면 Rev.01</x:v>
      </x:c>
      <x:c r="D94" s="1633" t="str">
        <x:v>FA1A8HRAAC</x:v>
      </x:c>
      <x:c r="E94" s="1633" t="str">
        <x:v>전체 품번 철자</x:v>
      </x:c>
      <x:c r="F94" s="1633" t="str">
        <x:v>개발/품질</x:v>
      </x:c>
      <x:c r="G94" s="1645" t="str">
        <x:f>IF(AND('23_도면_사내대조'!G7="일치",'23_도면_사내대조'!H7&lt;&gt;"",'23_도면_사내대조'!K7&lt;&gt;""),"검증완료",IF('23_도면_사내대조'!G7="불일치","부적합확인","미확인"))</x:f>
        <x:v>미확인</x:v>
      </x:c>
      <x:c r="H94" s="1639" t="str">
        <x:v>미판정</x:v>
      </x:c>
      <x:c r="I94" s="1639"/>
      <x:c r="J94" s="1639"/>
      <x:c r="K94" s="1639"/>
      <x:c r="L94" s="1639"/>
      <x:c r="M94" s="1639"/>
      <x:c r="N94" s="1639"/>
      <x:c r="O94" s="1639" t="str">
        <x:v>미확인</x:v>
      </x:c>
      <x:c r="P94" s="1639"/>
      <x:c r="Q94" s="1639"/>
      <x:c r="R94" s="1645" t="str">
        <x:f>IF(G94="부적합확인",IF(H94&lt;&gt;"부적합","부적합 판정필요",IF(AND(I94&lt;&gt;"",J94&lt;&gt;"",K94&lt;&gt;"",M94&lt;&gt;"",N94&lt;&gt;"",O94="적합",P94&lt;&gt;"",Q94&lt;&gt;""),"시정조치 종결","시정조치 진행")),IF(H94="부적합",IF(AND(G94="검증완료",I94&lt;&gt;"",J94&lt;&gt;"",K94&lt;&gt;"",M94&lt;&gt;"",N94&lt;&gt;"",O94="적합",P94&lt;&gt;"",Q94&lt;&gt;""),"시정조치 종결","시정조치 진행"),IF(AND(G94="검증완료",H94="적합"),"적합확인",IF(G94="검증완료","판정대기","검증대기"))))</x:f>
        <x:v>검증대기</x:v>
      </x:c>
      <x:c r="S94" s="1633" t="str">
        <x:v>23_도면_사내대조!7행</x:v>
      </x:c>
      <x:c r="T94" s="1642"/>
    </x:row>
    <x:row r="95" ht="29" customHeight="1">
      <x:c r="A95" s="1632" t="str">
        <x:v>SQ-D002</x:v>
      </x:c>
      <x:c r="B95" s="1633" t="str">
        <x:v>사내도면</x:v>
      </x:c>
      <x:c r="C95" s="1633" t="str">
        <x:v>도면 Rev.01</x:v>
      </x:c>
      <x:c r="D95" s="1633" t="str">
        <x:v>FA1A8HRAAC</x:v>
      </x:c>
      <x:c r="E95" s="1633" t="str">
        <x:v>도면 Rev.01 상태</x:v>
      </x:c>
      <x:c r="F95" s="1633" t="str">
        <x:v>개발/품질</x:v>
      </x:c>
      <x:c r="G95" s="1645" t="str">
        <x:f>IF(AND('23_도면_사내대조'!G8="일치",'23_도면_사내대조'!H8&lt;&gt;"",'23_도면_사내대조'!K8&lt;&gt;""),"검증완료",IF('23_도면_사내대조'!G8="불일치","부적합확인","미확인"))</x:f>
        <x:v>미확인</x:v>
      </x:c>
      <x:c r="H95" s="1639" t="str">
        <x:v>미판정</x:v>
      </x:c>
      <x:c r="I95" s="1639"/>
      <x:c r="J95" s="1639"/>
      <x:c r="K95" s="1639"/>
      <x:c r="L95" s="1639"/>
      <x:c r="M95" s="1639"/>
      <x:c r="N95" s="1639"/>
      <x:c r="O95" s="1639" t="str">
        <x:v>미확인</x:v>
      </x:c>
      <x:c r="P95" s="1639"/>
      <x:c r="Q95" s="1639"/>
      <x:c r="R95" s="1645" t="str">
        <x:f>IF(G95="부적합확인",IF(H95&lt;&gt;"부적합","부적합 판정필요",IF(AND(I95&lt;&gt;"",J95&lt;&gt;"",K95&lt;&gt;"",M95&lt;&gt;"",N95&lt;&gt;"",O95="적합",P95&lt;&gt;"",Q95&lt;&gt;""),"시정조치 종결","시정조치 진행")),IF(H95="부적합",IF(AND(G95="검증완료",I95&lt;&gt;"",J95&lt;&gt;"",K95&lt;&gt;"",M95&lt;&gt;"",N95&lt;&gt;"",O95="적합",P95&lt;&gt;"",Q95&lt;&gt;""),"시정조치 종결","시정조치 진행"),IF(AND(G95="검증완료",H95="적합"),"적합확인",IF(G95="검증완료","판정대기","검증대기"))))</x:f>
        <x:v>검증대기</x:v>
      </x:c>
      <x:c r="S95" s="1633" t="str">
        <x:v>23_도면_사내대조!8행</x:v>
      </x:c>
      <x:c r="T95" s="1642"/>
    </x:row>
    <x:row r="96" ht="29" customHeight="1">
      <x:c r="A96" s="1632" t="str">
        <x:v>SQ-D003</x:v>
      </x:c>
      <x:c r="B96" s="1633" t="str">
        <x:v>사내도면</x:v>
      </x:c>
      <x:c r="C96" s="1633" t="str">
        <x:v>도면 Rev.01</x:v>
      </x:c>
      <x:c r="D96" s="1633" t="str">
        <x:v>FA1A8HRAAC</x:v>
      </x:c>
      <x:c r="E96" s="1633" t="str">
        <x:v>고객명·품명</x:v>
      </x:c>
      <x:c r="F96" s="1633" t="str">
        <x:v>개발/품질</x:v>
      </x:c>
      <x:c r="G96" s="1645" t="str">
        <x:f>IF(AND('23_도면_사내대조'!G9="일치",'23_도면_사내대조'!H9&lt;&gt;"",'23_도면_사내대조'!K9&lt;&gt;""),"검증완료",IF('23_도면_사내대조'!G9="불일치","부적합확인","미확인"))</x:f>
        <x:v>미확인</x:v>
      </x:c>
      <x:c r="H96" s="1639" t="str">
        <x:v>미판정</x:v>
      </x:c>
      <x:c r="I96" s="1639"/>
      <x:c r="J96" s="1639"/>
      <x:c r="K96" s="1639"/>
      <x:c r="L96" s="1639"/>
      <x:c r="M96" s="1639"/>
      <x:c r="N96" s="1639"/>
      <x:c r="O96" s="1639" t="str">
        <x:v>미확인</x:v>
      </x:c>
      <x:c r="P96" s="1639"/>
      <x:c r="Q96" s="1639"/>
      <x:c r="R96" s="1645" t="str">
        <x:f>IF(G96="부적합확인",IF(H96&lt;&gt;"부적합","부적합 판정필요",IF(AND(I96&lt;&gt;"",J96&lt;&gt;"",K96&lt;&gt;"",M96&lt;&gt;"",N96&lt;&gt;"",O96="적합",P96&lt;&gt;"",Q96&lt;&gt;""),"시정조치 종결","시정조치 진행")),IF(H96="부적합",IF(AND(G96="검증완료",I96&lt;&gt;"",J96&lt;&gt;"",K96&lt;&gt;"",M96&lt;&gt;"",N96&lt;&gt;"",O96="적합",P96&lt;&gt;"",Q96&lt;&gt;""),"시정조치 종결","시정조치 진행"),IF(AND(G96="검증완료",H96="적합"),"적합확인",IF(G96="검증완료","판정대기","검증대기"))))</x:f>
        <x:v>검증대기</x:v>
      </x:c>
      <x:c r="S96" s="1633" t="str">
        <x:v>23_도면_사내대조!9행</x:v>
      </x:c>
      <x:c r="T96" s="1642"/>
    </x:row>
    <x:row r="97" ht="29" customHeight="1">
      <x:c r="A97" s="1632" t="str">
        <x:v>SQ-D004</x:v>
      </x:c>
      <x:c r="B97" s="1633" t="str">
        <x:v>사내도면</x:v>
      </x:c>
      <x:c r="C97" s="1633" t="str">
        <x:v>도면 Rev.01</x:v>
      </x:c>
      <x:c r="D97" s="1633" t="str">
        <x:v>FA1A8HRAAC</x:v>
      </x:c>
      <x:c r="E97" s="1633" t="str">
        <x:v>공정 흐름·용접범위</x:v>
      </x:c>
      <x:c r="F97" s="1633" t="str">
        <x:v>개발/품질</x:v>
      </x:c>
      <x:c r="G97" s="1645" t="str">
        <x:f>IF(AND('23_도면_사내대조'!G10="일치",'23_도면_사내대조'!H10&lt;&gt;"",'23_도면_사내대조'!K10&lt;&gt;""),"검증완료",IF('23_도면_사내대조'!G10="불일치","부적합확인","미확인"))</x:f>
        <x:v>미확인</x:v>
      </x:c>
      <x:c r="H97" s="1639" t="str">
        <x:v>미판정</x:v>
      </x:c>
      <x:c r="I97" s="1639"/>
      <x:c r="J97" s="1639"/>
      <x:c r="K97" s="1639"/>
      <x:c r="L97" s="1639"/>
      <x:c r="M97" s="1639"/>
      <x:c r="N97" s="1639"/>
      <x:c r="O97" s="1639" t="str">
        <x:v>미확인</x:v>
      </x:c>
      <x:c r="P97" s="1639"/>
      <x:c r="Q97" s="1639"/>
      <x:c r="R97" s="1645" t="str">
        <x:f>IF(G97="부적합확인",IF(H97&lt;&gt;"부적합","부적합 판정필요",IF(AND(I97&lt;&gt;"",J97&lt;&gt;"",K97&lt;&gt;"",M97&lt;&gt;"",N97&lt;&gt;"",O97="적합",P97&lt;&gt;"",Q97&lt;&gt;""),"시정조치 종결","시정조치 진행")),IF(H97="부적합",IF(AND(G97="검증완료",I97&lt;&gt;"",J97&lt;&gt;"",K97&lt;&gt;"",M97&lt;&gt;"",N97&lt;&gt;"",O97="적합",P97&lt;&gt;"",Q97&lt;&gt;""),"시정조치 종결","시정조치 진행"),IF(AND(G97="검증완료",H97="적합"),"적합확인",IF(G97="검증완료","판정대기","검증대기"))))</x:f>
        <x:v>검증대기</x:v>
      </x:c>
      <x:c r="S97" s="1633" t="str">
        <x:v>23_도면_사내대조!10행</x:v>
      </x:c>
      <x:c r="T97" s="1642"/>
    </x:row>
    <x:row r="98" ht="29" customHeight="1">
      <x:c r="A98" s="1632" t="str">
        <x:v>SQ-D005</x:v>
      </x:c>
      <x:c r="B98" s="1633" t="str">
        <x:v>사내도면</x:v>
      </x:c>
      <x:c r="C98" s="1633" t="str">
        <x:v>도면 Rev.01</x:v>
      </x:c>
      <x:c r="D98" s="1633" t="str">
        <x:v>FA1A8HRAAC</x:v>
      </x:c>
      <x:c r="E98" s="1633" t="str">
        <x:v>중요/특별특성</x:v>
      </x:c>
      <x:c r="F98" s="1633" t="str">
        <x:v>개발/품질</x:v>
      </x:c>
      <x:c r="G98" s="1645" t="str">
        <x:f>IF(AND('23_도면_사내대조'!G11="일치",'23_도면_사내대조'!H11&lt;&gt;"",'23_도면_사내대조'!K11&lt;&gt;""),"검증완료",IF('23_도면_사내대조'!G11="불일치","부적합확인","미확인"))</x:f>
        <x:v>미확인</x:v>
      </x:c>
      <x:c r="H98" s="1639" t="str">
        <x:v>미판정</x:v>
      </x:c>
      <x:c r="I98" s="1639"/>
      <x:c r="J98" s="1639"/>
      <x:c r="K98" s="1639"/>
      <x:c r="L98" s="1639"/>
      <x:c r="M98" s="1639"/>
      <x:c r="N98" s="1639"/>
      <x:c r="O98" s="1639" t="str">
        <x:v>미확인</x:v>
      </x:c>
      <x:c r="P98" s="1639"/>
      <x:c r="Q98" s="1639"/>
      <x:c r="R98" s="1645" t="str">
        <x:f>IF(G98="부적합확인",IF(H98&lt;&gt;"부적합","부적합 판정필요",IF(AND(I98&lt;&gt;"",J98&lt;&gt;"",K98&lt;&gt;"",M98&lt;&gt;"",N98&lt;&gt;"",O98="적합",P98&lt;&gt;"",Q98&lt;&gt;""),"시정조치 종결","시정조치 진행")),IF(H98="부적합",IF(AND(G98="검증완료",I98&lt;&gt;"",J98&lt;&gt;"",K98&lt;&gt;"",M98&lt;&gt;"",N98&lt;&gt;"",O98="적합",P98&lt;&gt;"",Q98&lt;&gt;""),"시정조치 종결","시정조치 진행"),IF(AND(G98="검증완료",H98="적합"),"적합확인",IF(G98="검증완료","판정대기","검증대기"))))</x:f>
        <x:v>검증대기</x:v>
      </x:c>
      <x:c r="S98" s="1633" t="str">
        <x:v>23_도면_사내대조!11행</x:v>
      </x:c>
      <x:c r="T98" s="1642"/>
    </x:row>
    <x:row r="99" ht="29" customHeight="1">
      <x:c r="A99" s="1632" t="str">
        <x:v>SQ-D006</x:v>
      </x:c>
      <x:c r="B99" s="1633" t="str">
        <x:v>사내도면</x:v>
      </x:c>
      <x:c r="C99" s="1633" t="str">
        <x:v>도면 Rev.01</x:v>
      </x:c>
      <x:c r="D99" s="1633" t="str">
        <x:v>FA1A8HRAAC</x:v>
      </x:c>
      <x:c r="E99" s="1633" t="str">
        <x:v>용접 기호·검사 요구</x:v>
      </x:c>
      <x:c r="F99" s="1633" t="str">
        <x:v>개발/품질</x:v>
      </x:c>
      <x:c r="G99" s="1645" t="str">
        <x:f>IF(AND('23_도면_사내대조'!G12="일치",'23_도면_사내대조'!H12&lt;&gt;"",'23_도면_사내대조'!K12&lt;&gt;""),"검증완료",IF('23_도면_사내대조'!G12="불일치","부적합확인","미확인"))</x:f>
        <x:v>미확인</x:v>
      </x:c>
      <x:c r="H99" s="1639" t="str">
        <x:v>미판정</x:v>
      </x:c>
      <x:c r="I99" s="1639"/>
      <x:c r="J99" s="1639"/>
      <x:c r="K99" s="1639"/>
      <x:c r="L99" s="1639"/>
      <x:c r="M99" s="1639"/>
      <x:c r="N99" s="1639"/>
      <x:c r="O99" s="1639" t="str">
        <x:v>미확인</x:v>
      </x:c>
      <x:c r="P99" s="1639"/>
      <x:c r="Q99" s="1639"/>
      <x:c r="R99" s="1645" t="str">
        <x:f>IF(G99="부적합확인",IF(H99&lt;&gt;"부적합","부적합 판정필요",IF(AND(I99&lt;&gt;"",J99&lt;&gt;"",K99&lt;&gt;"",M99&lt;&gt;"",N99&lt;&gt;"",O99="적합",P99&lt;&gt;"",Q99&lt;&gt;""),"시정조치 종결","시정조치 진행")),IF(H99="부적합",IF(AND(G99="검증완료",I99&lt;&gt;"",J99&lt;&gt;"",K99&lt;&gt;"",M99&lt;&gt;"",N99&lt;&gt;"",O99="적합",P99&lt;&gt;"",Q99&lt;&gt;""),"시정조치 종결","시정조치 진행"),IF(AND(G99="검증완료",H99="적합"),"적합확인",IF(G99="검증완료","판정대기","검증대기"))))</x:f>
        <x:v>검증대기</x:v>
      </x:c>
      <x:c r="S99" s="1633" t="str">
        <x:v>23_도면_사내대조!12행</x:v>
      </x:c>
      <x:c r="T99" s="1642"/>
    </x:row>
    <x:row r="100" ht="29" customHeight="1">
      <x:c r="A100" s="1632" t="str">
        <x:v>SQ-D007</x:v>
      </x:c>
      <x:c r="B100" s="1633" t="str">
        <x:v>사내도면</x:v>
      </x:c>
      <x:c r="C100" s="1633" t="str">
        <x:v>도면 Rev.01</x:v>
      </x:c>
      <x:c r="D100" s="1633" t="str">
        <x:v>FA1A8HRAAC</x:v>
      </x:c>
      <x:c r="E100" s="1633" t="str">
        <x:v>주요 치수·공차</x:v>
      </x:c>
      <x:c r="F100" s="1633" t="str">
        <x:v>개발/품질</x:v>
      </x:c>
      <x:c r="G100" s="1645" t="str">
        <x:f>IF(AND('23_도면_사내대조'!G13="일치",'23_도면_사내대조'!H13&lt;&gt;"",'23_도면_사내대조'!K13&lt;&gt;""),"검증완료",IF('23_도면_사내대조'!G13="불일치","부적합확인","미확인"))</x:f>
        <x:v>미확인</x:v>
      </x:c>
      <x:c r="H100" s="1639" t="str">
        <x:v>미판정</x:v>
      </x:c>
      <x:c r="I100" s="1639"/>
      <x:c r="J100" s="1639"/>
      <x:c r="K100" s="1639"/>
      <x:c r="L100" s="1639"/>
      <x:c r="M100" s="1639"/>
      <x:c r="N100" s="1639"/>
      <x:c r="O100" s="1639" t="str">
        <x:v>미확인</x:v>
      </x:c>
      <x:c r="P100" s="1639"/>
      <x:c r="Q100" s="1639"/>
      <x:c r="R100" s="1645" t="str">
        <x:f>IF(G100="부적합확인",IF(H100&lt;&gt;"부적합","부적합 판정필요",IF(AND(I100&lt;&gt;"",J100&lt;&gt;"",K100&lt;&gt;"",M100&lt;&gt;"",N100&lt;&gt;"",O100="적합",P100&lt;&gt;"",Q100&lt;&gt;""),"시정조치 종결","시정조치 진행")),IF(H100="부적합",IF(AND(G100="검증완료",I100&lt;&gt;"",J100&lt;&gt;"",K100&lt;&gt;"",M100&lt;&gt;"",N100&lt;&gt;"",O100="적합",P100&lt;&gt;"",Q100&lt;&gt;""),"시정조치 종결","시정조치 진행"),IF(AND(G100="검증완료",H100="적합"),"적합확인",IF(G100="검증완료","판정대기","검증대기"))))</x:f>
        <x:v>검증대기</x:v>
      </x:c>
      <x:c r="S100" s="1633" t="str">
        <x:v>23_도면_사내대조!13행</x:v>
      </x:c>
      <x:c r="T100" s="1642"/>
    </x:row>
    <x:row r="101" ht="29" customHeight="1">
      <x:c r="A101" s="1632" t="str">
        <x:v>SQ-D008</x:v>
      </x:c>
      <x:c r="B101" s="1633" t="str">
        <x:v>사내도면</x:v>
      </x:c>
      <x:c r="C101" s="1633" t="str">
        <x:v>도면 Rev.01</x:v>
      </x:c>
      <x:c r="D101" s="1633" t="str">
        <x:v>FA1A8HRAAC</x:v>
      </x:c>
      <x:c r="E101" s="1633" t="str">
        <x:v>검사협정·합격판정</x:v>
      </x:c>
      <x:c r="F101" s="1633" t="str">
        <x:v>개발/품질</x:v>
      </x:c>
      <x:c r="G101" s="1645" t="str">
        <x:f>IF(AND('23_도면_사내대조'!G14="일치",'23_도면_사내대조'!H14&lt;&gt;"",'23_도면_사내대조'!K14&lt;&gt;""),"검증완료",IF('23_도면_사내대조'!G14="불일치","부적합확인","미확인"))</x:f>
        <x:v>미확인</x:v>
      </x:c>
      <x:c r="H101" s="1639" t="str">
        <x:v>미판정</x:v>
      </x:c>
      <x:c r="I101" s="1639"/>
      <x:c r="J101" s="1639"/>
      <x:c r="K101" s="1639"/>
      <x:c r="L101" s="1639"/>
      <x:c r="M101" s="1639"/>
      <x:c r="N101" s="1639"/>
      <x:c r="O101" s="1639" t="str">
        <x:v>미확인</x:v>
      </x:c>
      <x:c r="P101" s="1639"/>
      <x:c r="Q101" s="1639"/>
      <x:c r="R101" s="1645" t="str">
        <x:f>IF(G101="부적합확인",IF(H101&lt;&gt;"부적합","부적합 판정필요",IF(AND(I101&lt;&gt;"",J101&lt;&gt;"",K101&lt;&gt;"",M101&lt;&gt;"",N101&lt;&gt;"",O101="적합",P101&lt;&gt;"",Q101&lt;&gt;""),"시정조치 종결","시정조치 진행")),IF(H101="부적합",IF(AND(G101="검증완료",I101&lt;&gt;"",J101&lt;&gt;"",K101&lt;&gt;"",M101&lt;&gt;"",N101&lt;&gt;"",O101="적합",P101&lt;&gt;"",Q101&lt;&gt;""),"시정조치 종결","시정조치 진행"),IF(AND(G101="검증완료",H101="적합"),"적합확인",IF(G101="검증완료","판정대기","검증대기"))))</x:f>
        <x:v>검증대기</x:v>
      </x:c>
      <x:c r="S101" s="1633" t="str">
        <x:v>23_도면_사내대조!14행</x:v>
      </x:c>
      <x:c r="T101" s="1642"/>
    </x:row>
    <x:row r="102" ht="29" customHeight="1">
      <x:c r="A102" s="1632" t="str">
        <x:v>SQ-D009</x:v>
      </x:c>
      <x:c r="B102" s="1633" t="str">
        <x:v>사내도면</x:v>
      </x:c>
      <x:c r="C102" s="1633" t="str">
        <x:v>도면 Rev.01</x:v>
      </x:c>
      <x:c r="D102" s="1633" t="str">
        <x:v>FA1A8HRAAC</x:v>
      </x:c>
      <x:c r="E102" s="1633" t="str">
        <x:v>변경/배포관리</x:v>
      </x:c>
      <x:c r="F102" s="1633" t="str">
        <x:v>개발/품질</x:v>
      </x:c>
      <x:c r="G102" s="1645" t="str">
        <x:f>IF(AND('23_도면_사내대조'!G15="일치",'23_도면_사내대조'!H15&lt;&gt;"",'23_도면_사내대조'!K15&lt;&gt;""),"검증완료",IF('23_도면_사내대조'!G15="불일치","부적합확인","미확인"))</x:f>
        <x:v>미확인</x:v>
      </x:c>
      <x:c r="H102" s="1639" t="str">
        <x:v>미판정</x:v>
      </x:c>
      <x:c r="I102" s="1639"/>
      <x:c r="J102" s="1639"/>
      <x:c r="K102" s="1639"/>
      <x:c r="L102" s="1639"/>
      <x:c r="M102" s="1639"/>
      <x:c r="N102" s="1639"/>
      <x:c r="O102" s="1639" t="str">
        <x:v>미확인</x:v>
      </x:c>
      <x:c r="P102" s="1639"/>
      <x:c r="Q102" s="1639"/>
      <x:c r="R102" s="1645" t="str">
        <x:f>IF(G102="부적합확인",IF(H102&lt;&gt;"부적합","부적합 판정필요",IF(AND(I102&lt;&gt;"",J102&lt;&gt;"",K102&lt;&gt;"",M102&lt;&gt;"",N102&lt;&gt;"",O102="적합",P102&lt;&gt;"",Q102&lt;&gt;""),"시정조치 종결","시정조치 진행")),IF(H102="부적합",IF(AND(G102="검증완료",I102&lt;&gt;"",J102&lt;&gt;"",K102&lt;&gt;"",M102&lt;&gt;"",N102&lt;&gt;"",O102="적합",P102&lt;&gt;"",Q102&lt;&gt;""),"시정조치 종결","시정조치 진행"),IF(AND(G102="검증완료",H102="적합"),"적합확인",IF(G102="검증완료","판정대기","검증대기"))))</x:f>
        <x:v>검증대기</x:v>
      </x:c>
      <x:c r="S102" s="1633" t="str">
        <x:v>23_도면_사내대조!15행</x:v>
      </x:c>
      <x:c r="T102" s="1642"/>
    </x:row>
    <x:row r="103" ht="29" customHeight="1">
      <x:c r="A103" s="1632" t="str">
        <x:v>SQ-D010</x:v>
      </x:c>
      <x:c r="B103" s="1633" t="str">
        <x:v>사내도면</x:v>
      </x:c>
      <x:c r="C103" s="1633" t="str">
        <x:v>도면 Rev.01</x:v>
      </x:c>
      <x:c r="D103" s="1633" t="str">
        <x:v>FA1A8HRAAD</x:v>
      </x:c>
      <x:c r="E103" s="1633" t="str">
        <x:v>전체 품번 철자</x:v>
      </x:c>
      <x:c r="F103" s="1633" t="str">
        <x:v>개발/품질</x:v>
      </x:c>
      <x:c r="G103" s="1645" t="str">
        <x:f>IF(AND('23_도면_사내대조'!G16="일치",'23_도면_사내대조'!H16&lt;&gt;"",'23_도면_사내대조'!K16&lt;&gt;""),"검증완료",IF('23_도면_사내대조'!G16="불일치","부적합확인","미확인"))</x:f>
        <x:v>미확인</x:v>
      </x:c>
      <x:c r="H103" s="1639" t="str">
        <x:v>미판정</x:v>
      </x:c>
      <x:c r="I103" s="1639"/>
      <x:c r="J103" s="1639"/>
      <x:c r="K103" s="1639"/>
      <x:c r="L103" s="1639"/>
      <x:c r="M103" s="1639"/>
      <x:c r="N103" s="1639"/>
      <x:c r="O103" s="1639" t="str">
        <x:v>미확인</x:v>
      </x:c>
      <x:c r="P103" s="1639"/>
      <x:c r="Q103" s="1639"/>
      <x:c r="R103" s="1645" t="str">
        <x:f>IF(G103="부적합확인",IF(H103&lt;&gt;"부적합","부적합 판정필요",IF(AND(I103&lt;&gt;"",J103&lt;&gt;"",K103&lt;&gt;"",M103&lt;&gt;"",N103&lt;&gt;"",O103="적합",P103&lt;&gt;"",Q103&lt;&gt;""),"시정조치 종결","시정조치 진행")),IF(H103="부적합",IF(AND(G103="검증완료",I103&lt;&gt;"",J103&lt;&gt;"",K103&lt;&gt;"",M103&lt;&gt;"",N103&lt;&gt;"",O103="적합",P103&lt;&gt;"",Q103&lt;&gt;""),"시정조치 종결","시정조치 진행"),IF(AND(G103="검증완료",H103="적합"),"적합확인",IF(G103="검증완료","판정대기","검증대기"))))</x:f>
        <x:v>검증대기</x:v>
      </x:c>
      <x:c r="S103" s="1633" t="str">
        <x:v>23_도면_사내대조!16행</x:v>
      </x:c>
      <x:c r="T103" s="1642"/>
    </x:row>
    <x:row r="104" ht="29" customHeight="1">
      <x:c r="A104" s="1632" t="str">
        <x:v>SQ-D011</x:v>
      </x:c>
      <x:c r="B104" s="1633" t="str">
        <x:v>사내도면</x:v>
      </x:c>
      <x:c r="C104" s="1633" t="str">
        <x:v>도면 Rev.01</x:v>
      </x:c>
      <x:c r="D104" s="1633" t="str">
        <x:v>FA1A8HRAAD</x:v>
      </x:c>
      <x:c r="E104" s="1633" t="str">
        <x:v>도면 Rev.01 상태</x:v>
      </x:c>
      <x:c r="F104" s="1633" t="str">
        <x:v>개발/품질</x:v>
      </x:c>
      <x:c r="G104" s="1645" t="str">
        <x:f>IF(AND('23_도면_사내대조'!G17="일치",'23_도면_사내대조'!H17&lt;&gt;"",'23_도면_사내대조'!K17&lt;&gt;""),"검증완료",IF('23_도면_사내대조'!G17="불일치","부적합확인","미확인"))</x:f>
        <x:v>미확인</x:v>
      </x:c>
      <x:c r="H104" s="1639" t="str">
        <x:v>미판정</x:v>
      </x:c>
      <x:c r="I104" s="1639"/>
      <x:c r="J104" s="1639"/>
      <x:c r="K104" s="1639"/>
      <x:c r="L104" s="1639"/>
      <x:c r="M104" s="1639"/>
      <x:c r="N104" s="1639"/>
      <x:c r="O104" s="1639" t="str">
        <x:v>미확인</x:v>
      </x:c>
      <x:c r="P104" s="1639"/>
      <x:c r="Q104" s="1639"/>
      <x:c r="R104" s="1645" t="str">
        <x:f>IF(G104="부적합확인",IF(H104&lt;&gt;"부적합","부적합 판정필요",IF(AND(I104&lt;&gt;"",J104&lt;&gt;"",K104&lt;&gt;"",M104&lt;&gt;"",N104&lt;&gt;"",O104="적합",P104&lt;&gt;"",Q104&lt;&gt;""),"시정조치 종결","시정조치 진행")),IF(H104="부적합",IF(AND(G104="검증완료",I104&lt;&gt;"",J104&lt;&gt;"",K104&lt;&gt;"",M104&lt;&gt;"",N104&lt;&gt;"",O104="적합",P104&lt;&gt;"",Q104&lt;&gt;""),"시정조치 종결","시정조치 진행"),IF(AND(G104="검증완료",H104="적합"),"적합확인",IF(G104="검증완료","판정대기","검증대기"))))</x:f>
        <x:v>검증대기</x:v>
      </x:c>
      <x:c r="S104" s="1633" t="str">
        <x:v>23_도면_사내대조!17행</x:v>
      </x:c>
      <x:c r="T104" s="1642"/>
    </x:row>
    <x:row r="105" ht="29" customHeight="1">
      <x:c r="A105" s="1632" t="str">
        <x:v>SQ-D012</x:v>
      </x:c>
      <x:c r="B105" s="1633" t="str">
        <x:v>사내도면</x:v>
      </x:c>
      <x:c r="C105" s="1633" t="str">
        <x:v>도면 Rev.01</x:v>
      </x:c>
      <x:c r="D105" s="1633" t="str">
        <x:v>FA1A8HRAAD</x:v>
      </x:c>
      <x:c r="E105" s="1633" t="str">
        <x:v>고객명·품명</x:v>
      </x:c>
      <x:c r="F105" s="1633" t="str">
        <x:v>개발/품질</x:v>
      </x:c>
      <x:c r="G105" s="1645" t="str">
        <x:f>IF(AND('23_도면_사내대조'!G18="일치",'23_도면_사내대조'!H18&lt;&gt;"",'23_도면_사내대조'!K18&lt;&gt;""),"검증완료",IF('23_도면_사내대조'!G18="불일치","부적합확인","미확인"))</x:f>
        <x:v>미확인</x:v>
      </x:c>
      <x:c r="H105" s="1639" t="str">
        <x:v>미판정</x:v>
      </x:c>
      <x:c r="I105" s="1639"/>
      <x:c r="J105" s="1639"/>
      <x:c r="K105" s="1639"/>
      <x:c r="L105" s="1639"/>
      <x:c r="M105" s="1639"/>
      <x:c r="N105" s="1639"/>
      <x:c r="O105" s="1639" t="str">
        <x:v>미확인</x:v>
      </x:c>
      <x:c r="P105" s="1639"/>
      <x:c r="Q105" s="1639"/>
      <x:c r="R105" s="1645" t="str">
        <x:f>IF(G105="부적합확인",IF(H105&lt;&gt;"부적합","부적합 판정필요",IF(AND(I105&lt;&gt;"",J105&lt;&gt;"",K105&lt;&gt;"",M105&lt;&gt;"",N105&lt;&gt;"",O105="적합",P105&lt;&gt;"",Q105&lt;&gt;""),"시정조치 종결","시정조치 진행")),IF(H105="부적합",IF(AND(G105="검증완료",I105&lt;&gt;"",J105&lt;&gt;"",K105&lt;&gt;"",M105&lt;&gt;"",N105&lt;&gt;"",O105="적합",P105&lt;&gt;"",Q105&lt;&gt;""),"시정조치 종결","시정조치 진행"),IF(AND(G105="검증완료",H105="적합"),"적합확인",IF(G105="검증완료","판정대기","검증대기"))))</x:f>
        <x:v>검증대기</x:v>
      </x:c>
      <x:c r="S105" s="1633" t="str">
        <x:v>23_도면_사내대조!18행</x:v>
      </x:c>
      <x:c r="T105" s="1642"/>
    </x:row>
    <x:row r="106" ht="29" customHeight="1">
      <x:c r="A106" s="1632" t="str">
        <x:v>SQ-D013</x:v>
      </x:c>
      <x:c r="B106" s="1633" t="str">
        <x:v>사내도면</x:v>
      </x:c>
      <x:c r="C106" s="1633" t="str">
        <x:v>도면 Rev.01</x:v>
      </x:c>
      <x:c r="D106" s="1633" t="str">
        <x:v>FA1A8HRAAD</x:v>
      </x:c>
      <x:c r="E106" s="1633" t="str">
        <x:v>공정 흐름·용접범위</x:v>
      </x:c>
      <x:c r="F106" s="1633" t="str">
        <x:v>개발/품질</x:v>
      </x:c>
      <x:c r="G106" s="1645" t="str">
        <x:f>IF(AND('23_도면_사내대조'!G19="일치",'23_도면_사내대조'!H19&lt;&gt;"",'23_도면_사내대조'!K19&lt;&gt;""),"검증완료",IF('23_도면_사내대조'!G19="불일치","부적합확인","미확인"))</x:f>
        <x:v>미확인</x:v>
      </x:c>
      <x:c r="H106" s="1639" t="str">
        <x:v>미판정</x:v>
      </x:c>
      <x:c r="I106" s="1639"/>
      <x:c r="J106" s="1639"/>
      <x:c r="K106" s="1639"/>
      <x:c r="L106" s="1639"/>
      <x:c r="M106" s="1639"/>
      <x:c r="N106" s="1639"/>
      <x:c r="O106" s="1639" t="str">
        <x:v>미확인</x:v>
      </x:c>
      <x:c r="P106" s="1639"/>
      <x:c r="Q106" s="1639"/>
      <x:c r="R106" s="1645" t="str">
        <x:f>IF(G106="부적합확인",IF(H106&lt;&gt;"부적합","부적합 판정필요",IF(AND(I106&lt;&gt;"",J106&lt;&gt;"",K106&lt;&gt;"",M106&lt;&gt;"",N106&lt;&gt;"",O106="적합",P106&lt;&gt;"",Q106&lt;&gt;""),"시정조치 종결","시정조치 진행")),IF(H106="부적합",IF(AND(G106="검증완료",I106&lt;&gt;"",J106&lt;&gt;"",K106&lt;&gt;"",M106&lt;&gt;"",N106&lt;&gt;"",O106="적합",P106&lt;&gt;"",Q106&lt;&gt;""),"시정조치 종결","시정조치 진행"),IF(AND(G106="검증완료",H106="적합"),"적합확인",IF(G106="검증완료","판정대기","검증대기"))))</x:f>
        <x:v>검증대기</x:v>
      </x:c>
      <x:c r="S106" s="1633" t="str">
        <x:v>23_도면_사내대조!19행</x:v>
      </x:c>
      <x:c r="T106" s="1642"/>
    </x:row>
    <x:row r="107" ht="29" customHeight="1">
      <x:c r="A107" s="1632" t="str">
        <x:v>SQ-D014</x:v>
      </x:c>
      <x:c r="B107" s="1633" t="str">
        <x:v>사내도면</x:v>
      </x:c>
      <x:c r="C107" s="1633" t="str">
        <x:v>도면 Rev.01</x:v>
      </x:c>
      <x:c r="D107" s="1633" t="str">
        <x:v>FA1A8HRAAD</x:v>
      </x:c>
      <x:c r="E107" s="1633" t="str">
        <x:v>중요/특별특성</x:v>
      </x:c>
      <x:c r="F107" s="1633" t="str">
        <x:v>개발/품질</x:v>
      </x:c>
      <x:c r="G107" s="1645" t="str">
        <x:f>IF(AND('23_도면_사내대조'!G20="일치",'23_도면_사내대조'!H20&lt;&gt;"",'23_도면_사내대조'!K20&lt;&gt;""),"검증완료",IF('23_도면_사내대조'!G20="불일치","부적합확인","미확인"))</x:f>
        <x:v>미확인</x:v>
      </x:c>
      <x:c r="H107" s="1639" t="str">
        <x:v>미판정</x:v>
      </x:c>
      <x:c r="I107" s="1639"/>
      <x:c r="J107" s="1639"/>
      <x:c r="K107" s="1639"/>
      <x:c r="L107" s="1639"/>
      <x:c r="M107" s="1639"/>
      <x:c r="N107" s="1639"/>
      <x:c r="O107" s="1639" t="str">
        <x:v>미확인</x:v>
      </x:c>
      <x:c r="P107" s="1639"/>
      <x:c r="Q107" s="1639"/>
      <x:c r="R107" s="1645" t="str">
        <x:f>IF(G107="부적합확인",IF(H107&lt;&gt;"부적합","부적합 판정필요",IF(AND(I107&lt;&gt;"",J107&lt;&gt;"",K107&lt;&gt;"",M107&lt;&gt;"",N107&lt;&gt;"",O107="적합",P107&lt;&gt;"",Q107&lt;&gt;""),"시정조치 종결","시정조치 진행")),IF(H107="부적합",IF(AND(G107="검증완료",I107&lt;&gt;"",J107&lt;&gt;"",K107&lt;&gt;"",M107&lt;&gt;"",N107&lt;&gt;"",O107="적합",P107&lt;&gt;"",Q107&lt;&gt;""),"시정조치 종결","시정조치 진행"),IF(AND(G107="검증완료",H107="적합"),"적합확인",IF(G107="검증완료","판정대기","검증대기"))))</x:f>
        <x:v>검증대기</x:v>
      </x:c>
      <x:c r="S107" s="1633" t="str">
        <x:v>23_도면_사내대조!20행</x:v>
      </x:c>
      <x:c r="T107" s="1642"/>
    </x:row>
    <x:row r="108" ht="29" customHeight="1">
      <x:c r="A108" s="1632" t="str">
        <x:v>SQ-D015</x:v>
      </x:c>
      <x:c r="B108" s="1633" t="str">
        <x:v>사내도면</x:v>
      </x:c>
      <x:c r="C108" s="1633" t="str">
        <x:v>도면 Rev.01</x:v>
      </x:c>
      <x:c r="D108" s="1633" t="str">
        <x:v>FA1A8HRAAD</x:v>
      </x:c>
      <x:c r="E108" s="1633" t="str">
        <x:v>용접 기호·검사 요구</x:v>
      </x:c>
      <x:c r="F108" s="1633" t="str">
        <x:v>개발/품질</x:v>
      </x:c>
      <x:c r="G108" s="1645" t="str">
        <x:f>IF(AND('23_도면_사내대조'!G21="일치",'23_도면_사내대조'!H21&lt;&gt;"",'23_도면_사내대조'!K21&lt;&gt;""),"검증완료",IF('23_도면_사내대조'!G21="불일치","부적합확인","미확인"))</x:f>
        <x:v>미확인</x:v>
      </x:c>
      <x:c r="H108" s="1639" t="str">
        <x:v>미판정</x:v>
      </x:c>
      <x:c r="I108" s="1639"/>
      <x:c r="J108" s="1639"/>
      <x:c r="K108" s="1639"/>
      <x:c r="L108" s="1639"/>
      <x:c r="M108" s="1639"/>
      <x:c r="N108" s="1639"/>
      <x:c r="O108" s="1639" t="str">
        <x:v>미확인</x:v>
      </x:c>
      <x:c r="P108" s="1639"/>
      <x:c r="Q108" s="1639"/>
      <x:c r="R108" s="1645" t="str">
        <x:f>IF(G108="부적합확인",IF(H108&lt;&gt;"부적합","부적합 판정필요",IF(AND(I108&lt;&gt;"",J108&lt;&gt;"",K108&lt;&gt;"",M108&lt;&gt;"",N108&lt;&gt;"",O108="적합",P108&lt;&gt;"",Q108&lt;&gt;""),"시정조치 종결","시정조치 진행")),IF(H108="부적합",IF(AND(G108="검증완료",I108&lt;&gt;"",J108&lt;&gt;"",K108&lt;&gt;"",M108&lt;&gt;"",N108&lt;&gt;"",O108="적합",P108&lt;&gt;"",Q108&lt;&gt;""),"시정조치 종결","시정조치 진행"),IF(AND(G108="검증완료",H108="적합"),"적합확인",IF(G108="검증완료","판정대기","검증대기"))))</x:f>
        <x:v>검증대기</x:v>
      </x:c>
      <x:c r="S108" s="1633" t="str">
        <x:v>23_도면_사내대조!21행</x:v>
      </x:c>
      <x:c r="T108" s="1642"/>
    </x:row>
    <x:row r="109" ht="29" customHeight="1">
      <x:c r="A109" s="1632" t="str">
        <x:v>SQ-D016</x:v>
      </x:c>
      <x:c r="B109" s="1633" t="str">
        <x:v>사내도면</x:v>
      </x:c>
      <x:c r="C109" s="1633" t="str">
        <x:v>도면 Rev.01</x:v>
      </x:c>
      <x:c r="D109" s="1633" t="str">
        <x:v>FA1A8HRAAD</x:v>
      </x:c>
      <x:c r="E109" s="1633" t="str">
        <x:v>주요 치수·공차</x:v>
      </x:c>
      <x:c r="F109" s="1633" t="str">
        <x:v>개발/품질</x:v>
      </x:c>
      <x:c r="G109" s="1645" t="str">
        <x:f>IF(AND('23_도면_사내대조'!G22="일치",'23_도면_사내대조'!H22&lt;&gt;"",'23_도면_사내대조'!K22&lt;&gt;""),"검증완료",IF('23_도면_사내대조'!G22="불일치","부적합확인","미확인"))</x:f>
        <x:v>미확인</x:v>
      </x:c>
      <x:c r="H109" s="1639" t="str">
        <x:v>미판정</x:v>
      </x:c>
      <x:c r="I109" s="1639"/>
      <x:c r="J109" s="1639"/>
      <x:c r="K109" s="1639"/>
      <x:c r="L109" s="1639"/>
      <x:c r="M109" s="1639"/>
      <x:c r="N109" s="1639"/>
      <x:c r="O109" s="1639" t="str">
        <x:v>미확인</x:v>
      </x:c>
      <x:c r="P109" s="1639"/>
      <x:c r="Q109" s="1639"/>
      <x:c r="R109" s="1645" t="str">
        <x:f>IF(G109="부적합확인",IF(H109&lt;&gt;"부적합","부적합 판정필요",IF(AND(I109&lt;&gt;"",J109&lt;&gt;"",K109&lt;&gt;"",M109&lt;&gt;"",N109&lt;&gt;"",O109="적합",P109&lt;&gt;"",Q109&lt;&gt;""),"시정조치 종결","시정조치 진행")),IF(H109="부적합",IF(AND(G109="검증완료",I109&lt;&gt;"",J109&lt;&gt;"",K109&lt;&gt;"",M109&lt;&gt;"",N109&lt;&gt;"",O109="적합",P109&lt;&gt;"",Q109&lt;&gt;""),"시정조치 종결","시정조치 진행"),IF(AND(G109="검증완료",H109="적합"),"적합확인",IF(G109="검증완료","판정대기","검증대기"))))</x:f>
        <x:v>검증대기</x:v>
      </x:c>
      <x:c r="S109" s="1633" t="str">
        <x:v>23_도면_사내대조!22행</x:v>
      </x:c>
      <x:c r="T109" s="1642"/>
    </x:row>
    <x:row r="110" ht="29" customHeight="1">
      <x:c r="A110" s="1632" t="str">
        <x:v>SQ-D017</x:v>
      </x:c>
      <x:c r="B110" s="1633" t="str">
        <x:v>사내도면</x:v>
      </x:c>
      <x:c r="C110" s="1633" t="str">
        <x:v>도면 Rev.01</x:v>
      </x:c>
      <x:c r="D110" s="1633" t="str">
        <x:v>FA1A8HRAAD</x:v>
      </x:c>
      <x:c r="E110" s="1633" t="str">
        <x:v>검사협정·합격판정</x:v>
      </x:c>
      <x:c r="F110" s="1633" t="str">
        <x:v>개발/품질</x:v>
      </x:c>
      <x:c r="G110" s="1645" t="str">
        <x:f>IF(AND('23_도면_사내대조'!G23="일치",'23_도면_사내대조'!H23&lt;&gt;"",'23_도면_사내대조'!K23&lt;&gt;""),"검증완료",IF('23_도면_사내대조'!G23="불일치","부적합확인","미확인"))</x:f>
        <x:v>미확인</x:v>
      </x:c>
      <x:c r="H110" s="1639" t="str">
        <x:v>미판정</x:v>
      </x:c>
      <x:c r="I110" s="1639"/>
      <x:c r="J110" s="1639"/>
      <x:c r="K110" s="1639"/>
      <x:c r="L110" s="1639"/>
      <x:c r="M110" s="1639"/>
      <x:c r="N110" s="1639"/>
      <x:c r="O110" s="1639" t="str">
        <x:v>미확인</x:v>
      </x:c>
      <x:c r="P110" s="1639"/>
      <x:c r="Q110" s="1639"/>
      <x:c r="R110" s="1645" t="str">
        <x:f>IF(G110="부적합확인",IF(H110&lt;&gt;"부적합","부적합 판정필요",IF(AND(I110&lt;&gt;"",J110&lt;&gt;"",K110&lt;&gt;"",M110&lt;&gt;"",N110&lt;&gt;"",O110="적합",P110&lt;&gt;"",Q110&lt;&gt;""),"시정조치 종결","시정조치 진행")),IF(H110="부적합",IF(AND(G110="검증완료",I110&lt;&gt;"",J110&lt;&gt;"",K110&lt;&gt;"",M110&lt;&gt;"",N110&lt;&gt;"",O110="적합",P110&lt;&gt;"",Q110&lt;&gt;""),"시정조치 종결","시정조치 진행"),IF(AND(G110="검증완료",H110="적합"),"적합확인",IF(G110="검증완료","판정대기","검증대기"))))</x:f>
        <x:v>검증대기</x:v>
      </x:c>
      <x:c r="S110" s="1633" t="str">
        <x:v>23_도면_사내대조!23행</x:v>
      </x:c>
      <x:c r="T110" s="1642"/>
    </x:row>
    <x:row r="111" ht="29" customHeight="1">
      <x:c r="A111" s="1632" t="str">
        <x:v>SQ-D018</x:v>
      </x:c>
      <x:c r="B111" s="1633" t="str">
        <x:v>사내도면</x:v>
      </x:c>
      <x:c r="C111" s="1633" t="str">
        <x:v>도면 Rev.01</x:v>
      </x:c>
      <x:c r="D111" s="1633" t="str">
        <x:v>FA1A8HRAAD</x:v>
      </x:c>
      <x:c r="E111" s="1633" t="str">
        <x:v>변경/배포관리</x:v>
      </x:c>
      <x:c r="F111" s="1633" t="str">
        <x:v>개발/품질</x:v>
      </x:c>
      <x:c r="G111" s="1645" t="str">
        <x:f>IF(AND('23_도면_사내대조'!G24="일치",'23_도면_사내대조'!H24&lt;&gt;"",'23_도면_사내대조'!K24&lt;&gt;""),"검증완료",IF('23_도면_사내대조'!G24="불일치","부적합확인","미확인"))</x:f>
        <x:v>미확인</x:v>
      </x:c>
      <x:c r="H111" s="1639" t="str">
        <x:v>미판정</x:v>
      </x:c>
      <x:c r="I111" s="1639"/>
      <x:c r="J111" s="1639"/>
      <x:c r="K111" s="1639"/>
      <x:c r="L111" s="1639"/>
      <x:c r="M111" s="1639"/>
      <x:c r="N111" s="1639"/>
      <x:c r="O111" s="1639" t="str">
        <x:v>미확인</x:v>
      </x:c>
      <x:c r="P111" s="1639"/>
      <x:c r="Q111" s="1639"/>
      <x:c r="R111" s="1645" t="str">
        <x:f>IF(G111="부적합확인",IF(H111&lt;&gt;"부적합","부적합 판정필요",IF(AND(I111&lt;&gt;"",J111&lt;&gt;"",K111&lt;&gt;"",M111&lt;&gt;"",N111&lt;&gt;"",O111="적합",P111&lt;&gt;"",Q111&lt;&gt;""),"시정조치 종결","시정조치 진행")),IF(H111="부적합",IF(AND(G111="검증완료",I111&lt;&gt;"",J111&lt;&gt;"",K111&lt;&gt;"",M111&lt;&gt;"",N111&lt;&gt;"",O111="적합",P111&lt;&gt;"",Q111&lt;&gt;""),"시정조치 종결","시정조치 진행"),IF(AND(G111="검증완료",H111="적합"),"적합확인",IF(G111="검증완료","판정대기","검증대기"))))</x:f>
        <x:v>검증대기</x:v>
      </x:c>
      <x:c r="S111" s="1633" t="str">
        <x:v>23_도면_사내대조!24행</x:v>
      </x:c>
      <x:c r="T111" s="1642"/>
    </x:row>
    <x:row r="112" ht="29" customHeight="1">
      <x:c r="A112" s="1632" t="str">
        <x:v>SQ-R001</x:v>
      </x:c>
      <x:c r="B112" s="1633" t="str">
        <x:v>부서회수</x:v>
      </x:c>
      <x:c r="C112" s="1633" t="str">
        <x:v>공통 G1</x:v>
      </x:c>
      <x:c r="D112" s="1633" t="str">
        <x:v>RG3 HEV / 6동</x:v>
      </x:c>
      <x:c r="E112" s="1633" t="str">
        <x:v>한온 SQ 평가표 공식 배포·최신 개정 근거</x:v>
      </x:c>
      <x:c r="F112" s="1633" t="str">
        <x:v>영업·품질</x:v>
      </x:c>
      <x:c r="G112" s="1645" t="str">
        <x:f>IF(AND('24_부서별_자료회수'!I7="검토완료",'24_부서별_자료회수'!H7&lt;&gt;"",'24_부서별_자료회수'!J7&lt;&gt;"",'24_부서별_자료회수'!K7&lt;&gt;""),"검증완료",IF(OR('24_부서별_자료회수'!I7="보완필요",'24_부서별_자료회수'!I7="반려"),"부적합확인","미확인"))</x:f>
        <x:v>미확인</x:v>
      </x:c>
      <x:c r="H112" s="1639" t="str">
        <x:v>미판정</x:v>
      </x:c>
      <x:c r="I112" s="1639"/>
      <x:c r="J112" s="1639"/>
      <x:c r="K112" s="1639"/>
      <x:c r="L112" s="1639"/>
      <x:c r="M112" s="1639"/>
      <x:c r="N112" s="1639"/>
      <x:c r="O112" s="1639" t="str">
        <x:v>미확인</x:v>
      </x:c>
      <x:c r="P112" s="1639"/>
      <x:c r="Q112" s="1639"/>
      <x:c r="R112" s="1645" t="str">
        <x:f>IF(G112="부적합확인",IF(H112&lt;&gt;"부적합","부적합 판정필요",IF(AND(I112&lt;&gt;"",J112&lt;&gt;"",K112&lt;&gt;"",M112&lt;&gt;"",N112&lt;&gt;"",O112="적합",P112&lt;&gt;"",Q112&lt;&gt;""),"시정조치 종결","시정조치 진행")),IF(H112="부적합",IF(AND(G112="검증완료",I112&lt;&gt;"",J112&lt;&gt;"",K112&lt;&gt;"",M112&lt;&gt;"",N112&lt;&gt;"",O112="적합",P112&lt;&gt;"",Q112&lt;&gt;""),"시정조치 종결","시정조치 진행"),IF(AND(G112="검증완료",H112="적합"),"적합확인",IF(G112="검증완료","판정대기","검증대기"))))</x:f>
        <x:v>검증대기</x:v>
      </x:c>
      <x:c r="S112" s="1633" t="str">
        <x:v>24_부서별_자료회수!7행</x:v>
      </x:c>
      <x:c r="T112" s="1642"/>
    </x:row>
    <x:row r="113" ht="29" customHeight="1">
      <x:c r="A113" s="1632" t="str">
        <x:v>SQ-R002</x:v>
      </x:c>
      <x:c r="B113" s="1633" t="str">
        <x:v>부서회수</x:v>
      </x:c>
      <x:c r="C113" s="1633" t="str">
        <x:v>6-3</x:v>
      </x:c>
      <x:c r="D113" s="1633" t="str">
        <x:v>FA1A8HRAAC·FA1A8HRAAD</x:v>
      </x:c>
      <x:c r="E113" s="1633" t="str">
        <x:v>두 품번 도면 Rev.01 사내 대조 결과</x:v>
      </x:c>
      <x:c r="F113" s="1633" t="str">
        <x:v>개발·품질</x:v>
      </x:c>
      <x:c r="G113" s="1645" t="str">
        <x:f>IF(AND('24_부서별_자료회수'!I8="검토완료",'24_부서별_자료회수'!H8&lt;&gt;"",'24_부서별_자료회수'!J8&lt;&gt;"",'24_부서별_자료회수'!K8&lt;&gt;""),"검증완료",IF(OR('24_부서별_자료회수'!I8="보완필요",'24_부서별_자료회수'!I8="반려"),"부적합확인","미확인"))</x:f>
        <x:v>미확인</x:v>
      </x:c>
      <x:c r="H113" s="1639" t="str">
        <x:v>미판정</x:v>
      </x:c>
      <x:c r="I113" s="1639"/>
      <x:c r="J113" s="1639"/>
      <x:c r="K113" s="1639"/>
      <x:c r="L113" s="1639"/>
      <x:c r="M113" s="1639"/>
      <x:c r="N113" s="1639"/>
      <x:c r="O113" s="1639" t="str">
        <x:v>미확인</x:v>
      </x:c>
      <x:c r="P113" s="1639"/>
      <x:c r="Q113" s="1639"/>
      <x:c r="R113" s="1645" t="str">
        <x:f>IF(G113="부적합확인",IF(H113&lt;&gt;"부적합","부적합 판정필요",IF(AND(I113&lt;&gt;"",J113&lt;&gt;"",K113&lt;&gt;"",M113&lt;&gt;"",N113&lt;&gt;"",O113="적합",P113&lt;&gt;"",Q113&lt;&gt;""),"시정조치 종결","시정조치 진행")),IF(H113="부적합",IF(AND(G113="검증완료",I113&lt;&gt;"",J113&lt;&gt;"",K113&lt;&gt;"",M113&lt;&gt;"",N113&lt;&gt;"",O113="적합",P113&lt;&gt;"",Q113&lt;&gt;""),"시정조치 종결","시정조치 진행"),IF(AND(G113="검증완료",H113="적합"),"적합확인",IF(G113="검증완료","판정대기","검증대기"))))</x:f>
        <x:v>검증대기</x:v>
      </x:c>
      <x:c r="S113" s="1633" t="str">
        <x:v>24_부서별_자료회수!8행</x:v>
      </x:c>
      <x:c r="T113" s="1642"/>
    </x:row>
    <x:row r="114" ht="29" customHeight="1">
      <x:c r="A114" s="1632" t="str">
        <x:v>SQ-R003</x:v>
      </x:c>
      <x:c r="B114" s="1633" t="str">
        <x:v>부서회수</x:v>
      </x:c>
      <x:c r="C114" s="1633" t="str">
        <x:v>1-1/6-3</x:v>
      </x:c>
      <x:c r="D114" s="1633" t="str">
        <x:v>2품번</x:v>
      </x:c>
      <x:c r="E114" s="1633" t="str">
        <x:v>두 품번 Flow/PFMEA/CP/WI·검사기준</x:v>
      </x:c>
      <x:c r="F114" s="1633" t="str">
        <x:v>품질·생산</x:v>
      </x:c>
      <x:c r="G114" s="1645" t="str">
        <x:f>IF(AND('24_부서별_자료회수'!I9="검토완료",'24_부서별_자료회수'!H9&lt;&gt;"",'24_부서별_자료회수'!J9&lt;&gt;"",'24_부서별_자료회수'!K9&lt;&gt;""),"검증완료",IF(OR('24_부서별_자료회수'!I9="보완필요",'24_부서별_자료회수'!I9="반려"),"부적합확인","미확인"))</x:f>
        <x:v>미확인</x:v>
      </x:c>
      <x:c r="H114" s="1639" t="str">
        <x:v>미판정</x:v>
      </x:c>
      <x:c r="I114" s="1639"/>
      <x:c r="J114" s="1639"/>
      <x:c r="K114" s="1639"/>
      <x:c r="L114" s="1639"/>
      <x:c r="M114" s="1639"/>
      <x:c r="N114" s="1639"/>
      <x:c r="O114" s="1639" t="str">
        <x:v>미확인</x:v>
      </x:c>
      <x:c r="P114" s="1639"/>
      <x:c r="Q114" s="1639"/>
      <x:c r="R114" s="1645" t="str">
        <x:f>IF(G114="부적합확인",IF(H114&lt;&gt;"부적합","부적합 판정필요",IF(AND(I114&lt;&gt;"",J114&lt;&gt;"",K114&lt;&gt;"",M114&lt;&gt;"",N114&lt;&gt;"",O114="적합",P114&lt;&gt;"",Q114&lt;&gt;""),"시정조치 종결","시정조치 진행")),IF(H114="부적합",IF(AND(G114="검증완료",I114&lt;&gt;"",J114&lt;&gt;"",K114&lt;&gt;"",M114&lt;&gt;"",N114&lt;&gt;"",O114="적합",P114&lt;&gt;"",Q114&lt;&gt;""),"시정조치 종결","시정조치 진행"),IF(AND(G114="검증완료",H114="적합"),"적합확인",IF(G114="검증완료","판정대기","검증대기"))))</x:f>
        <x:v>검증대기</x:v>
      </x:c>
      <x:c r="S114" s="1633" t="str">
        <x:v>24_부서별_자료회수!9행</x:v>
      </x:c>
      <x:c r="T114" s="1642"/>
    </x:row>
    <x:row r="115" ht="29" customHeight="1">
      <x:c r="A115" s="1632" t="str">
        <x:v>SQ-R004</x:v>
      </x:c>
      <x:c r="B115" s="1633" t="str">
        <x:v>부서회수</x:v>
      </x:c>
      <x:c r="C115" s="1633" t="str">
        <x:v>1-5</x:v>
      </x:c>
      <x:c r="D115" s="1633" t="str">
        <x:v>2동 브레이징 용접라인</x:v>
      </x:c>
      <x:c r="E115" s="1633" t="str">
        <x:v>FT-ASY-A/C JUMPER 실제 용접법/설비ID/승인 조건</x:v>
      </x:c>
      <x:c r="F115" s="1633" t="str">
        <x:v>생산기술</x:v>
      </x:c>
      <x:c r="G115" s="1645" t="str">
        <x:f>IF(AND('24_부서별_자료회수'!I10="검토완료",'24_부서별_자료회수'!H10&lt;&gt;"",'24_부서별_자료회수'!J10&lt;&gt;"",'24_부서별_자료회수'!K10&lt;&gt;""),"검증완료",IF(OR('24_부서별_자료회수'!I10="보완필요",'24_부서별_자료회수'!I10="반려"),"부적합확인","미확인"))</x:f>
        <x:v>미확인</x:v>
      </x:c>
      <x:c r="H115" s="1639" t="str">
        <x:v>미판정</x:v>
      </x:c>
      <x:c r="I115" s="1639"/>
      <x:c r="J115" s="1639"/>
      <x:c r="K115" s="1639"/>
      <x:c r="L115" s="1639"/>
      <x:c r="M115" s="1639"/>
      <x:c r="N115" s="1639"/>
      <x:c r="O115" s="1639" t="str">
        <x:v>미확인</x:v>
      </x:c>
      <x:c r="P115" s="1639"/>
      <x:c r="Q115" s="1639"/>
      <x:c r="R115" s="1645" t="str">
        <x:f>IF(G115="부적합확인",IF(H115&lt;&gt;"부적합","부적합 판정필요",IF(AND(I115&lt;&gt;"",J115&lt;&gt;"",K115&lt;&gt;"",M115&lt;&gt;"",N115&lt;&gt;"",O115="적합",P115&lt;&gt;"",Q115&lt;&gt;""),"시정조치 종결","시정조치 진행")),IF(H115="부적합",IF(AND(G115="검증완료",I115&lt;&gt;"",J115&lt;&gt;"",K115&lt;&gt;"",M115&lt;&gt;"",N115&lt;&gt;"",O115="적합",P115&lt;&gt;"",Q115&lt;&gt;""),"시정조치 종결","시정조치 진행"),IF(AND(G115="검증완료",H115="적합"),"적합확인",IF(G115="검증완료","판정대기","검증대기"))))</x:f>
        <x:v>검증대기</x:v>
      </x:c>
      <x:c r="S115" s="1633" t="str">
        <x:v>24_부서별_자료회수!10행</x:v>
      </x:c>
      <x:c r="T115" s="1642"/>
    </x:row>
    <x:row r="116" ht="29" customHeight="1">
      <x:c r="A116" s="1632" t="str">
        <x:v>SQ-R005</x:v>
      </x:c>
      <x:c r="B116" s="1633" t="str">
        <x:v>부서회수</x:v>
      </x:c>
      <x:c r="C116" s="1633" t="str">
        <x:v>2-9</x:v>
      </x:c>
      <x:c r="D116" s="1633" t="str">
        <x:v>2품번</x:v>
      </x:c>
      <x:c r="E116" s="1633" t="str">
        <x:v>용접 파괴검사 기준·최근 검사 DATA</x:v>
      </x:c>
      <x:c r="F116" s="1633" t="str">
        <x:v>품질·생산기술</x:v>
      </x:c>
      <x:c r="G116" s="1645" t="str">
        <x:f>IF(AND('24_부서별_자료회수'!I11="검토완료",'24_부서별_자료회수'!H11&lt;&gt;"",'24_부서별_자료회수'!J11&lt;&gt;"",'24_부서별_자료회수'!K11&lt;&gt;""),"검증완료",IF(OR('24_부서별_자료회수'!I11="보완필요",'24_부서별_자료회수'!I11="반려"),"부적합확인","미확인"))</x:f>
        <x:v>미확인</x:v>
      </x:c>
      <x:c r="H116" s="1639" t="str">
        <x:v>미판정</x:v>
      </x:c>
      <x:c r="I116" s="1639"/>
      <x:c r="J116" s="1639"/>
      <x:c r="K116" s="1639"/>
      <x:c r="L116" s="1639"/>
      <x:c r="M116" s="1639"/>
      <x:c r="N116" s="1639"/>
      <x:c r="O116" s="1639" t="str">
        <x:v>미확인</x:v>
      </x:c>
      <x:c r="P116" s="1639"/>
      <x:c r="Q116" s="1639"/>
      <x:c r="R116" s="1645" t="str">
        <x:f>IF(G116="부적합확인",IF(H116&lt;&gt;"부적합","부적합 판정필요",IF(AND(I116&lt;&gt;"",J116&lt;&gt;"",K116&lt;&gt;"",M116&lt;&gt;"",N116&lt;&gt;"",O116="적합",P116&lt;&gt;"",Q116&lt;&gt;""),"시정조치 종결","시정조치 진행")),IF(H116="부적합",IF(AND(G116="검증완료",I116&lt;&gt;"",J116&lt;&gt;"",K116&lt;&gt;"",M116&lt;&gt;"",N116&lt;&gt;"",O116="적합",P116&lt;&gt;"",Q116&lt;&gt;""),"시정조치 종결","시정조치 진행"),IF(AND(G116="검증완료",H116="적합"),"적합확인",IF(G116="검증완료","판정대기","검증대기"))))</x:f>
        <x:v>검증대기</x:v>
      </x:c>
      <x:c r="S116" s="1633" t="str">
        <x:v>24_부서별_자료회수!11행</x:v>
      </x:c>
      <x:c r="T116" s="1642"/>
    </x:row>
    <x:row r="117" ht="29" customHeight="1">
      <x:c r="A117" s="1632" t="str">
        <x:v>SQ-R006</x:v>
      </x:c>
      <x:c r="B117" s="1633" t="str">
        <x:v>부서회수</x:v>
      </x:c>
      <x:c r="C117" s="1633" t="str">
        <x:v>3-1~3-6</x:v>
      </x:c>
      <x:c r="D117" s="1633" t="str">
        <x:v>2동 브레이징 용접라인</x:v>
      </x:c>
      <x:c r="E117" s="1633" t="str">
        <x:v>설비·JIG 일상/정기 점검/수리/복구 기록</x:v>
      </x:c>
      <x:c r="F117" s="1633" t="str">
        <x:v>생산·생산기술</x:v>
      </x:c>
      <x:c r="G117" s="1645" t="str">
        <x:f>IF(AND('24_부서별_자료회수'!I12="검토완료",'24_부서별_자료회수'!H12&lt;&gt;"",'24_부서별_자료회수'!J12&lt;&gt;"",'24_부서별_자료회수'!K12&lt;&gt;""),"검증완료",IF(OR('24_부서별_자료회수'!I12="보완필요",'24_부서별_자료회수'!I12="반려"),"부적합확인","미확인"))</x:f>
        <x:v>미확인</x:v>
      </x:c>
      <x:c r="H117" s="1639" t="str">
        <x:v>미판정</x:v>
      </x:c>
      <x:c r="I117" s="1639"/>
      <x:c r="J117" s="1639"/>
      <x:c r="K117" s="1639"/>
      <x:c r="L117" s="1639"/>
      <x:c r="M117" s="1639"/>
      <x:c r="N117" s="1639"/>
      <x:c r="O117" s="1639" t="str">
        <x:v>미확인</x:v>
      </x:c>
      <x:c r="P117" s="1639"/>
      <x:c r="Q117" s="1639"/>
      <x:c r="R117" s="1645" t="str">
        <x:f>IF(G117="부적합확인",IF(H117&lt;&gt;"부적합","부적합 판정필요",IF(AND(I117&lt;&gt;"",J117&lt;&gt;"",K117&lt;&gt;"",M117&lt;&gt;"",N117&lt;&gt;"",O117="적합",P117&lt;&gt;"",Q117&lt;&gt;""),"시정조치 종결","시정조치 진행")),IF(H117="부적합",IF(AND(G117="검증완료",I117&lt;&gt;"",J117&lt;&gt;"",K117&lt;&gt;"",M117&lt;&gt;"",N117&lt;&gt;"",O117="적합",P117&lt;&gt;"",Q117&lt;&gt;""),"시정조치 종결","시정조치 진행"),IF(AND(G117="검증완료",H117="적합"),"적합확인",IF(G117="검증완료","판정대기","검증대기"))))</x:f>
        <x:v>검증대기</x:v>
      </x:c>
      <x:c r="S117" s="1633" t="str">
        <x:v>24_부서별_자료회수!12행</x:v>
      </x:c>
      <x:c r="T117" s="1642"/>
    </x:row>
    <x:row r="118" ht="29" customHeight="1">
      <x:c r="A118" s="1632" t="str">
        <x:v>SQ-R007</x:v>
      </x:c>
      <x:c r="B118" s="1633" t="str">
        <x:v>부서회수</x:v>
      </x:c>
      <x:c r="C118" s="1633" t="str">
        <x:v>2-5/2-6</x:v>
      </x:c>
      <x:c r="D118" s="1633" t="str">
        <x:v>2품번 적용 계측기</x:v>
      </x:c>
      <x:c r="E118" s="1633" t="str">
        <x:v>교정성적서/계측기대장/MSA 원자료</x:v>
      </x:c>
      <x:c r="F118" s="1633" t="str">
        <x:v>품질</x:v>
      </x:c>
      <x:c r="G118" s="1645" t="str">
        <x:f>IF(AND('24_부서별_자료회수'!I13="검토완료",'24_부서별_자료회수'!H13&lt;&gt;"",'24_부서별_자료회수'!J13&lt;&gt;"",'24_부서별_자료회수'!K13&lt;&gt;""),"검증완료",IF(OR('24_부서별_자료회수'!I13="보완필요",'24_부서별_자료회수'!I13="반려"),"부적합확인","미확인"))</x:f>
        <x:v>미확인</x:v>
      </x:c>
      <x:c r="H118" s="1639" t="str">
        <x:v>미판정</x:v>
      </x:c>
      <x:c r="I118" s="1639"/>
      <x:c r="J118" s="1639"/>
      <x:c r="K118" s="1639"/>
      <x:c r="L118" s="1639"/>
      <x:c r="M118" s="1639"/>
      <x:c r="N118" s="1639"/>
      <x:c r="O118" s="1639" t="str">
        <x:v>미확인</x:v>
      </x:c>
      <x:c r="P118" s="1639"/>
      <x:c r="Q118" s="1639"/>
      <x:c r="R118" s="1645" t="str">
        <x:f>IF(G118="부적합확인",IF(H118&lt;&gt;"부적합","부적합 판정필요",IF(AND(I118&lt;&gt;"",J118&lt;&gt;"",K118&lt;&gt;"",M118&lt;&gt;"",N118&lt;&gt;"",O118="적합",P118&lt;&gt;"",Q118&lt;&gt;""),"시정조치 종결","시정조치 진행")),IF(H118="부적합",IF(AND(G118="검증완료",I118&lt;&gt;"",J118&lt;&gt;"",K118&lt;&gt;"",M118&lt;&gt;"",N118&lt;&gt;"",O118="적합",P118&lt;&gt;"",Q118&lt;&gt;""),"시정조치 종결","시정조치 진행"),IF(AND(G118="검증완료",H118="적합"),"적합확인",IF(G118="검증완료","판정대기","검증대기"))))</x:f>
        <x:v>검증대기</x:v>
      </x:c>
      <x:c r="S118" s="1633" t="str">
        <x:v>24_부서별_자료회수!13행</x:v>
      </x:c>
      <x:c r="T118" s="1642"/>
    </x:row>
    <x:row r="119" ht="29" customHeight="1">
      <x:c r="A119" s="1632" t="str">
        <x:v>SQ-R008</x:v>
      </x:c>
      <x:c r="B119" s="1633" t="str">
        <x:v>부서회수</x:v>
      </x:c>
      <x:c r="C119" s="1633" t="str">
        <x:v>2-7/2-8</x:v>
      </x:c>
      <x:c r="D119" s="1633" t="str">
        <x:v>2품번</x:v>
      </x:c>
      <x:c r="E119" s="1633" t="str">
        <x:v>실제 초품·자주·완제품 검사기록</x:v>
      </x:c>
      <x:c r="F119" s="1633" t="str">
        <x:v>품질·생산</x:v>
      </x:c>
      <x:c r="G119" s="1645" t="str">
        <x:f>IF(AND('24_부서별_자료회수'!I14="검토완료",'24_부서별_자료회수'!H14&lt;&gt;"",'24_부서별_자료회수'!J14&lt;&gt;"",'24_부서별_자료회수'!K14&lt;&gt;""),"검증완료",IF(OR('24_부서별_자료회수'!I14="보완필요",'24_부서별_자료회수'!I14="반려"),"부적합확인","미확인"))</x:f>
        <x:v>미확인</x:v>
      </x:c>
      <x:c r="H119" s="1639" t="str">
        <x:v>미판정</x:v>
      </x:c>
      <x:c r="I119" s="1639"/>
      <x:c r="J119" s="1639"/>
      <x:c r="K119" s="1639"/>
      <x:c r="L119" s="1639"/>
      <x:c r="M119" s="1639"/>
      <x:c r="N119" s="1639"/>
      <x:c r="O119" s="1639" t="str">
        <x:v>미확인</x:v>
      </x:c>
      <x:c r="P119" s="1639"/>
      <x:c r="Q119" s="1639"/>
      <x:c r="R119" s="1645" t="str">
        <x:f>IF(G119="부적합확인",IF(H119&lt;&gt;"부적합","부적합 판정필요",IF(AND(I119&lt;&gt;"",J119&lt;&gt;"",K119&lt;&gt;"",M119&lt;&gt;"",N119&lt;&gt;"",O119="적합",P119&lt;&gt;"",Q119&lt;&gt;""),"시정조치 종결","시정조치 진행")),IF(H119="부적합",IF(AND(G119="검증완료",I119&lt;&gt;"",J119&lt;&gt;"",K119&lt;&gt;"",M119&lt;&gt;"",N119&lt;&gt;"",O119="적합",P119&lt;&gt;"",Q119&lt;&gt;""),"시정조치 종결","시정조치 진행"),IF(AND(G119="검증완료",H119="적합"),"적합확인",IF(G119="검증완료","판정대기","검증대기"))))</x:f>
        <x:v>검증대기</x:v>
      </x:c>
      <x:c r="S119" s="1633" t="str">
        <x:v>24_부서별_자료회수!14행</x:v>
      </x:c>
      <x:c r="T119" s="1642"/>
    </x:row>
    <x:row r="120" ht="29" customHeight="1">
      <x:c r="A120" s="1632" t="str">
        <x:v>SQ-R009</x:v>
      </x:c>
      <x:c r="B120" s="1633" t="str">
        <x:v>부서회수</x:v>
      </x:c>
      <x:c r="C120" s="1633" t="str">
        <x:v>5-1</x:v>
      </x:c>
      <x:c r="D120" s="1633" t="str">
        <x:v>2품번 중 실제 생산 LOT</x:v>
      </x:c>
      <x:c r="E120" s="1633" t="str">
        <x:v>실제 LOT 정/역추적/수량대사 시연</x:v>
      </x:c>
      <x:c r="F120" s="1633" t="str">
        <x:v>자재·생산·품질</x:v>
      </x:c>
      <x:c r="G120" s="1645" t="str">
        <x:f>IF(AND('24_부서별_자료회수'!I15="검토완료",'24_부서별_자료회수'!H15&lt;&gt;"",'24_부서별_자료회수'!J15&lt;&gt;"",'24_부서별_자료회수'!K15&lt;&gt;""),"검증완료",IF(OR('24_부서별_자료회수'!I15="보완필요",'24_부서별_자료회수'!I15="반려"),"부적합확인","미확인"))</x:f>
        <x:v>미확인</x:v>
      </x:c>
      <x:c r="H120" s="1639" t="str">
        <x:v>미판정</x:v>
      </x:c>
      <x:c r="I120" s="1639"/>
      <x:c r="J120" s="1639"/>
      <x:c r="K120" s="1639"/>
      <x:c r="L120" s="1639"/>
      <x:c r="M120" s="1639"/>
      <x:c r="N120" s="1639"/>
      <x:c r="O120" s="1639" t="str">
        <x:v>미확인</x:v>
      </x:c>
      <x:c r="P120" s="1639"/>
      <x:c r="Q120" s="1639"/>
      <x:c r="R120" s="1645" t="str">
        <x:f>IF(G120="부적합확인",IF(H120&lt;&gt;"부적합","부적합 판정필요",IF(AND(I120&lt;&gt;"",J120&lt;&gt;"",K120&lt;&gt;"",M120&lt;&gt;"",N120&lt;&gt;"",O120="적합",P120&lt;&gt;"",Q120&lt;&gt;""),"시정조치 종결","시정조치 진행")),IF(H120="부적합",IF(AND(G120="검증완료",I120&lt;&gt;"",J120&lt;&gt;"",K120&lt;&gt;"",M120&lt;&gt;"",N120&lt;&gt;"",O120="적합",P120&lt;&gt;"",Q120&lt;&gt;""),"시정조치 종결","시정조치 진행"),IF(AND(G120="검증완료",H120="적합"),"적합확인",IF(G120="검증완료","판정대기","검증대기"))))</x:f>
        <x:v>검증대기</x:v>
      </x:c>
      <x:c r="S120" s="1633" t="str">
        <x:v>24_부서별_자료회수!15행</x:v>
      </x:c>
      <x:c r="T120" s="1642"/>
    </x:row>
    <x:row r="121" ht="29" customHeight="1">
      <x:c r="A121" s="1632" t="str">
        <x:v>SQ-R010</x:v>
      </x:c>
      <x:c r="B121" s="1633" t="str">
        <x:v>부서회수</x:v>
      </x:c>
      <x:c r="C121" s="1633" t="str">
        <x:v>6-5/6-12</x:v>
      </x:c>
      <x:c r="D121" s="1633" t="str">
        <x:v>6동 작업자·검사원</x:v>
      </x:c>
      <x:c r="E121" s="1633" t="str">
        <x:v>용접 작업자/검사원 자격·교육·시험</x:v>
      </x:c>
      <x:c r="F121" s="1633" t="str">
        <x:v>생산·경영관리</x:v>
      </x:c>
      <x:c r="G121" s="1645" t="str">
        <x:f>IF(AND('24_부서별_자료회수'!I16="검토완료",'24_부서별_자료회수'!H16&lt;&gt;"",'24_부서별_자료회수'!J16&lt;&gt;"",'24_부서별_자료회수'!K16&lt;&gt;""),"검증완료",IF(OR('24_부서별_자료회수'!I16="보완필요",'24_부서별_자료회수'!I16="반려"),"부적합확인","미확인"))</x:f>
        <x:v>미확인</x:v>
      </x:c>
      <x:c r="H121" s="1639" t="str">
        <x:v>미판정</x:v>
      </x:c>
      <x:c r="I121" s="1639"/>
      <x:c r="J121" s="1639"/>
      <x:c r="K121" s="1639"/>
      <x:c r="L121" s="1639"/>
      <x:c r="M121" s="1639"/>
      <x:c r="N121" s="1639"/>
      <x:c r="O121" s="1639" t="str">
        <x:v>미확인</x:v>
      </x:c>
      <x:c r="P121" s="1639"/>
      <x:c r="Q121" s="1639"/>
      <x:c r="R121" s="1645" t="str">
        <x:f>IF(G121="부적합확인",IF(H121&lt;&gt;"부적합","부적합 판정필요",IF(AND(I121&lt;&gt;"",J121&lt;&gt;"",K121&lt;&gt;"",M121&lt;&gt;"",N121&lt;&gt;"",O121="적합",P121&lt;&gt;"",Q121&lt;&gt;""),"시정조치 종결","시정조치 진행")),IF(H121="부적합",IF(AND(G121="검증완료",I121&lt;&gt;"",J121&lt;&gt;"",K121&lt;&gt;"",M121&lt;&gt;"",N121&lt;&gt;"",O121="적합",P121&lt;&gt;"",Q121&lt;&gt;""),"시정조치 종결","시정조치 진행"),IF(AND(G121="검증완료",H121="적합"),"적합확인",IF(G121="검증완료","판정대기","검증대기"))))</x:f>
        <x:v>검증대기</x:v>
      </x:c>
      <x:c r="S121" s="1633" t="str">
        <x:v>24_부서별_자료회수!16행</x:v>
      </x:c>
      <x:c r="T121" s="1642"/>
    </x:row>
    <x:row r="122" ht="29" customHeight="1">
      <x:c r="A122" s="1632" t="str">
        <x:v>SQ-R011</x:v>
      </x:c>
      <x:c r="B122" s="1633" t="str">
        <x:v>부서회수</x:v>
      </x:c>
      <x:c r="C122" s="1633" t="str">
        <x:v>6-2/6-7/6-12</x:v>
      </x:c>
      <x:c r="D122" s="1633" t="str">
        <x:v>2품번 또는 적용라인</x:v>
      </x:c>
      <x:c r="E122" s="1633" t="str">
        <x:v>4M 변경·부적합·REWORK 최근 사례</x:v>
      </x:c>
      <x:c r="F122" s="1633" t="str">
        <x:v>개발·품질·생산</x:v>
      </x:c>
      <x:c r="G122" s="1645" t="str">
        <x:f>IF(AND('24_부서별_자료회수'!I17="검토완료",'24_부서별_자료회수'!H17&lt;&gt;"",'24_부서별_자료회수'!J17&lt;&gt;"",'24_부서별_자료회수'!K17&lt;&gt;""),"검증완료",IF(OR('24_부서별_자료회수'!I17="보완필요",'24_부서별_자료회수'!I17="반려"),"부적합확인","미확인"))</x:f>
        <x:v>미확인</x:v>
      </x:c>
      <x:c r="H122" s="1639" t="str">
        <x:v>미판정</x:v>
      </x:c>
      <x:c r="I122" s="1639"/>
      <x:c r="J122" s="1639"/>
      <x:c r="K122" s="1639"/>
      <x:c r="L122" s="1639"/>
      <x:c r="M122" s="1639"/>
      <x:c r="N122" s="1639"/>
      <x:c r="O122" s="1639" t="str">
        <x:v>미확인</x:v>
      </x:c>
      <x:c r="P122" s="1639"/>
      <x:c r="Q122" s="1639"/>
      <x:c r="R122" s="1645" t="str">
        <x:f>IF(G122="부적합확인",IF(H122&lt;&gt;"부적합","부적합 판정필요",IF(AND(I122&lt;&gt;"",J122&lt;&gt;"",K122&lt;&gt;"",M122&lt;&gt;"",N122&lt;&gt;"",O122="적합",P122&lt;&gt;"",Q122&lt;&gt;""),"시정조치 종결","시정조치 진행")),IF(H122="부적합",IF(AND(G122="검증완료",I122&lt;&gt;"",J122&lt;&gt;"",K122&lt;&gt;"",M122&lt;&gt;"",N122&lt;&gt;"",O122="적합",P122&lt;&gt;"",Q122&lt;&gt;""),"시정조치 종결","시정조치 진행"),IF(AND(G122="검증완료",H122="적합"),"적합확인",IF(G122="검증완료","판정대기","검증대기"))))</x:f>
        <x:v>검증대기</x:v>
      </x:c>
      <x:c r="S122" s="1633" t="str">
        <x:v>24_부서별_자료회수!17행</x:v>
      </x:c>
      <x:c r="T122" s="1642"/>
    </x:row>
    <x:row r="123" ht="29" customHeight="1">
      <x:c r="A123" s="1632" t="str">
        <x:v>SQ-R012</x:v>
      </x:c>
      <x:c r="B123" s="1633" t="str">
        <x:v>부서회수</x:v>
      </x:c>
      <x:c r="C123" s="1633" t="str">
        <x:v>2-1~2-4/5-2~5-4</x:v>
      </x:c>
      <x:c r="D123" s="1633" t="str">
        <x:v>대표 자재</x:v>
      </x:c>
      <x:c r="E123" s="1633" t="str">
        <x:v>입고검사·성적서·창고보관/식별·용기 관리</x:v>
      </x:c>
      <x:c r="F123" s="1633" t="str">
        <x:v>구매자재·품질</x:v>
      </x:c>
      <x:c r="G123" s="1645" t="str">
        <x:f>IF(AND('24_부서별_자료회수'!I18="검토완료",'24_부서별_자료회수'!H18&lt;&gt;"",'24_부서별_자료회수'!J18&lt;&gt;"",'24_부서별_자료회수'!K18&lt;&gt;""),"검증완료",IF(OR('24_부서별_자료회수'!I18="보완필요",'24_부서별_자료회수'!I18="반려"),"부적합확인","미확인"))</x:f>
        <x:v>미확인</x:v>
      </x:c>
      <x:c r="H123" s="1639" t="str">
        <x:v>미판정</x:v>
      </x:c>
      <x:c r="I123" s="1639"/>
      <x:c r="J123" s="1639"/>
      <x:c r="K123" s="1639"/>
      <x:c r="L123" s="1639"/>
      <x:c r="M123" s="1639"/>
      <x:c r="N123" s="1639"/>
      <x:c r="O123" s="1639" t="str">
        <x:v>미확인</x:v>
      </x:c>
      <x:c r="P123" s="1639"/>
      <x:c r="Q123" s="1639"/>
      <x:c r="R123" s="1645" t="str">
        <x:f>IF(G123="부적합확인",IF(H123&lt;&gt;"부적합","부적합 판정필요",IF(AND(I123&lt;&gt;"",J123&lt;&gt;"",K123&lt;&gt;"",M123&lt;&gt;"",N123&lt;&gt;"",O123="적합",P123&lt;&gt;"",Q123&lt;&gt;""),"시정조치 종결","시정조치 진행")),IF(H123="부적합",IF(AND(G123="검증완료",I123&lt;&gt;"",J123&lt;&gt;"",K123&lt;&gt;"",M123&lt;&gt;"",N123&lt;&gt;"",O123="적합",P123&lt;&gt;"",Q123&lt;&gt;""),"시정조치 종결","시정조치 진행"),IF(AND(G123="검증완료",H123="적합"),"적합확인",IF(G123="검증완료","판정대기","검증대기"))))</x:f>
        <x:v>검증대기</x:v>
      </x:c>
      <x:c r="S123" s="1633" t="str">
        <x:v>24_부서별_자료회수!18행</x:v>
      </x:c>
      <x:c r="T123" s="1642"/>
    </x:row>
    <x:row r="124" ht="29" customHeight="1">
      <x:c r="A124" s="1632" t="str">
        <x:v>SQ-R013</x:v>
      </x:c>
      <x:c r="B124" s="1633" t="str">
        <x:v>부서회수</x:v>
      </x:c>
      <x:c r="C124" s="1633" t="str">
        <x:v>6-8/6-11</x:v>
      </x:c>
      <x:c r="D124" s="1633" t="str">
        <x:v>RG3 HEV</x:v>
      </x:c>
      <x:c r="E124" s="1633" t="str">
        <x:v>실제 불량/생산실적·자동화 개선 원자료</x:v>
      </x:c>
      <x:c r="F124" s="1633" t="str">
        <x:v>품질·생산관리</x:v>
      </x:c>
      <x:c r="G124" s="1645" t="str">
        <x:f>IF(AND('24_부서별_자료회수'!I19="검토완료",'24_부서별_자료회수'!H19&lt;&gt;"",'24_부서별_자료회수'!J19&lt;&gt;"",'24_부서별_자료회수'!K19&lt;&gt;""),"검증완료",IF(OR('24_부서별_자료회수'!I19="보완필요",'24_부서별_자료회수'!I19="반려"),"부적합확인","미확인"))</x:f>
        <x:v>미확인</x:v>
      </x:c>
      <x:c r="H124" s="1639" t="str">
        <x:v>미판정</x:v>
      </x:c>
      <x:c r="I124" s="1639"/>
      <x:c r="J124" s="1639"/>
      <x:c r="K124" s="1639"/>
      <x:c r="L124" s="1639"/>
      <x:c r="M124" s="1639"/>
      <x:c r="N124" s="1639"/>
      <x:c r="O124" s="1639" t="str">
        <x:v>미확인</x:v>
      </x:c>
      <x:c r="P124" s="1639"/>
      <x:c r="Q124" s="1639"/>
      <x:c r="R124" s="1645" t="str">
        <x:f>IF(G124="부적합확인",IF(H124&lt;&gt;"부적합","부적합 판정필요",IF(AND(I124&lt;&gt;"",J124&lt;&gt;"",K124&lt;&gt;"",M124&lt;&gt;"",N124&lt;&gt;"",O124="적합",P124&lt;&gt;"",Q124&lt;&gt;""),"시정조치 종결","시정조치 진행")),IF(H124="부적합",IF(AND(G124="검증완료",I124&lt;&gt;"",J124&lt;&gt;"",K124&lt;&gt;"",M124&lt;&gt;"",N124&lt;&gt;"",O124="적합",P124&lt;&gt;"",Q124&lt;&gt;""),"시정조치 종결","시정조치 진행"),IF(AND(G124="검증완료",H124="적합"),"적합확인",IF(G124="검증완료","판정대기","검증대기"))))</x:f>
        <x:v>검증대기</x:v>
      </x:c>
      <x:c r="S124" s="1633" t="str">
        <x:v>24_부서별_자료회수!19행</x:v>
      </x:c>
      <x:c r="T124" s="1642"/>
    </x:row>
    <x:row r="125" ht="29" customHeight="1">
      <x:c r="A125" s="1632" t="str">
        <x:v>SQ-R014</x:v>
      </x:c>
      <x:c r="B125" s="1633" t="str">
        <x:v>부서회수</x:v>
      </x:c>
      <x:c r="C125" s="1633" t="str">
        <x:v>공통 문서통제</x:v>
      </x:c>
      <x:c r="D125" s="1633" t="str">
        <x:v>6동·2동 현장 적용</x:v>
      </x:c>
      <x:c r="E125" s="1633" t="str">
        <x:v>Rev.03 QMS 실제 승인·배포·회수</x:v>
      </x:c>
      <x:c r="F125" s="1633" t="str">
        <x:v>품질·문서관리</x:v>
      </x:c>
      <x:c r="G125" s="1645" t="str">
        <x:f>IF(AND('24_부서별_자료회수'!I20="검토완료",'24_부서별_자료회수'!H20&lt;&gt;"",'24_부서별_자료회수'!J20&lt;&gt;"",'24_부서별_자료회수'!K20&lt;&gt;""),"검증완료",IF(OR('24_부서별_자료회수'!I20="보완필요",'24_부서별_자료회수'!I20="반려"),"부적합확인","미확인"))</x:f>
        <x:v>미확인</x:v>
      </x:c>
      <x:c r="H125" s="1639" t="str">
        <x:v>미판정</x:v>
      </x:c>
      <x:c r="I125" s="1639"/>
      <x:c r="J125" s="1639"/>
      <x:c r="K125" s="1639"/>
      <x:c r="L125" s="1639"/>
      <x:c r="M125" s="1639"/>
      <x:c r="N125" s="1639"/>
      <x:c r="O125" s="1639" t="str">
        <x:v>미확인</x:v>
      </x:c>
      <x:c r="P125" s="1639"/>
      <x:c r="Q125" s="1639"/>
      <x:c r="R125" s="1645" t="str">
        <x:f>IF(G125="부적합확인",IF(H125&lt;&gt;"부적합","부적합 판정필요",IF(AND(I125&lt;&gt;"",J125&lt;&gt;"",K125&lt;&gt;"",M125&lt;&gt;"",N125&lt;&gt;"",O125="적합",P125&lt;&gt;"",Q125&lt;&gt;""),"시정조치 종결","시정조치 진행")),IF(H125="부적합",IF(AND(G125="검증완료",I125&lt;&gt;"",J125&lt;&gt;"",K125&lt;&gt;"",M125&lt;&gt;"",N125&lt;&gt;"",O125="적합",P125&lt;&gt;"",Q125&lt;&gt;""),"시정조치 종결","시정조치 진행"),IF(AND(G125="검증완료",H125="적합"),"적합확인",IF(G125="검증완료","판정대기","검증대기"))))</x:f>
        <x:v>검증대기</x:v>
      </x:c>
      <x:c r="S125" s="1633" t="str">
        <x:v>24_부서별_자료회수!20행</x:v>
      </x:c>
      <x:c r="T125" s="1642"/>
    </x:row>
    <x:row r="126" ht="29" customHeight="1">
      <x:c r="A126" s="1632" t="str">
        <x:v>SQ-R015</x:v>
      </x:c>
      <x:c r="B126" s="1633" t="str">
        <x:v>부서회수</x:v>
      </x:c>
      <x:c r="C126" s="1633" t="str">
        <x:v>전 코드</x:v>
      </x:c>
      <x:c r="D126" s="1633" t="str">
        <x:v>전체 SQ</x:v>
      </x:c>
      <x:c r="E126" s="1633" t="str">
        <x:v>21시트 43개 코드행 실제 객관증빙 일치검토</x:v>
      </x:c>
      <x:c r="F126" s="1633" t="str">
        <x:v>품질 총괄</x:v>
      </x:c>
      <x:c r="G126" s="1645" t="str">
        <x:f>IF(AND('24_부서별_자료회수'!I21="검토완료",'24_부서별_자료회수'!H21&lt;&gt;"",'24_부서별_자료회수'!J21&lt;&gt;"",'24_부서별_자료회수'!K21&lt;&gt;""),"검증완료",IF(OR('24_부서별_자료회수'!I21="보완필요",'24_부서별_자료회수'!I21="반려"),"부적합확인","미확인"))</x:f>
        <x:v>미확인</x:v>
      </x:c>
      <x:c r="H126" s="1639" t="str">
        <x:v>미판정</x:v>
      </x:c>
      <x:c r="I126" s="1639"/>
      <x:c r="J126" s="1639"/>
      <x:c r="K126" s="1639"/>
      <x:c r="L126" s="1639"/>
      <x:c r="M126" s="1639"/>
      <x:c r="N126" s="1639"/>
      <x:c r="O126" s="1639" t="str">
        <x:v>미확인</x:v>
      </x:c>
      <x:c r="P126" s="1639"/>
      <x:c r="Q126" s="1639"/>
      <x:c r="R126" s="1645" t="str">
        <x:f>IF(G126="부적합확인",IF(H126&lt;&gt;"부적합","부적합 판정필요",IF(AND(I126&lt;&gt;"",J126&lt;&gt;"",K126&lt;&gt;"",M126&lt;&gt;"",N126&lt;&gt;"",O126="적합",P126&lt;&gt;"",Q126&lt;&gt;""),"시정조치 종결","시정조치 진행")),IF(H126="부적합",IF(AND(G126="검증완료",I126&lt;&gt;"",J126&lt;&gt;"",K126&lt;&gt;"",M126&lt;&gt;"",N126&lt;&gt;"",O126="적합",P126&lt;&gt;"",Q126&lt;&gt;""),"시정조치 종결","시정조치 진행"),IF(AND(G126="검증완료",H126="적합"),"적합확인",IF(G126="검증완료","판정대기","검증대기"))))</x:f>
        <x:v>검증대기</x:v>
      </x:c>
      <x:c r="S126" s="1633" t="str">
        <x:v>24_부서별_자료회수!21행</x:v>
      </x:c>
      <x:c r="T126" s="1642"/>
    </x:row>
    <x:row r="127" ht="29" customHeight="1">
      <x:c r="A127" s="1635" t="str">
        <x:v>SQ-R016</x:v>
      </x:c>
      <x:c r="B127" s="1636" t="str">
        <x:v>부서회수</x:v>
      </x:c>
      <x:c r="C127" s="1636" t="str">
        <x:v>최종 모의심사</x:v>
      </x:c>
      <x:c r="D127" s="1636" t="str">
        <x:v>RG3 HEV/6동</x:v>
      </x:c>
      <x:c r="E127" s="1636" t="str">
        <x:v>6동·2동 현장 모의심사·작업자 인터뷰</x:v>
      </x:c>
      <x:c r="F127" s="1636" t="str">
        <x:v>품질 주관 전부서</x:v>
      </x:c>
      <x:c r="G127" s="1646" t="str">
        <x:f>IF(AND('24_부서별_자료회수'!I22="검토완료",'24_부서별_자료회수'!H22&lt;&gt;"",'24_부서별_자료회수'!J22&lt;&gt;"",'24_부서별_자료회수'!K22&lt;&gt;""),"검증완료",IF(OR('24_부서별_자료회수'!I22="보완필요",'24_부서별_자료회수'!I22="반려"),"부적합확인","미확인"))</x:f>
        <x:v>미확인</x:v>
      </x:c>
      <x:c r="H127" s="1640" t="str">
        <x:v>미판정</x:v>
      </x:c>
      <x:c r="I127" s="1640"/>
      <x:c r="J127" s="1640"/>
      <x:c r="K127" s="1640"/>
      <x:c r="L127" s="1640"/>
      <x:c r="M127" s="1640"/>
      <x:c r="N127" s="1640"/>
      <x:c r="O127" s="1640" t="str">
        <x:v>미확인</x:v>
      </x:c>
      <x:c r="P127" s="1640"/>
      <x:c r="Q127" s="1640"/>
      <x:c r="R127" s="1646" t="str">
        <x:f>IF(G127="부적합확인",IF(H127&lt;&gt;"부적합","부적합 판정필요",IF(AND(I127&lt;&gt;"",J127&lt;&gt;"",K127&lt;&gt;"",M127&lt;&gt;"",N127&lt;&gt;"",O127="적합",P127&lt;&gt;"",Q127&lt;&gt;""),"시정조치 종결","시정조치 진행")),IF(H127="부적합",IF(AND(G127="검증완료",I127&lt;&gt;"",J127&lt;&gt;"",K127&lt;&gt;"",M127&lt;&gt;"",N127&lt;&gt;"",O127="적합",P127&lt;&gt;"",Q127&lt;&gt;""),"시정조치 종결","시정조치 진행"),IF(AND(G127="검증완료",H127="적합"),"적합확인",IF(G127="검증완료","판정대기","검증대기"))))</x:f>
        <x:v>검증대기</x:v>
      </x:c>
      <x:c r="S127" s="1636" t="str">
        <x:v>24_부서별_자료회수!22행</x:v>
      </x:c>
      <x:c r="T127" s="1643"/>
    </x:row>
  </x:sheetData>
  <x:mergeCells>
    <x:mergeCell ref="A1:T2"/>
    <x:mergeCell ref="A3:T4"/>
  </x:mergeCells>
  <x:conditionalFormatting sqref="R7:R127">
    <x:cfRule type="expression" dxfId="54" priority="1">
      <x:formula>R7="시정조치 종결"</x:formula>
    </x:cfRule>
    <x:cfRule type="expression" dxfId="55" priority="2">
      <x:formula>R7="적합확인"</x:formula>
    </x:cfRule>
    <x:cfRule type="expression" dxfId="56" priority="3">
      <x:formula>R7="부적합 판정필요"</x:formula>
    </x:cfRule>
    <x:cfRule type="expression" dxfId="57" priority="4">
      <x:formula>R7="시정조치 진행"</x:formula>
    </x:cfRule>
  </x:conditionalFormatting>
  <x:dataValidations count="2">
    <x:dataValidation type="list" sqref="H7:H127">
      <x:formula1>"미판정,적합,부적합"</x:formula1>
    </x:dataValidation>
    <x:dataValidation type="list" sqref="O7:O127">
      <x:formula1>"미확인,적합,부적합"</x:formula1>
    </x:dataValidation>
  </x:dataValidations>
  <x:pageMargins left="0.7" right="0.7" top="0.75" bottom="0.75" header="0.3" footer="0.3"/>
</x:worksheet>
</file>

<file path=xl/worksheets/sheet29.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9" hidden="0" customWidth="1"/>
    <x:col min="2" max="2" width="25" hidden="0" customWidth="1"/>
    <x:col min="3" max="3" width="15" hidden="0" customWidth="1"/>
    <x:col min="4" max="4" width="62" hidden="0" customWidth="1"/>
    <x:col min="5" max="5" width="67" hidden="0" customWidth="1"/>
    <x:col min="6" max="6" width="23" hidden="0" customWidth="1"/>
    <x:col min="7" max="7" width="31" hidden="0" customWidth="1"/>
    <x:col min="8" max="8" width="20" hidden="0" customWidth="1"/>
    <x:col min="9" max="9" width="35" hidden="0" customWidth="1"/>
    <x:col min="10" max="10" width="19" hidden="0" customWidth="1"/>
    <x:col min="11" max="11" width="17" hidden="0" customWidth="1"/>
    <x:col min="12" max="12" width="25" hidden="0" customWidth="1"/>
    <x:col min="13" max="13" width="20" hidden="0" customWidth="1"/>
  </x:cols>
  <x:sheetData>
    <x:row r="1">
      <x:c r="A1" s="1578" t="str">
        <x:v>한온 SQ Rev.07 | RG3 HEV 6동 자동가공 → 2동 브레이징·기밀검사 현장검증</x:v>
      </x:c>
      <x:c r="B1" s="1578"/>
      <x:c r="C1" s="1578"/>
      <x:c r="D1" s="1578"/>
      <x:c r="E1" s="1578"/>
      <x:c r="F1" s="1578"/>
      <x:c r="G1" s="1578"/>
      <x:c r="H1" s="1578"/>
      <x:c r="I1" s="1578"/>
      <x:c r="J1" s="1578"/>
      <x:c r="K1" s="1578"/>
      <x:c r="L1" s="1578"/>
      <x:c r="M1" s="1578"/>
    </x:row>
    <x:row r="2">
      <x:c r="A2" s="1578"/>
      <x:c r="B2" s="1578"/>
      <x:c r="C2" s="1578"/>
      <x:c r="D2" s="1578"/>
      <x:c r="E2" s="1578"/>
      <x:c r="F2" s="1578"/>
      <x:c r="G2" s="1578"/>
      <x:c r="H2" s="1578"/>
      <x:c r="I2" s="1578"/>
      <x:c r="J2" s="1578"/>
      <x:c r="K2" s="1578"/>
      <x:c r="L2" s="1578"/>
      <x:c r="M2" s="1578"/>
    </x:row>
    <x:row r="3">
      <x:c r="A3" s="1593" t="str">
        <x:v>16개 점검 주제는 동별 업무를 구분한 사전 모의심사 순서입니다. 6동 내부 설비순서·동간 이동경로·2동 설비명판과 누설시험 기준은 사내 현물 및 Flow를 통해 확정합니다. 기존 점검상태는 유지하며 실제 객관기록 없이 ‘적합’으로 변경하지 않습니다.</x:v>
      </x:c>
      <x:c r="B3" s="1594"/>
      <x:c r="C3" s="1594"/>
      <x:c r="D3" s="1594"/>
      <x:c r="E3" s="1594"/>
      <x:c r="F3" s="1594"/>
      <x:c r="G3" s="1594"/>
      <x:c r="H3" s="1594"/>
      <x:c r="I3" s="1594"/>
      <x:c r="J3" s="1594"/>
      <x:c r="K3" s="1594"/>
      <x:c r="L3" s="1594"/>
      <x:c r="M3" s="1595"/>
    </x:row>
    <x:row r="4">
      <x:c r="A4" s="1596"/>
      <x:c r="B4" s="1597"/>
      <x:c r="C4" s="1597"/>
      <x:c r="D4" s="1597"/>
      <x:c r="E4" s="1597"/>
      <x:c r="F4" s="1597"/>
      <x:c r="G4" s="1597"/>
      <x:c r="H4" s="1597"/>
      <x:c r="I4" s="1597"/>
      <x:c r="J4" s="1597"/>
      <x:c r="K4" s="1597"/>
      <x:c r="L4" s="1597"/>
      <x:c r="M4" s="1598"/>
    </x:row>
    <x:row r="6" ht="34" customHeight="1">
      <x:c r="A6" s="1610" t="str">
        <x:v>순서</x:v>
      </x:c>
      <x:c r="B6" s="1611" t="str">
        <x:v>확인 구역/주제</x:v>
      </x:c>
      <x:c r="C6" s="1611" t="str">
        <x:v>SQ 코드</x:v>
      </x:c>
      <x:c r="D6" s="1611" t="str">
        <x:v>점검 질문·활동</x:v>
      </x:c>
      <x:c r="E6" s="1611" t="str">
        <x:v>반드시 확인할 객관적 증빙</x:v>
      </x:c>
      <x:c r="F6" s="1611" t="str">
        <x:v>주관(안)</x:v>
      </x:c>
      <x:c r="G6" s="1611" t="str">
        <x:v>실제 현장위치/설비ID(입력)</x:v>
      </x:c>
      <x:c r="H6" s="1611" t="str">
        <x:v>실제 점검결과(입력)</x:v>
      </x:c>
      <x:c r="I6" s="1611" t="str">
        <x:v>사내 증빙번호(입력)</x:v>
      </x:c>
      <x:c r="J6" s="1611" t="str">
        <x:v>점검자(입력)</x:v>
      </x:c>
      <x:c r="K6" s="1611" t="str">
        <x:v>점검일(입력)</x:v>
      </x:c>
      <x:c r="L6" s="1611" t="str">
        <x:v>미흡·CAPA ID(입력)</x:v>
      </x:c>
      <x:c r="M6" s="1612" t="str">
        <x:v>자동 실증판정</x:v>
      </x:c>
    </x:row>
    <x:row r="7" ht="49" customHeight="1">
      <x:c r="A7" s="1629" t="n">
        <x:v>1</x:v>
      </x:c>
      <x:c r="B7" s="1630" t="str">
        <x:v>공식 평가기준</x:v>
      </x:c>
      <x:c r="C7" s="1630" t="str">
        <x:v>G1</x:v>
      </x:c>
      <x:c r="D7" s="1630" t="str">
        <x:v>한온 SQ 평가표 공식 최신본·6-12 중복·229건 집계근거 확인</x:v>
      </x:c>
      <x:c r="E7" s="1630" t="str">
        <x:v>한온 배포·개정정보·코드 확인</x:v>
      </x:c>
      <x:c r="F7" s="1630" t="str">
        <x:v>영업/품질</x:v>
      </x:c>
      <x:c r="G7" s="1638"/>
      <x:c r="H7" s="1638" t="str">
        <x:v>미확인</x:v>
      </x:c>
      <x:c r="I7" s="1638"/>
      <x:c r="J7" s="1638"/>
      <x:c r="K7" s="1638"/>
      <x:c r="L7" s="1638"/>
      <x:c r="M7" s="1647" t="str">
        <x:f>IF(AND(H7="적합",G7&lt;&gt;"",I7&lt;&gt;"",J7&lt;&gt;"",K7&lt;&gt;""),"확인완료",IF(H7="부적합","시정조치필요","미확인"))</x:f>
        <x:v>미확인</x:v>
      </x:c>
    </x:row>
    <x:row r="8" ht="49" customHeight="1">
      <x:c r="A8" s="1632" t="n">
        <x:v>2</x:v>
      </x:c>
      <x:c r="B8" s="1633" t="str">
        <x:v>RG3 HEV 대상범위</x:v>
      </x:c>
      <x:c r="C8" s="1633" t="str">
        <x:v>G2</x:v>
      </x:c>
      <x:c r="D8" s="1633" t="str">
        <x:v>6동 자동가공 → 2동 브레이징·기밀검사 범위 대조</x:v>
      </x:c>
      <x:c r="E8" s="1633" t="str">
        <x:v>FA1A8HRAAC/AD 생산지시·공정 Flow·동별 현물</x:v>
      </x:c>
      <x:c r="F8" s="1633" t="str">
        <x:v>생산/품질</x:v>
      </x:c>
      <x:c r="G8" s="1639"/>
      <x:c r="H8" s="1639" t="str">
        <x:v>미확인</x:v>
      </x:c>
      <x:c r="I8" s="1639"/>
      <x:c r="J8" s="1639"/>
      <x:c r="K8" s="1639"/>
      <x:c r="L8" s="1639"/>
      <x:c r="M8" s="1648" t="str">
        <x:f>IF(AND(H8="적합",G8&lt;&gt;"",I8&lt;&gt;"",J8&lt;&gt;"",K8&lt;&gt;""),"확인완료",IF(H8="부적합","시정조치필요","미확인"))</x:f>
        <x:v>미확인</x:v>
      </x:c>
    </x:row>
    <x:row r="9" ht="49" customHeight="1">
      <x:c r="A9" s="1632" t="n">
        <x:v>3</x:v>
      </x:c>
      <x:c r="B9" s="1633" t="str">
        <x:v>사내 보안도면</x:v>
      </x:c>
      <x:c r="C9" s="1633" t="str">
        <x:v>6-3</x:v>
      </x:c>
      <x:c r="D9" s="1633" t="str">
        <x:v>승인 도면 Rev.01·특별특성·두 품번 표기 확인</x:v>
      </x:c>
      <x:c r="E9" s="1633" t="str">
        <x:v>23시트 사내 대조번호·확인자·확인일</x:v>
      </x:c>
      <x:c r="F9" s="1633" t="str">
        <x:v>개발/품질</x:v>
      </x:c>
      <x:c r="G9" s="1639"/>
      <x:c r="H9" s="1639" t="str">
        <x:v>미확인</x:v>
      </x:c>
      <x:c r="I9" s="1639"/>
      <x:c r="J9" s="1639"/>
      <x:c r="K9" s="1639"/>
      <x:c r="L9" s="1639"/>
      <x:c r="M9" s="1648" t="str">
        <x:f>IF(AND(H9="적합",G9&lt;&gt;"",I9&lt;&gt;"",J9&lt;&gt;"",K9&lt;&gt;""),"확인완료",IF(H9="부적합","시정조치필요","미확인"))</x:f>
        <x:v>미확인</x:v>
      </x:c>
    </x:row>
    <x:row r="10" ht="49" customHeight="1">
      <x:c r="A10" s="1632" t="n">
        <x:v>4</x:v>
      </x:c>
      <x:c r="B10" s="1633" t="str">
        <x:v>6동 공정흐름</x:v>
      </x:c>
      <x:c r="C10" s="1633" t="str">
        <x:v>1-1</x:v>
      </x:c>
      <x:c r="D10" s="1633" t="str">
        <x:v>6동 벤딩·포밍·커팅·코킹 등 실제 자동작업 순서 확인</x:v>
      </x:c>
      <x:c r="E10" s="1633" t="str">
        <x:v>공정 Flow / 설비배치 / PFMEA / CP / WI</x:v>
      </x:c>
      <x:c r="F10" s="1633" t="str">
        <x:v>생산/생산기술</x:v>
      </x:c>
      <x:c r="G10" s="1639"/>
      <x:c r="H10" s="1639" t="str">
        <x:v>미확인</x:v>
      </x:c>
      <x:c r="I10" s="1639"/>
      <x:c r="J10" s="1639"/>
      <x:c r="K10" s="1639"/>
      <x:c r="L10" s="1639"/>
      <x:c r="M10" s="1648" t="str">
        <x:f>IF(AND(H10="적합",G10&lt;&gt;"",I10&lt;&gt;"",J10&lt;&gt;"",K10&lt;&gt;""),"확인완료",IF(H10="부적합","시정조치필요","미확인"))</x:f>
        <x:v>미확인</x:v>
      </x:c>
    </x:row>
    <x:row r="11" ht="49" customHeight="1">
      <x:c r="A11" s="1632" t="n">
        <x:v>5</x:v>
      </x:c>
      <x:c r="B11" s="1633" t="str">
        <x:v>6동 설비 조건·초품</x:v>
      </x:c>
      <x:c r="C11" s="1633" t="str">
        <x:v>1-2/1-5</x:v>
      </x:c>
      <x:c r="D11" s="1633" t="str">
        <x:v>자동가공 설비별 조건·고장/재가동·초품검사 관리</x:v>
      </x:c>
      <x:c r="E11" s="1633" t="str">
        <x:v>설비점검/조건표/초품·자주검사 기록</x:v>
      </x:c>
      <x:c r="F11" s="1633" t="str">
        <x:v>생산/품질</x:v>
      </x:c>
      <x:c r="G11" s="1639"/>
      <x:c r="H11" s="1639" t="str">
        <x:v>미확인</x:v>
      </x:c>
      <x:c r="I11" s="1639"/>
      <x:c r="J11" s="1639"/>
      <x:c r="K11" s="1639"/>
      <x:c r="L11" s="1639"/>
      <x:c r="M11" s="1648" t="str">
        <x:f>IF(AND(H11="적합",G11&lt;&gt;"",I11&lt;&gt;"",J11&lt;&gt;"",K11&lt;&gt;""),"확인완료",IF(H11="부적합","시정조치필요","미확인"))</x:f>
        <x:v>미확인</x:v>
      </x:c>
    </x:row>
    <x:row r="12" ht="49" customHeight="1">
      <x:c r="A12" s="1632" t="n">
        <x:v>6</x:v>
      </x:c>
      <x:c r="B12" s="1633" t="str">
        <x:v>6동 공정검사</x:v>
      </x:c>
      <x:c r="C12" s="1633" t="str">
        <x:v>2-7</x:v>
      </x:c>
      <x:c r="D12" s="1633" t="str">
        <x:v>가공품 치수·외관·변형·코킹검사 실제 기준 확인</x:v>
      </x:c>
      <x:c r="E12" s="1633" t="str">
        <x:v>검사규격·실측 성적서·검사일/검사자</x:v>
      </x:c>
      <x:c r="F12" s="1633" t="str">
        <x:v>품질</x:v>
      </x:c>
      <x:c r="G12" s="1639"/>
      <x:c r="H12" s="1639" t="str">
        <x:v>미확인</x:v>
      </x:c>
      <x:c r="I12" s="1639"/>
      <x:c r="J12" s="1639"/>
      <x:c r="K12" s="1639"/>
      <x:c r="L12" s="1639"/>
      <x:c r="M12" s="1648" t="str">
        <x:f>IF(AND(H12="적합",G12&lt;&gt;"",I12&lt;&gt;"",J12&lt;&gt;"",K12&lt;&gt;""),"확인완료",IF(H12="부적합","시정조치필요","미확인"))</x:f>
        <x:v>미확인</x:v>
      </x:c>
    </x:row>
    <x:row r="13" ht="49" customHeight="1">
      <x:c r="A13" s="1632" t="n">
        <x:v>7</x:v>
      </x:c>
      <x:c r="B13" s="1633" t="str">
        <x:v>6동→2동 이송</x:v>
      </x:c>
      <x:c r="C13" s="1633" t="str">
        <x:v>5-1~5-4</x:v>
      </x:c>
      <x:c r="D13" s="1633" t="str">
        <x:v>동간 이송 시 동일 LOT·품번·수량·식별상태 유지</x:v>
      </x:c>
      <x:c r="E13" s="1633" t="str">
        <x:v>반출/입고 기록·현품표·수량대사·이송중 손상관리</x:v>
      </x:c>
      <x:c r="F13" s="1633" t="str">
        <x:v>자재/생산</x:v>
      </x:c>
      <x:c r="G13" s="1639"/>
      <x:c r="H13" s="1639" t="str">
        <x:v>미확인</x:v>
      </x:c>
      <x:c r="I13" s="1639"/>
      <x:c r="J13" s="1639"/>
      <x:c r="K13" s="1639"/>
      <x:c r="L13" s="1639"/>
      <x:c r="M13" s="1648" t="str">
        <x:f>IF(AND(H13="적합",G13&lt;&gt;"",I13&lt;&gt;"",J13&lt;&gt;"",K13&lt;&gt;""),"확인완료",IF(H13="부적합","시정조치필요","미확인"))</x:f>
        <x:v>미확인</x:v>
      </x:c>
    </x:row>
    <x:row r="14" ht="49" customHeight="1">
      <x:c r="A14" s="1632" t="n">
        <x:v>8</x:v>
      </x:c>
      <x:c r="B14" s="1633" t="str">
        <x:v>2동 브레이징 설비</x:v>
      </x:c>
      <x:c r="C14" s="1633" t="str">
        <x:v>1-5</x:v>
      </x:c>
      <x:c r="D14" s="1633" t="str">
        <x:v>자동 브레이징 설비 자동2호기 위치·관리번호·구성 확인</x:v>
      </x:c>
      <x:c r="E14" s="1633" t="str">
        <x:v>설비대장/명판/프로그램 식별·담당 현장 확인</x:v>
      </x:c>
      <x:c r="F14" s="1633" t="str">
        <x:v>생산기술</x:v>
      </x:c>
      <x:c r="G14" s="1639"/>
      <x:c r="H14" s="1639" t="str">
        <x:v>미확인</x:v>
      </x:c>
      <x:c r="I14" s="1639"/>
      <x:c r="J14" s="1639"/>
      <x:c r="K14" s="1639"/>
      <x:c r="L14" s="1639"/>
      <x:c r="M14" s="1648" t="str">
        <x:f>IF(AND(H14="적합",G14&lt;&gt;"",I14&lt;&gt;"",J14&lt;&gt;"",K14&lt;&gt;""),"확인완료",IF(H14="부적합","시정조치필요","미확인"))</x:f>
        <x:v>미확인</x:v>
      </x:c>
    </x:row>
    <x:row r="15" ht="49" customHeight="1">
      <x:c r="A15" s="1632" t="n">
        <x:v>9</x:v>
      </x:c>
      <x:c r="B15" s="1633" t="str">
        <x:v>2동 브레이징 조건</x:v>
      </x:c>
      <x:c r="C15" s="1633" t="str">
        <x:v>1-5</x:v>
      </x:c>
      <x:c r="D15" s="1633" t="str">
        <x:v>승인 공정조건과 실제 가동설정값·이상반응 일치</x:v>
      </x:c>
      <x:c r="E15" s="1633" t="str">
        <x:v>브레이징 조건표·실적·소모재/용가재 LOT</x:v>
      </x:c>
      <x:c r="F15" s="1633" t="str">
        <x:v>생산기술/품질</x:v>
      </x:c>
      <x:c r="G15" s="1639"/>
      <x:c r="H15" s="1639" t="str">
        <x:v>미확인</x:v>
      </x:c>
      <x:c r="I15" s="1639"/>
      <x:c r="J15" s="1639"/>
      <x:c r="K15" s="1639"/>
      <x:c r="L15" s="1639"/>
      <x:c r="M15" s="1648" t="str">
        <x:f>IF(AND(H15="적합",G15&lt;&gt;"",I15&lt;&gt;"",J15&lt;&gt;"",K15&lt;&gt;""),"확인완료",IF(H15="부적합","시정조치필요","미확인"))</x:f>
        <x:v>미확인</x:v>
      </x:c>
    </x:row>
    <x:row r="16" ht="49" customHeight="1">
      <x:c r="A16" s="1632" t="n">
        <x:v>10</x:v>
      </x:c>
      <x:c r="B16" s="1633" t="str">
        <x:v>2동 기밀검사</x:v>
      </x:c>
      <x:c r="C16" s="1633" t="str">
        <x:v>2-7/2-8</x:v>
      </x:c>
      <x:c r="D16" s="1633" t="str">
        <x:v>용접 후 기밀검사 규격·측정기·LOT·결과 확인</x:v>
      </x:c>
      <x:c r="E16" s="1633" t="str">
        <x:v>에어 리크 테스트기 전자 원본검사 로그·승인 시험조건·FAIL/재검사·부적합처리 이력</x:v>
      </x:c>
      <x:c r="F16" s="1633" t="str">
        <x:v>품질</x:v>
      </x:c>
      <x:c r="G16" s="1639"/>
      <x:c r="H16" s="1639" t="str">
        <x:v>미확인</x:v>
      </x:c>
      <x:c r="I16" s="1639"/>
      <x:c r="J16" s="1639"/>
      <x:c r="K16" s="1639"/>
      <x:c r="L16" s="1639"/>
      <x:c r="M16" s="1648" t="str">
        <x:f>IF(AND(H16="적합",G16&lt;&gt;"",I16&lt;&gt;"",J16&lt;&gt;"",K16&lt;&gt;""),"확인완료",IF(H16="부적합","시정조치필요","미확인"))</x:f>
        <x:v>미확인</x:v>
      </x:c>
    </x:row>
    <x:row r="17" ht="49" customHeight="1">
      <x:c r="A17" s="1632" t="n">
        <x:v>11</x:v>
      </x:c>
      <x:c r="B17" s="1633" t="str">
        <x:v>브레이징 접합품질</x:v>
      </x:c>
      <x:c r="C17" s="1633" t="str">
        <x:v>2-9</x:v>
      </x:c>
      <x:c r="D17" s="1633" t="str">
        <x:v>브레이징 외관·접합/파괴시험 적용성 및 실적 확인</x:v>
      </x:c>
      <x:c r="E17" s="1633" t="str">
        <x:v>시험기준·최근 판정·비적용시 승인 근거</x:v>
      </x:c>
      <x:c r="F17" s="1633" t="str">
        <x:v>품질/생산기술</x:v>
      </x:c>
      <x:c r="G17" s="1639"/>
      <x:c r="H17" s="1639" t="str">
        <x:v>미확인</x:v>
      </x:c>
      <x:c r="I17" s="1639"/>
      <x:c r="J17" s="1639"/>
      <x:c r="K17" s="1639"/>
      <x:c r="L17" s="1639"/>
      <x:c r="M17" s="1648" t="str">
        <x:f>IF(AND(H17="적합",G17&lt;&gt;"",I17&lt;&gt;"",J17&lt;&gt;"",K17&lt;&gt;""),"확인완료",IF(H17="부적합","시정조치필요","미확인"))</x:f>
        <x:v>미확인</x:v>
      </x:c>
    </x:row>
    <x:row r="18" ht="49" customHeight="1">
      <x:c r="A18" s="1632" t="n">
        <x:v>12</x:v>
      </x:c>
      <x:c r="B18" s="1633" t="str">
        <x:v>기밀시험기·계측</x:v>
      </x:c>
      <x:c r="C18" s="1633" t="str">
        <x:v>2-5/2-6</x:v>
      </x:c>
      <x:c r="D18" s="1633" t="str">
        <x:v>기밀검사기 교정·점검·MSA 적용성 확인</x:v>
      </x:c>
      <x:c r="E18" s="1633" t="str">
        <x:v>누설시험기 설비ID·교정유효·점검기록</x:v>
      </x:c>
      <x:c r="F18" s="1633" t="str">
        <x:v>품질/생산기술</x:v>
      </x:c>
      <x:c r="G18" s="1639"/>
      <x:c r="H18" s="1639" t="str">
        <x:v>미확인</x:v>
      </x:c>
      <x:c r="I18" s="1639"/>
      <x:c r="J18" s="1639"/>
      <x:c r="K18" s="1639"/>
      <x:c r="L18" s="1639"/>
      <x:c r="M18" s="1648" t="str">
        <x:f>IF(AND(H18="적합",G18&lt;&gt;"",I18&lt;&gt;"",J18&lt;&gt;"",K18&lt;&gt;""),"확인완료",IF(H18="부적합","시정조치필요","미확인"))</x:f>
        <x:v>미확인</x:v>
      </x:c>
    </x:row>
    <x:row r="19" ht="49" customHeight="1">
      <x:c r="A19" s="1632" t="n">
        <x:v>13</x:v>
      </x:c>
      <x:c r="B19" s="1633" t="str">
        <x:v>전체 LOT 정역추적</x:v>
      </x:c>
      <x:c r="C19" s="1633" t="str">
        <x:v>5-1~5-4</x:v>
      </x:c>
      <x:c r="D19" s="1633" t="str">
        <x:v>6동 가공 LOT→이송→2동 브레이징→기밀검사→출하 대사</x:v>
      </x:c>
      <x:c r="E19" s="1633" t="str">
        <x:v>실제 LOT 이력·동간 이송·검사/출하·수량대사</x:v>
      </x:c>
      <x:c r="F19" s="1633" t="str">
        <x:v>자재/품질</x:v>
      </x:c>
      <x:c r="G19" s="1639"/>
      <x:c r="H19" s="1639" t="str">
        <x:v>미확인</x:v>
      </x:c>
      <x:c r="I19" s="1639"/>
      <x:c r="J19" s="1639"/>
      <x:c r="K19" s="1639"/>
      <x:c r="L19" s="1639"/>
      <x:c r="M19" s="1648" t="str">
        <x:f>IF(AND(H19="적합",G19&lt;&gt;"",I19&lt;&gt;"",J19&lt;&gt;"",K19&lt;&gt;""),"확인완료",IF(H19="부적합","시정조치필요","미확인"))</x:f>
        <x:v>미확인</x:v>
      </x:c>
    </x:row>
    <x:row r="20" ht="49" customHeight="1">
      <x:c r="A20" s="1632" t="n">
        <x:v>14</x:v>
      </x:c>
      <x:c r="B20" s="1633" t="str">
        <x:v>부적합·재작업/4M</x:v>
      </x:c>
      <x:c r="C20" s="1633" t="str">
        <x:v>6-2/6-12</x:v>
      </x:c>
      <x:c r="D20" s="1633" t="str">
        <x:v>6동 가공·2동 브레이징/누설 부적합 각각 격리·변경관리</x:v>
      </x:c>
      <x:c r="E20" s="1633" t="str">
        <x:v>격리/재검사·재작업·변경 승인/유효성 기록</x:v>
      </x:c>
      <x:c r="F20" s="1633" t="str">
        <x:v>품질/생산</x:v>
      </x:c>
      <x:c r="G20" s="1639"/>
      <x:c r="H20" s="1639" t="str">
        <x:v>미확인</x:v>
      </x:c>
      <x:c r="I20" s="1639"/>
      <x:c r="J20" s="1639"/>
      <x:c r="K20" s="1639"/>
      <x:c r="L20" s="1639"/>
      <x:c r="M20" s="1648" t="str">
        <x:f>IF(AND(H20="적합",G20&lt;&gt;"",I20&lt;&gt;"",J20&lt;&gt;"",K20&lt;&gt;""),"확인완료",IF(H20="부적합","시정조치필요","미확인"))</x:f>
        <x:v>미확인</x:v>
      </x:c>
    </x:row>
    <x:row r="21" ht="49" customHeight="1">
      <x:c r="A21" s="1632" t="n">
        <x:v>15</x:v>
      </x:c>
      <x:c r="B21" s="1633" t="str">
        <x:v>완성품 판정·출하</x:v>
      </x:c>
      <x:c r="C21" s="1633" t="str">
        <x:v>2-7/2-8</x:v>
      </x:c>
      <x:c r="D21" s="1633" t="str">
        <x:v>2동 기밀검사 합격품이 최종 검사 및 출하에 연계되는지 확인</x:v>
      </x:c>
      <x:c r="E21" s="1633" t="str">
        <x:v>최종검사서·합격 식별·포장/출하이력</x:v>
      </x:c>
      <x:c r="F21" s="1633" t="str">
        <x:v>품질/출하</x:v>
      </x:c>
      <x:c r="G21" s="1639"/>
      <x:c r="H21" s="1639" t="str">
        <x:v>미확인</x:v>
      </x:c>
      <x:c r="I21" s="1639"/>
      <x:c r="J21" s="1639"/>
      <x:c r="K21" s="1639"/>
      <x:c r="L21" s="1639"/>
      <x:c r="M21" s="1648" t="str">
        <x:f>IF(AND(H21="적합",G21&lt;&gt;"",I21&lt;&gt;"",J21&lt;&gt;"",K21&lt;&gt;""),"확인완료",IF(H21="부적합","시정조치필요","미확인"))</x:f>
        <x:v>미확인</x:v>
      </x:c>
    </x:row>
    <x:row r="22" ht="49" customHeight="1">
      <x:c r="A22" s="1635" t="n">
        <x:v>16</x:v>
      </x:c>
      <x:c r="B22" s="1636" t="str">
        <x:v>동별 인터뷰·CAPA</x:v>
      </x:c>
      <x:c r="C22" s="1636" t="str">
        <x:v>G10</x:v>
      </x:c>
      <x:c r="D22" s="1636" t="str">
        <x:v>6동·2동 담당 인터뷰, 누락·확인부적합 조치 종결</x:v>
      </x:c>
      <x:c r="E22" s="1636" t="str">
        <x:v>09 모의심사·28 CAPA·31 동별 추적 결과</x:v>
      </x:c>
      <x:c r="F22" s="1636" t="str">
        <x:v>품질총괄</x:v>
      </x:c>
      <x:c r="G22" s="1640"/>
      <x:c r="H22" s="1640" t="str">
        <x:v>미확인</x:v>
      </x:c>
      <x:c r="I22" s="1640"/>
      <x:c r="J22" s="1640"/>
      <x:c r="K22" s="1640"/>
      <x:c r="L22" s="1640"/>
      <x:c r="M22" s="1649" t="str">
        <x:f>IF(AND(H22="적합",G22&lt;&gt;"",I22&lt;&gt;"",J22&lt;&gt;"",K22&lt;&gt;""),"확인완료",IF(H22="부적합","시정조치필요","미확인"))</x:f>
        <x:v>미확인</x:v>
      </x:c>
    </x:row>
  </x:sheetData>
  <x:mergeCells>
    <x:mergeCell ref="A1:M2"/>
    <x:mergeCell ref="A3:M4"/>
  </x:mergeCells>
  <x:conditionalFormatting sqref="M7:M22">
    <x:cfRule type="expression" dxfId="58" priority="1">
      <x:formula>M7="확인완료"</x:formula>
    </x:cfRule>
    <x:cfRule type="expression" dxfId="59" priority="2">
      <x:formula>M7="시정조치필요"</x:formula>
    </x:cfRule>
  </x:conditionalFormatting>
  <x:dataValidations count="1">
    <x:dataValidation type="list" sqref="H7:H22">
      <x:formula1>"미확인,적합,부적합,비적용검토"</x:formula1>
    </x:dataValidation>
  </x:dataValidations>
  <x:pageMargins left="0.7" right="0.7" top="0.75" bottom="0.75" header="0.3" footer="0.3"/>
</x:worksheet>
</file>

<file path=xl/worksheets/sheet30.xml><?xml version="1.0" encoding="utf-8"?>
<x:worksheet xmlns:x="http://schemas.openxmlformats.org/spreadsheetml/2006/main">
  <x:sheetViews>
    <x:sheetView workbookViewId="0">
      <x:pane ySplit="10" topLeftCell="A11" activePane="bottomLeft" state="frozen"/>
    </x:sheetView>
  </x:sheetViews>
  <x:sheetFormatPr defaultRowHeight="15"/>
  <x:cols>
    <x:col min="1" max="1" width="15" hidden="0" customWidth="1"/>
    <x:col min="2" max="2" width="19" hidden="0" customWidth="1"/>
    <x:col min="3" max="3" width="18" hidden="0" customWidth="1"/>
    <x:col min="4" max="4" width="24" hidden="0" customWidth="1"/>
    <x:col min="5" max="5" width="33" hidden="0" customWidth="1"/>
    <x:col min="6" max="6" width="25" hidden="0" customWidth="1"/>
    <x:col min="7" max="7" width="18" hidden="0" customWidth="1"/>
    <x:col min="8" max="8" width="18" hidden="0" customWidth="1"/>
    <x:col min="9" max="9" width="18" hidden="0" customWidth="1"/>
    <x:col min="10" max="10" width="18" hidden="0" customWidth="1"/>
    <x:col min="11" max="11" width="22" hidden="0" customWidth="1"/>
    <x:col min="12" max="12" width="48" hidden="0" customWidth="1"/>
  </x:cols>
  <x:sheetData>
    <x:row r="1">
      <x:c r="A1" s="1578" t="str">
        <x:v>한온 SQ 심사준비 Rev.07 | 6동 가공·2동 브레이징/기밀 실증 종합현황</x:v>
      </x:c>
      <x:c r="B1" s="1578"/>
      <x:c r="C1" s="1578"/>
      <x:c r="D1" s="1578"/>
      <x:c r="E1" s="1578"/>
      <x:c r="F1" s="1578"/>
      <x:c r="G1" s="1578"/>
      <x:c r="H1" s="1578"/>
      <x:c r="I1" s="1578"/>
      <x:c r="J1" s="1578"/>
      <x:c r="K1" s="1578"/>
      <x:c r="L1" s="1578"/>
    </x:row>
    <x:row r="2">
      <x:c r="A2" s="1578"/>
      <x:c r="B2" s="1578"/>
      <x:c r="C2" s="1578"/>
      <x:c r="D2" s="1578"/>
      <x:c r="E2" s="1578"/>
      <x:c r="F2" s="1578"/>
      <x:c r="G2" s="1578"/>
      <x:c r="H2" s="1578"/>
      <x:c r="I2" s="1578"/>
      <x:c r="J2" s="1578"/>
      <x:c r="K2" s="1578"/>
      <x:c r="L2" s="1578"/>
    </x:row>
    <x:row r="3">
      <x:c r="A3" s="1593" t="str">
        <x:v>RG3 HEV · FA1A8HRAAC/AD / 6동 자동가공 → 2동 자동 브레이징(자동2호기)·기밀검사. 121개 과거 검증원장은 유지하고 별도 건물 간 이송·누설검사 요구를 31·32시트에 추가합니다.</x:v>
      </x:c>
      <x:c r="B3" s="1594"/>
      <x:c r="C3" s="1594"/>
      <x:c r="D3" s="1594"/>
      <x:c r="E3" s="1594"/>
      <x:c r="F3" s="1594"/>
      <x:c r="G3" s="1594"/>
      <x:c r="H3" s="1594"/>
      <x:c r="I3" s="1594"/>
      <x:c r="J3" s="1594"/>
      <x:c r="K3" s="1594"/>
      <x:c r="L3" s="1595"/>
    </x:row>
    <x:row r="4">
      <x:c r="A4" s="1596"/>
      <x:c r="B4" s="1597"/>
      <x:c r="C4" s="1597"/>
      <x:c r="D4" s="1597"/>
      <x:c r="E4" s="1597"/>
      <x:c r="F4" s="1597"/>
      <x:c r="G4" s="1597"/>
      <x:c r="H4" s="1597"/>
      <x:c r="I4" s="1597"/>
      <x:c r="J4" s="1597"/>
      <x:c r="K4" s="1597"/>
      <x:c r="L4" s="1598"/>
    </x:row>
    <x:row r="6">
      <x:c r="A6" s="1654" t="str">
        <x:v>전체 검증대상</x:v>
      </x:c>
      <x:c r="B6" s="1655"/>
      <x:c r="C6" s="1655" t="str">
        <x:v>원천 실증완료</x:v>
      </x:c>
      <x:c r="D6" s="1655"/>
      <x:c r="E6" s="1655" t="str">
        <x:v>통합 확인/종결</x:v>
      </x:c>
      <x:c r="F6" s="1655"/>
      <x:c r="G6" s="1655" t="str">
        <x:v>CAPA 진행</x:v>
      </x:c>
      <x:c r="H6" s="1655"/>
      <x:c r="I6" s="1655" t="str">
        <x:v>6동·2동 사전점검</x:v>
      </x:c>
      <x:c r="J6" s="1655"/>
      <x:c r="K6" s="1655" t="str">
        <x:v>READY 자동판정</x:v>
      </x:c>
      <x:c r="L6" s="1656"/>
    </x:row>
    <x:row r="7">
      <x:c r="A7" s="1667" t="n">
        <x:f>COUNTA('28_검증_CAPA_연계'!A7:A127)</x:f>
        <x:v>121</x:v>
      </x:c>
      <x:c r="B7" s="1668"/>
      <x:c r="C7" s="1667" t="n">
        <x:f>COUNTIF('28_검증_CAPA_연계'!G7:G127,"검증완료")</x:f>
        <x:v>0</x:v>
      </x:c>
      <x:c r="D7" s="1668"/>
      <x:c r="E7" s="1667" t="n">
        <x:f>COUNTIF('28_검증_CAPA_연계'!R7:R127,"적합확인")+COUNTIF('28_검증_CAPA_연계'!R7:R127,"시정조치 종결")</x:f>
        <x:v>0</x:v>
      </x:c>
      <x:c r="F7" s="1668"/>
      <x:c r="G7" s="1667" t="n">
        <x:f>COUNTIF('28_검증_CAPA_연계'!R7:R127,"시정조치 진행")+COUNTIF('28_검증_CAPA_연계'!R7:R127,"부적합 판정필요")</x:f>
        <x:v>0</x:v>
      </x:c>
      <x:c r="H7" s="1668"/>
      <x:c r="I7" s="1667" t="str">
        <x:f>COUNTIF('29_6동2동_현장점검'!M7:M22,"확인완료")&amp;"/16"</x:f>
        <x:v>0/16</x:v>
      </x:c>
      <x:c r="J7" s="1668"/>
      <x:c r="K7" s="1667" t="str">
        <x:f>'11_FINAL_READY_GATE'!I9</x:f>
        <x:v>NOT READY</x:v>
      </x:c>
      <x:c r="L7" s="1668"/>
    </x:row>
    <x:row r="8">
      <x:c r="A8" s="1669"/>
      <x:c r="B8" s="1670"/>
      <x:c r="C8" s="1669"/>
      <x:c r="D8" s="1670"/>
      <x:c r="E8" s="1669"/>
      <x:c r="F8" s="1670"/>
      <x:c r="G8" s="1669"/>
      <x:c r="H8" s="1670"/>
      <x:c r="I8" s="1669"/>
      <x:c r="J8" s="1670"/>
      <x:c r="K8" s="1669"/>
      <x:c r="L8" s="1670"/>
    </x:row>
    <x:row r="10" ht="34" customHeight="1">
      <x:c r="A10" s="1610" t="str">
        <x:v>원천구분</x:v>
      </x:c>
      <x:c r="B10" s="1611" t="str">
        <x:v>대상수</x:v>
      </x:c>
      <x:c r="C10" s="1611" t="str">
        <x:v>실증완료</x:v>
      </x:c>
      <x:c r="D10" s="1611" t="str">
        <x:v>원천 부적합확인</x:v>
      </x:c>
      <x:c r="E10" s="1611" t="str">
        <x:v>미확인</x:v>
      </x:c>
      <x:c r="F10" s="1611" t="str">
        <x:v>실증률</x:v>
      </x:c>
      <x:c r="G10" s="1611" t="str">
        <x:v>적합확인</x:v>
      </x:c>
      <x:c r="H10" s="1611" t="str">
        <x:v>CAPA 종결</x:v>
      </x:c>
      <x:c r="I10" s="1611" t="str">
        <x:v>조치 진행</x:v>
      </x:c>
      <x:c r="J10" s="1611" t="str">
        <x:v>판정대기</x:v>
      </x:c>
      <x:c r="K10" s="1611" t="str">
        <x:v>관리 원장</x:v>
      </x:c>
      <x:c r="L10" s="1612" t="str">
        <x:v>우선 행동</x:v>
      </x:c>
    </x:row>
    <x:row r="11">
      <x:c r="A11" s="1629" t="str">
        <x:v>원문평가</x:v>
      </x:c>
      <x:c r="B11" s="1630" t="n">
        <x:f>COUNTIF('28_검증_CAPA_연계'!$B$7:$B$127,A11)</x:f>
        <x:v>43</x:v>
      </x:c>
      <x:c r="C11" s="1630" t="n">
        <x:f>COUNTIFS('28_검증_CAPA_연계'!$B$7:$B$127,A11,'28_검증_CAPA_연계'!$G$7:$G$127,"검증완료")</x:f>
        <x:v>0</x:v>
      </x:c>
      <x:c r="D11" s="1630" t="n">
        <x:f>COUNTIFS('28_검증_CAPA_연계'!$B$7:$B$127,A11,'28_검증_CAPA_연계'!$G$7:$G$127,"부적합확인")</x:f>
        <x:v>0</x:v>
      </x:c>
      <x:c r="E11" s="1630" t="n">
        <x:f>B11-C11-D11</x:f>
        <x:v>43</x:v>
      </x:c>
      <x:c r="F11" s="1678" t="n">
        <x:f>IFERROR(C11/B11,0)</x:f>
        <x:v>0</x:v>
      </x:c>
      <x:c r="G11" s="1630" t="n">
        <x:f>COUNTIFS('28_검증_CAPA_연계'!$B$7:$B$127,A11,'28_검증_CAPA_연계'!$R$7:$R$127,"적합확인")</x:f>
        <x:v>0</x:v>
      </x:c>
      <x:c r="H11" s="1630" t="n">
        <x:f>COUNTIFS('28_검증_CAPA_연계'!$B$7:$B$127,A11,'28_검증_CAPA_연계'!$R$7:$R$127,"시정조치 종결")</x:f>
        <x:v>0</x:v>
      </x:c>
      <x:c r="I11" s="1630" t="n">
        <x:f>COUNTIFS('28_검증_CAPA_연계'!$B$7:$B$127,A11,'28_검증_CAPA_연계'!$R$7:$R$127,"시정조치 진행")</x:f>
        <x:v>0</x:v>
      </x:c>
      <x:c r="J11" s="1630" t="n">
        <x:f>COUNTIFS('28_검증_CAPA_연계'!$B$7:$B$127,A11,'28_검증_CAPA_연계'!$R$7:$R$127,"판정대기")</x:f>
        <x:v>0</x:v>
      </x:c>
      <x:c r="K11" s="1630" t="str">
        <x:v>'21_코드별_심사실행'</x:v>
      </x:c>
      <x:c r="L11" s="1631" t="str">
        <x:v>21시트 평가코드별 객관증빙 입력</x:v>
      </x:c>
    </x:row>
    <x:row r="12">
      <x:c r="A12" s="1632" t="str">
        <x:v>2동브레이징</x:v>
      </x:c>
      <x:c r="B12" s="1633" t="n">
        <x:f>COUNTIF('28_검증_CAPA_연계'!$B$7:$B$127,A12)</x:f>
        <x:v>44</x:v>
      </x:c>
      <x:c r="C12" s="1633" t="n">
        <x:f>COUNTIFS('28_검증_CAPA_연계'!$B$7:$B$127,A12,'28_검증_CAPA_연계'!$G$7:$G$127,"검증완료")</x:f>
        <x:v>0</x:v>
      </x:c>
      <x:c r="D12" s="1633" t="n">
        <x:f>COUNTIFS('28_검증_CAPA_연계'!$B$7:$B$127,A12,'28_검증_CAPA_연계'!$G$7:$G$127,"부적합확인")</x:f>
        <x:v>0</x:v>
      </x:c>
      <x:c r="E12" s="1633" t="n">
        <x:f>B12-C12-D12</x:f>
        <x:v>44</x:v>
      </x:c>
      <x:c r="F12" s="1679" t="n">
        <x:f>IFERROR(C12/B12,0)</x:f>
        <x:v>0</x:v>
      </x:c>
      <x:c r="G12" s="1633" t="n">
        <x:f>COUNTIFS('28_검증_CAPA_연계'!$B$7:$B$127,A12,'28_검증_CAPA_연계'!$R$7:$R$127,"적합확인")</x:f>
        <x:v>0</x:v>
      </x:c>
      <x:c r="H12" s="1633" t="n">
        <x:f>COUNTIFS('28_검증_CAPA_연계'!$B$7:$B$127,A12,'28_검증_CAPA_연계'!$R$7:$R$127,"시정조치 종결")</x:f>
        <x:v>0</x:v>
      </x:c>
      <x:c r="I12" s="1633" t="n">
        <x:f>COUNTIFS('28_검증_CAPA_연계'!$B$7:$B$127,A12,'28_검증_CAPA_연계'!$R$7:$R$127,"시정조치 진행")</x:f>
        <x:v>0</x:v>
      </x:c>
      <x:c r="J12" s="1633" t="n">
        <x:f>COUNTIFS('28_검증_CAPA_연계'!$B$7:$B$127,A12,'28_검증_CAPA_연계'!$R$7:$R$127,"판정대기")</x:f>
        <x:v>0</x:v>
      </x:c>
      <x:c r="K12" s="1633" t="str">
        <x:v>'22_2동_브레이징_점검'</x:v>
      </x:c>
      <x:c r="L12" s="1634" t="str">
        <x:v>설비·용접승인조건·현장기록 확인</x:v>
      </x:c>
    </x:row>
    <x:row r="13">
      <x:c r="A13" s="1632" t="str">
        <x:v>사내도면</x:v>
      </x:c>
      <x:c r="B13" s="1633" t="n">
        <x:f>COUNTIF('28_검증_CAPA_연계'!$B$7:$B$127,A13)</x:f>
        <x:v>18</x:v>
      </x:c>
      <x:c r="C13" s="1633" t="n">
        <x:f>COUNTIFS('28_검증_CAPA_연계'!$B$7:$B$127,A13,'28_검증_CAPA_연계'!$G$7:$G$127,"검증완료")</x:f>
        <x:v>0</x:v>
      </x:c>
      <x:c r="D13" s="1633" t="n">
        <x:f>COUNTIFS('28_검증_CAPA_연계'!$B$7:$B$127,A13,'28_검증_CAPA_연계'!$G$7:$G$127,"부적합확인")</x:f>
        <x:v>0</x:v>
      </x:c>
      <x:c r="E13" s="1633" t="n">
        <x:f>B13-C13-D13</x:f>
        <x:v>18</x:v>
      </x:c>
      <x:c r="F13" s="1679" t="n">
        <x:f>IFERROR(C13/B13,0)</x:f>
        <x:v>0</x:v>
      </x:c>
      <x:c r="G13" s="1633" t="n">
        <x:f>COUNTIFS('28_검증_CAPA_연계'!$B$7:$B$127,A13,'28_검증_CAPA_연계'!$R$7:$R$127,"적합확인")</x:f>
        <x:v>0</x:v>
      </x:c>
      <x:c r="H13" s="1633" t="n">
        <x:f>COUNTIFS('28_검증_CAPA_연계'!$B$7:$B$127,A13,'28_검증_CAPA_연계'!$R$7:$R$127,"시정조치 종결")</x:f>
        <x:v>0</x:v>
      </x:c>
      <x:c r="I13" s="1633" t="n">
        <x:f>COUNTIFS('28_검증_CAPA_연계'!$B$7:$B$127,A13,'28_검증_CAPA_연계'!$R$7:$R$127,"시정조치 진행")</x:f>
        <x:v>0</x:v>
      </x:c>
      <x:c r="J13" s="1633" t="n">
        <x:f>COUNTIFS('28_검증_CAPA_연계'!$B$7:$B$127,A13,'28_검증_CAPA_연계'!$R$7:$R$127,"판정대기")</x:f>
        <x:v>0</x:v>
      </x:c>
      <x:c r="K13" s="1633" t="str">
        <x:v>'23_도면_사내대조'</x:v>
      </x:c>
      <x:c r="L13" s="1634" t="str">
        <x:v>원본 업로드 금지/사내 기록번호만</x:v>
      </x:c>
    </x:row>
    <x:row r="14">
      <x:c r="A14" s="1632" t="str">
        <x:v>부서회수</x:v>
      </x:c>
      <x:c r="B14" s="1633" t="n">
        <x:f>COUNTIF('28_검증_CAPA_연계'!$B$7:$B$127,A14)</x:f>
        <x:v>16</x:v>
      </x:c>
      <x:c r="C14" s="1633" t="n">
        <x:f>COUNTIFS('28_검증_CAPA_연계'!$B$7:$B$127,A14,'28_검증_CAPA_연계'!$G$7:$G$127,"검증완료")</x:f>
        <x:v>0</x:v>
      </x:c>
      <x:c r="D14" s="1633" t="n">
        <x:f>COUNTIFS('28_검증_CAPA_연계'!$B$7:$B$127,A14,'28_검증_CAPA_연계'!$G$7:$G$127,"부적합확인")</x:f>
        <x:v>0</x:v>
      </x:c>
      <x:c r="E14" s="1633" t="n">
        <x:f>B14-C14-D14</x:f>
        <x:v>16</x:v>
      </x:c>
      <x:c r="F14" s="1679" t="n">
        <x:f>IFERROR(C14/B14,0)</x:f>
        <x:v>0</x:v>
      </x:c>
      <x:c r="G14" s="1633" t="n">
        <x:f>COUNTIFS('28_검증_CAPA_연계'!$B$7:$B$127,A14,'28_검증_CAPA_연계'!$R$7:$R$127,"적합확인")</x:f>
        <x:v>0</x:v>
      </x:c>
      <x:c r="H14" s="1633" t="n">
        <x:f>COUNTIFS('28_검증_CAPA_연계'!$B$7:$B$127,A14,'28_검증_CAPA_연계'!$R$7:$R$127,"시정조치 종결")</x:f>
        <x:v>0</x:v>
      </x:c>
      <x:c r="I14" s="1633" t="n">
        <x:f>COUNTIFS('28_검증_CAPA_연계'!$B$7:$B$127,A14,'28_검증_CAPA_연계'!$R$7:$R$127,"시정조치 진행")</x:f>
        <x:v>0</x:v>
      </x:c>
      <x:c r="J14" s="1633" t="n">
        <x:f>COUNTIFS('28_검증_CAPA_연계'!$B$7:$B$127,A14,'28_검증_CAPA_연계'!$R$7:$R$127,"판정대기")</x:f>
        <x:v>0</x:v>
      </x:c>
      <x:c r="K14" s="1633" t="str">
        <x:v>'24_부서별_자료회수'</x:v>
      </x:c>
      <x:c r="L14" s="1634" t="str">
        <x:v>실제 회수일·위치·검토자 입력</x:v>
      </x:c>
    </x:row>
    <x:row r="15">
      <x:c r="A15" s="1682" t="str">
        <x:v>합계</x:v>
      </x:c>
      <x:c r="B15" s="1683" t="n">
        <x:f>SUM(B11:B14)</x:f>
        <x:v>121</x:v>
      </x:c>
      <x:c r="C15" s="1683" t="n">
        <x:f>SUM(C11:C14)</x:f>
        <x:v>0</x:v>
      </x:c>
      <x:c r="D15" s="1683" t="n">
        <x:f>SUM(D11:D14)</x:f>
        <x:v>0</x:v>
      </x:c>
      <x:c r="E15" s="1683" t="n">
        <x:f>SUM(E11:E14)</x:f>
        <x:v>121</x:v>
      </x:c>
      <x:c r="F15" s="1684" t="n">
        <x:f>IFERROR(C15/B15,0)</x:f>
        <x:v>0</x:v>
      </x:c>
      <x:c r="G15" s="1683" t="n">
        <x:f>SUM(G11:G14)</x:f>
        <x:v>0</x:v>
      </x:c>
      <x:c r="H15" s="1683" t="n">
        <x:f>SUM(H11:H14)</x:f>
        <x:v>0</x:v>
      </x:c>
      <x:c r="I15" s="1683" t="n">
        <x:f>SUM(I11:I14)</x:f>
        <x:v>0</x:v>
      </x:c>
      <x:c r="J15" s="1683" t="n">
        <x:f>SUM(J11:J14)</x:f>
        <x:v>0</x:v>
      </x:c>
      <x:c r="K15" s="1683"/>
      <x:c r="L15" s="1685"/>
    </x:row>
    <x:row r="18">
      <x:c r="A18" s="1687" t="str">
        <x:v>우선 조치 및 자료회수 지시</x:v>
      </x:c>
      <x:c r="B18" s="1688"/>
      <x:c r="C18" s="1688"/>
      <x:c r="D18" s="1688"/>
      <x:c r="E18" s="1688"/>
      <x:c r="F18" s="1688"/>
      <x:c r="G18" s="1688"/>
      <x:c r="H18" s="1688"/>
      <x:c r="I18" s="1688"/>
      <x:c r="J18" s="1688"/>
      <x:c r="K18" s="1688"/>
      <x:c r="L18" s="1689"/>
    </x:row>
    <x:row r="19" ht="30" customHeight="1">
      <x:c r="A19" s="1621" t="str">
        <x:v>1</x:v>
      </x:c>
      <x:c r="B19" s="1622" t="str">
        <x:v>영업·품질</x:v>
      </x:c>
      <x:c r="C19" s="1622" t="str">
        <x:v>한온 SQ 평가자료 공식 최신성 확인</x:v>
      </x:c>
      <x:c r="D19" s="1622" t="str">
        <x:v>한온 발행/배포본 여부, 6-12 중복·229건 집계기준</x:v>
      </x:c>
      <x:c r="E19" s="1622" t="str">
        <x:v>17·24시트</x:v>
      </x:c>
      <x:c r="F19" s="1623" t="str">
        <x:v>G1 STOP</x:v>
      </x:c>
    </x:row>
    <x:row r="20" ht="30" customHeight="1">
      <x:c r="A20" s="1624" t="str">
        <x:v>2</x:v>
      </x:c>
      <x:c r="B20" s="1431" t="str">
        <x:v>생산기술</x:v>
      </x:c>
      <x:c r="C20" s="1431" t="str">
        <x:v>6동 FT-ASY-A/C JUMPER 설비ID·용접법 확정</x:v>
      </x:c>
      <x:c r="D20" s="1431" t="str">
        <x:v>승인조건·프로그램·파괴검사 및 실제 작업기록</x:v>
      </x:c>
      <x:c r="E20" s="1431" t="str">
        <x:v>22·29시트</x:v>
      </x:c>
      <x:c r="F20" s="1625" t="str">
        <x:v>G4 STOP</x:v>
      </x:c>
    </x:row>
    <x:row r="21" ht="30" customHeight="1">
      <x:c r="A21" s="1624" t="str">
        <x:v>3</x:v>
      </x:c>
      <x:c r="B21" s="1431" t="str">
        <x:v>개발·품질</x:v>
      </x:c>
      <x:c r="C21" s="1431" t="str">
        <x:v>FA1A8HRAAC/AD 도면 Rev.01 사내 대조</x:v>
      </x:c>
      <x:c r="D21" s="1431" t="str">
        <x:v>품번 철자·특별특성·Flow/PFMEA/CP/WI·검사</x:v>
      </x:c>
      <x:c r="E21" s="1431" t="str">
        <x:v>23시트</x:v>
      </x:c>
      <x:c r="F21" s="1625" t="str">
        <x:v>G3 STOP</x:v>
      </x:c>
    </x:row>
    <x:row r="22" ht="30" customHeight="1">
      <x:c r="A22" s="1624" t="str">
        <x:v>4</x:v>
      </x:c>
      <x:c r="B22" s="1431" t="str">
        <x:v>전부서/품질</x:v>
      </x:c>
      <x:c r="C22" s="1431" t="str">
        <x:v>실제 문서·현장·최근기록 객관증빙 대사</x:v>
      </x:c>
      <x:c r="D22" s="1431" t="str">
        <x:v>21시트 원장 / 24시트 16개 부서별 자료 회수</x:v>
      </x:c>
      <x:c r="E22" s="1431" t="str">
        <x:v>21·24시트</x:v>
      </x:c>
      <x:c r="F22" s="1625" t="str">
        <x:v>검증대기</x:v>
      </x:c>
    </x:row>
    <x:row r="23" ht="30" customHeight="1">
      <x:c r="A23" s="1624" t="str">
        <x:v>5</x:v>
      </x:c>
      <x:c r="B23" s="1431" t="str">
        <x:v>품질 총괄</x:v>
      </x:c>
      <x:c r="C23" s="1431" t="str">
        <x:v>확인된 부적합의 원인·조치·효과검증 종결</x:v>
      </x:c>
      <x:c r="D23" s="1431" t="str">
        <x:v>28시트에서 실제 확인결과 기반 시정조치</x:v>
      </x:c>
      <x:c r="E23" s="1431" t="str">
        <x:v>28시트</x:v>
      </x:c>
      <x:c r="F23" s="1625" t="str">
        <x:v>CAPA 대기</x:v>
      </x:c>
    </x:row>
    <x:row r="24" ht="30" customHeight="1">
      <x:c r="A24" s="1626" t="str">
        <x:v>6</x:v>
      </x:c>
      <x:c r="B24" s="1627" t="str">
        <x:v>품질/전부서</x:v>
      </x:c>
      <x:c r="C24" s="1627" t="str">
        <x:v>6동·2동 사전동선과 20문항 모의심사 수행</x:v>
      </x:c>
      <x:c r="D24" s="1627" t="str">
        <x:v>29시트 16건, 09시트 20문항 현장 적합 대조</x:v>
      </x:c>
      <x:c r="E24" s="1627" t="str">
        <x:v>29·09시트</x:v>
      </x:c>
      <x:c r="F24" s="1628" t="str">
        <x:v>미실시</x:v>
      </x:c>
    </x:row>
    <x:row r="26">
      <x:c r="A26" s="1709" t="str">
        <x:v>Rev.07는 121개 기존 실증/CAPA 외에 6동↔2동 공정/LOT 18건과 2동 기밀검사 20건을 추가 검증합니다. G4와 최종 READY는 신규 체크가 모두 완료되지 않으면 STOP/NOT READY입니다. 검사수치·승인조건은 실제 검사성적서/기준서 대조 후 입력합니다.</x:v>
      </x:c>
      <x:c r="B26" s="1710"/>
      <x:c r="C26" s="1710"/>
      <x:c r="D26" s="1710"/>
      <x:c r="E26" s="1710"/>
      <x:c r="F26" s="1710"/>
      <x:c r="G26" s="1710"/>
      <x:c r="H26" s="1710"/>
      <x:c r="I26" s="1710"/>
      <x:c r="J26" s="1710"/>
      <x:c r="K26" s="1710"/>
      <x:c r="L26" s="1711"/>
    </x:row>
    <x:row r="27">
      <x:c r="A27" s="1712"/>
      <x:c r="B27" s="1713"/>
      <x:c r="C27" s="1713"/>
      <x:c r="D27" s="1713"/>
      <x:c r="E27" s="1713"/>
      <x:c r="F27" s="1713"/>
      <x:c r="G27" s="1713"/>
      <x:c r="H27" s="1713"/>
      <x:c r="I27" s="1713"/>
      <x:c r="J27" s="1713"/>
      <x:c r="K27" s="1713"/>
      <x:c r="L27" s="1714"/>
    </x:row>
    <x:row r="28">
      <x:c r="A28" s="1715"/>
      <x:c r="B28" s="1716"/>
      <x:c r="C28" s="1716"/>
      <x:c r="D28" s="1716"/>
      <x:c r="E28" s="1716"/>
      <x:c r="F28" s="1716"/>
      <x:c r="G28" s="1716"/>
      <x:c r="H28" s="1716"/>
      <x:c r="I28" s="1716"/>
      <x:c r="J28" s="1716"/>
      <x:c r="K28" s="1716"/>
      <x:c r="L28" s="1717"/>
    </x:row>
  </x:sheetData>
  <x:mergeCells>
    <x:mergeCell ref="A1:L2"/>
    <x:mergeCell ref="A3:L4"/>
    <x:mergeCell ref="A7:B8"/>
    <x:mergeCell ref="C7:D8"/>
    <x:mergeCell ref="E7:F8"/>
    <x:mergeCell ref="G7:H8"/>
    <x:mergeCell ref="I7:J8"/>
    <x:mergeCell ref="K7:L8"/>
    <x:mergeCell ref="A18:L18"/>
    <x:mergeCell ref="A26:L28"/>
  </x:mergeCells>
  <x:conditionalFormatting sqref="F11:F15">
    <x:cfRule type="dataBar" priority="1">
      <x:dataBar>
        <x:cfvo type="min"/>
        <x:cfvo type="max"/>
        <x:color rgb="FFA02B93"/>
      </x:dataBar>
      <x:extLst>
        <x:ext xmlns:x14="http://schemas.microsoft.com/office/spreadsheetml/2009/9/main" uri="{B025F937-C7B1-47D3-B67F-A62EFF666E3E}">
          <x14:id>{04B7F8C7-DDC7-C21E-30D2-FD650D4D5B6E}</x14:id>
        </x:ext>
      </x:extLst>
    </x:cfRule>
  </x:conditionalFormatting>
  <x:pageMargins left="0.7" right="0.7" top="0.75" bottom="0.75" header="0.3" footer="0.3"/>
  <x:extLst>
    <x:ext xmlns:x14="http://schemas.microsoft.com/office/spreadsheetml/2009/9/main" xmlns:xm="http://schemas.microsoft.com/office/excel/2006/main" uri="{78C0D931-6437-407d-A8EE-F0AAD7539E65}">
      <x14:conditionalFormattings>
        <x14:conditionalFormatting>
          <x14:cfRule type="dataBar" priority="1" id="{04B7F8C7-DDC7-C21E-30D2-FD650D4D5B6E}">
            <x14:dataBar gradient="1">
              <x14:cfvo type="min"/>
              <x14:cfvo type="max"/>
              <x14:fillColor rgb="FFA02B93"/>
            </x14:dataBar>
          </x14:cfRule>
          <xm:sqref>F11:F15</xm:sqref>
        </x14:conditionalFormatting>
      </x14:conditionalFormattings>
    </x:ext>
  </x:extLst>
</x:worksheet>
</file>

<file path=xl/worksheets/sheet31.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10" hidden="0" customWidth="1"/>
    <x:col min="2" max="2" width="24" hidden="0" customWidth="1"/>
    <x:col min="3" max="3" width="17" hidden="0" customWidth="1"/>
    <x:col min="4" max="4" width="48" hidden="0" customWidth="1"/>
    <x:col min="5" max="5" width="41" hidden="0" customWidth="1"/>
    <x:col min="6" max="6" width="26" hidden="0" customWidth="1"/>
    <x:col min="7" max="7" width="15" hidden="0" customWidth="1"/>
    <x:col min="8" max="8" width="27" hidden="0" customWidth="1"/>
    <x:col min="9" max="9" width="16" hidden="0" customWidth="1"/>
    <x:col min="10" max="10" width="19" hidden="0" customWidth="1"/>
    <x:col min="11" max="11" width="31" hidden="0" customWidth="1"/>
    <x:col min="12" max="12" width="39" hidden="0" customWidth="1"/>
  </x:cols>
  <x:sheetData>
    <x:row r="1">
      <x:c r="A1" s="1578" t="str">
        <x:v>한온 SQ 심사준비 Rev.06 운영·승인 이력 (Rev.07 최신 안내는 34시트)</x:v>
      </x:c>
      <x:c r="B1" s="1578"/>
      <x:c r="C1" s="1578"/>
      <x:c r="D1" s="1578"/>
      <x:c r="E1" s="1578"/>
      <x:c r="F1" s="1578"/>
      <x:c r="G1" s="1578"/>
      <x:c r="H1" s="1578"/>
      <x:c r="I1" s="1578"/>
      <x:c r="J1" s="1578"/>
      <x:c r="K1" s="1578"/>
      <x:c r="L1" s="1578"/>
    </x:row>
    <x:row r="2">
      <x:c r="A2" s="1578"/>
      <x:c r="B2" s="1578"/>
      <x:c r="C2" s="1578"/>
      <x:c r="D2" s="1578"/>
      <x:c r="E2" s="1578"/>
      <x:c r="F2" s="1578"/>
      <x:c r="G2" s="1578"/>
      <x:c r="H2" s="1578"/>
      <x:c r="I2" s="1578"/>
      <x:c r="J2" s="1578"/>
      <x:c r="K2" s="1578"/>
      <x:c r="L2" s="1578"/>
    </x:row>
    <x:row r="3">
      <x:c r="A3" s="1593" t="str">
        <x:v>과거 Rev.06 단계 이력 참고용입니다. 현행 Rev.09는 39_Rev09_실행대시보드 및 36~38 전자검사 원장으로 관리하십시오. 6동 자동가공→2동 자동2호기 브레이징→2동 에어 리크 테스트기 기밀검사(전자 원본로그 보관)는 사용자 확인입니다.</x:v>
      </x:c>
      <x:c r="B3" s="1594"/>
      <x:c r="C3" s="1594"/>
      <x:c r="D3" s="1594"/>
      <x:c r="E3" s="1594"/>
      <x:c r="F3" s="1594"/>
      <x:c r="G3" s="1594"/>
      <x:c r="H3" s="1594"/>
      <x:c r="I3" s="1594"/>
      <x:c r="J3" s="1594"/>
      <x:c r="K3" s="1594"/>
      <x:c r="L3" s="1595"/>
    </x:row>
    <x:row r="4">
      <x:c r="A4" s="1596"/>
      <x:c r="B4" s="1597"/>
      <x:c r="C4" s="1597"/>
      <x:c r="D4" s="1597"/>
      <x:c r="E4" s="1597"/>
      <x:c r="F4" s="1597"/>
      <x:c r="G4" s="1597"/>
      <x:c r="H4" s="1597"/>
      <x:c r="I4" s="1597"/>
      <x:c r="J4" s="1597"/>
      <x:c r="K4" s="1597"/>
      <x:c r="L4" s="1598"/>
    </x:row>
    <x:row r="6" ht="34" customHeight="1">
      <x:c r="A6" s="1610" t="str">
        <x:v>순서</x:v>
      </x:c>
      <x:c r="B6" s="1611" t="str">
        <x:v>단계</x:v>
      </x:c>
      <x:c r="C6" s="1611" t="str">
        <x:v>사용시트</x:v>
      </x:c>
      <x:c r="D6" s="1611" t="str">
        <x:v>실제 입력·확인할 정보</x:v>
      </x:c>
      <x:c r="E6" s="1611" t="str">
        <x:v>완료 인정 기준</x:v>
      </x:c>
      <x:c r="F6" s="1611" t="str">
        <x:v>담당 부서(안)</x:v>
      </x:c>
      <x:c r="G6" s="1611" t="str">
        <x:v>입력 상태</x:v>
      </x:c>
      <x:c r="H6" s="1611" t="str">
        <x:v>대조 근거/관리번호</x:v>
      </x:c>
      <x:c r="I6" s="1611" t="str">
        <x:v>수기 확인자</x:v>
      </x:c>
      <x:c r="J6" s="1611" t="str">
        <x:v>수기 확인일</x:v>
      </x:c>
      <x:c r="K6" s="1611" t="str">
        <x:v>승인·비고</x:v>
      </x:c>
      <x:c r="L6" s="1612" t="str">
        <x:v>보안·주의</x:v>
      </x:c>
    </x:row>
    <x:row r="7" ht="43" customHeight="1">
      <x:c r="A7" s="1629" t="n">
        <x:v>1</x:v>
      </x:c>
      <x:c r="B7" s="1630" t="str">
        <x:v>한온 적용기준</x:v>
      </x:c>
      <x:c r="C7" s="1630" t="str">
        <x:v>17 · 24</x:v>
      </x:c>
      <x:c r="D7" s="1630" t="str">
        <x:v>공식 배포·개정/적용 공정·229건/6-12 정합성</x:v>
      </x:c>
      <x:c r="E7" s="1630" t="str">
        <x:v>G1 관련 근거확보·검토종결</x:v>
      </x:c>
      <x:c r="F7" s="1630" t="str">
        <x:v>영업/품질</x:v>
      </x:c>
      <x:c r="G7" s="1638" t="str">
        <x:v>미확인</x:v>
      </x:c>
      <x:c r="H7" s="1638"/>
      <x:c r="I7" s="1638"/>
      <x:c r="J7" s="1638"/>
      <x:c r="K7" s="1638"/>
      <x:c r="L7" s="1631" t="str">
        <x:v>한온 최신 공식본 여부 내부 확인</x:v>
      </x:c>
    </x:row>
    <x:row r="8" ht="43" customHeight="1">
      <x:c r="A8" s="1632" t="n">
        <x:v>2</x:v>
      </x:c>
      <x:c r="B8" s="1633" t="str">
        <x:v>용접방식/설비ID</x:v>
      </x:c>
      <x:c r="C8" s="1633" t="str">
        <x:v>19 · 22</x:v>
      </x:c>
      <x:c r="D8" s="1633" t="str">
        <x:v>실제 용접방식, 설비ID, 조건표·프로그램·시험기록</x:v>
      </x:c>
      <x:c r="E8" s="1633" t="str">
        <x:v>두 품번/대상 설비 적용대사</x:v>
      </x:c>
      <x:c r="F8" s="1633" t="str">
        <x:v>생산기술</x:v>
      </x:c>
      <x:c r="G8" s="1639" t="str">
        <x:v>미확인</x:v>
      </x:c>
      <x:c r="H8" s="1639"/>
      <x:c r="I8" s="1639"/>
      <x:c r="J8" s="1639"/>
      <x:c r="K8" s="1639"/>
      <x:c r="L8" s="1634" t="str">
        <x:v>CO₂/스폿/브레이징 임의 단정 금지</x:v>
      </x:c>
    </x:row>
    <x:row r="9" ht="43" customHeight="1">
      <x:c r="A9" s="1632" t="n">
        <x:v>3</x:v>
      </x:c>
      <x:c r="B9" s="1633" t="str">
        <x:v>보안도면 사내대조</x:v>
      </x:c>
      <x:c r="C9" s="1633" t="str">
        <x:v>23</x:v>
      </x:c>
      <x:c r="D9" s="1633" t="str">
        <x:v>FA1A8HRAAC / FA1A8HRAAD 및 도면 Rev.01 확인</x:v>
      </x:c>
      <x:c r="E9" s="1633" t="str">
        <x:v>18건 각각 기록번호·검토일</x:v>
      </x:c>
      <x:c r="F9" s="1633" t="str">
        <x:v>개발/품질</x:v>
      </x:c>
      <x:c r="G9" s="1639" t="str">
        <x:v>미확인</x:v>
      </x:c>
      <x:c r="H9" s="1639"/>
      <x:c r="I9" s="1639"/>
      <x:c r="J9" s="1639"/>
      <x:c r="K9" s="1639"/>
      <x:c r="L9" s="1634" t="str">
        <x:v>도면 원본 외부 업로드 금지</x:v>
      </x:c>
    </x:row>
    <x:row r="10" ht="43" customHeight="1">
      <x:c r="A10" s="1632" t="n">
        <x:v>4</x:v>
      </x:c>
      <x:c r="B10" s="1633" t="str">
        <x:v>원문평가 실증</x:v>
      </x:c>
      <x:c r="C10" s="1633" t="str">
        <x:v>21</x:v>
      </x:c>
      <x:c r="D10" s="1633" t="str">
        <x:v>G,J:O 실증 입력 후 P/Q 자동확인</x:v>
      </x:c>
      <x:c r="E10" s="1633" t="str">
        <x:v>43행 객관확인 및 1,000 내부 배점</x:v>
      </x:c>
      <x:c r="F10" s="1633" t="str">
        <x:v>품질 총괄</x:v>
      </x:c>
      <x:c r="G10" s="1639" t="str">
        <x:v>미확인</x:v>
      </x:c>
      <x:c r="H10" s="1639"/>
      <x:c r="I10" s="1639"/>
      <x:c r="J10" s="1639"/>
      <x:c r="K10" s="1639"/>
      <x:c r="L10" s="1634" t="str">
        <x:v>13시트 J:O 조회전용</x:v>
      </x:c>
    </x:row>
    <x:row r="11" ht="43" customHeight="1">
      <x:c r="A11" s="1632" t="n">
        <x:v>5</x:v>
      </x:c>
      <x:c r="B11" s="1633" t="str">
        <x:v>부서별 자료회수</x:v>
      </x:c>
      <x:c r="C11" s="1633" t="str">
        <x:v>24 · 08</x:v>
      </x:c>
      <x:c r="D11" s="1633" t="str">
        <x:v>16묶음 회수일·위치·검토자, 28 패키지 자료 검증</x:v>
      </x:c>
      <x:c r="E11" s="1633" t="str">
        <x:v>실물/현장·검토 근거</x:v>
      </x:c>
      <x:c r="F11" s="1633" t="str">
        <x:v>각부서/품질</x:v>
      </x:c>
      <x:c r="G11" s="1639" t="str">
        <x:v>미확인</x:v>
      </x:c>
      <x:c r="H11" s="1639"/>
      <x:c r="I11" s="1639"/>
      <x:c r="J11" s="1639"/>
      <x:c r="K11" s="1639"/>
      <x:c r="L11" s="1634" t="str">
        <x:v>예시 기록·미작성 양식은 증빙 제외</x:v>
      </x:c>
    </x:row>
    <x:row r="12" ht="43" customHeight="1">
      <x:c r="A12" s="1632" t="n">
        <x:v>6</x:v>
      </x:c>
      <x:c r="B12" s="1633" t="str">
        <x:v>CAPA 판정</x:v>
      </x:c>
      <x:c r="C12" s="1633" t="str">
        <x:v>28</x:v>
      </x:c>
      <x:c r="D12" s="1633" t="str">
        <x:v>121행 H 품질판정 / 부적합이면 I~Q 시정/효과검증</x:v>
      </x:c>
      <x:c r="E12" s="1633" t="str">
        <x:v>검증대기=부적합 아님; 확인 종결</x:v>
      </x:c>
      <x:c r="F12" s="1633" t="str">
        <x:v>품질/관련부서</x:v>
      </x:c>
      <x:c r="G12" s="1639" t="str">
        <x:v>미확인</x:v>
      </x:c>
      <x:c r="H12" s="1639"/>
      <x:c r="I12" s="1639"/>
      <x:c r="J12" s="1639"/>
      <x:c r="K12" s="1639"/>
      <x:c r="L12" s="1634" t="str">
        <x:v>적합 입력만으로 원천검증 우회 불가</x:v>
      </x:c>
    </x:row>
    <x:row r="13" ht="43" customHeight="1">
      <x:c r="A13" s="1632" t="n">
        <x:v>7</x:v>
      </x:c>
      <x:c r="B13" s="1633" t="str">
        <x:v>6동 심사 사전동선</x:v>
      </x:c>
      <x:c r="C13" s="1633" t="str">
        <x:v>29</x:v>
      </x:c>
      <x:c r="D13" s="1633" t="str">
        <x:v>16건 실제 위치·결과·증빙·점검자·일자</x:v>
      </x:c>
      <x:c r="E13" s="1633" t="str">
        <x:v>16건 실증 확인완료</x:v>
      </x:c>
      <x:c r="F13" s="1633" t="str">
        <x:v>생산/생산기술/품질</x:v>
      </x:c>
      <x:c r="G13" s="1639" t="str">
        <x:v>미확인</x:v>
      </x:c>
      <x:c r="H13" s="1639"/>
      <x:c r="I13" s="1639"/>
      <x:c r="J13" s="1639"/>
      <x:c r="K13" s="1639"/>
      <x:c r="L13" s="1634" t="str">
        <x:v>현장 순서/동선은 제안, 실제 배치 확인</x:v>
      </x:c>
    </x:row>
    <x:row r="14" ht="43" customHeight="1">
      <x:c r="A14" s="1635" t="n">
        <x:v>8</x:v>
      </x:c>
      <x:c r="B14" s="1636" t="str">
        <x:v>최종 인터뷰·Gate</x:v>
      </x:c>
      <x:c r="C14" s="1636" t="str">
        <x:v>09 · 27 · 11</x:v>
      </x:c>
      <x:c r="D14" s="1636" t="str">
        <x:v>20문항 인터뷰·CAPA 재검증·READY 최종 검토</x:v>
      </x:c>
      <x:c r="E14" s="1636" t="str">
        <x:v>10개 Gate 및 전체 요구 충족</x:v>
      </x:c>
      <x:c r="F14" s="1636" t="str">
        <x:v>품질책임자</x:v>
      </x:c>
      <x:c r="G14" s="1640" t="str">
        <x:v>미확인</x:v>
      </x:c>
      <x:c r="H14" s="1640"/>
      <x:c r="I14" s="1640"/>
      <x:c r="J14" s="1640"/>
      <x:c r="K14" s="1640"/>
      <x:c r="L14" s="1637" t="str">
        <x:v>READY=사내 준비판정, 한온 공식 합격 아님</x:v>
      </x:c>
    </x:row>
    <x:row r="17">
      <x:c r="A17" s="1719" t="str">
        <x:v>심사 준비 종결 전 관리책임자 확인 (실제 확인자·날짜를 직접 기록)</x:v>
      </x:c>
      <x:c r="B17" s="1720"/>
      <x:c r="C17" s="1720"/>
      <x:c r="D17" s="1720"/>
      <x:c r="E17" s="1720"/>
      <x:c r="F17" s="1720"/>
      <x:c r="G17" s="1720"/>
      <x:c r="H17" s="1720"/>
      <x:c r="I17" s="1720"/>
      <x:c r="J17" s="1720"/>
      <x:c r="K17" s="1720"/>
      <x:c r="L17" s="1721"/>
    </x:row>
    <x:row r="18">
      <x:c r="A18" s="1604" t="str">
        <x:v>확인 순서</x:v>
      </x:c>
      <x:c r="B18" s="1605" t="str">
        <x:v>구분</x:v>
      </x:c>
      <x:c r="C18" s="1605" t="str">
        <x:v>책임</x:v>
      </x:c>
      <x:c r="D18" s="1605" t="str">
        <x:v>대상/확인내용</x:v>
      </x:c>
      <x:c r="E18" s="1605" t="str">
        <x:v>확인 근거</x:v>
      </x:c>
      <x:c r="F18" s="1605" t="str">
        <x:v>부서</x:v>
      </x:c>
      <x:c r="G18" s="1605" t="str">
        <x:v>결과</x:v>
      </x:c>
      <x:c r="H18" s="1605" t="str">
        <x:v>확인자</x:v>
      </x:c>
      <x:c r="I18" s="1605" t="str">
        <x:v>확인일</x:v>
      </x:c>
      <x:c r="J18" s="1605" t="str">
        <x:v>내부 검토·승인</x:v>
      </x:c>
      <x:c r="K18" s="1605" t="str">
        <x:v>미완료사항</x:v>
      </x:c>
      <x:c r="L18" s="1606" t="str">
        <x:v>비고</x:v>
      </x:c>
    </x:row>
    <x:row r="19" ht="44" customHeight="1">
      <x:c r="A19" s="1621" t="n">
        <x:v>1</x:v>
      </x:c>
      <x:c r="B19" s="1622" t="str">
        <x:v>실제 자료 적합성</x:v>
      </x:c>
      <x:c r="C19" s="1622" t="str">
        <x:v>담당 품질</x:v>
      </x:c>
      <x:c r="D19" s="1622" t="str">
        <x:v>원문/코드/도면/현장 실제 기록 검증</x:v>
      </x:c>
      <x:c r="E19" s="1622" t="str">
        <x:v>21·22·23·24·28 검토 결과</x:v>
      </x:c>
      <x:c r="F19" s="1622" t="str">
        <x:v>품질</x:v>
      </x:c>
      <x:c r="G19" s="1722" t="str">
        <x:v>미확인</x:v>
      </x:c>
      <x:c r="H19" s="1722"/>
      <x:c r="I19" s="1722"/>
      <x:c r="J19" s="1722"/>
      <x:c r="K19" s="1722"/>
      <x:c r="L19" s="1623" t="str">
        <x:v>승인 전 점검</x:v>
      </x:c>
    </x:row>
    <x:row r="20" ht="44" customHeight="1">
      <x:c r="A20" s="1624" t="n">
        <x:v>2</x:v>
      </x:c>
      <x:c r="B20" s="1431" t="str">
        <x:v>공정·설비 적합성</x:v>
      </x:c>
      <x:c r="C20" s="1431" t="str">
        <x:v>생산기술 주관</x:v>
      </x:c>
      <x:c r="D20" s="1431" t="str">
        <x:v>승인조건/설비관리·교육 실적</x:v>
      </x:c>
      <x:c r="E20" s="1431" t="str">
        <x:v>22·29 확인 결과</x:v>
      </x:c>
      <x:c r="F20" s="1431" t="str">
        <x:v>생산기술</x:v>
      </x:c>
      <x:c r="G20" s="1723" t="str">
        <x:v>미확인</x:v>
      </x:c>
      <x:c r="H20" s="1723"/>
      <x:c r="I20" s="1723"/>
      <x:c r="J20" s="1723"/>
      <x:c r="K20" s="1723"/>
      <x:c r="L20" s="1625" t="str">
        <x:v>대표 품번 별</x:v>
      </x:c>
    </x:row>
    <x:row r="21" ht="44" customHeight="1">
      <x:c r="A21" s="1624" t="n">
        <x:v>3</x:v>
      </x:c>
      <x:c r="B21" s="1431" t="str">
        <x:v>현장 심사 실행</x:v>
      </x:c>
      <x:c r="C21" s="1431" t="str">
        <x:v>생산/품질 합동</x:v>
      </x:c>
      <x:c r="D21" s="1431" t="str">
        <x:v>모의 인터뷰/LOT/검사/파괴시험 실증</x:v>
      </x:c>
      <x:c r="E21" s="1431" t="str">
        <x:v>09·29·28 시정조치 결과</x:v>
      </x:c>
      <x:c r="F21" s="1431" t="str">
        <x:v>생산·품질</x:v>
      </x:c>
      <x:c r="G21" s="1723" t="str">
        <x:v>미확인</x:v>
      </x:c>
      <x:c r="H21" s="1723"/>
      <x:c r="I21" s="1723"/>
      <x:c r="J21" s="1723"/>
      <x:c r="K21" s="1723"/>
      <x:c r="L21" s="1625" t="str">
        <x:v>미흡 시 재검증</x:v>
      </x:c>
    </x:row>
    <x:row r="22" ht="44" customHeight="1">
      <x:c r="A22" s="1626" t="n">
        <x:v>4</x:v>
      </x:c>
      <x:c r="B22" s="1627" t="str">
        <x:v>최종 내부 판정</x:v>
      </x:c>
      <x:c r="C22" s="1627" t="str">
        <x:v>품질책임자</x:v>
      </x:c>
      <x:c r="D22" s="1627" t="str">
        <x:v>G1~G10 및 객관증빙·CAPA 종결</x:v>
      </x:c>
      <x:c r="E22" s="1627" t="str">
        <x:v>11 READY·27 실증 대시보드</x:v>
      </x:c>
      <x:c r="F22" s="1627" t="str">
        <x:v>품질경영</x:v>
      </x:c>
      <x:c r="G22" s="1724" t="str">
        <x:v>미확인</x:v>
      </x:c>
      <x:c r="H22" s="1724"/>
      <x:c r="I22" s="1724"/>
      <x:c r="J22" s="1724"/>
      <x:c r="K22" s="1724"/>
      <x:c r="L22" s="1628" t="str">
        <x:v>사내 준비판정/고객 합격 판정 아님</x:v>
      </x:c>
    </x:row>
    <x:row r="24">
      <x:c r="A24" s="1593" t="str">
        <x:v>현재 확인 전제: RG3 HEV / FA1A8HRAAC/AD / 6동 점프 튜브 공정 및 FT-ASY-A/C JUMPER / 도면 Rev.01은 사용자 확인값. FA1A8HRAAD 전체 품번 철자, 실제 용접법·설비번호, 한온 공식 최신 SQ 평가표는 사내 검증 전입니다. 원문 배점 1,000점/평가코드행 43개(배점 42개)의 출처 표시를 유지합니다. 229건 관리도의 미정합 숫자와 6-12 코드 중복은 임의 수정하지 않았습니다. 28시트 검증대기 항목은 아직 실증하지 않은 것이며, 확인된 부적합이 아닙니다.</x:v>
      </x:c>
      <x:c r="B24" s="1594"/>
      <x:c r="C24" s="1594"/>
      <x:c r="D24" s="1594"/>
      <x:c r="E24" s="1594"/>
      <x:c r="F24" s="1594"/>
      <x:c r="G24" s="1594"/>
      <x:c r="H24" s="1594"/>
      <x:c r="I24" s="1594"/>
      <x:c r="J24" s="1594"/>
      <x:c r="K24" s="1594"/>
      <x:c r="L24" s="1595"/>
    </x:row>
    <x:row r="25">
      <x:c r="A25" s="1731"/>
      <x:c r="B25" s="1732"/>
      <x:c r="C25" s="1732"/>
      <x:c r="D25" s="1732"/>
      <x:c r="E25" s="1732"/>
      <x:c r="F25" s="1732"/>
      <x:c r="G25" s="1732"/>
      <x:c r="H25" s="1732"/>
      <x:c r="I25" s="1732"/>
      <x:c r="J25" s="1732"/>
      <x:c r="K25" s="1732"/>
      <x:c r="L25" s="1733"/>
    </x:row>
    <x:row r="26">
      <x:c r="A26" s="1731"/>
      <x:c r="B26" s="1732"/>
      <x:c r="C26" s="1732"/>
      <x:c r="D26" s="1732"/>
      <x:c r="E26" s="1732"/>
      <x:c r="F26" s="1732"/>
      <x:c r="G26" s="1732"/>
      <x:c r="H26" s="1732"/>
      <x:c r="I26" s="1732"/>
      <x:c r="J26" s="1732"/>
      <x:c r="K26" s="1732"/>
      <x:c r="L26" s="1733"/>
    </x:row>
    <x:row r="27">
      <x:c r="A27" s="1596"/>
      <x:c r="B27" s="1597"/>
      <x:c r="C27" s="1597"/>
      <x:c r="D27" s="1597"/>
      <x:c r="E27" s="1597"/>
      <x:c r="F27" s="1597"/>
      <x:c r="G27" s="1597"/>
      <x:c r="H27" s="1597"/>
      <x:c r="I27" s="1597"/>
      <x:c r="J27" s="1597"/>
      <x:c r="K27" s="1597"/>
      <x:c r="L27" s="1598"/>
    </x:row>
  </x:sheetData>
  <x:mergeCells>
    <x:mergeCell ref="A1:L2"/>
    <x:mergeCell ref="A3:L4"/>
    <x:mergeCell ref="A17:L17"/>
    <x:mergeCell ref="A24:L27"/>
  </x:mergeCells>
  <x:dataValidations count="2">
    <x:dataValidation type="list" sqref="G7:G14">
      <x:formula1>"미확인,진행중,완료,보완필요"</x:formula1>
    </x:dataValidation>
    <x:dataValidation type="list" sqref="G19:G22">
      <x:formula1>"미확인,적합,부적합"</x:formula1>
    </x:dataValidation>
  </x:dataValidations>
  <x:pageMargins left="0.7" right="0.7" top="0.75" bottom="0.75" header="0.3" footer="0.3"/>
</x:worksheet>
</file>

<file path=xl/worksheets/sheet32.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9" hidden="0" customWidth="1"/>
    <x:col min="2" max="2" width="28" hidden="0" customWidth="1"/>
    <x:col min="3" max="3" width="22" hidden="0" customWidth="1"/>
    <x:col min="4" max="4" width="34" hidden="0" customWidth="1"/>
    <x:col min="5" max="5" width="32" hidden="0" customWidth="1"/>
    <x:col min="6" max="6" width="50" hidden="0" customWidth="1"/>
    <x:col min="7" max="7" width="43" hidden="0" customWidth="1"/>
    <x:col min="8" max="8" width="38" hidden="0" customWidth="1"/>
    <x:col min="9" max="9" width="18" hidden="0" customWidth="1"/>
    <x:col min="10" max="10" width="18" hidden="0" customWidth="1"/>
    <x:col min="11" max="11" width="18" hidden="0" customWidth="1"/>
    <x:col min="12" max="12" width="21" hidden="0" customWidth="1"/>
  </x:cols>
  <x:sheetData>
    <x:row r="1">
      <x:c r="A1" s="1805" t="str">
        <x:v>Rev.07 | RG3 HEV 6동 가공 → 2동 브레이징·기밀검사 공정/LOT 연결</x:v>
      </x:c>
      <x:c r="B1" s="1805"/>
      <x:c r="C1" s="1805"/>
      <x:c r="D1" s="1805"/>
      <x:c r="E1" s="1805"/>
      <x:c r="F1" s="1805"/>
      <x:c r="G1" s="1805"/>
      <x:c r="H1" s="1805"/>
      <x:c r="I1" s="1805"/>
      <x:c r="J1" s="1805"/>
      <x:c r="K1" s="1805"/>
      <x:c r="L1" s="1805"/>
    </x:row>
    <x:row r="2">
      <x:c r="A2" s="1805"/>
      <x:c r="B2" s="1805"/>
      <x:c r="C2" s="1805"/>
      <x:c r="D2" s="1805"/>
      <x:c r="E2" s="1805"/>
      <x:c r="F2" s="1805"/>
      <x:c r="G2" s="1805"/>
      <x:c r="H2" s="1805"/>
      <x:c r="I2" s="1805"/>
      <x:c r="J2" s="1805"/>
      <x:c r="K2" s="1805"/>
      <x:c r="L2" s="1805"/>
    </x:row>
    <x:row r="3">
      <x:c r="A3" s="1819" t="str">
        <x:v>사용자 확인: 6동은 벤딩·포밍·커팅·코킹 자동가공, 2동은 자동2호기 브레이징 후 에어 리크 테스트기로 기밀검사하며, 검사 기록은 설비 전자데이터만 보관합니다. 6동 내부의 순서와 검사장비 고유번호는 아직 사내 실물 검증 전입니다. 품번/LOT 연계를 확인하고 기밀원본 및 데이터 기록은 사내 위치로만 표기하십시오.</x:v>
      </x:c>
      <x:c r="B3" s="1820"/>
      <x:c r="C3" s="1820"/>
      <x:c r="D3" s="1820"/>
      <x:c r="E3" s="1820"/>
      <x:c r="F3" s="1820"/>
      <x:c r="G3" s="1820"/>
      <x:c r="H3" s="1820"/>
      <x:c r="I3" s="1820"/>
      <x:c r="J3" s="1820"/>
      <x:c r="K3" s="1820"/>
      <x:c r="L3" s="1821"/>
    </x:row>
    <x:row r="4">
      <x:c r="A4" s="1822"/>
      <x:c r="B4" s="1823"/>
      <x:c r="C4" s="1823"/>
      <x:c r="D4" s="1823"/>
      <x:c r="E4" s="1823"/>
      <x:c r="F4" s="1823"/>
      <x:c r="G4" s="1823"/>
      <x:c r="H4" s="1823"/>
      <x:c r="I4" s="1823"/>
      <x:c r="J4" s="1823"/>
      <x:c r="K4" s="1823"/>
      <x:c r="L4" s="1824"/>
    </x:row>
    <x:row r="6" ht="34" customHeight="1">
      <x:c r="A6" s="1836" t="str">
        <x:v>No</x:v>
      </x:c>
      <x:c r="B6" s="1837" t="str">
        <x:v>차종·대상품번</x:v>
      </x:c>
      <x:c r="C6" s="1837" t="str">
        <x:v>확인 구역/동</x:v>
      </x:c>
      <x:c r="D6" s="1837" t="str">
        <x:v>공정 항목</x:v>
      </x:c>
      <x:c r="E6" s="1837" t="str">
        <x:v>순서 검증여부</x:v>
      </x:c>
      <x:c r="F6" s="1837" t="str">
        <x:v>LOT/이동 추적 포인트</x:v>
      </x:c>
      <x:c r="G6" s="1837" t="str">
        <x:v>필요 실증자료</x:v>
      </x:c>
      <x:c r="H6" s="1837" t="str">
        <x:v>실제 사내 기록번호/경로</x:v>
      </x:c>
      <x:c r="I6" s="1837" t="str">
        <x:v>현장·자료 대조결과</x:v>
      </x:c>
      <x:c r="J6" s="1837" t="str">
        <x:v>확인자</x:v>
      </x:c>
      <x:c r="K6" s="1837" t="str">
        <x:v>확인일</x:v>
      </x:c>
      <x:c r="L6" s="1838" t="str">
        <x:v>자동 실증판정</x:v>
      </x:c>
    </x:row>
    <x:row r="7" ht="42" customHeight="1">
      <x:c r="A7" s="1855" t="n">
        <x:v>1</x:v>
      </x:c>
      <x:c r="B7" s="1856" t="str">
        <x:v>RG3 HEV / FA1A8HRAAC</x:v>
      </x:c>
      <x:c r="C7" s="1856" t="str">
        <x:v>미확인</x:v>
      </x:c>
      <x:c r="D7" s="1856" t="str">
        <x:v>원자재 입고/초기 LOT</x:v>
      </x:c>
      <x:c r="E7" s="1856" t="str">
        <x:v>전후 연계 사내확인</x:v>
      </x:c>
      <x:c r="F7" s="1856" t="str">
        <x:v>소재/수입검사 원 LOT·품번·수량 식별</x:v>
      </x:c>
      <x:c r="G7" s="1856" t="str">
        <x:v>원자재 현품표·입고검사·입고 LOT</x:v>
      </x:c>
      <x:c r="H7" s="1863"/>
      <x:c r="I7" s="1863" t="str">
        <x:v>미확인</x:v>
      </x:c>
      <x:c r="J7" s="1863"/>
      <x:c r="K7" s="1863"/>
      <x:c r="L7" s="1866" t="str">
        <x:f>IF(AND(H7&lt;&gt;"",I7="일치",J7&lt;&gt;"",K7&lt;&gt;""),"확인완료",IF(I7="불일치","확인부적합","검증대기"))</x:f>
        <x:v>검증대기</x:v>
      </x:c>
    </x:row>
    <x:row r="8" ht="42" customHeight="1">
      <x:c r="A8" s="1858" t="n">
        <x:v>2</x:v>
      </x:c>
      <x:c r="B8" s="1633" t="str">
        <x:v>RG3 HEV / FA1A8HRAAC</x:v>
      </x:c>
      <x:c r="C8" s="1633" t="str">
        <x:v>6동</x:v>
      </x:c>
      <x:c r="D8" s="1633" t="str">
        <x:v>벤딩(자동작업)</x:v>
      </x:c>
      <x:c r="E8" s="1633" t="str">
        <x:v>동 내 상세순서 미확인</x:v>
      </x:c>
      <x:c r="F8" s="1633" t="str">
        <x:v>가공 LOT·품번·설비별 조건·초품검사 연계</x:v>
      </x:c>
      <x:c r="G8" s="1633" t="str">
        <x:v>작업지시/설비기록/검사성적서</x:v>
      </x:c>
      <x:c r="H8" s="1864"/>
      <x:c r="I8" s="1864" t="str">
        <x:v>미확인</x:v>
      </x:c>
      <x:c r="J8" s="1864"/>
      <x:c r="K8" s="1864"/>
      <x:c r="L8" s="1867" t="str">
        <x:f>IF(AND(H8&lt;&gt;"",I8="일치",J8&lt;&gt;"",K8&lt;&gt;""),"확인완료",IF(I8="불일치","확인부적합","검증대기"))</x:f>
        <x:v>검증대기</x:v>
      </x:c>
    </x:row>
    <x:row r="9" ht="42" customHeight="1">
      <x:c r="A9" s="1858" t="n">
        <x:v>3</x:v>
      </x:c>
      <x:c r="B9" s="1633" t="str">
        <x:v>RG3 HEV / FA1A8HRAAC</x:v>
      </x:c>
      <x:c r="C9" s="1633" t="str">
        <x:v>6동</x:v>
      </x:c>
      <x:c r="D9" s="1633" t="str">
        <x:v>포밍(자동작업)</x:v>
      </x:c>
      <x:c r="E9" s="1633" t="str">
        <x:v>동 내 상세순서 미확인</x:v>
      </x:c>
      <x:c r="F9" s="1633" t="str">
        <x:v>벤딩과 전·후 공정 관계·불량식별·LOT 유지</x:v>
      </x:c>
      <x:c r="G9" s="1633" t="str">
        <x:v>공정 Flow/WI/작업실적·검사기록</x:v>
      </x:c>
      <x:c r="H9" s="1864"/>
      <x:c r="I9" s="1864" t="str">
        <x:v>미확인</x:v>
      </x:c>
      <x:c r="J9" s="1864"/>
      <x:c r="K9" s="1864"/>
      <x:c r="L9" s="1867" t="str">
        <x:f>IF(AND(H9&lt;&gt;"",I9="일치",J9&lt;&gt;"",K9&lt;&gt;""),"확인완료",IF(I9="불일치","확인부적합","검증대기"))</x:f>
        <x:v>검증대기</x:v>
      </x:c>
    </x:row>
    <x:row r="10" ht="42" customHeight="1">
      <x:c r="A10" s="1858" t="n">
        <x:v>4</x:v>
      </x:c>
      <x:c r="B10" s="1633" t="str">
        <x:v>RG3 HEV / FA1A8HRAAC</x:v>
      </x:c>
      <x:c r="C10" s="1633" t="str">
        <x:v>6동</x:v>
      </x:c>
      <x:c r="D10" s="1633" t="str">
        <x:v>커팅(자동작업)</x:v>
      </x:c>
      <x:c r="E10" s="1633" t="str">
        <x:v>동 내 상세순서 미확인</x:v>
      </x:c>
      <x:c r="F10" s="1633" t="str">
        <x:v>길이 등 도면·관리계획 특성 확인·LOT</x:v>
      </x:c>
      <x:c r="G10" s="1633" t="str">
        <x:v>커팅 검사기준/측정결과</x:v>
      </x:c>
      <x:c r="H10" s="1864"/>
      <x:c r="I10" s="1864" t="str">
        <x:v>미확인</x:v>
      </x:c>
      <x:c r="J10" s="1864"/>
      <x:c r="K10" s="1864"/>
      <x:c r="L10" s="1867" t="str">
        <x:f>IF(AND(H10&lt;&gt;"",I10="일치",J10&lt;&gt;"",K10&lt;&gt;""),"확인완료",IF(I10="불일치","확인부적합","검증대기"))</x:f>
        <x:v>검증대기</x:v>
      </x:c>
    </x:row>
    <x:row r="11" ht="42" customHeight="1">
      <x:c r="A11" s="1858" t="n">
        <x:v>5</x:v>
      </x:c>
      <x:c r="B11" s="1633" t="str">
        <x:v>RG3 HEV / FA1A8HRAAC</x:v>
      </x:c>
      <x:c r="C11" s="1633" t="str">
        <x:v>6동</x:v>
      </x:c>
      <x:c r="D11" s="1633" t="str">
        <x:v>코킹(자동작업)</x:v>
      </x:c>
      <x:c r="E11" s="1633" t="str">
        <x:v>동 내 상세순서 미확인</x:v>
      </x:c>
      <x:c r="F11" s="1633" t="str">
        <x:v>코킹 조건·제품 품번·추적성 확인</x:v>
      </x:c>
      <x:c r="G11" s="1633" t="str">
        <x:v>코킹 작업표준/검사기록</x:v>
      </x:c>
      <x:c r="H11" s="1864"/>
      <x:c r="I11" s="1864" t="str">
        <x:v>미확인</x:v>
      </x:c>
      <x:c r="J11" s="1864"/>
      <x:c r="K11" s="1864"/>
      <x:c r="L11" s="1867" t="str">
        <x:f>IF(AND(H11&lt;&gt;"",I11="일치",J11&lt;&gt;"",K11&lt;&gt;""),"확인완료",IF(I11="불일치","확인부적합","검증대기"))</x:f>
        <x:v>검증대기</x:v>
      </x:c>
    </x:row>
    <x:row r="12" ht="42" customHeight="1">
      <x:c r="A12" s="1858" t="n">
        <x:v>6</x:v>
      </x:c>
      <x:c r="B12" s="1633" t="str">
        <x:v>RG3 HEV / FA1A8HRAAC</x:v>
      </x:c>
      <x:c r="C12" s="1633" t="str">
        <x:v>6동→2동</x:v>
      </x:c>
      <x:c r="D12" s="1633" t="str">
        <x:v>동간 이송·인수인계</x:v>
      </x:c>
      <x:c r="E12" s="1633" t="str">
        <x:v>동간 이동 존재 확인</x:v>
      </x:c>
      <x:c r="F12" s="1633" t="str">
        <x:v>6동 가공 LOT·용기식별·이송/인수수량·손상·격리 이력</x:v>
      </x:c>
      <x:c r="G12" s="1633" t="str">
        <x:v>동간 인계표·바코드/라벨·입고확인</x:v>
      </x:c>
      <x:c r="H12" s="1864"/>
      <x:c r="I12" s="1864" t="str">
        <x:v>미확인</x:v>
      </x:c>
      <x:c r="J12" s="1864"/>
      <x:c r="K12" s="1864"/>
      <x:c r="L12" s="1867" t="str">
        <x:f>IF(AND(H12&lt;&gt;"",I12="일치",J12&lt;&gt;"",K12&lt;&gt;""),"확인완료",IF(I12="불일치","확인부적합","검증대기"))</x:f>
        <x:v>검증대기</x:v>
      </x:c>
    </x:row>
    <x:row r="13" ht="42" customHeight="1">
      <x:c r="A13" s="1858" t="n">
        <x:v>7</x:v>
      </x:c>
      <x:c r="B13" s="1633" t="str">
        <x:v>RG3 HEV / FA1A8HRAAC</x:v>
      </x:c>
      <x:c r="C13" s="1633" t="str">
        <x:v>2동</x:v>
      </x:c>
      <x:c r="D13" s="1633" t="str">
        <x:v>자동 브레이징 용접(자동2호기)</x:v>
      </x:c>
      <x:c r="E13" s="1633" t="str">
        <x:v>동별 작업 구분 사용자 확인</x:v>
      </x:c>
      <x:c r="F13" s="1633" t="str">
        <x:v>투입 LOT와 용접 LOT·설비명·승인조건·작업이력 연결</x:v>
      </x:c>
      <x:c r="G13" s="1633" t="str">
        <x:v>자동2호기 설비대장·조건표·가동기록</x:v>
      </x:c>
      <x:c r="H13" s="1864"/>
      <x:c r="I13" s="1864" t="str">
        <x:v>미확인</x:v>
      </x:c>
      <x:c r="J13" s="1864"/>
      <x:c r="K13" s="1864"/>
      <x:c r="L13" s="1867" t="str">
        <x:f>IF(AND(H13&lt;&gt;"",I13="일치",J13&lt;&gt;"",K13&lt;&gt;""),"확인완료",IF(I13="불일치","확인부적합","검증대기"))</x:f>
        <x:v>검증대기</x:v>
      </x:c>
    </x:row>
    <x:row r="14" ht="42" customHeight="1">
      <x:c r="A14" s="1858" t="n">
        <x:v>8</x:v>
      </x:c>
      <x:c r="B14" s="1633" t="str">
        <x:v>RG3 HEV / FA1A8HRAAC</x:v>
      </x:c>
      <x:c r="C14" s="1633" t="str">
        <x:v>2동</x:v>
      </x:c>
      <x:c r="D14" s="1633" t="str">
        <x:v>기밀검사(누설시험)</x:v>
      </x:c>
      <x:c r="E14" s="1633" t="str">
        <x:v>용접 후 실시 사용자 확인</x:v>
      </x:c>
      <x:c r="F14" s="1633" t="str">
        <x:v>브레이징 LOT와 검사 LOT, 결과/불량 수량 일치</x:v>
      </x:c>
      <x:c r="G14" s="1633" t="str">
        <x:v>에어 리크 테스트기 전자 원본로그·검사기 ID·LOT 또는 검사 이벤트 연결 / 원본 경로</x:v>
      </x:c>
      <x:c r="H14" s="1864"/>
      <x:c r="I14" s="1864" t="str">
        <x:v>미확인</x:v>
      </x:c>
      <x:c r="J14" s="1864"/>
      <x:c r="K14" s="1864"/>
      <x:c r="L14" s="1867" t="str">
        <x:f>IF(AND(H14&lt;&gt;"",I14="일치",J14&lt;&gt;"",K14&lt;&gt;""),"확인완료",IF(I14="불일치","확인부적합","검증대기"))</x:f>
        <x:v>검증대기</x:v>
      </x:c>
    </x:row>
    <x:row r="15" ht="42" customHeight="1">
      <x:c r="A15" s="1858" t="n">
        <x:v>9</x:v>
      </x:c>
      <x:c r="B15" s="1633" t="str">
        <x:v>RG3 HEV / FA1A8HRAAC</x:v>
      </x:c>
      <x:c r="C15" s="1633" t="str">
        <x:v>위치 미확인</x:v>
      </x:c>
      <x:c r="D15" s="1633" t="str">
        <x:v>최종검사·포장·출하</x:v>
      </x:c>
      <x:c r="E15" s="1633" t="str">
        <x:v>최종 처리위치 미확인</x:v>
      </x:c>
      <x:c r="F15" s="1633" t="str">
        <x:v>합격 LOT/출하 LOT·포장식별·수량대사</x:v>
      </x:c>
      <x:c r="G15" s="1633" t="str">
        <x:v>최종검사성적서/출하 LOT/라벨</x:v>
      </x:c>
      <x:c r="H15" s="1864"/>
      <x:c r="I15" s="1864" t="str">
        <x:v>미확인</x:v>
      </x:c>
      <x:c r="J15" s="1864"/>
      <x:c r="K15" s="1864"/>
      <x:c r="L15" s="1867" t="str">
        <x:f>IF(AND(H15&lt;&gt;"",I15="일치",J15&lt;&gt;"",K15&lt;&gt;""),"확인완료",IF(I15="불일치","확인부적합","검증대기"))</x:f>
        <x:v>검증대기</x:v>
      </x:c>
    </x:row>
    <x:row r="16" ht="42" customHeight="1">
      <x:c r="A16" s="1858" t="n">
        <x:v>10</x:v>
      </x:c>
      <x:c r="B16" s="1633" t="str">
        <x:v>RG3 HEV / FA1A8HRAAD</x:v>
      </x:c>
      <x:c r="C16" s="1633" t="str">
        <x:v>미확인</x:v>
      </x:c>
      <x:c r="D16" s="1633" t="str">
        <x:v>원자재 입고/초기 LOT</x:v>
      </x:c>
      <x:c r="E16" s="1633" t="str">
        <x:v>전후 연계 사내확인</x:v>
      </x:c>
      <x:c r="F16" s="1633" t="str">
        <x:v>소재/수입검사 원 LOT·품번·수량 식별</x:v>
      </x:c>
      <x:c r="G16" s="1633" t="str">
        <x:v>원자재 현품표·입고검사·입고 LOT</x:v>
      </x:c>
      <x:c r="H16" s="1864"/>
      <x:c r="I16" s="1864" t="str">
        <x:v>미확인</x:v>
      </x:c>
      <x:c r="J16" s="1864"/>
      <x:c r="K16" s="1864"/>
      <x:c r="L16" s="1867" t="str">
        <x:f>IF(AND(H16&lt;&gt;"",I16="일치",J16&lt;&gt;"",K16&lt;&gt;""),"확인완료",IF(I16="불일치","확인부적합","검증대기"))</x:f>
        <x:v>검증대기</x:v>
      </x:c>
    </x:row>
    <x:row r="17" ht="42" customHeight="1">
      <x:c r="A17" s="1858" t="n">
        <x:v>11</x:v>
      </x:c>
      <x:c r="B17" s="1633" t="str">
        <x:v>RG3 HEV / FA1A8HRAAD</x:v>
      </x:c>
      <x:c r="C17" s="1633" t="str">
        <x:v>6동</x:v>
      </x:c>
      <x:c r="D17" s="1633" t="str">
        <x:v>벤딩(자동작업)</x:v>
      </x:c>
      <x:c r="E17" s="1633" t="str">
        <x:v>동 내 상세순서 미확인</x:v>
      </x:c>
      <x:c r="F17" s="1633" t="str">
        <x:v>가공 LOT·품번·설비별 조건·초품검사 연계</x:v>
      </x:c>
      <x:c r="G17" s="1633" t="str">
        <x:v>작업지시/설비기록/검사성적서</x:v>
      </x:c>
      <x:c r="H17" s="1864"/>
      <x:c r="I17" s="1864" t="str">
        <x:v>미확인</x:v>
      </x:c>
      <x:c r="J17" s="1864"/>
      <x:c r="K17" s="1864"/>
      <x:c r="L17" s="1867" t="str">
        <x:f>IF(AND(H17&lt;&gt;"",I17="일치",J17&lt;&gt;"",K17&lt;&gt;""),"확인완료",IF(I17="불일치","확인부적합","검증대기"))</x:f>
        <x:v>검증대기</x:v>
      </x:c>
    </x:row>
    <x:row r="18" ht="42" customHeight="1">
      <x:c r="A18" s="1858" t="n">
        <x:v>12</x:v>
      </x:c>
      <x:c r="B18" s="1633" t="str">
        <x:v>RG3 HEV / FA1A8HRAAD</x:v>
      </x:c>
      <x:c r="C18" s="1633" t="str">
        <x:v>6동</x:v>
      </x:c>
      <x:c r="D18" s="1633" t="str">
        <x:v>포밍(자동작업)</x:v>
      </x:c>
      <x:c r="E18" s="1633" t="str">
        <x:v>동 내 상세순서 미확인</x:v>
      </x:c>
      <x:c r="F18" s="1633" t="str">
        <x:v>벤딩과 전·후 공정 관계·불량식별·LOT 유지</x:v>
      </x:c>
      <x:c r="G18" s="1633" t="str">
        <x:v>공정 Flow/WI/작업실적·검사기록</x:v>
      </x:c>
      <x:c r="H18" s="1864"/>
      <x:c r="I18" s="1864" t="str">
        <x:v>미확인</x:v>
      </x:c>
      <x:c r="J18" s="1864"/>
      <x:c r="K18" s="1864"/>
      <x:c r="L18" s="1867" t="str">
        <x:f>IF(AND(H18&lt;&gt;"",I18="일치",J18&lt;&gt;"",K18&lt;&gt;""),"확인완료",IF(I18="불일치","확인부적합","검증대기"))</x:f>
        <x:v>검증대기</x:v>
      </x:c>
    </x:row>
    <x:row r="19" ht="42" customHeight="1">
      <x:c r="A19" s="1858" t="n">
        <x:v>13</x:v>
      </x:c>
      <x:c r="B19" s="1633" t="str">
        <x:v>RG3 HEV / FA1A8HRAAD</x:v>
      </x:c>
      <x:c r="C19" s="1633" t="str">
        <x:v>6동</x:v>
      </x:c>
      <x:c r="D19" s="1633" t="str">
        <x:v>커팅(자동작업)</x:v>
      </x:c>
      <x:c r="E19" s="1633" t="str">
        <x:v>동 내 상세순서 미확인</x:v>
      </x:c>
      <x:c r="F19" s="1633" t="str">
        <x:v>길이 등 도면·관리계획 특성 확인·LOT</x:v>
      </x:c>
      <x:c r="G19" s="1633" t="str">
        <x:v>커팅 검사기준/측정결과</x:v>
      </x:c>
      <x:c r="H19" s="1864"/>
      <x:c r="I19" s="1864" t="str">
        <x:v>미확인</x:v>
      </x:c>
      <x:c r="J19" s="1864"/>
      <x:c r="K19" s="1864"/>
      <x:c r="L19" s="1867" t="str">
        <x:f>IF(AND(H19&lt;&gt;"",I19="일치",J19&lt;&gt;"",K19&lt;&gt;""),"확인완료",IF(I19="불일치","확인부적합","검증대기"))</x:f>
        <x:v>검증대기</x:v>
      </x:c>
    </x:row>
    <x:row r="20" ht="42" customHeight="1">
      <x:c r="A20" s="1858" t="n">
        <x:v>14</x:v>
      </x:c>
      <x:c r="B20" s="1633" t="str">
        <x:v>RG3 HEV / FA1A8HRAAD</x:v>
      </x:c>
      <x:c r="C20" s="1633" t="str">
        <x:v>6동</x:v>
      </x:c>
      <x:c r="D20" s="1633" t="str">
        <x:v>코킹(자동작업)</x:v>
      </x:c>
      <x:c r="E20" s="1633" t="str">
        <x:v>동 내 상세순서 미확인</x:v>
      </x:c>
      <x:c r="F20" s="1633" t="str">
        <x:v>코킹 조건·제품 품번·추적성 확인</x:v>
      </x:c>
      <x:c r="G20" s="1633" t="str">
        <x:v>코킹 작업표준/검사기록</x:v>
      </x:c>
      <x:c r="H20" s="1864"/>
      <x:c r="I20" s="1864" t="str">
        <x:v>미확인</x:v>
      </x:c>
      <x:c r="J20" s="1864"/>
      <x:c r="K20" s="1864"/>
      <x:c r="L20" s="1867" t="str">
        <x:f>IF(AND(H20&lt;&gt;"",I20="일치",J20&lt;&gt;"",K20&lt;&gt;""),"확인완료",IF(I20="불일치","확인부적합","검증대기"))</x:f>
        <x:v>검증대기</x:v>
      </x:c>
    </x:row>
    <x:row r="21" ht="42" customHeight="1">
      <x:c r="A21" s="1858" t="n">
        <x:v>15</x:v>
      </x:c>
      <x:c r="B21" s="1633" t="str">
        <x:v>RG3 HEV / FA1A8HRAAD</x:v>
      </x:c>
      <x:c r="C21" s="1633" t="str">
        <x:v>6동→2동</x:v>
      </x:c>
      <x:c r="D21" s="1633" t="str">
        <x:v>동간 이송·인수인계</x:v>
      </x:c>
      <x:c r="E21" s="1633" t="str">
        <x:v>동간 이동 존재 확인</x:v>
      </x:c>
      <x:c r="F21" s="1633" t="str">
        <x:v>6동 가공 LOT·용기식별·이송/인수수량·손상·격리 이력</x:v>
      </x:c>
      <x:c r="G21" s="1633" t="str">
        <x:v>동간 인계표·바코드/라벨·입고확인</x:v>
      </x:c>
      <x:c r="H21" s="1864"/>
      <x:c r="I21" s="1864" t="str">
        <x:v>미확인</x:v>
      </x:c>
      <x:c r="J21" s="1864"/>
      <x:c r="K21" s="1864"/>
      <x:c r="L21" s="1867" t="str">
        <x:f>IF(AND(H21&lt;&gt;"",I21="일치",J21&lt;&gt;"",K21&lt;&gt;""),"확인완료",IF(I21="불일치","확인부적합","검증대기"))</x:f>
        <x:v>검증대기</x:v>
      </x:c>
    </x:row>
    <x:row r="22" ht="42" customHeight="1">
      <x:c r="A22" s="1858" t="n">
        <x:v>16</x:v>
      </x:c>
      <x:c r="B22" s="1633" t="str">
        <x:v>RG3 HEV / FA1A8HRAAD</x:v>
      </x:c>
      <x:c r="C22" s="1633" t="str">
        <x:v>2동</x:v>
      </x:c>
      <x:c r="D22" s="1633" t="str">
        <x:v>자동 브레이징 용접(자동2호기)</x:v>
      </x:c>
      <x:c r="E22" s="1633" t="str">
        <x:v>동별 작업 구분 사용자 확인</x:v>
      </x:c>
      <x:c r="F22" s="1633" t="str">
        <x:v>투입 LOT와 용접 LOT·설비명·승인조건·작업이력 연결</x:v>
      </x:c>
      <x:c r="G22" s="1633" t="str">
        <x:v>자동2호기 설비대장·조건표·가동기록</x:v>
      </x:c>
      <x:c r="H22" s="1864"/>
      <x:c r="I22" s="1864" t="str">
        <x:v>미확인</x:v>
      </x:c>
      <x:c r="J22" s="1864"/>
      <x:c r="K22" s="1864"/>
      <x:c r="L22" s="1867" t="str">
        <x:f>IF(AND(H22&lt;&gt;"",I22="일치",J22&lt;&gt;"",K22&lt;&gt;""),"확인완료",IF(I22="불일치","확인부적합","검증대기"))</x:f>
        <x:v>검증대기</x:v>
      </x:c>
    </x:row>
    <x:row r="23" ht="42" customHeight="1">
      <x:c r="A23" s="1858" t="n">
        <x:v>17</x:v>
      </x:c>
      <x:c r="B23" s="1633" t="str">
        <x:v>RG3 HEV / FA1A8HRAAD</x:v>
      </x:c>
      <x:c r="C23" s="1633" t="str">
        <x:v>2동</x:v>
      </x:c>
      <x:c r="D23" s="1633" t="str">
        <x:v>기밀검사(누설시험)</x:v>
      </x:c>
      <x:c r="E23" s="1633" t="str">
        <x:v>용접 후 실시 사용자 확인</x:v>
      </x:c>
      <x:c r="F23" s="1633" t="str">
        <x:v>브레이징 LOT와 검사 LOT, 결과/불량 수량 일치</x:v>
      </x:c>
      <x:c r="G23" s="1633" t="str">
        <x:v>에어 리크 테스트기 전자 원본로그·검사기 ID·LOT 또는 검사 이벤트 연결 / 원본 경로</x:v>
      </x:c>
      <x:c r="H23" s="1864"/>
      <x:c r="I23" s="1864" t="str">
        <x:v>미확인</x:v>
      </x:c>
      <x:c r="J23" s="1864"/>
      <x:c r="K23" s="1864"/>
      <x:c r="L23" s="1867" t="str">
        <x:f>IF(AND(H23&lt;&gt;"",I23="일치",J23&lt;&gt;"",K23&lt;&gt;""),"확인완료",IF(I23="불일치","확인부적합","검증대기"))</x:f>
        <x:v>검증대기</x:v>
      </x:c>
    </x:row>
    <x:row r="24" ht="42" customHeight="1">
      <x:c r="A24" s="1860" t="n">
        <x:v>18</x:v>
      </x:c>
      <x:c r="B24" s="1861" t="str">
        <x:v>RG3 HEV / FA1A8HRAAD</x:v>
      </x:c>
      <x:c r="C24" s="1861" t="str">
        <x:v>위치 미확인</x:v>
      </x:c>
      <x:c r="D24" s="1861" t="str">
        <x:v>최종검사·포장·출하</x:v>
      </x:c>
      <x:c r="E24" s="1861" t="str">
        <x:v>최종 처리위치 미확인</x:v>
      </x:c>
      <x:c r="F24" s="1861" t="str">
        <x:v>합격 LOT/출하 LOT·포장식별·수량대사</x:v>
      </x:c>
      <x:c r="G24" s="1861" t="str">
        <x:v>최종검사성적서/출하 LOT/라벨</x:v>
      </x:c>
      <x:c r="H24" s="1865"/>
      <x:c r="I24" s="1865" t="str">
        <x:v>미확인</x:v>
      </x:c>
      <x:c r="J24" s="1865"/>
      <x:c r="K24" s="1865"/>
      <x:c r="L24" s="1868" t="str">
        <x:f>IF(AND(H24&lt;&gt;"",I24="일치",J24&lt;&gt;"",K24&lt;&gt;""),"확인완료",IF(I24="불일치","확인부적합","검증대기"))</x:f>
        <x:v>검증대기</x:v>
      </x:c>
    </x:row>
  </x:sheetData>
  <x:mergeCells>
    <x:mergeCell ref="A1:L2"/>
    <x:mergeCell ref="A3:L4"/>
  </x:mergeCells>
  <x:conditionalFormatting sqref="L7:L24">
    <x:cfRule type="expression" dxfId="60" priority="1">
      <x:formula>L7="확인완료"</x:formula>
    </x:cfRule>
    <x:cfRule type="expression" dxfId="61" priority="2">
      <x:formula>L7="확인부적합"</x:formula>
    </x:cfRule>
  </x:conditionalFormatting>
  <x:dataValidations count="1">
    <x:dataValidation type="list" sqref="I7:I24">
      <x:formula1>"미확인,일치,불일치"</x:formula1>
    </x:dataValidation>
  </x:dataValidations>
  <x:pageMargins left="0.7" right="0.7" top="0.75" bottom="0.75" header="0.3" footer="0.3"/>
</x:worksheet>
</file>

<file path=xl/worksheets/sheet33.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hidden="0" customWidth="1"/>
    <x:col min="2" max="2" width="20" hidden="0" customWidth="1"/>
    <x:col min="3" max="3" width="29" hidden="0" customWidth="1"/>
    <x:col min="4" max="4" width="50" hidden="0" customWidth="1"/>
    <x:col min="5" max="5" width="42" hidden="0" customWidth="1"/>
    <x:col min="6" max="6" width="37" hidden="0" customWidth="1"/>
    <x:col min="7" max="7" width="40" hidden="0" customWidth="1"/>
    <x:col min="8" max="8" width="18" hidden="0" customWidth="1"/>
    <x:col min="9" max="9" width="17" hidden="0" customWidth="1"/>
    <x:col min="10" max="10" width="17" hidden="0" customWidth="1"/>
    <x:col min="11" max="11" width="20" hidden="0" customWidth="1"/>
    <x:col min="12" max="12" width="35" hidden="0" customWidth="1"/>
  </x:cols>
  <x:sheetData>
    <x:row r="1">
      <x:c r="A1" s="1805" t="str">
        <x:v>Rev.09 | 2동 에어 리크 테스트기 전자 검사데이터 실증 점검</x:v>
      </x:c>
      <x:c r="B1" s="1805"/>
      <x:c r="C1" s="1805"/>
      <x:c r="D1" s="1805"/>
      <x:c r="E1" s="1805"/>
      <x:c r="F1" s="1805"/>
      <x:c r="G1" s="1805"/>
      <x:c r="H1" s="1805"/>
      <x:c r="I1" s="1805"/>
      <x:c r="J1" s="1805"/>
      <x:c r="K1" s="1805"/>
      <x:c r="L1" s="1805"/>
    </x:row>
    <x:row r="2">
      <x:c r="A2" s="1805"/>
      <x:c r="B2" s="1805"/>
      <x:c r="C2" s="1805"/>
      <x:c r="D2" s="1805"/>
      <x:c r="E2" s="1805"/>
      <x:c r="F2" s="1805"/>
      <x:c r="G2" s="1805"/>
      <x:c r="H2" s="1805"/>
      <x:c r="I2" s="1805"/>
      <x:c r="J2" s="1805"/>
      <x:c r="K2" s="1805"/>
      <x:c r="L2" s="1805"/>
    </x:row>
    <x:row r="3">
      <x:c r="A3" s="1819" t="str">
        <x:v>사용자 확인: 2동은 에어 리크 테스트기로 기밀검사하며, 검사기록은 설비 전자데이터만 보관합니다(별도 종이 검사성적서 없음). 시험압력·유지/측정시간·누설한도·검사장비 관리번호는 승인 검사기준·설비 원본로그로 사내 확인해야 합니다. 실제 검사기록은 품번·LOT 또는 제품/검사이벤트 식별, 검사일시, 조건/측정결과, 합격/불합격, 장비 정보와 추적 가능해야 합니다. 현재 '운영방식 확인'과 '원데이터 확인 완료'는 별도이며, 실제 로그 미확인 항목은 검증대기입니다.</x:v>
      </x:c>
      <x:c r="B3" s="1820"/>
      <x:c r="C3" s="1820"/>
      <x:c r="D3" s="1820"/>
      <x:c r="E3" s="1820"/>
      <x:c r="F3" s="1820"/>
      <x:c r="G3" s="1820"/>
      <x:c r="H3" s="1820"/>
      <x:c r="I3" s="1820"/>
      <x:c r="J3" s="1820"/>
      <x:c r="K3" s="1820"/>
      <x:c r="L3" s="1821"/>
    </x:row>
    <x:row r="4">
      <x:c r="A4" s="1822"/>
      <x:c r="B4" s="1823"/>
      <x:c r="C4" s="1823"/>
      <x:c r="D4" s="1823"/>
      <x:c r="E4" s="1823"/>
      <x:c r="F4" s="1823"/>
      <x:c r="G4" s="1823"/>
      <x:c r="H4" s="1823"/>
      <x:c r="I4" s="1823"/>
      <x:c r="J4" s="1823"/>
      <x:c r="K4" s="1823"/>
      <x:c r="L4" s="1824"/>
    </x:row>
    <x:row r="6" ht="34" customHeight="1">
      <x:c r="A6" s="1836" t="str">
        <x:v>No</x:v>
      </x:c>
      <x:c r="B6" s="1837" t="str">
        <x:v>대표 품번</x:v>
      </x:c>
      <x:c r="C6" s="1837" t="str">
        <x:v>평가·관리 항목</x:v>
      </x:c>
      <x:c r="D6" s="1837" t="str">
        <x:v>사내 대조할 기준/기록</x:v>
      </x:c>
      <x:c r="E6" s="1837" t="str">
        <x:v>요청 서류·현장자료</x:v>
      </x:c>
      <x:c r="F6" s="1837" t="str">
        <x:v>실제 관리값/검사실적(입력)</x:v>
      </x:c>
      <x:c r="G6" s="1837" t="str">
        <x:v>증빙번호/사내 보관위치(입력)</x:v>
      </x:c>
      <x:c r="H6" s="1837" t="str">
        <x:v>사내 실증판정(입력)</x:v>
      </x:c>
      <x:c r="I6" s="1837" t="str">
        <x:v>확인자(입력)</x:v>
      </x:c>
      <x:c r="J6" s="1837" t="str">
        <x:v>확인일(입력)</x:v>
      </x:c>
      <x:c r="K6" s="1837" t="str">
        <x:v>전자 원본검증 자동상태</x:v>
      </x:c>
      <x:c r="L6" s="1838" t="str">
        <x:v>추가조치</x:v>
      </x:c>
    </x:row>
    <x:row r="7" ht="45" customHeight="1">
      <x:c r="A7" s="1855" t="n">
        <x:v>1</x:v>
      </x:c>
      <x:c r="B7" s="1856" t="str">
        <x:v>FA1A8HRAAC</x:v>
      </x:c>
      <x:c r="C7" s="1856" t="str">
        <x:v>검사기준 최신성</x:v>
      </x:c>
      <x:c r="D7" s="1856" t="str">
        <x:v>해당 품번 승인 검사규격/검사기준 Rev 확인</x:v>
      </x:c>
      <x:c r="E7" s="1856" t="str">
        <x:v>승인 기밀검사기준서·도면 사내대조 기록 / 검사 프로그램 최신 Rev.</x:v>
      </x:c>
      <x:c r="F7" s="2023"/>
      <x:c r="G7" s="2023"/>
      <x:c r="H7" s="2023" t="str">
        <x:v>미확인</x:v>
      </x:c>
      <x:c r="I7" s="2023"/>
      <x:c r="J7" s="2023"/>
      <x:c r="K7" s="1872" t="str">
        <x:f>IF(AND(F7&lt;&gt;"",G7&lt;&gt;"",H7="일치",I7&lt;&gt;"",J7&lt;&gt;""),"검증완료",IF(H7="불일치","확인부적합","검증대기"))</x:f>
        <x:v>검증대기</x:v>
      </x:c>
      <x:c r="L7" s="1869"/>
    </x:row>
    <x:row r="8" ht="45" customHeight="1">
      <x:c r="A8" s="1858" t="n">
        <x:v>2</x:v>
      </x:c>
      <x:c r="B8" s="1633" t="str">
        <x:v>FA1A8HRAAC</x:v>
      </x:c>
      <x:c r="C8" s="1633" t="str">
        <x:v>기밀검사 설비 식별</x:v>
      </x:c>
      <x:c r="D8" s="1633" t="str">
        <x:v>기밀시험기 실제 ID·장비 모델·프로그램 적용성</x:v>
      </x:c>
      <x:c r="E8" s="1633" t="str">
        <x:v>설비대장·검사설비 명판/설정기록</x:v>
      </x:c>
      <x:c r="F8" s="2024"/>
      <x:c r="G8" s="2024"/>
      <x:c r="H8" s="2024" t="str">
        <x:v>미확인</x:v>
      </x:c>
      <x:c r="I8" s="2024"/>
      <x:c r="J8" s="2024"/>
      <x:c r="K8" s="1873" t="str">
        <x:f>IF(AND(F8&lt;&gt;"",G8&lt;&gt;"",H8="일치",I8&lt;&gt;"",J8&lt;&gt;""),"검증완료",IF(H8="불일치","확인부적합","검증대기"))</x:f>
        <x:v>검증대기</x:v>
      </x:c>
      <x:c r="L8" s="1870"/>
    </x:row>
    <x:row r="9" ht="45" customHeight="1">
      <x:c r="A9" s="1858" t="n">
        <x:v>3</x:v>
      </x:c>
      <x:c r="B9" s="1633" t="str">
        <x:v>FA1A8HRAAC</x:v>
      </x:c>
      <x:c r="C9" s="1633" t="str">
        <x:v>시험압력·가압조건</x:v>
      </x:c>
      <x:c r="D9" s="1633" t="str">
        <x:v>승인 기준의 실제 압력·공차 및 검사 시 설정값 비교</x:v>
      </x:c>
      <x:c r="E9" s="1633" t="str">
        <x:v>승인 시험조건·에어 리크 테스터 설정값 / 원본 전자검사 로그</x:v>
      </x:c>
      <x:c r="F9" s="2024"/>
      <x:c r="G9" s="2024"/>
      <x:c r="H9" s="2024" t="str">
        <x:v>미확인</x:v>
      </x:c>
      <x:c r="I9" s="2024"/>
      <x:c r="J9" s="2024"/>
      <x:c r="K9" s="1873" t="str">
        <x:f>IF(AND(F9&lt;&gt;"",G9&lt;&gt;"",H9="일치",I9&lt;&gt;"",J9&lt;&gt;""),"검증완료",IF(H9="불일치","확인부적합","검증대기"))</x:f>
        <x:v>검증대기</x:v>
      </x:c>
      <x:c r="L9" s="1870"/>
    </x:row>
    <x:row r="10" ht="45" customHeight="1">
      <x:c r="A10" s="1858" t="n">
        <x:v>4</x:v>
      </x:c>
      <x:c r="B10" s="1633" t="str">
        <x:v>FA1A8HRAAC</x:v>
      </x:c>
      <x:c r="C10" s="1633" t="str">
        <x:v>측정 시간·유지조건</x:v>
      </x:c>
      <x:c r="D10" s="1633" t="str">
        <x:v>승인 기준의 측정/유지 시간 및 현장 값 비교</x:v>
      </x:c>
      <x:c r="E10" s="1633" t="str">
        <x:v>승인 검사시간/유지조건·테스터 전자 원본로그</x:v>
      </x:c>
      <x:c r="F10" s="2024"/>
      <x:c r="G10" s="2024"/>
      <x:c r="H10" s="2024" t="str">
        <x:v>미확인</x:v>
      </x:c>
      <x:c r="I10" s="2024"/>
      <x:c r="J10" s="2024"/>
      <x:c r="K10" s="1873" t="str">
        <x:f>IF(AND(F10&lt;&gt;"",G10&lt;&gt;"",H10="일치",I10&lt;&gt;"",J10&lt;&gt;""),"검증완료",IF(H10="불일치","확인부적합","검증대기"))</x:f>
        <x:v>검증대기</x:v>
      </x:c>
      <x:c r="L10" s="1870"/>
    </x:row>
    <x:row r="11" ht="45" customHeight="1">
      <x:c r="A11" s="1858" t="n">
        <x:v>5</x:v>
      </x:c>
      <x:c r="B11" s="1633" t="str">
        <x:v>FA1A8HRAAC</x:v>
      </x:c>
      <x:c r="C11" s="1633" t="str">
        <x:v>허용 누설량·합격판정</x:v>
      </x:c>
      <x:c r="D11" s="1633" t="str">
        <x:v>허용 누설량/판정 기준·실측·양품/불량 판정 일치</x:v>
      </x:c>
      <x:c r="E11" s="1633" t="str">
        <x:v>에어 리크 테스트기 원본 전자데이터(측정값·단위·판정) / 승인 검사기준</x:v>
      </x:c>
      <x:c r="F11" s="2024"/>
      <x:c r="G11" s="2024"/>
      <x:c r="H11" s="2024" t="str">
        <x:v>미확인</x:v>
      </x:c>
      <x:c r="I11" s="2024"/>
      <x:c r="J11" s="2024"/>
      <x:c r="K11" s="1873" t="str">
        <x:f>IF(AND(F11&lt;&gt;"",G11&lt;&gt;"",H11="일치",I11&lt;&gt;"",J11&lt;&gt;""),"검증완료",IF(H11="불일치","확인부적합","검증대기"))</x:f>
        <x:v>검증대기</x:v>
      </x:c>
      <x:c r="L11" s="1870"/>
    </x:row>
    <x:row r="12" ht="45" customHeight="1">
      <x:c r="A12" s="1858" t="n">
        <x:v>6</x:v>
      </x:c>
      <x:c r="B12" s="1633" t="str">
        <x:v>FA1A8HRAAC</x:v>
      </x:c>
      <x:c r="C12" s="1633" t="str">
        <x:v>실제 생산 LOT 연결</x:v>
      </x:c>
      <x:c r="D12" s="1633" t="str">
        <x:v>6동 가공/이송 LOT, 2동 브레이징 LOT, 기밀검사 LOT 연결</x:v>
      </x:c>
      <x:c r="E12" s="1633" t="str">
        <x:v>6동→2동 동간 이송·브레이징 LOT + 에어 리크 테스터 검사데이터 검색 결과</x:v>
      </x:c>
      <x:c r="F12" s="2024"/>
      <x:c r="G12" s="2024"/>
      <x:c r="H12" s="2024" t="str">
        <x:v>미확인</x:v>
      </x:c>
      <x:c r="I12" s="2024"/>
      <x:c r="J12" s="2024"/>
      <x:c r="K12" s="1873" t="str">
        <x:f>IF(AND(F12&lt;&gt;"",G12&lt;&gt;"",H12="일치",I12&lt;&gt;"",J12&lt;&gt;""),"검증완료",IF(H12="불일치","확인부적합","검증대기"))</x:f>
        <x:v>검증대기</x:v>
      </x:c>
      <x:c r="L12" s="1870"/>
    </x:row>
    <x:row r="13" ht="45" customHeight="1">
      <x:c r="A13" s="1858" t="n">
        <x:v>7</x:v>
      </x:c>
      <x:c r="B13" s="1633" t="str">
        <x:v>FA1A8HRAAC</x:v>
      </x:c>
      <x:c r="C13" s="1633" t="str">
        <x:v>전자 검사데이터 완전성·조회 재현성</x:v>
      </x:c>
      <x:c r="D13" s="1633" t="str">
        <x:v>원본 로그의 품번·LOT 또는 식별연계·검사일시·테스터ID·측정값·판정·재조회 가능 여부 검증</x:v>
      </x:c>
      <x:c r="E13" s="1633" t="str">
        <x:v>최근 실제 생산 LOT 전자 원본로그 1건 이상 / 파일·조회경로(외부 업로드 불필요)</x:v>
      </x:c>
      <x:c r="F13" s="2024"/>
      <x:c r="G13" s="2024"/>
      <x:c r="H13" s="2024" t="str">
        <x:v>미확인</x:v>
      </x:c>
      <x:c r="I13" s="2024"/>
      <x:c r="J13" s="2024"/>
      <x:c r="K13" s="1873" t="str">
        <x:f>IF(AND(F13&lt;&gt;"",G13&lt;&gt;"",H13="일치",I13&lt;&gt;"",J13&lt;&gt;""),"검증완료",IF(H13="불일치","확인부적합","검증대기"))</x:f>
        <x:v>검증대기</x:v>
      </x:c>
      <x:c r="L13" s="1870"/>
    </x:row>
    <x:row r="14" ht="45" customHeight="1">
      <x:c r="A14" s="1858" t="n">
        <x:v>8</x:v>
      </x:c>
      <x:c r="B14" s="1633" t="str">
        <x:v>FA1A8HRAAC</x:v>
      </x:c>
      <x:c r="C14" s="1633" t="str">
        <x:v>계측기 교정·점검</x:v>
      </x:c>
      <x:c r="D14" s="1633" t="str">
        <x:v>누설검사기 교정/교정대상 여부·일상점검·유효기간</x:v>
      </x:c>
      <x:c r="E14" s="1633" t="str">
        <x:v>검사설비 점검표·교정성적서·검증결과</x:v>
      </x:c>
      <x:c r="F14" s="2024"/>
      <x:c r="G14" s="2024"/>
      <x:c r="H14" s="2024" t="str">
        <x:v>미확인</x:v>
      </x:c>
      <x:c r="I14" s="2024"/>
      <x:c r="J14" s="2024"/>
      <x:c r="K14" s="1873" t="str">
        <x:f>IF(AND(F14&lt;&gt;"",G14&lt;&gt;"",H14="일치",I14&lt;&gt;"",J14&lt;&gt;""),"검증완료",IF(H14="불일치","확인부적합","검증대기"))</x:f>
        <x:v>검증대기</x:v>
      </x:c>
      <x:c r="L14" s="1870"/>
    </x:row>
    <x:row r="15" ht="45" customHeight="1">
      <x:c r="A15" s="1858" t="n">
        <x:v>9</x:v>
      </x:c>
      <x:c r="B15" s="1633" t="str">
        <x:v>FA1A8HRAAC</x:v>
      </x:c>
      <x:c r="C15" s="1633" t="str">
        <x:v>불합격품 격리·재검사</x:v>
      </x:c>
      <x:c r="D15" s="1633" t="str">
        <x:v>누설불량 발생 시 격리·처리·재검사·LOT 수량대사</x:v>
      </x:c>
      <x:c r="E15" s="1633" t="str">
        <x:v>전자 NG검사 이벤트·격리/재검사·합부 수량대사, 또는 해당기간 NG 없음 조회 근거</x:v>
      </x:c>
      <x:c r="F15" s="2024"/>
      <x:c r="G15" s="2024"/>
      <x:c r="H15" s="2024" t="str">
        <x:v>미확인</x:v>
      </x:c>
      <x:c r="I15" s="2024"/>
      <x:c r="J15" s="2024"/>
      <x:c r="K15" s="1873" t="str">
        <x:f>IF(AND(F15&lt;&gt;"",G15&lt;&gt;"",H15="일치",I15&lt;&gt;"",J15&lt;&gt;""),"검증완료",IF(H15="불일치","확인부적합","검증대기"))</x:f>
        <x:v>검증대기</x:v>
      </x:c>
      <x:c r="L15" s="1870"/>
    </x:row>
    <x:row r="16" ht="45" customHeight="1">
      <x:c r="A16" s="1858" t="n">
        <x:v>10</x:v>
      </x:c>
      <x:c r="B16" s="1633" t="str">
        <x:v>FA1A8HRAAC</x:v>
      </x:c>
      <x:c r="C16" s="1633" t="str">
        <x:v>검사방법 측정신뢰성</x:v>
      </x:c>
      <x:c r="D16" s="1633" t="str">
        <x:v>반복성·재현성 등 해당 측정방식의 MSA/검증 요구 확인</x:v>
      </x:c>
      <x:c r="E16" s="1633" t="str">
        <x:v>측정시스템분석 또는 사내 적합성 검증 근거</x:v>
      </x:c>
      <x:c r="F16" s="2024"/>
      <x:c r="G16" s="2024"/>
      <x:c r="H16" s="2024" t="str">
        <x:v>미확인</x:v>
      </x:c>
      <x:c r="I16" s="2024"/>
      <x:c r="J16" s="2024"/>
      <x:c r="K16" s="1873" t="str">
        <x:f>IF(AND(F16&lt;&gt;"",G16&lt;&gt;"",H16="일치",I16&lt;&gt;"",J16&lt;&gt;""),"검증완료",IF(H16="불일치","확인부적합","검증대기"))</x:f>
        <x:v>검증대기</x:v>
      </x:c>
      <x:c r="L16" s="1870"/>
    </x:row>
    <x:row r="17" ht="45" customHeight="1">
      <x:c r="A17" s="1858" t="n">
        <x:v>11</x:v>
      </x:c>
      <x:c r="B17" s="1633" t="str">
        <x:v>FA1A8HRAAD</x:v>
      </x:c>
      <x:c r="C17" s="1633" t="str">
        <x:v>검사기준 최신성</x:v>
      </x:c>
      <x:c r="D17" s="1633" t="str">
        <x:v>해당 품번 승인 검사규격/검사기준 Rev 확인</x:v>
      </x:c>
      <x:c r="E17" s="1633" t="str">
        <x:v>승인 기밀검사기준서·도면 사내대조 기록 / 검사 프로그램 최신 Rev.</x:v>
      </x:c>
      <x:c r="F17" s="2024"/>
      <x:c r="G17" s="2024"/>
      <x:c r="H17" s="2024" t="str">
        <x:v>미확인</x:v>
      </x:c>
      <x:c r="I17" s="2024"/>
      <x:c r="J17" s="2024"/>
      <x:c r="K17" s="1873" t="str">
        <x:f>IF(AND(F17&lt;&gt;"",G17&lt;&gt;"",H17="일치",I17&lt;&gt;"",J17&lt;&gt;""),"검증완료",IF(H17="불일치","확인부적합","검증대기"))</x:f>
        <x:v>검증대기</x:v>
      </x:c>
      <x:c r="L17" s="1870"/>
    </x:row>
    <x:row r="18" ht="45" customHeight="1">
      <x:c r="A18" s="1858" t="n">
        <x:v>12</x:v>
      </x:c>
      <x:c r="B18" s="1633" t="str">
        <x:v>FA1A8HRAAD</x:v>
      </x:c>
      <x:c r="C18" s="1633" t="str">
        <x:v>기밀검사 설비 식별</x:v>
      </x:c>
      <x:c r="D18" s="1633" t="str">
        <x:v>기밀시험기 실제 ID·장비 모델·프로그램 적용성</x:v>
      </x:c>
      <x:c r="E18" s="1633" t="str">
        <x:v>설비대장·검사설비 명판/설정기록</x:v>
      </x:c>
      <x:c r="F18" s="2024"/>
      <x:c r="G18" s="2024"/>
      <x:c r="H18" s="2024" t="str">
        <x:v>미확인</x:v>
      </x:c>
      <x:c r="I18" s="2024"/>
      <x:c r="J18" s="2024"/>
      <x:c r="K18" s="1873" t="str">
        <x:f>IF(AND(F18&lt;&gt;"",G18&lt;&gt;"",H18="일치",I18&lt;&gt;"",J18&lt;&gt;""),"검증완료",IF(H18="불일치","확인부적합","검증대기"))</x:f>
        <x:v>검증대기</x:v>
      </x:c>
      <x:c r="L18" s="1870"/>
    </x:row>
    <x:row r="19" ht="45" customHeight="1">
      <x:c r="A19" s="1858" t="n">
        <x:v>13</x:v>
      </x:c>
      <x:c r="B19" s="1633" t="str">
        <x:v>FA1A8HRAAD</x:v>
      </x:c>
      <x:c r="C19" s="1633" t="str">
        <x:v>시험압력·가압조건</x:v>
      </x:c>
      <x:c r="D19" s="1633" t="str">
        <x:v>승인 기준의 실제 압력·공차 및 검사 시 설정값 비교</x:v>
      </x:c>
      <x:c r="E19" s="1633" t="str">
        <x:v>승인 시험조건·에어 리크 테스터 설정값 / 원본 전자검사 로그</x:v>
      </x:c>
      <x:c r="F19" s="2024"/>
      <x:c r="G19" s="2024"/>
      <x:c r="H19" s="2024" t="str">
        <x:v>미확인</x:v>
      </x:c>
      <x:c r="I19" s="2024"/>
      <x:c r="J19" s="2024"/>
      <x:c r="K19" s="1873" t="str">
        <x:f>IF(AND(F19&lt;&gt;"",G19&lt;&gt;"",H19="일치",I19&lt;&gt;"",J19&lt;&gt;""),"검증완료",IF(H19="불일치","확인부적합","검증대기"))</x:f>
        <x:v>검증대기</x:v>
      </x:c>
      <x:c r="L19" s="1870"/>
    </x:row>
    <x:row r="20" ht="45" customHeight="1">
      <x:c r="A20" s="1858" t="n">
        <x:v>14</x:v>
      </x:c>
      <x:c r="B20" s="1633" t="str">
        <x:v>FA1A8HRAAD</x:v>
      </x:c>
      <x:c r="C20" s="1633" t="str">
        <x:v>측정 시간·유지조건</x:v>
      </x:c>
      <x:c r="D20" s="1633" t="str">
        <x:v>승인 기준의 측정/유지 시간 및 현장 값 비교</x:v>
      </x:c>
      <x:c r="E20" s="1633" t="str">
        <x:v>승인 검사시간/유지조건·테스터 전자 원본로그</x:v>
      </x:c>
      <x:c r="F20" s="2024"/>
      <x:c r="G20" s="2024"/>
      <x:c r="H20" s="2024" t="str">
        <x:v>미확인</x:v>
      </x:c>
      <x:c r="I20" s="2024"/>
      <x:c r="J20" s="2024"/>
      <x:c r="K20" s="1873" t="str">
        <x:f>IF(AND(F20&lt;&gt;"",G20&lt;&gt;"",H20="일치",I20&lt;&gt;"",J20&lt;&gt;""),"검증완료",IF(H20="불일치","확인부적합","검증대기"))</x:f>
        <x:v>검증대기</x:v>
      </x:c>
      <x:c r="L20" s="1870"/>
    </x:row>
    <x:row r="21" ht="45" customHeight="1">
      <x:c r="A21" s="1858" t="n">
        <x:v>15</x:v>
      </x:c>
      <x:c r="B21" s="1633" t="str">
        <x:v>FA1A8HRAAD</x:v>
      </x:c>
      <x:c r="C21" s="1633" t="str">
        <x:v>허용 누설량·합격판정</x:v>
      </x:c>
      <x:c r="D21" s="1633" t="str">
        <x:v>허용 누설량/판정 기준·실측·양품/불량 판정 일치</x:v>
      </x:c>
      <x:c r="E21" s="1633" t="str">
        <x:v>에어 리크 테스트기 원본 전자데이터(측정값·단위·판정) / 승인 검사기준</x:v>
      </x:c>
      <x:c r="F21" s="2024"/>
      <x:c r="G21" s="2024"/>
      <x:c r="H21" s="2024" t="str">
        <x:v>미확인</x:v>
      </x:c>
      <x:c r="I21" s="2024"/>
      <x:c r="J21" s="2024"/>
      <x:c r="K21" s="1873" t="str">
        <x:f>IF(AND(F21&lt;&gt;"",G21&lt;&gt;"",H21="일치",I21&lt;&gt;"",J21&lt;&gt;""),"검증완료",IF(H21="불일치","확인부적합","검증대기"))</x:f>
        <x:v>검증대기</x:v>
      </x:c>
      <x:c r="L21" s="1870"/>
    </x:row>
    <x:row r="22" ht="45" customHeight="1">
      <x:c r="A22" s="1858" t="n">
        <x:v>16</x:v>
      </x:c>
      <x:c r="B22" s="1633" t="str">
        <x:v>FA1A8HRAAD</x:v>
      </x:c>
      <x:c r="C22" s="1633" t="str">
        <x:v>실제 생산 LOT 연결</x:v>
      </x:c>
      <x:c r="D22" s="1633" t="str">
        <x:v>6동 가공/이송 LOT, 2동 브레이징 LOT, 기밀검사 LOT 연결</x:v>
      </x:c>
      <x:c r="E22" s="1633" t="str">
        <x:v>6동→2동 동간 이송·브레이징 LOT + 에어 리크 테스터 검사데이터 검색 결과</x:v>
      </x:c>
      <x:c r="F22" s="2024"/>
      <x:c r="G22" s="2024"/>
      <x:c r="H22" s="2024" t="str">
        <x:v>미확인</x:v>
      </x:c>
      <x:c r="I22" s="2024"/>
      <x:c r="J22" s="2024"/>
      <x:c r="K22" s="1873" t="str">
        <x:f>IF(AND(F22&lt;&gt;"",G22&lt;&gt;"",H22="일치",I22&lt;&gt;"",J22&lt;&gt;""),"검증완료",IF(H22="불일치","확인부적합","검증대기"))</x:f>
        <x:v>검증대기</x:v>
      </x:c>
      <x:c r="L22" s="1870"/>
    </x:row>
    <x:row r="23" ht="45" customHeight="1">
      <x:c r="A23" s="1858" t="n">
        <x:v>17</x:v>
      </x:c>
      <x:c r="B23" s="1633" t="str">
        <x:v>FA1A8HRAAD</x:v>
      </x:c>
      <x:c r="C23" s="1633" t="str">
        <x:v>전자 검사데이터 완전성·조회 재현성</x:v>
      </x:c>
      <x:c r="D23" s="1633" t="str">
        <x:v>원본 로그의 품번·LOT 또는 식별연계·검사일시·테스터ID·측정값·판정·재조회 가능 여부 검증</x:v>
      </x:c>
      <x:c r="E23" s="1633" t="str">
        <x:v>최근 실제 생산 LOT 전자 원본로그 1건 이상 / 파일·조회경로(외부 업로드 불필요)</x:v>
      </x:c>
      <x:c r="F23" s="2024"/>
      <x:c r="G23" s="2024"/>
      <x:c r="H23" s="2024" t="str">
        <x:v>미확인</x:v>
      </x:c>
      <x:c r="I23" s="2024"/>
      <x:c r="J23" s="2024"/>
      <x:c r="K23" s="1873" t="str">
        <x:f>IF(AND(F23&lt;&gt;"",G23&lt;&gt;"",H23="일치",I23&lt;&gt;"",J23&lt;&gt;""),"검증완료",IF(H23="불일치","확인부적합","검증대기"))</x:f>
        <x:v>검증대기</x:v>
      </x:c>
      <x:c r="L23" s="1870"/>
    </x:row>
    <x:row r="24" ht="45" customHeight="1">
      <x:c r="A24" s="1858" t="n">
        <x:v>18</x:v>
      </x:c>
      <x:c r="B24" s="1633" t="str">
        <x:v>FA1A8HRAAD</x:v>
      </x:c>
      <x:c r="C24" s="1633" t="str">
        <x:v>계측기 교정·점검</x:v>
      </x:c>
      <x:c r="D24" s="1633" t="str">
        <x:v>누설검사기 교정/교정대상 여부·일상점검·유효기간</x:v>
      </x:c>
      <x:c r="E24" s="1633" t="str">
        <x:v>검사설비 점검표·교정성적서·검증결과</x:v>
      </x:c>
      <x:c r="F24" s="2024"/>
      <x:c r="G24" s="2024"/>
      <x:c r="H24" s="2024" t="str">
        <x:v>미확인</x:v>
      </x:c>
      <x:c r="I24" s="2024"/>
      <x:c r="J24" s="2024"/>
      <x:c r="K24" s="1873" t="str">
        <x:f>IF(AND(F24&lt;&gt;"",G24&lt;&gt;"",H24="일치",I24&lt;&gt;"",J24&lt;&gt;""),"검증완료",IF(H24="불일치","확인부적합","검증대기"))</x:f>
        <x:v>검증대기</x:v>
      </x:c>
      <x:c r="L24" s="1870"/>
    </x:row>
    <x:row r="25" ht="45" customHeight="1">
      <x:c r="A25" s="1858" t="n">
        <x:v>19</x:v>
      </x:c>
      <x:c r="B25" s="1633" t="str">
        <x:v>FA1A8HRAAD</x:v>
      </x:c>
      <x:c r="C25" s="1633" t="str">
        <x:v>불합격품 격리·재검사</x:v>
      </x:c>
      <x:c r="D25" s="1633" t="str">
        <x:v>누설불량 발생 시 격리·처리·재검사·LOT 수량대사</x:v>
      </x:c>
      <x:c r="E25" s="1633" t="str">
        <x:v>전자 NG검사 이벤트·격리/재검사·합부 수량대사, 또는 해당기간 NG 없음 조회 근거</x:v>
      </x:c>
      <x:c r="F25" s="2024"/>
      <x:c r="G25" s="2024"/>
      <x:c r="H25" s="2024" t="str">
        <x:v>미확인</x:v>
      </x:c>
      <x:c r="I25" s="2024"/>
      <x:c r="J25" s="2024"/>
      <x:c r="K25" s="1873" t="str">
        <x:f>IF(AND(F25&lt;&gt;"",G25&lt;&gt;"",H25="일치",I25&lt;&gt;"",J25&lt;&gt;""),"검증완료",IF(H25="불일치","확인부적합","검증대기"))</x:f>
        <x:v>검증대기</x:v>
      </x:c>
      <x:c r="L25" s="1870"/>
    </x:row>
    <x:row r="26" ht="45" customHeight="1">
      <x:c r="A26" s="1860" t="n">
        <x:v>20</x:v>
      </x:c>
      <x:c r="B26" s="1861" t="str">
        <x:v>FA1A8HRAAD</x:v>
      </x:c>
      <x:c r="C26" s="1861" t="str">
        <x:v>검사방법 측정신뢰성</x:v>
      </x:c>
      <x:c r="D26" s="1861" t="str">
        <x:v>반복성·재현성 등 해당 측정방식의 MSA/검증 요구 확인</x:v>
      </x:c>
      <x:c r="E26" s="1861" t="str">
        <x:v>측정시스템분석 또는 사내 적합성 검증 근거</x:v>
      </x:c>
      <x:c r="F26" s="2025"/>
      <x:c r="G26" s="2025"/>
      <x:c r="H26" s="2025" t="str">
        <x:v>미확인</x:v>
      </x:c>
      <x:c r="I26" s="2025"/>
      <x:c r="J26" s="2025"/>
      <x:c r="K26" s="1874" t="str">
        <x:f>IF(AND(F26&lt;&gt;"",G26&lt;&gt;"",H26="일치",I26&lt;&gt;"",J26&lt;&gt;""),"검증완료",IF(H26="불일치","확인부적합","검증대기"))</x:f>
        <x:v>검증대기</x:v>
      </x:c>
      <x:c r="L26" s="1871"/>
    </x:row>
  </x:sheetData>
  <x:mergeCells>
    <x:mergeCell ref="A1:L2"/>
    <x:mergeCell ref="A3:L4"/>
  </x:mergeCells>
  <x:conditionalFormatting sqref="K7:K26">
    <x:cfRule type="expression" dxfId="62" priority="1">
      <x:formula>K7="검증완료"</x:formula>
    </x:cfRule>
    <x:cfRule type="expression" dxfId="63" priority="2">
      <x:formula>K7="확인부적합"</x:formula>
    </x:cfRule>
  </x:conditionalFormatting>
  <x:dataValidations count="1">
    <x:dataValidation type="list" sqref="H7:H26">
      <x:formula1>"미확인,일치,불일치"</x:formula1>
    </x:dataValidation>
  </x:dataValidations>
  <x:pageMargins left="0.7" right="0.7" top="0.75" bottom="0.75" header="0.3" footer="0.3"/>
</x:worksheet>
</file>

<file path=xl/worksheets/sheet34.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9" hidden="0" customWidth="1"/>
    <x:col min="2" max="2" width="17" hidden="0" customWidth="1"/>
    <x:col min="3" max="3" width="53" hidden="0" customWidth="1"/>
    <x:col min="4" max="4" width="45" hidden="0" customWidth="1"/>
    <x:col min="5" max="5" width="53" hidden="0" customWidth="1"/>
    <x:col min="6" max="6" width="58" hidden="0" customWidth="1"/>
    <x:col min="7" max="7" width="19" hidden="0" customWidth="1"/>
    <x:col min="8" max="8" width="17" hidden="0" customWidth="1"/>
    <x:col min="9" max="9" width="35" hidden="0" customWidth="1"/>
    <x:col min="10" max="10" width="18" hidden="0" customWidth="1"/>
    <x:col min="11" max="11" width="17" hidden="0" customWidth="1"/>
    <x:col min="12" max="12" width="30" hidden="0" customWidth="1"/>
  </x:cols>
  <x:sheetData>
    <x:row r="1">
      <x:c r="A1" s="1805" t="str">
        <x:v>Rev.07 | SQ 신규평가신청서 rev1(16슬라이드) 공정표기·증빙 정합성 점검</x:v>
      </x:c>
      <x:c r="B1" s="1805"/>
      <x:c r="C1" s="1805"/>
      <x:c r="D1" s="1805"/>
      <x:c r="E1" s="1805"/>
      <x:c r="F1" s="1805"/>
      <x:c r="G1" s="1805"/>
      <x:c r="H1" s="1805"/>
      <x:c r="I1" s="1805"/>
      <x:c r="J1" s="1805"/>
      <x:c r="K1" s="1805"/>
      <x:c r="L1" s="1805"/>
    </x:row>
    <x:row r="2">
      <x:c r="A2" s="1805"/>
      <x:c r="B2" s="1805"/>
      <x:c r="C2" s="1805"/>
      <x:c r="D2" s="1805"/>
      <x:c r="E2" s="1805"/>
      <x:c r="F2" s="1805"/>
      <x:c r="G2" s="1805"/>
      <x:c r="H2" s="1805"/>
      <x:c r="I2" s="1805"/>
      <x:c r="J2" s="1805"/>
      <x:c r="K2" s="1805"/>
      <x:c r="L2" s="1805"/>
    </x:row>
    <x:row r="3">
      <x:c r="A3" s="1819" t="str">
        <x:v>근거: 사용자 업로드 「SQ신규평가신청서 rev1.pptx」 및 이번 대화에서 확정한 6동 자동가공 / 2동 브레이징·기밀검사. 신청서의 수량·인원·생산계획 등 수치는 원문 보존하며 사실검증이 끝나지 않은 항목을 임의 변경하지 않았습니다.</x:v>
      </x:c>
      <x:c r="B3" s="1820"/>
      <x:c r="C3" s="1820"/>
      <x:c r="D3" s="1820"/>
      <x:c r="E3" s="1820"/>
      <x:c r="F3" s="1820"/>
      <x:c r="G3" s="1820"/>
      <x:c r="H3" s="1820"/>
      <x:c r="I3" s="1820"/>
      <x:c r="J3" s="1820"/>
      <x:c r="K3" s="1820"/>
      <x:c r="L3" s="1821"/>
    </x:row>
    <x:row r="4">
      <x:c r="A4" s="1822"/>
      <x:c r="B4" s="1823"/>
      <x:c r="C4" s="1823"/>
      <x:c r="D4" s="1823"/>
      <x:c r="E4" s="1823"/>
      <x:c r="F4" s="1823"/>
      <x:c r="G4" s="1823"/>
      <x:c r="H4" s="1823"/>
      <x:c r="I4" s="1823"/>
      <x:c r="J4" s="1823"/>
      <x:c r="K4" s="1823"/>
      <x:c r="L4" s="1824"/>
    </x:row>
    <x:row r="6" ht="34" customHeight="1">
      <x:c r="A6" s="1836" t="str">
        <x:v>우선</x:v>
      </x:c>
      <x:c r="B6" s="1837" t="str">
        <x:v>신청서 슬라이드</x:v>
      </x:c>
      <x:c r="C6" s="1837" t="str">
        <x:v>기재·도면 현황</x:v>
      </x:c>
      <x:c r="D6" s="1837" t="str">
        <x:v>현재 사용자 확인 사실</x:v>
      </x:c>
      <x:c r="E6" s="1837" t="str">
        <x:v>불일치·심사 위험</x:v>
      </x:c>
      <x:c r="F6" s="1837" t="str">
        <x:v>수정 또는 사내 대조 권고</x:v>
      </x:c>
      <x:c r="G6" s="1837" t="str">
        <x:v>주관</x:v>
      </x:c>
      <x:c r="H6" s="1837" t="str">
        <x:v>검토결과</x:v>
      </x:c>
      <x:c r="I6" s="1837" t="str">
        <x:v>검토근거·번호</x:v>
      </x:c>
      <x:c r="J6" s="1837" t="str">
        <x:v>확인자</x:v>
      </x:c>
      <x:c r="K6" s="1837" t="str">
        <x:v>확인일</x:v>
      </x:c>
      <x:c r="L6" s="1838" t="str">
        <x:v>신청서/관리표 반영</x:v>
      </x:c>
    </x:row>
    <x:row r="7" ht="55" customHeight="1">
      <x:c r="A7" s="1855" t="n">
        <x:v>1</x:v>
      </x:c>
      <x:c r="B7" s="1856" t="str">
        <x:v>2번</x:v>
      </x:c>
      <x:c r="C7" s="1856" t="str">
        <x:v>소재입고→벤딩/포밍→코킹/용접→검사·포장→출하(생산동 구분 없음)</x:v>
      </x:c>
      <x:c r="D7" s="1856" t="str">
        <x:v>6동 벤딩·포밍·커팅·코킹 자동작업 / 2동 브레이징·기밀</x:v>
      </x:c>
      <x:c r="E7" s="1856" t="str">
        <x:v>동별 공정과 기밀검사 위치가 누락됨</x:v>
      </x:c>
      <x:c r="F7" s="1856" t="str">
        <x:v>6동 가공 → 동간 LOT 이송 → 2동 브레이징 자동2호기 → 2동 기밀검사로 동/단계 표시</x:v>
      </x:c>
      <x:c r="G7" s="1856" t="str">
        <x:v>생산기술·품질</x:v>
      </x:c>
      <x:c r="H7" s="1863" t="str">
        <x:v>미확인</x:v>
      </x:c>
      <x:c r="I7" s="1863"/>
      <x:c r="J7" s="1863"/>
      <x:c r="K7" s="1863"/>
      <x:c r="L7" s="1869" t="str">
        <x:v>자료 확인 후 반영</x:v>
      </x:c>
    </x:row>
    <x:row r="8" ht="55" customHeight="1">
      <x:c r="A8" s="1858" t="n">
        <x:v>2</x:v>
      </x:c>
      <x:c r="B8" s="1633" t="str">
        <x:v>6번</x:v>
      </x:c>
      <x:c r="C8" s="1633" t="str">
        <x:v>수작업 대비 자동화 점프튜브 라인 및 물류 이동 최소화 설명</x:v>
      </x:c>
      <x:c r="D8" s="1633" t="str">
        <x:v>6동 자동가공 후 2동 용접·기밀검사 수행</x:v>
      </x:c>
      <x:c r="E8" s="1633" t="str">
        <x:v>동간 이동이 있으므로 공정 간 이송 없음으로 오해될 수 있음</x:v>
      </x:c>
      <x:c r="F8" s="1633" t="str">
        <x:v>6동 내 자동화 개선과 6→2동 이송·품번/LOT 수량관리 체계를 구분</x:v>
      </x:c>
      <x:c r="G8" s="1633" t="str">
        <x:v>생산·품질</x:v>
      </x:c>
      <x:c r="H8" s="1864" t="str">
        <x:v>미확인</x:v>
      </x:c>
      <x:c r="I8" s="1864"/>
      <x:c r="J8" s="1864"/>
      <x:c r="K8" s="1864"/>
      <x:c r="L8" s="1870" t="str">
        <x:v>자료 확인 후 반영</x:v>
      </x:c>
    </x:row>
    <x:row r="9" ht="55" customHeight="1">
      <x:c r="A9" s="1858" t="n">
        <x:v>3</x:v>
      </x:c>
      <x:c r="B9" s="1633" t="str">
        <x:v>7~8번</x:v>
      </x:c>
      <x:c r="C9" s="1633" t="str">
        <x:v>수동·자동화 공정 사진 및 공정흐름도</x:v>
      </x:c>
      <x:c r="D9" s="1633" t="str">
        <x:v>6동 가공 / 2동 브레이징·기밀</x:v>
      </x:c>
      <x:c r="E9" s="1633" t="str">
        <x:v>이미지 속 설비/배치/용접라인 실제 동 배치는 텍스트만으로 확인 불가</x:v>
      </x:c>
      <x:c r="F9" s="1633" t="str">
        <x:v>도면·사진을 사내 확인해 동별 라벨 및 공정명 지정</x:v>
      </x:c>
      <x:c r="G9" s="1633" t="str">
        <x:v>생산기술</x:v>
      </x:c>
      <x:c r="H9" s="1864" t="str">
        <x:v>미확인</x:v>
      </x:c>
      <x:c r="I9" s="1864"/>
      <x:c r="J9" s="1864"/>
      <x:c r="K9" s="1864"/>
      <x:c r="L9" s="1870" t="str">
        <x:v>자료 확인 후 반영</x:v>
      </x:c>
    </x:row>
    <x:row r="10" ht="55" customHeight="1">
      <x:c r="A10" s="1858" t="n">
        <x:v>4</x:v>
      </x:c>
      <x:c r="B10" s="1633" t="str">
        <x:v>2·14번</x:v>
      </x:c>
      <x:c r="C10" s="1633" t="str">
        <x:v>A/T Brazing M/C 2대·Brazing M/C 2대, 설비현황 합계 53대</x:v>
      </x:c>
      <x:c r="D10" s="1633" t="str">
        <x:v>SQ 대상 브레이징 설비명 자동2호기(사용자 제공)</x:v>
      </x:c>
      <x:c r="E10" s="1633" t="str">
        <x:v>총 설비수량과 대상 자동2호기의 대장식별 및 동별 배치 구분 필요</x:v>
      </x:c>
      <x:c r="F10" s="1633" t="str">
        <x:v>설비관리대장/명판과 신청서 설비수량 대조, 대상 설비에만 사내 관리번호 부여</x:v>
      </x:c>
      <x:c r="G10" s="1633" t="str">
        <x:v>생산기술</x:v>
      </x:c>
      <x:c r="H10" s="1864" t="str">
        <x:v>미확인</x:v>
      </x:c>
      <x:c r="I10" s="1864"/>
      <x:c r="J10" s="1864"/>
      <x:c r="K10" s="1864"/>
      <x:c r="L10" s="1870" t="str">
        <x:v>자료 확인 후 반영</x:v>
      </x:c>
    </x:row>
    <x:row r="11" ht="55" customHeight="1">
      <x:c r="A11" s="1858" t="n">
        <x:v>5</x:v>
      </x:c>
      <x:c r="B11" s="1633" t="str">
        <x:v>14번</x:v>
      </x:c>
      <x:c r="C11" s="1633" t="str">
        <x:v>'벤딩기 및 포밍설비 수량 다시 파악 / 자동화 라인수량 포함된거 같음' 메모</x:v>
      </x:c>
      <x:c r="D11" s="1633" t="str">
        <x:v>6동 자동가공 설비 운영</x:v>
      </x:c>
      <x:c r="E11" s="1633" t="str">
        <x:v>신청서에 확인 전 작업메모가 남아 있음</x:v>
      </x:c>
      <x:c r="F11" s="1633" t="str">
        <x:v>실제 설비대수·중복계상 여부를 확인 후 신청 전 메모 제거</x:v>
      </x:c>
      <x:c r="G11" s="1633" t="str">
        <x:v>생산기술·경영관리</x:v>
      </x:c>
      <x:c r="H11" s="1864" t="str">
        <x:v>미확인</x:v>
      </x:c>
      <x:c r="I11" s="1864"/>
      <x:c r="J11" s="1864"/>
      <x:c r="K11" s="1864"/>
      <x:c r="L11" s="1870" t="str">
        <x:v>자료 확인 후 반영</x:v>
      </x:c>
    </x:row>
    <x:row r="12" ht="55" customHeight="1">
      <x:c r="A12" s="1858" t="n">
        <x:v>6</x:v>
      </x:c>
      <x:c r="B12" s="1633" t="str">
        <x:v>4번</x:v>
      </x:c>
      <x:c r="C12" s="1633" t="str">
        <x:v>FT-ASY-A/C JUMPER: NX5, RG3 HEV 외 / 연 1,010,000개 계획 / 26년 8월~</x:v>
      </x:c>
      <x:c r="D12" s="1633" t="str">
        <x:v>SQ 대표 차종 RG3 HEV / FA1A8HRAAC·AD</x:v>
      </x:c>
      <x:c r="E12" s="1633" t="str">
        <x:v>차종별 또는 품번별 Capa/양산실적 분리는 PPT 본문에 표시되지 않음</x:v>
      </x:c>
      <x:c r="F12" s="1633" t="str">
        <x:v>계획과 실제 월 생산실적/품번별 LOT 기록 연결(원문 계획수치는 변경하지 않음)</x:v>
      </x:c>
      <x:c r="G12" s="1633" t="str">
        <x:v>영업·생산관리</x:v>
      </x:c>
      <x:c r="H12" s="1864" t="str">
        <x:v>미확인</x:v>
      </x:c>
      <x:c r="I12" s="1864"/>
      <x:c r="J12" s="1864"/>
      <x:c r="K12" s="1864"/>
      <x:c r="L12" s="1870" t="str">
        <x:v>자료 확인 후 반영</x:v>
      </x:c>
    </x:row>
    <x:row r="13" ht="55" customHeight="1">
      <x:c r="A13" s="1858" t="n">
        <x:v>7</x:v>
      </x:c>
      <x:c r="B13" s="1633" t="str">
        <x:v>2번·현장</x:v>
      </x:c>
      <x:c r="C13" s="1633" t="str">
        <x:v>기존 공정구성의 '검사'로 통합 표시</x:v>
      </x:c>
      <x:c r="D13" s="1633" t="str">
        <x:v>2동 용접 후 에어 리크 테스트기로 기밀검사(사용자 확인), 기록은 검사설비 전자 원본데이터만 보관</x:v>
      </x:c>
      <x:c r="E13" s="1633" t="str">
        <x:v>공식 SQ 신규평가신청서에 검사기록 보관방식을 정확히 표기하고 32/36~38 시트에서 실제 로그 보존·판정·LOT 추적 검증</x:v>
      </x:c>
      <x:c r="F13" s="1633" t="str">
        <x:v>2동 실제 에어 리크 테스트기 원본 전자데이터와 사내 보존·조회 및 LOT 연계를 32·36~38시트에서 확인</x:v>
      </x:c>
      <x:c r="G13" s="1633" t="str">
        <x:v>품질</x:v>
      </x:c>
      <x:c r="H13" s="1864" t="str">
        <x:v>미확인</x:v>
      </x:c>
      <x:c r="I13" s="1864"/>
      <x:c r="J13" s="1864"/>
      <x:c r="K13" s="1864"/>
      <x:c r="L13" s="1870" t="str">
        <x:v>자료 확인 후 반영</x:v>
      </x:c>
    </x:row>
    <x:row r="14" ht="55" customHeight="1">
      <x:c r="A14" s="1858" t="n">
        <x:v>8</x:v>
      </x:c>
      <x:c r="B14" s="1633" t="str">
        <x:v>6번</x:v>
      </x:c>
      <x:c r="C14" s="1633" t="str">
        <x:v>자동화로 품질 안정·이동 최소화/원가절감 기대 표현</x:v>
      </x:c>
      <x:c r="D14" s="1633" t="str">
        <x:v>자동가공 6동·후공정 2동</x:v>
      </x:c>
      <x:c r="E14" s="1633" t="str">
        <x:v>개선 전/후 물류거리·불량률 등의 실제 수치 및 산정식 미첨부</x:v>
      </x:c>
      <x:c r="F14" s="1633" t="str">
        <x:v>실제 측정 원자료와 적용 기간을 근거로 효과 수치 작성(단순 기대는 구분)</x:v>
      </x:c>
      <x:c r="G14" s="1633" t="str">
        <x:v>품질·생산관리</x:v>
      </x:c>
      <x:c r="H14" s="1864" t="str">
        <x:v>미확인</x:v>
      </x:c>
      <x:c r="I14" s="1864"/>
      <x:c r="J14" s="1864"/>
      <x:c r="K14" s="1864"/>
      <x:c r="L14" s="1870" t="str">
        <x:v>자료 확인 후 반영</x:v>
      </x:c>
    </x:row>
    <x:row r="15" ht="55" customHeight="1">
      <x:c r="A15" s="1860" t="n">
        <x:v>9</x:v>
      </x:c>
      <x:c r="B15" s="1861" t="str">
        <x:v>1·12번</x:v>
      </x:c>
      <x:c r="C15" s="1861" t="str">
        <x:v>종업원수 총 57명(관리 20/생산 37), 인증현황 기재</x:v>
      </x:c>
      <x:c r="D15" s="1861" t="str">
        <x:v>사용자 이번 공정변경 내용과 별개</x:v>
      </x:c>
      <x:c r="E15" s="1861" t="str">
        <x:v>인원·인증서 유효성은 PPT 값만으로 최신성 확인 불가</x:v>
      </x:c>
      <x:c r="F15" s="1861" t="str">
        <x:v>최신 조직도·인원명부·인증서 발행/유효기간 사내 확인</x:v>
      </x:c>
      <x:c r="G15" s="1861" t="str">
        <x:v>경영관리</x:v>
      </x:c>
      <x:c r="H15" s="1865" t="str">
        <x:v>미확인</x:v>
      </x:c>
      <x:c r="I15" s="1865"/>
      <x:c r="J15" s="1865"/>
      <x:c r="K15" s="1865"/>
      <x:c r="L15" s="1871" t="str">
        <x:v>자료 확인 후 반영</x:v>
      </x:c>
    </x:row>
  </x:sheetData>
  <x:mergeCells>
    <x:mergeCell ref="A1:L2"/>
    <x:mergeCell ref="A3:L4"/>
  </x:mergeCells>
  <x:dataValidations count="1">
    <x:dataValidation type="list" sqref="H7:H15">
      <x:formula1>"미확인,검토중,수정완료,해당없음"</x:formula1>
    </x:dataValidation>
  </x:dataValidations>
  <x:pageMargins left="0.7" right="0.7" top="0.75" bottom="0.75" header="0.3" footer="0.3"/>
</x:worksheet>
</file>

<file path=xl/worksheets/sheet35.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hidden="0" customWidth="1"/>
    <x:col min="2" max="2" width="24" hidden="0" customWidth="1"/>
    <x:col min="3" max="3" width="23" hidden="0" customWidth="1"/>
    <x:col min="4" max="4" width="49" hidden="0" customWidth="1"/>
    <x:col min="5" max="5" width="60" hidden="0" customWidth="1"/>
    <x:col min="6" max="6" width="16" hidden="0" customWidth="1"/>
    <x:col min="7" max="7" width="30" hidden="0" customWidth="1"/>
    <x:col min="8" max="8" width="28" hidden="0" customWidth="1"/>
    <x:col min="9" max="9" width="16" hidden="0" customWidth="1"/>
    <x:col min="10" max="10" width="16" hidden="0" customWidth="1"/>
    <x:col min="11" max="11" width="20" hidden="0" customWidth="1"/>
    <x:col min="12" max="12" width="25" hidden="0" customWidth="1"/>
  </x:cols>
  <x:sheetData>
    <x:row r="1">
      <x:c r="A1" s="1805" t="str">
        <x:v>한온 SQ 통합관리 Rev.07 운영안내 (이력 보존 — 최신 Rev.09 안내는 39시트)</x:v>
      </x:c>
      <x:c r="B1" s="1805"/>
      <x:c r="C1" s="1805"/>
      <x:c r="D1" s="1805"/>
      <x:c r="E1" s="1805"/>
      <x:c r="F1" s="1805"/>
      <x:c r="G1" s="1805"/>
      <x:c r="H1" s="1805"/>
      <x:c r="I1" s="1805"/>
      <x:c r="J1" s="1805"/>
      <x:c r="K1" s="1805"/>
      <x:c r="L1" s="1805"/>
    </x:row>
    <x:row r="2">
      <x:c r="A2" s="1805"/>
      <x:c r="B2" s="1805"/>
      <x:c r="C2" s="1805"/>
      <x:c r="D2" s="1805"/>
      <x:c r="E2" s="1805"/>
      <x:c r="F2" s="1805"/>
      <x:c r="G2" s="1805"/>
      <x:c r="H2" s="1805"/>
      <x:c r="I2" s="1805"/>
      <x:c r="J2" s="1805"/>
      <x:c r="K2" s="1805"/>
      <x:c r="L2" s="1805"/>
    </x:row>
    <x:row r="3">
      <x:c r="A3" s="1819" t="str">
        <x:v>기준값: RG3 HEV / FA1A8HRAAC·AD / 도면 Rev.01(사용자 확인). 6동 벤딩·포밍·커팅·코킹 자동작업, 2동 자동 브레이징 및 기밀검사(사용자 확인); 설비명 자동2호기. 설비대장 ID·승인조건·검사기준·실제 실적은 미검증으로 유지합니다.</x:v>
      </x:c>
      <x:c r="B3" s="1820"/>
      <x:c r="C3" s="1820"/>
      <x:c r="D3" s="1820"/>
      <x:c r="E3" s="1820"/>
      <x:c r="F3" s="1820"/>
      <x:c r="G3" s="1820"/>
      <x:c r="H3" s="1820"/>
      <x:c r="I3" s="1820"/>
      <x:c r="J3" s="1820"/>
      <x:c r="K3" s="1820"/>
      <x:c r="L3" s="1821"/>
    </x:row>
    <x:row r="4">
      <x:c r="A4" s="1822"/>
      <x:c r="B4" s="1823"/>
      <x:c r="C4" s="1823"/>
      <x:c r="D4" s="1823"/>
      <x:c r="E4" s="1823"/>
      <x:c r="F4" s="1823"/>
      <x:c r="G4" s="1823"/>
      <x:c r="H4" s="1823"/>
      <x:c r="I4" s="1823"/>
      <x:c r="J4" s="1823"/>
      <x:c r="K4" s="1823"/>
      <x:c r="L4" s="1824"/>
    </x:row>
    <x:row r="6" ht="34" customHeight="1">
      <x:c r="A6" s="1836" t="str">
        <x:v>순서</x:v>
      </x:c>
      <x:c r="B6" s="1837" t="str">
        <x:v>주관(안)</x:v>
      </x:c>
      <x:c r="C6" s="1837" t="str">
        <x:v>관리 시트</x:v>
      </x:c>
      <x:c r="D6" s="1837" t="str">
        <x:v>이번 수정 포인트</x:v>
      </x:c>
      <x:c r="E6" s="1837" t="str">
        <x:v>필요한 실제 증빙·확인</x:v>
      </x:c>
      <x:c r="F6" s="1837" t="str">
        <x:v>현재 상태</x:v>
      </x:c>
      <x:c r="G6" s="1837" t="str">
        <x:v>관리자 입력 사항</x:v>
      </x:c>
      <x:c r="H6" s="1837" t="str">
        <x:v>자료 수집 위치</x:v>
      </x:c>
      <x:c r="I6" s="1837" t="str">
        <x:v>검토자</x:v>
      </x:c>
      <x:c r="J6" s="1837" t="str">
        <x:v>검토일</x:v>
      </x:c>
      <x:c r="K6" s="1837" t="str">
        <x:v>부적합 여부</x:v>
      </x:c>
      <x:c r="L6" s="1838" t="str">
        <x:v>최종 대조</x:v>
      </x:c>
    </x:row>
    <x:row r="7" ht="45" customHeight="1">
      <x:c r="A7" s="1855" t="n">
        <x:v>1</x:v>
      </x:c>
      <x:c r="B7" s="1856" t="str">
        <x:v>생산·생산기술</x:v>
      </x:c>
      <x:c r="C7" s="1856" t="str">
        <x:v>19 / 31</x:v>
      </x:c>
      <x:c r="D7" s="1856" t="str">
        <x:v>6동 자동가공 범위·가공 설비·현장순서 확인</x:v>
      </x:c>
      <x:c r="E7" s="1856" t="str">
        <x:v>벤딩·포밍·커팅·코킹의 실제 공정 Flow·설비번호·작업표준</x:v>
      </x:c>
      <x:c r="F7" s="1863" t="str">
        <x:v>미확인</x:v>
      </x:c>
      <x:c r="G7" s="1863"/>
      <x:c r="H7" s="1863"/>
      <x:c r="I7" s="1863"/>
      <x:c r="J7" s="1863"/>
      <x:c r="K7" s="1863"/>
      <x:c r="L7" s="1869"/>
    </x:row>
    <x:row r="8" ht="45" customHeight="1">
      <x:c r="A8" s="1858" t="n">
        <x:v>2</x:v>
      </x:c>
      <x:c r="B8" s="1633" t="str">
        <x:v>생산·자재·품질</x:v>
      </x:c>
      <x:c r="C8" s="1633" t="str">
        <x:v>31</x:v>
      </x:c>
      <x:c r="D8" s="1633" t="str">
        <x:v>6동→2동 반제품 LOT 이송·수량/식별 확인</x:v>
      </x:c>
      <x:c r="E8" s="1633" t="str">
        <x:v>공정별 LOT, 반출·입고, 불량/격리수량·현품표</x:v>
      </x:c>
      <x:c r="F8" s="1864" t="str">
        <x:v>미확인</x:v>
      </x:c>
      <x:c r="G8" s="1864"/>
      <x:c r="H8" s="1864"/>
      <x:c r="I8" s="1864"/>
      <x:c r="J8" s="1864"/>
      <x:c r="K8" s="1864"/>
      <x:c r="L8" s="1870"/>
    </x:row>
    <x:row r="9" ht="45" customHeight="1">
      <x:c r="A9" s="1858" t="n">
        <x:v>3</x:v>
      </x:c>
      <x:c r="B9" s="1633" t="str">
        <x:v>생산기술</x:v>
      </x:c>
      <x:c r="C9" s="1633" t="str">
        <x:v>22 / 29</x:v>
      </x:c>
      <x:c r="D9" s="1633" t="str">
        <x:v>2동 브레이징 자동2호기/승인조건 점검</x:v>
      </x:c>
      <x:c r="E9" s="1633" t="str">
        <x:v>설비명판·대장ID, 브레이징 작업표준·조건·최근 실적</x:v>
      </x:c>
      <x:c r="F9" s="1864" t="str">
        <x:v>미확인</x:v>
      </x:c>
      <x:c r="G9" s="1864"/>
      <x:c r="H9" s="1864"/>
      <x:c r="I9" s="1864"/>
      <x:c r="J9" s="1864"/>
      <x:c r="K9" s="1864"/>
      <x:c r="L9" s="1870"/>
    </x:row>
    <x:row r="10" ht="45" customHeight="1">
      <x:c r="A10" s="1858" t="n">
        <x:v>4</x:v>
      </x:c>
      <x:c r="B10" s="1633" t="str">
        <x:v>품질</x:v>
      </x:c>
      <x:c r="C10" s="1633" t="str">
        <x:v>32 / 08</x:v>
      </x:c>
      <x:c r="D10" s="1633" t="str">
        <x:v>2동 기밀검사 기준·검사설비 전자로그 실증(Rev.09에 보완)</x:v>
      </x:c>
      <x:c r="E10" s="1633" t="str">
        <x:v>검사기ID·기준/시험조건·실생산 LOT 전자 원본로그·측정값·판정·NG추적·백업</x:v>
      </x:c>
      <x:c r="F10" s="1864" t="str">
        <x:v>미확인</x:v>
      </x:c>
      <x:c r="G10" s="1864"/>
      <x:c r="H10" s="1864"/>
      <x:c r="I10" s="1864"/>
      <x:c r="J10" s="1864"/>
      <x:c r="K10" s="1864"/>
      <x:c r="L10" s="1870"/>
    </x:row>
    <x:row r="11" ht="45" customHeight="1">
      <x:c r="A11" s="1858" t="n">
        <x:v>5</x:v>
      </x:c>
      <x:c r="B11" s="1633" t="str">
        <x:v>개발·품질</x:v>
      </x:c>
      <x:c r="C11" s="1633" t="str">
        <x:v>23</x:v>
      </x:c>
      <x:c r="D11" s="1633" t="str">
        <x:v>FA1A8HRAAC/AD 승인 도면 Rev.01 사내대조</x:v>
      </x:c>
      <x:c r="E11" s="1633" t="str">
        <x:v>기밀 도면 원본 업로드 금지, 사내 대조 결과·확인자·일자</x:v>
      </x:c>
      <x:c r="F11" s="1864" t="str">
        <x:v>미확인</x:v>
      </x:c>
      <x:c r="G11" s="1864"/>
      <x:c r="H11" s="1864"/>
      <x:c r="I11" s="1864"/>
      <x:c r="J11" s="1864"/>
      <x:c r="K11" s="1864"/>
      <x:c r="L11" s="1870"/>
    </x:row>
    <x:row r="12" ht="45" customHeight="1">
      <x:c r="A12" s="1858" t="n">
        <x:v>6</x:v>
      </x:c>
      <x:c r="B12" s="1633" t="str">
        <x:v>영업·품질</x:v>
      </x:c>
      <x:c r="C12" s="1633" t="str">
        <x:v>17 / 33</x:v>
      </x:c>
      <x:c r="D12" s="1633" t="str">
        <x:v>한온 공식 최신성·신규평가신청서와 관리본 정합성</x:v>
      </x:c>
      <x:c r="E12" s="1633" t="str">
        <x:v>평가표 배포근거, 6-12/229건, PPT 공정명·설비수량 확인</x:v>
      </x:c>
      <x:c r="F12" s="1864" t="str">
        <x:v>미확인</x:v>
      </x:c>
      <x:c r="G12" s="1864"/>
      <x:c r="H12" s="1864"/>
      <x:c r="I12" s="1864"/>
      <x:c r="J12" s="1864"/>
      <x:c r="K12" s="1864"/>
      <x:c r="L12" s="1870"/>
    </x:row>
    <x:row r="13" ht="45" customHeight="1">
      <x:c r="A13" s="1858" t="n">
        <x:v>7</x:v>
      </x:c>
      <x:c r="B13" s="1633" t="str">
        <x:v>품질 총괄</x:v>
      </x:c>
      <x:c r="C13" s="1633" t="str">
        <x:v>21 / 28</x:v>
      </x:c>
      <x:c r="D13" s="1633" t="str">
        <x:v>43개 평가코드 실증, 121건 CAPA 미확인/확인부적합 관리</x:v>
      </x:c>
      <x:c r="E13" s="1633" t="str">
        <x:v>실제 증빙 경로/현장대조/원인/조치/효과 재검증</x:v>
      </x:c>
      <x:c r="F13" s="1864" t="str">
        <x:v>미확인</x:v>
      </x:c>
      <x:c r="G13" s="1864"/>
      <x:c r="H13" s="1864"/>
      <x:c r="I13" s="1864"/>
      <x:c r="J13" s="1864"/>
      <x:c r="K13" s="1864"/>
      <x:c r="L13" s="1870"/>
    </x:row>
    <x:row r="14" ht="45" customHeight="1">
      <x:c r="A14" s="1860" t="n">
        <x:v>8</x:v>
      </x:c>
      <x:c r="B14" s="1861" t="str">
        <x:v>품질/전부서</x:v>
      </x:c>
      <x:c r="C14" s="1861" t="str">
        <x:v>29 / 09 / 11</x:v>
      </x:c>
      <x:c r="D14" s="1861" t="str">
        <x:v>6동·2동 인터뷰·기밀검사 포함 모의심사 및 READY 판정</x:v>
      </x:c>
      <x:c r="E14" s="1861" t="str">
        <x:v>16개 동별 점검·20문항 실제 인터뷰·Gate G1~G10</x:v>
      </x:c>
      <x:c r="F14" s="1865" t="str">
        <x:v>미확인</x:v>
      </x:c>
      <x:c r="G14" s="1865"/>
      <x:c r="H14" s="1865"/>
      <x:c r="I14" s="1865"/>
      <x:c r="J14" s="1865"/>
      <x:c r="K14" s="1865"/>
      <x:c r="L14" s="1871"/>
    </x:row>
    <x:row r="16">
      <x:c r="A16" s="1819" t="str">
        <x:v>Rev.07 주요 정정사항: 기존 문서의 ‘6동 용접라인’ 표현은 현행 사실과 맞지 않습니다. 현행 용접/기밀검사 위치는 2동, 자동 가공은 6동입니다. 신규 SQ 신청서의 공정흐름(슬라이드 2)·사진(7~8)·설비수량(14)은 별도로 대조해야 하며, 고객 제공 도면은 외부 업로드하지 않습니다. 실증하지 않은 121건은 ‘검증대기’이고 불량 121건이 아닙니다. 확인배점은 한온 공식 심사점수가 아닌 내부 준비지표입니다.</x:v>
      </x:c>
      <x:c r="B16" s="1820"/>
      <x:c r="C16" s="1820"/>
      <x:c r="D16" s="1820"/>
      <x:c r="E16" s="1820"/>
      <x:c r="F16" s="1820"/>
      <x:c r="G16" s="1820"/>
      <x:c r="H16" s="1820"/>
      <x:c r="I16" s="1820"/>
      <x:c r="J16" s="1820"/>
      <x:c r="K16" s="1820"/>
      <x:c r="L16" s="1821"/>
    </x:row>
    <x:row r="17">
      <x:c r="A17" s="1881"/>
      <x:c r="B17" s="1882"/>
      <x:c r="C17" s="1882"/>
      <x:c r="D17" s="1882"/>
      <x:c r="E17" s="1882"/>
      <x:c r="F17" s="1882"/>
      <x:c r="G17" s="1882"/>
      <x:c r="H17" s="1882"/>
      <x:c r="I17" s="1882"/>
      <x:c r="J17" s="1882"/>
      <x:c r="K17" s="1882"/>
      <x:c r="L17" s="1883"/>
    </x:row>
    <x:row r="18">
      <x:c r="A18" s="1881"/>
      <x:c r="B18" s="1882"/>
      <x:c r="C18" s="1882"/>
      <x:c r="D18" s="1882"/>
      <x:c r="E18" s="1882"/>
      <x:c r="F18" s="1882"/>
      <x:c r="G18" s="1882"/>
      <x:c r="H18" s="1882"/>
      <x:c r="I18" s="1882"/>
      <x:c r="J18" s="1882"/>
      <x:c r="K18" s="1882"/>
      <x:c r="L18" s="1883"/>
    </x:row>
    <x:row r="19">
      <x:c r="A19" s="1822"/>
      <x:c r="B19" s="1823"/>
      <x:c r="C19" s="1823"/>
      <x:c r="D19" s="1823"/>
      <x:c r="E19" s="1823"/>
      <x:c r="F19" s="1823"/>
      <x:c r="G19" s="1823"/>
      <x:c r="H19" s="1823"/>
      <x:c r="I19" s="1823"/>
      <x:c r="J19" s="1823"/>
      <x:c r="K19" s="1823"/>
      <x:c r="L19" s="1824"/>
    </x:row>
  </x:sheetData>
  <x:mergeCells>
    <x:mergeCell ref="A1:L2"/>
    <x:mergeCell ref="A3:L4"/>
    <x:mergeCell ref="A16:L19"/>
  </x:mergeCells>
  <x:dataValidations count="1">
    <x:dataValidation type="list" sqref="F7:F14">
      <x:formula1>"미확인,진행중,완료,보완필요"</x:formula1>
    </x:dataValidation>
  </x:dataValidations>
  <x:pageMargins left="0.7" right="0.7" top="0.75" bottom="0.75" header="0.3" footer="0.3"/>
</x:worksheet>
</file>

<file path=xl/worksheets/sheet36.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9" hidden="0" customWidth="1"/>
    <x:col min="2" max="2" width="21" hidden="0" customWidth="1"/>
    <x:col min="3" max="3" width="27" hidden="0" customWidth="1"/>
    <x:col min="4" max="4" width="33" hidden="0" customWidth="1"/>
    <x:col min="5" max="5" width="33" hidden="0" customWidth="1"/>
    <x:col min="6" max="6" width="37" hidden="0" customWidth="1"/>
    <x:col min="7" max="7" width="42" hidden="0" customWidth="1"/>
    <x:col min="8" max="8" width="20" hidden="0" customWidth="1"/>
  </x:cols>
  <x:sheetData>
    <x:row r="1">
      <x:c r="A1" s="1936" t="str">
        <x:v>한온 SQ 통합관리 Rev.08 — RG3 HEV 브레이징 설비 정정이력</x:v>
      </x:c>
      <x:c r="B1" s="1936"/>
      <x:c r="C1" s="1936"/>
      <x:c r="D1" s="1936"/>
      <x:c r="E1" s="1936"/>
      <x:c r="F1" s="1936"/>
      <x:c r="G1" s="1936"/>
      <x:c r="H1" s="1936"/>
    </x:row>
    <x:row r="2">
      <x:c r="A2" s="1936"/>
      <x:c r="B2" s="1936"/>
      <x:c r="C2" s="1936"/>
      <x:c r="D2" s="1936"/>
      <x:c r="E2" s="1936"/>
      <x:c r="F2" s="1936"/>
      <x:c r="G2" s="1936"/>
      <x:c r="H2" s="1936"/>
    </x:row>
    <x:row r="3">
      <x:c r="A3" s="1951" t="str">
        <x:v>기준 정보: RG3 HEV / 대표품번 FA1A8HRAAC·AD / 도면 Rev.01(사용자 확인) / 6동 자동가공 → 2동 자동2호기 브레이징 → 2동 기밀검사. 자동1호기는 RG3 HEV 대상 설비로 사용하지 않습니다.</x:v>
      </x:c>
      <x:c r="B3" s="1952"/>
      <x:c r="C3" s="1952"/>
      <x:c r="D3" s="1952"/>
      <x:c r="E3" s="1952"/>
      <x:c r="F3" s="1952"/>
      <x:c r="G3" s="1952"/>
      <x:c r="H3" s="1953"/>
    </x:row>
    <x:row r="4">
      <x:c r="A4" s="1954"/>
      <x:c r="B4" s="1955"/>
      <x:c r="C4" s="1955"/>
      <x:c r="D4" s="1955"/>
      <x:c r="E4" s="1955"/>
      <x:c r="F4" s="1955"/>
      <x:c r="G4" s="1955"/>
      <x:c r="H4" s="1956"/>
    </x:row>
    <x:row r="6">
      <x:c r="A6" s="1961" t="str">
        <x:v>번호</x:v>
      </x:c>
      <x:c r="B6" s="1962" t="str">
        <x:v>수정구분</x:v>
      </x:c>
      <x:c r="C6" s="1962" t="str">
        <x:v>변경 전</x:v>
      </x:c>
      <x:c r="D6" s="1962" t="str">
        <x:v>변경 후</x:v>
      </x:c>
      <x:c r="E6" s="1962" t="str">
        <x:v>정정 근거</x:v>
      </x:c>
      <x:c r="F6" s="1962" t="str">
        <x:v>수정 범위</x:v>
      </x:c>
      <x:c r="G6" s="1962" t="str">
        <x:v>증빙/검증 상태</x:v>
      </x:c>
      <x:c r="H6" s="1963" t="str">
        <x:v>확인 담당</x:v>
      </x:c>
    </x:row>
    <x:row r="7" ht="57" customHeight="1">
      <x:c r="A7" s="1629" t="n">
        <x:v>1</x:v>
      </x:c>
      <x:c r="B7" s="1630" t="str">
        <x:v>RG3 설비명</x:v>
      </x:c>
      <x:c r="C7" s="1630" t="str">
        <x:v>자동1호기</x:v>
      </x:c>
      <x:c r="D7" s="1630" t="str">
        <x:v>자동2호기</x:v>
      </x:c>
      <x:c r="E7" s="1630" t="str">
        <x:v>2026-10-27 사용자 공정설비 정정</x:v>
      </x:c>
      <x:c r="F7" s="1630" t="str">
        <x:v>15개 시트, 자동1호기 기재 37개 셀</x:v>
      </x:c>
      <x:c r="G7" s="1964" t="str">
        <x:v>명칭: 사용자 확인 / 사내 설비대장 미대조</x:v>
      </x:c>
      <x:c r="H7" s="1631" t="str">
        <x:v>생산기술</x:v>
      </x:c>
    </x:row>
    <x:row r="8" ht="57" customHeight="1">
      <x:c r="A8" s="1632" t="n">
        <x:v>2</x:v>
      </x:c>
      <x:c r="B8" s="1633" t="str">
        <x:v>대상 생산동</x:v>
      </x:c>
      <x:c r="C8" s="1633" t="str">
        <x:v>6동 자동가공</x:v>
      </x:c>
      <x:c r="D8" s="1633" t="str">
        <x:v>6동 자동가공 (변경 없음)</x:v>
      </x:c>
      <x:c r="E8" s="1633" t="str">
        <x:v>사용자 확정 공정 구성</x:v>
      </x:c>
      <x:c r="F8" s="1633" t="str">
        <x:v>벤딩·포밍·커팅·코킹 자동작업</x:v>
      </x:c>
      <x:c r="G8" s="1965" t="str">
        <x:v>실제 세부 공정순서는 현장 Flow 대조</x:v>
      </x:c>
      <x:c r="H8" s="1634" t="str">
        <x:v>생산/품질</x:v>
      </x:c>
    </x:row>
    <x:row r="9" ht="57" customHeight="1">
      <x:c r="A9" s="1632" t="n">
        <x:v>3</x:v>
      </x:c>
      <x:c r="B9" s="1633" t="str">
        <x:v>용접 생산동</x:v>
      </x:c>
      <x:c r="C9" s="1633" t="str">
        <x:v>2동 브레이징</x:v>
      </x:c>
      <x:c r="D9" s="1633" t="str">
        <x:v>2동 자동2호기 브레이징</x:v>
      </x:c>
      <x:c r="E9" s="1633" t="str">
        <x:v>사용자 확정 공정 구성</x:v>
      </x:c>
      <x:c r="F9" s="1633" t="str">
        <x:v>2동 FT-ASY-A/C JUMPER 대상</x:v>
      </x:c>
      <x:c r="G9" s="1965" t="str">
        <x:v>설비 명판·관리번호·승인조건 대조 필요</x:v>
      </x:c>
      <x:c r="H9" s="1634" t="str">
        <x:v>생산기술</x:v>
      </x:c>
    </x:row>
    <x:row r="10" ht="57" customHeight="1">
      <x:c r="A10" s="1632" t="n">
        <x:v>4</x:v>
      </x:c>
      <x:c r="B10" s="1633" t="str">
        <x:v>검사 생산동</x:v>
      </x:c>
      <x:c r="C10" s="1633" t="str">
        <x:v>2동 기밀검사</x:v>
      </x:c>
      <x:c r="D10" s="1633" t="str">
        <x:v>2동 기밀검사 (변경 없음)</x:v>
      </x:c>
      <x:c r="E10" s="1633" t="str">
        <x:v>사용자 확정 공정 구성</x:v>
      </x:c>
      <x:c r="F10" s="1633" t="str">
        <x:v>누설/기밀검사·LOT 연계</x:v>
      </x:c>
      <x:c r="G10" s="1965" t="str">
        <x:v>Rev.08 시점 '검사성적서'로 표현했으나 Rev.09에서 별도 종이 성적서 없음 / 설비 전자 원본데이터만 보관으로 확인·정정</x:v>
      </x:c>
      <x:c r="H10" s="1634" t="str">
        <x:v>품질</x:v>
      </x:c>
    </x:row>
    <x:row r="11" ht="57" customHeight="1">
      <x:c r="A11" s="1632" t="n">
        <x:v>5</x:v>
      </x:c>
      <x:c r="B11" s="1633" t="str">
        <x:v>품번/도면</x:v>
      </x:c>
      <x:c r="C11" s="1633" t="str">
        <x:v>FA1A8HRAAC/AD / Rev.01</x:v>
      </x:c>
      <x:c r="D11" s="1633" t="str">
        <x:v>변경 없음</x:v>
      </x:c>
      <x:c r="E11" s="1633" t="str">
        <x:v>사용자 확인 도면 Rev.01</x:v>
      </x:c>
      <x:c r="F11" s="1633" t="str">
        <x:v>RG3 HEV 대표 2개 품번</x:v>
      </x:c>
      <x:c r="G11" s="1965" t="str">
        <x:v>AD 전개 철자·도면 특성은 사내 대조 대기</x:v>
      </x:c>
      <x:c r="H11" s="1634" t="str">
        <x:v>개발/품질</x:v>
      </x:c>
    </x:row>
    <x:row r="12" ht="57" customHeight="1">
      <x:c r="A12" s="1635" t="n">
        <x:v>6</x:v>
      </x:c>
      <x:c r="B12" s="1636" t="str">
        <x:v>브레이징 설비대수</x:v>
      </x:c>
      <x:c r="C12" s="1636" t="str">
        <x:v>신청서 A/T Brazing M/C 2대</x:v>
      </x:c>
      <x:c r="D12" s="1636" t="str">
        <x:v>변경 없음(별도 대수 확인)</x:v>
      </x:c>
      <x:c r="E12" s="1636" t="str">
        <x:v>SQ 신규평가신청서 작성값</x:v>
      </x:c>
      <x:c r="F12" s="1636" t="str">
        <x:v>PPT 공정구성 및 주요설비</x:v>
      </x:c>
      <x:c r="G12" s="1966" t="str">
        <x:v>실제 총 설비대수는 별도 대장 대조 필요</x:v>
      </x:c>
      <x:c r="H12" s="1637" t="str">
        <x:v>생산기술</x:v>
      </x:c>
    </x:row>
    <x:row r="15">
      <x:c r="A15" s="1968" t="str">
        <x:v>현장 실증 및 승인 조건</x:v>
      </x:c>
      <x:c r="B15" s="1969"/>
      <x:c r="C15" s="1969"/>
      <x:c r="D15" s="1969"/>
      <x:c r="E15" s="1969"/>
      <x:c r="F15" s="1969"/>
      <x:c r="G15" s="1969"/>
      <x:c r="H15" s="1970"/>
    </x:row>
    <x:row r="16">
      <x:c r="A16" s="1990" t="str">
        <x:v>Rev.08 당시: 자동2호기 브레이징 정보 및 2동 기밀검사 공정 존재를 사용자 확인했습니다. Rev.09에서 기밀검사는 에어 리크 테스트기 사용·검사설비 전자 원본데이터만 보관으로 추가 확인했습니다. 검사장비 ID·실제 데이터/LOT 연결·승인 조건·전자데이터 통제는 아직 현장검증 대기입니다.</x:v>
      </x:c>
      <x:c r="B16" s="1991"/>
      <x:c r="C16" s="1991"/>
      <x:c r="D16" s="1991"/>
      <x:c r="E16" s="1991"/>
      <x:c r="F16" s="1991"/>
      <x:c r="G16" s="1991"/>
      <x:c r="H16" s="1992"/>
    </x:row>
    <x:row r="17">
      <x:c r="A17" s="1993"/>
      <x:c r="B17" s="1994"/>
      <x:c r="C17" s="1994"/>
      <x:c r="D17" s="1994"/>
      <x:c r="E17" s="1994"/>
      <x:c r="F17" s="1994"/>
      <x:c r="G17" s="1994"/>
      <x:c r="H17" s="1995"/>
    </x:row>
    <x:row r="18">
      <x:c r="A18" s="1996"/>
      <x:c r="B18" s="1997"/>
      <x:c r="C18" s="1997"/>
      <x:c r="D18" s="1997"/>
      <x:c r="E18" s="1997"/>
      <x:c r="F18" s="1997"/>
      <x:c r="G18" s="1997"/>
      <x:c r="H18" s="1998"/>
    </x:row>
  </x:sheetData>
  <x:mergeCells>
    <x:mergeCell ref="A1:H2"/>
    <x:mergeCell ref="A3:H4"/>
    <x:mergeCell ref="A15:H15"/>
    <x:mergeCell ref="A16:H18"/>
  </x:mergeCells>
  <x:pageMargins left="0.7" right="0.7" top="0.75" bottom="0.75" header="0.3" footer="0.3"/>
</x:worksheet>
</file>

<file path=xl/worksheets/sheet37.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hidden="0" customWidth="1"/>
    <x:col min="2" max="2" width="15" hidden="0" customWidth="1"/>
    <x:col min="3" max="3" width="32" hidden="0" customWidth="1"/>
    <x:col min="4" max="4" width="74" hidden="0" customWidth="1"/>
    <x:col min="5" max="5" width="20" hidden="0" customWidth="1"/>
    <x:col min="6" max="6" width="37" hidden="0" customWidth="1"/>
    <x:col min="7" max="7" width="49" hidden="0" customWidth="1"/>
    <x:col min="8" max="8" width="18" hidden="0" customWidth="1"/>
    <x:col min="9" max="9" width="17" hidden="0" customWidth="1"/>
    <x:col min="10" max="10" width="18" hidden="0" customWidth="1"/>
    <x:col min="11" max="11" width="18" hidden="0" customWidth="1"/>
    <x:col min="12" max="12" width="43" hidden="0" customWidth="1"/>
  </x:cols>
  <x:sheetData>
    <x:row r="1">
      <x:c r="A1" s="2029" t="str">
        <x:v>Rev.09 | 2동 에어 리크 테스트기 전자 검사기록 보존·심사 제시 기준</x:v>
      </x:c>
      <x:c r="B1" s="2029"/>
      <x:c r="C1" s="2029"/>
      <x:c r="D1" s="2029"/>
      <x:c r="E1" s="2029"/>
      <x:c r="F1" s="2029"/>
      <x:c r="G1" s="2029"/>
      <x:c r="H1" s="2029"/>
      <x:c r="I1" s="2029"/>
      <x:c r="J1" s="2029"/>
      <x:c r="K1" s="2029"/>
      <x:c r="L1" s="2029"/>
    </x:row>
    <x:row r="2">
      <x:c r="A2" s="2029"/>
      <x:c r="B2" s="2029"/>
      <x:c r="C2" s="2029"/>
      <x:c r="D2" s="2029"/>
      <x:c r="E2" s="2029"/>
      <x:c r="F2" s="2029"/>
      <x:c r="G2" s="2029"/>
      <x:c r="H2" s="2029"/>
      <x:c r="I2" s="2029"/>
      <x:c r="J2" s="2029"/>
      <x:c r="K2" s="2029"/>
      <x:c r="L2" s="2029"/>
    </x:row>
    <x:row r="3">
      <x:c r="A3" s="2044" t="str">
        <x:v>확정: 2동에서 에어 리크 테스트기를 사용하며 기밀검사는 설비 전자데이터만 보관(종이 검사성적서 별도 보관 없음). 원본 로그 위치·검사설비 관리번호·실측기록 보존상태·보존기간·조회재현성은 아직 미확인입니다. 아래는 사내 검증 체크리스트이며 각 항목이 모두 한온의 명문화된 독립 필수요구라는 뜻은 아닙니다.</x:v>
      </x:c>
      <x:c r="B3" s="2045"/>
      <x:c r="C3" s="2045"/>
      <x:c r="D3" s="2045"/>
      <x:c r="E3" s="2045"/>
      <x:c r="F3" s="2045"/>
      <x:c r="G3" s="2045"/>
      <x:c r="H3" s="2045"/>
      <x:c r="I3" s="2045"/>
      <x:c r="J3" s="2045"/>
      <x:c r="K3" s="2045"/>
      <x:c r="L3" s="2046"/>
    </x:row>
    <x:row r="4">
      <x:c r="A4" s="2047"/>
      <x:c r="B4" s="2048"/>
      <x:c r="C4" s="2048"/>
      <x:c r="D4" s="2048"/>
      <x:c r="E4" s="2048"/>
      <x:c r="F4" s="2048"/>
      <x:c r="G4" s="2048"/>
      <x:c r="H4" s="2048"/>
      <x:c r="I4" s="2048"/>
      <x:c r="J4" s="2048"/>
      <x:c r="K4" s="2048"/>
      <x:c r="L4" s="2049"/>
    </x:row>
    <x:row r="6" ht="38" customHeight="1">
      <x:c r="A6" s="2061" t="str">
        <x:v>No</x:v>
      </x:c>
      <x:c r="B6" s="2062" t="str">
        <x:v>구분</x:v>
      </x:c>
      <x:c r="C6" s="2062" t="str">
        <x:v>전자 원본데이터 점검 항목</x:v>
      </x:c>
      <x:c r="D6" s="2062" t="str">
        <x:v>현장에서 확인할 방법/판정기준</x:v>
      </x:c>
      <x:c r="E6" s="2062" t="str">
        <x:v>주관(안)</x:v>
      </x:c>
      <x:c r="F6" s="2062" t="str">
        <x:v>사내 근거/기준(입력)</x:v>
      </x:c>
      <x:c r="G6" s="2062" t="str">
        <x:v>실제 원본·경로(입력)</x:v>
      </x:c>
      <x:c r="H6" s="2062" t="str">
        <x:v>사내 검증결과(입력)</x:v>
      </x:c>
      <x:c r="I6" s="2062" t="str">
        <x:v>확인자(입력)</x:v>
      </x:c>
      <x:c r="J6" s="2062" t="str">
        <x:v>확인일(입력)</x:v>
      </x:c>
      <x:c r="K6" s="2062" t="str">
        <x:v>자동검증상태</x:v>
      </x:c>
      <x:c r="L6" s="2063" t="str">
        <x:v>보완·반응계획(입력)</x:v>
      </x:c>
    </x:row>
    <x:row r="7" ht="57" customHeight="1">
      <x:c r="A7" s="2064" t="n">
        <x:v>1</x:v>
      </x:c>
      <x:c r="B7" s="2065" t="str">
        <x:v>적용 방식</x:v>
      </x:c>
      <x:c r="C7" s="2065" t="str">
        <x:v>검사방식/보관형태 확인</x:v>
      </x:c>
      <x:c r="D7" s="2065" t="str">
        <x:v>2동 에어 리크 테스트기 적용 확인, 설비 전자데이터만 보관. 별도 성적서 없음을 내부 관리방식에 명시</x:v>
      </x:c>
      <x:c r="E7" s="2065" t="str">
        <x:v>생산/품질</x:v>
      </x:c>
      <x:c r="F7" s="2072"/>
      <x:c r="G7" s="2072"/>
      <x:c r="H7" s="2072" t="str">
        <x:v>미확인</x:v>
      </x:c>
      <x:c r="I7" s="2072"/>
      <x:c r="J7" s="2072"/>
      <x:c r="K7" s="2077" t="str">
        <x:f>IF(AND(H7="일치",F7&lt;&gt;"",G7&lt;&gt;"",LEFT(TRIM(G7),1)&lt;&gt;"[",I7&lt;&gt;"",J7&lt;&gt;""),"검증완료",IF(H7="불일치","확인부적합","검증대기"))</x:f>
        <x:v>검증대기</x:v>
      </x:c>
      <x:c r="L7" s="2074"/>
    </x:row>
    <x:row r="8" ht="57" customHeight="1">
      <x:c r="A8" s="2067" t="n">
        <x:v>2</x:v>
      </x:c>
      <x:c r="B8" s="1633" t="str">
        <x:v>설비 식별</x:v>
      </x:c>
      <x:c r="C8" s="1633" t="str">
        <x:v>검사설비 고유 ID</x:v>
      </x:c>
      <x:c r="D8" s="1633" t="str">
        <x:v>브레이징 자동2호기와 혼동하지 말고 실제 에어 리크 테스터 설비대장/명판 ID 확보</x:v>
      </x:c>
      <x:c r="E8" s="1633" t="str">
        <x:v>품질/생산기술</x:v>
      </x:c>
      <x:c r="F8" s="2024"/>
      <x:c r="G8" s="2024"/>
      <x:c r="H8" s="2024" t="str">
        <x:v>미확인</x:v>
      </x:c>
      <x:c r="I8" s="2024"/>
      <x:c r="J8" s="2024"/>
      <x:c r="K8" s="2078" t="str">
        <x:f>IF(AND(H8="일치",F8&lt;&gt;"",G8&lt;&gt;"",LEFT(TRIM(G8),1)&lt;&gt;"[",I8&lt;&gt;"",J8&lt;&gt;""),"검증완료",IF(H8="불일치","확인부적합","검증대기"))</x:f>
        <x:v>검증대기</x:v>
      </x:c>
      <x:c r="L8" s="2075"/>
    </x:row>
    <x:row r="9" ht="57" customHeight="1">
      <x:c r="A9" s="2067" t="n">
        <x:v>3</x:v>
      </x:c>
      <x:c r="B9" s="1633" t="str">
        <x:v>검사 기준</x:v>
      </x:c>
      <x:c r="C9" s="1633" t="str">
        <x:v>승인 검사기준·프로그램 버전</x:v>
      </x:c>
      <x:c r="D9" s="1633" t="str">
        <x:v>품번별 승인된 조건(압력·시간·허용 누설·단위), 검사 프로그램·버전/변경승인 일치</x:v>
      </x:c>
      <x:c r="E9" s="1633" t="str">
        <x:v>개발/품질</x:v>
      </x:c>
      <x:c r="F9" s="2024"/>
      <x:c r="G9" s="2024"/>
      <x:c r="H9" s="2024" t="str">
        <x:v>미확인</x:v>
      </x:c>
      <x:c r="I9" s="2024"/>
      <x:c r="J9" s="2024"/>
      <x:c r="K9" s="2078" t="str">
        <x:f>IF(AND(H9="일치",F9&lt;&gt;"",G9&lt;&gt;"",LEFT(TRIM(G9),1)&lt;&gt;"[",I9&lt;&gt;"",J9&lt;&gt;""),"검증완료",IF(H9="불일치","확인부적합","검증대기"))</x:f>
        <x:v>검증대기</x:v>
      </x:c>
      <x:c r="L9" s="2075"/>
    </x:row>
    <x:row r="10" ht="57" customHeight="1">
      <x:c r="A10" s="2067" t="n">
        <x:v>4</x:v>
      </x:c>
      <x:c r="B10" s="1633" t="str">
        <x:v>검사 실적</x:v>
      </x:c>
      <x:c r="C10" s="1633" t="str">
        <x:v>검사시각·품번·LOT 연계</x:v>
      </x:c>
      <x:c r="D10" s="1633" t="str">
        <x:v>원본 로그의 Timestamp, 제품 식별(또는 LOT와 생산/투입/검사대사 연결) 조회</x:v>
      </x:c>
      <x:c r="E10" s="1633" t="str">
        <x:v>품질/생산관리</x:v>
      </x:c>
      <x:c r="F10" s="2024"/>
      <x:c r="G10" s="2024"/>
      <x:c r="H10" s="2024" t="str">
        <x:v>미확인</x:v>
      </x:c>
      <x:c r="I10" s="2024"/>
      <x:c r="J10" s="2024"/>
      <x:c r="K10" s="2078" t="str">
        <x:f>IF(AND(H10="일치",F10&lt;&gt;"",G10&lt;&gt;"",LEFT(TRIM(G10),1)&lt;&gt;"[",I10&lt;&gt;"",J10&lt;&gt;""),"검증완료",IF(H10="불일치","확인부적합","검증대기"))</x:f>
        <x:v>검증대기</x:v>
      </x:c>
      <x:c r="L10" s="2075"/>
    </x:row>
    <x:row r="11" ht="57" customHeight="1">
      <x:c r="A11" s="2067" t="n">
        <x:v>5</x:v>
      </x:c>
      <x:c r="B11" s="1633" t="str">
        <x:v>검사 실적</x:v>
      </x:c>
      <x:c r="C11" s="1633" t="str">
        <x:v>측정값 및 단위·PASS/FAIL</x:v>
      </x:c>
      <x:c r="D11" s="1633" t="str">
        <x:v>합격판정 기준과 실제 측정값/유닛 및 OK/NG 결과의 재조회 여부</x:v>
      </x:c>
      <x:c r="E11" s="1633" t="str">
        <x:v>품질</x:v>
      </x:c>
      <x:c r="F11" s="2024"/>
      <x:c r="G11" s="2024"/>
      <x:c r="H11" s="2024" t="str">
        <x:v>미확인</x:v>
      </x:c>
      <x:c r="I11" s="2024"/>
      <x:c r="J11" s="2024"/>
      <x:c r="K11" s="2078" t="str">
        <x:f>IF(AND(H11="일치",F11&lt;&gt;"",G11&lt;&gt;"",LEFT(TRIM(G11),1)&lt;&gt;"[",I11&lt;&gt;"",J11&lt;&gt;""),"검증완료",IF(H11="불일치","확인부적합","검증대기"))</x:f>
        <x:v>검증대기</x:v>
      </x:c>
      <x:c r="L11" s="2075"/>
    </x:row>
    <x:row r="12" ht="57" customHeight="1">
      <x:c r="A12" s="2067" t="n">
        <x:v>6</x:v>
      </x:c>
      <x:c r="B12" s="1633" t="str">
        <x:v>검사 실적</x:v>
      </x:c>
      <x:c r="C12" s="1633" t="str">
        <x:v>테스터 ID·검사자 식별</x:v>
      </x:c>
      <x:c r="D12" s="1633" t="str">
        <x:v>설비 ID·사용자ID 또는 근무조/작업기록 등 연결 대사; 정보가 없으면 대체 근거 기술</x:v>
      </x:c>
      <x:c r="E12" s="1633" t="str">
        <x:v>품질/생산</x:v>
      </x:c>
      <x:c r="F12" s="2024"/>
      <x:c r="G12" s="2024"/>
      <x:c r="H12" s="2024" t="str">
        <x:v>미확인</x:v>
      </x:c>
      <x:c r="I12" s="2024"/>
      <x:c r="J12" s="2024"/>
      <x:c r="K12" s="2078" t="str">
        <x:f>IF(AND(H12="일치",F12&lt;&gt;"",G12&lt;&gt;"",LEFT(TRIM(G12),1)&lt;&gt;"[",I12&lt;&gt;"",J12&lt;&gt;""),"검증완료",IF(H12="불일치","확인부적합","검증대기"))</x:f>
        <x:v>검증대기</x:v>
      </x:c>
      <x:c r="L12" s="2075"/>
    </x:row>
    <x:row r="13" ht="57" customHeight="1">
      <x:c r="A13" s="2067" t="n">
        <x:v>7</x:v>
      </x:c>
      <x:c r="B13" s="1633" t="str">
        <x:v>품질 이상</x:v>
      </x:c>
      <x:c r="C13" s="1633" t="str">
        <x:v>NG 격리·재검사 이력</x:v>
      </x:c>
      <x:c r="D13" s="1633" t="str">
        <x:v>FAIL/ABORT/재시도·재검사 이벤트를 제품/LOT와 연결하고 최종처리 증빙</x:v>
      </x:c>
      <x:c r="E13" s="1633" t="str">
        <x:v>품질/생산</x:v>
      </x:c>
      <x:c r="F13" s="2024"/>
      <x:c r="G13" s="2024"/>
      <x:c r="H13" s="2024" t="str">
        <x:v>미확인</x:v>
      </x:c>
      <x:c r="I13" s="2024"/>
      <x:c r="J13" s="2024"/>
      <x:c r="K13" s="2078" t="str">
        <x:f>IF(AND(H13="일치",F13&lt;&gt;"",G13&lt;&gt;"",LEFT(TRIM(G13),1)&lt;&gt;"[",I13&lt;&gt;"",J13&lt;&gt;""),"검증완료",IF(H13="불일치","확인부적합","검증대기"))</x:f>
        <x:v>검증대기</x:v>
      </x:c>
      <x:c r="L13" s="2075"/>
    </x:row>
    <x:row r="14" ht="57" customHeight="1">
      <x:c r="A14" s="2067" t="n">
        <x:v>8</x:v>
      </x:c>
      <x:c r="B14" s="1633" t="str">
        <x:v>데이터 완전성</x:v>
      </x:c>
      <x:c r="C14" s="1633" t="str">
        <x:v>검사건수 대사·누락 검증</x:v>
      </x:c>
      <x:c r="D14" s="1633" t="str">
        <x:v>검사 이벤트 합계와 OK/NG/무효 이벤트 대조, 실생산 수량과 최종처리 수량 별도 대사</x:v>
      </x:c>
      <x:c r="E14" s="1633" t="str">
        <x:v>품질/생산관리</x:v>
      </x:c>
      <x:c r="F14" s="2024"/>
      <x:c r="G14" s="2024"/>
      <x:c r="H14" s="2024" t="str">
        <x:v>미확인</x:v>
      </x:c>
      <x:c r="I14" s="2024"/>
      <x:c r="J14" s="2024"/>
      <x:c r="K14" s="2078" t="str">
        <x:f>IF(AND(H14="일치",F14&lt;&gt;"",G14&lt;&gt;"",LEFT(TRIM(G14),1)&lt;&gt;"[",I14&lt;&gt;"",J14&lt;&gt;""),"검증완료",IF(H14="불일치","확인부적합","검증대기"))</x:f>
        <x:v>검증대기</x:v>
      </x:c>
      <x:c r="L14" s="2075"/>
    </x:row>
    <x:row r="15" ht="57" customHeight="1">
      <x:c r="A15" s="2067" t="n">
        <x:v>9</x:v>
      </x:c>
      <x:c r="B15" s="1633" t="str">
        <x:v>기록 통제</x:v>
      </x:c>
      <x:c r="C15" s="1633" t="str">
        <x:v>원본 수정·삭제 권한</x:v>
      </x:c>
      <x:c r="D15" s="1633" t="str">
        <x:v>수정/삭제·조건변경 권한 통제, 관리계정·접근기록 또는 대체 통제 근거 확인</x:v>
      </x:c>
      <x:c r="E15" s="1633" t="str">
        <x:v>생산기술/IT</x:v>
      </x:c>
      <x:c r="F15" s="2024"/>
      <x:c r="G15" s="2024"/>
      <x:c r="H15" s="2024" t="str">
        <x:v>미확인</x:v>
      </x:c>
      <x:c r="I15" s="2024"/>
      <x:c r="J15" s="2024"/>
      <x:c r="K15" s="2078" t="str">
        <x:f>IF(AND(H15="일치",F15&lt;&gt;"",G15&lt;&gt;"",LEFT(TRIM(G15),1)&lt;&gt;"[",I15&lt;&gt;"",J15&lt;&gt;""),"검증완료",IF(H15="불일치","확인부적합","검증대기"))</x:f>
        <x:v>검증대기</x:v>
      </x:c>
      <x:c r="L15" s="2075"/>
    </x:row>
    <x:row r="16" ht="57" customHeight="1">
      <x:c r="A16" s="2067" t="n">
        <x:v>10</x:v>
      </x:c>
      <x:c r="B16" s="1633" t="str">
        <x:v>기록 통제</x:v>
      </x:c>
      <x:c r="C16" s="1633" t="str">
        <x:v>전자 원본 백업·복원</x:v>
      </x:c>
      <x:c r="D16" s="1633" t="str">
        <x:v>설비 로컬/서버 파일의 자동/수동 백업 주기와 실제 복원/조회 테스트 기록 확인</x:v>
      </x:c>
      <x:c r="E16" s="1633" t="str">
        <x:v>생산기술/IT</x:v>
      </x:c>
      <x:c r="F16" s="2024"/>
      <x:c r="G16" s="2024"/>
      <x:c r="H16" s="2024" t="str">
        <x:v>미확인</x:v>
      </x:c>
      <x:c r="I16" s="2024"/>
      <x:c r="J16" s="2024"/>
      <x:c r="K16" s="2078" t="str">
        <x:f>IF(AND(H16="일치",F16&lt;&gt;"",G16&lt;&gt;"",LEFT(TRIM(G16),1)&lt;&gt;"[",I16&lt;&gt;"",J16&lt;&gt;""),"검증완료",IF(H16="불일치","확인부적합","검증대기"))</x:f>
        <x:v>검증대기</x:v>
      </x:c>
      <x:c r="L16" s="2075"/>
    </x:row>
    <x:row r="17" ht="57" customHeight="1">
      <x:c r="A17" s="2067" t="n">
        <x:v>11</x:v>
      </x:c>
      <x:c r="B17" s="1633" t="str">
        <x:v>기록 통제</x:v>
      </x:c>
      <x:c r="C17" s="1633" t="str">
        <x:v>사내 기록보존기간·검색성</x:v>
      </x:c>
      <x:c r="D17" s="1633" t="str">
        <x:v>사내/고객 보존요건과 자료 유지기간 대조, 과거 LOT 데이터 실검색 시연</x:v>
      </x:c>
      <x:c r="E17" s="1633" t="str">
        <x:v>품질/IT</x:v>
      </x:c>
      <x:c r="F17" s="2024"/>
      <x:c r="G17" s="2024"/>
      <x:c r="H17" s="2024" t="str">
        <x:v>미확인</x:v>
      </x:c>
      <x:c r="I17" s="2024"/>
      <x:c r="J17" s="2024"/>
      <x:c r="K17" s="2078" t="str">
        <x:f>IF(AND(H17="일치",F17&lt;&gt;"",G17&lt;&gt;"",LEFT(TRIM(G17),1)&lt;&gt;"[",I17&lt;&gt;"",J17&lt;&gt;""),"검증완료",IF(H17="불일치","확인부적합","검증대기"))</x:f>
        <x:v>검증대기</x:v>
      </x:c>
      <x:c r="L17" s="2075"/>
    </x:row>
    <x:row r="18" ht="57" customHeight="1">
      <x:c r="A18" s="2067" t="n">
        <x:v>12</x:v>
      </x:c>
      <x:c r="B18" s="1633" t="str">
        <x:v>측정 신뢰성</x:v>
      </x:c>
      <x:c r="C18" s="1633" t="str">
        <x:v>테스터 점검·검교정/검증</x:v>
      </x:c>
      <x:c r="D18" s="1633" t="str">
        <x:v>테스터 정확도 확인, 마스터/표준누설품 테스트, 주기점검·교정적용성 근거</x:v>
      </x:c>
      <x:c r="E18" s="1633" t="str">
        <x:v>품질/생산기술</x:v>
      </x:c>
      <x:c r="F18" s="2024"/>
      <x:c r="G18" s="2024"/>
      <x:c r="H18" s="2024" t="str">
        <x:v>미확인</x:v>
      </x:c>
      <x:c r="I18" s="2024"/>
      <x:c r="J18" s="2024"/>
      <x:c r="K18" s="2078" t="str">
        <x:f>IF(AND(H18="일치",F18&lt;&gt;"",G18&lt;&gt;"",LEFT(TRIM(G18),1)&lt;&gt;"[",I18&lt;&gt;"",J18&lt;&gt;""),"검증완료",IF(H18="불일치","확인부적합","검증대기"))</x:f>
        <x:v>검증대기</x:v>
      </x:c>
      <x:c r="L18" s="2075"/>
    </x:row>
    <x:row r="19" ht="57" customHeight="1">
      <x:c r="A19" s="2067" t="n">
        <x:v>13</x:v>
      </x:c>
      <x:c r="B19" s="1633" t="str">
        <x:v>현장 대응</x:v>
      </x:c>
      <x:c r="C19" s="1633" t="str">
        <x:v>현장 심사원 전자자료 조회 시연</x:v>
      </x:c>
      <x:c r="D19" s="1633" t="str">
        <x:v>승인된 절차/권한 안에서 원본 조회·LOT 검색·NG 관리 기록 설명 가능 확인</x:v>
      </x:c>
      <x:c r="E19" s="1633" t="str">
        <x:v>품질/현장</x:v>
      </x:c>
      <x:c r="F19" s="2024"/>
      <x:c r="G19" s="2024"/>
      <x:c r="H19" s="2024" t="str">
        <x:v>미확인</x:v>
      </x:c>
      <x:c r="I19" s="2024"/>
      <x:c r="J19" s="2024"/>
      <x:c r="K19" s="2078" t="str">
        <x:f>IF(AND(H19="일치",F19&lt;&gt;"",G19&lt;&gt;"",LEFT(TRIM(G19),1)&lt;&gt;"[",I19&lt;&gt;"",J19&lt;&gt;""),"검증완료",IF(H19="불일치","확인부적합","검증대기"))</x:f>
        <x:v>검증대기</x:v>
      </x:c>
      <x:c r="L19" s="2075"/>
    </x:row>
    <x:row r="20" ht="57" customHeight="1">
      <x:c r="A20" s="2069" t="n">
        <x:v>14</x:v>
      </x:c>
      <x:c r="B20" s="2070" t="str">
        <x:v>보안</x:v>
      </x:c>
      <x:c r="C20" s="2070" t="str">
        <x:v>외부 반출 없이 사내 열람</x:v>
      </x:c>
      <x:c r="D20" s="2070" t="str">
        <x:v>고객 품번·검사프로그램·실측값이 기밀이면 사내 화면/허용된 출력·마스킹 방식으로 제시</x:v>
      </x:c>
      <x:c r="E20" s="2070" t="str">
        <x:v>품질/보안</x:v>
      </x:c>
      <x:c r="F20" s="2073"/>
      <x:c r="G20" s="2073"/>
      <x:c r="H20" s="2073" t="str">
        <x:v>미확인</x:v>
      </x:c>
      <x:c r="I20" s="2073"/>
      <x:c r="J20" s="2073"/>
      <x:c r="K20" s="2079" t="str">
        <x:f>IF(AND(H20="일치",F20&lt;&gt;"",G20&lt;&gt;"",LEFT(TRIM(G20),1)&lt;&gt;"[",I20&lt;&gt;"",J20&lt;&gt;""),"검증완료",IF(H20="불일치","확인부적합","검증대기"))</x:f>
        <x:v>검증대기</x:v>
      </x:c>
      <x:c r="L20" s="2076"/>
    </x:row>
  </x:sheetData>
  <x:mergeCells>
    <x:mergeCell ref="A1:L2"/>
    <x:mergeCell ref="A3:L4"/>
  </x:mergeCells>
  <x:conditionalFormatting sqref="K7:K20">
    <x:cfRule type="expression" dxfId="64" priority="1">
      <x:formula>K7="검증완료"</x:formula>
    </x:cfRule>
    <x:cfRule type="expression" dxfId="65" priority="2">
      <x:formula>K7="확인부적합"</x:formula>
    </x:cfRule>
  </x:conditionalFormatting>
  <x:dataValidations count="1">
    <x:dataValidation type="list" sqref="H7:H20">
      <x:formula1>"미확인,일치,불일치"</x:formula1>
    </x:dataValidation>
  </x:dataValidations>
  <x:pageMargins left="0.7" right="0.7" top="0.75" bottom="0.75" header="0.3" footer="0.3"/>
</x:worksheet>
</file>

<file path=xl/worksheets/sheet38.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hidden="0" customWidth="1"/>
    <x:col min="2" max="2" width="20" hidden="0" customWidth="1"/>
    <x:col min="3" max="3" width="23" hidden="0" customWidth="1"/>
    <x:col min="4" max="4" width="21" hidden="0" customWidth="1"/>
    <x:col min="5" max="5" width="20" hidden="0" customWidth="1"/>
    <x:col min="6" max="6" width="27" hidden="0" customWidth="1"/>
    <x:col min="7" max="7" width="28" hidden="0" customWidth="1"/>
    <x:col min="8" max="8" width="20" hidden="0" customWidth="1"/>
    <x:col min="9" max="9" width="20" hidden="0" customWidth="1"/>
    <x:col min="10" max="10" width="48" hidden="0" customWidth="1"/>
    <x:col min="11" max="11" width="18" hidden="0" customWidth="1"/>
    <x:col min="12" max="12" width="18" hidden="0" customWidth="1"/>
    <x:col min="13" max="13" width="18" hidden="0" customWidth="1"/>
    <x:col min="14" max="14" width="21" hidden="0" customWidth="1"/>
    <x:col min="15" max="15" width="25" hidden="0" customWidth="1"/>
    <x:col min="16" max="16" width="23" hidden="0" customWidth="1"/>
    <x:col min="17" max="17" width="24" hidden="0" customWidth="1"/>
    <x:col min="18" max="18" width="24" hidden="0" customWidth="1"/>
    <x:col min="19" max="19" width="22" hidden="0" customWidth="1"/>
    <x:col min="20" max="20" width="22" hidden="0" customWidth="1"/>
    <x:col min="21" max="21" width="23" hidden="0" customWidth="1"/>
    <x:col min="22" max="22" width="23" hidden="0" customWidth="1"/>
    <x:col min="23" max="23" width="18" hidden="0" customWidth="1"/>
    <x:col min="24" max="24" width="17" hidden="0" customWidth="1"/>
    <x:col min="25" max="25" width="24" hidden="0" customWidth="1"/>
    <x:col min="26" max="26" width="51" hidden="0" customWidth="1"/>
  </x:cols>
  <x:sheetData>
    <x:row r="1">
      <x:c r="A1" s="2029" t="str">
        <x:v>Rev.09 | 2동 에어 리크 테스트기 전자 원본로그 — 품번별 실제 LOT 대사</x:v>
      </x:c>
      <x:c r="B1" s="2029"/>
      <x:c r="C1" s="2029"/>
      <x:c r="D1" s="2029"/>
      <x:c r="E1" s="2029"/>
      <x:c r="F1" s="2029"/>
      <x:c r="G1" s="2029"/>
      <x:c r="H1" s="2029"/>
      <x:c r="I1" s="2029"/>
      <x:c r="J1" s="2029"/>
      <x:c r="K1" s="2029"/>
      <x:c r="L1" s="2029"/>
      <x:c r="M1" s="2029"/>
      <x:c r="N1" s="2029"/>
      <x:c r="O1" s="2029"/>
      <x:c r="P1" s="2029"/>
      <x:c r="Q1" s="2029"/>
      <x:c r="R1" s="2029"/>
      <x:c r="S1" s="2029"/>
      <x:c r="T1" s="2029"/>
      <x:c r="U1" s="2029"/>
      <x:c r="V1" s="2029"/>
      <x:c r="W1" s="2029"/>
      <x:c r="X1" s="2029"/>
      <x:c r="Y1" s="2029"/>
      <x:c r="Z1" s="2029"/>
    </x:row>
    <x:row r="2">
      <x:c r="A2" s="2029"/>
      <x:c r="B2" s="2029"/>
      <x:c r="C2" s="2029"/>
      <x:c r="D2" s="2029"/>
      <x:c r="E2" s="2029"/>
      <x:c r="F2" s="2029"/>
      <x:c r="G2" s="2029"/>
      <x:c r="H2" s="2029"/>
      <x:c r="I2" s="2029"/>
      <x:c r="J2" s="2029"/>
      <x:c r="K2" s="2029"/>
      <x:c r="L2" s="2029"/>
      <x:c r="M2" s="2029"/>
      <x:c r="N2" s="2029"/>
      <x:c r="O2" s="2029"/>
      <x:c r="P2" s="2029"/>
      <x:c r="Q2" s="2029"/>
      <x:c r="R2" s="2029"/>
      <x:c r="S2" s="2029"/>
      <x:c r="T2" s="2029"/>
      <x:c r="U2" s="2029"/>
      <x:c r="V2" s="2029"/>
      <x:c r="W2" s="2029"/>
      <x:c r="X2" s="2029"/>
      <x:c r="Y2" s="2029"/>
      <x:c r="Z2" s="2029"/>
    </x:row>
    <x:row r="3">
      <x:c r="A3" s="2044" t="str">
        <x:v>두 품번별 실제 생산 LOT 데이터를 사내에서 조회하여 입력합니다(임의 샘플 숫자 금지). 검사 이벤트수=PASS+FAIL+중단 등 '검사 이벤트' 합계, 제품수량=최종 합격+불합격+보류 등 '고유 제품 수' 합계로 서로 구분합니다. 재검사는 이벤트수가 제품수보다 많을 수 있으므로 총 검사횟수와 제품 수를 단순 비교하지 마십시오. 고객기밀 로그는 외부 업로드하지 않고 사내 파일 위치·검토자·일자만 기록하십시오.</x:v>
      </x:c>
      <x:c r="B3" s="2045"/>
      <x:c r="C3" s="2045"/>
      <x:c r="D3" s="2045"/>
      <x:c r="E3" s="2045"/>
      <x:c r="F3" s="2045"/>
      <x:c r="G3" s="2045"/>
      <x:c r="H3" s="2045"/>
      <x:c r="I3" s="2045"/>
      <x:c r="J3" s="2045"/>
      <x:c r="K3" s="2045"/>
      <x:c r="L3" s="2045"/>
      <x:c r="M3" s="2045"/>
      <x:c r="N3" s="2045"/>
      <x:c r="O3" s="2045"/>
      <x:c r="P3" s="2045"/>
      <x:c r="Q3" s="2045"/>
      <x:c r="R3" s="2045"/>
      <x:c r="S3" s="2045"/>
      <x:c r="T3" s="2045"/>
      <x:c r="U3" s="2045"/>
      <x:c r="V3" s="2045"/>
      <x:c r="W3" s="2045"/>
      <x:c r="X3" s="2045"/>
      <x:c r="Y3" s="2045"/>
      <x:c r="Z3" s="2046"/>
    </x:row>
    <x:row r="4">
      <x:c r="A4" s="2047"/>
      <x:c r="B4" s="2048"/>
      <x:c r="C4" s="2048"/>
      <x:c r="D4" s="2048"/>
      <x:c r="E4" s="2048"/>
      <x:c r="F4" s="2048"/>
      <x:c r="G4" s="2048"/>
      <x:c r="H4" s="2048"/>
      <x:c r="I4" s="2048"/>
      <x:c r="J4" s="2048"/>
      <x:c r="K4" s="2048"/>
      <x:c r="L4" s="2048"/>
      <x:c r="M4" s="2048"/>
      <x:c r="N4" s="2048"/>
      <x:c r="O4" s="2048"/>
      <x:c r="P4" s="2048"/>
      <x:c r="Q4" s="2048"/>
      <x:c r="R4" s="2048"/>
      <x:c r="S4" s="2048"/>
      <x:c r="T4" s="2048"/>
      <x:c r="U4" s="2048"/>
      <x:c r="V4" s="2048"/>
      <x:c r="W4" s="2048"/>
      <x:c r="X4" s="2048"/>
      <x:c r="Y4" s="2048"/>
      <x:c r="Z4" s="2049"/>
    </x:row>
    <x:row r="6" ht="38" customHeight="1">
      <x:c r="A6" s="2061" t="str">
        <x:v>번호</x:v>
      </x:c>
      <x:c r="B6" s="2062" t="str">
        <x:v>대상품번</x:v>
      </x:c>
      <x:c r="C6" s="2062" t="str">
        <x:v>검사공정/방식</x:v>
      </x:c>
      <x:c r="D6" s="2062" t="str">
        <x:v>기밀검사기 ID</x:v>
      </x:c>
      <x:c r="E6" s="2062" t="str">
        <x:v>프로그램/Rev</x:v>
      </x:c>
      <x:c r="F6" s="2062" t="str">
        <x:v>6동 가공·2동 용접 LOT</x:v>
      </x:c>
      <x:c r="G6" s="2062" t="str">
        <x:v>검사 LOT / 제품연계키</x:v>
      </x:c>
      <x:c r="H6" s="2062" t="str">
        <x:v>원본 로그 시작</x:v>
      </x:c>
      <x:c r="I6" s="2062" t="str">
        <x:v>원본 로그 종료</x:v>
      </x:c>
      <x:c r="J6" s="2062" t="str">
        <x:v>원본데이터 위치/파일</x:v>
      </x:c>
      <x:c r="K6" s="2062" t="str">
        <x:v>검사 이벤트수</x:v>
      </x:c>
      <x:c r="L6" s="2062" t="str">
        <x:v>PASS 이벤트수</x:v>
      </x:c>
      <x:c r="M6" s="2062" t="str">
        <x:v>FAIL 이벤트수</x:v>
      </x:c>
      <x:c r="N6" s="2062" t="str">
        <x:v>무효/중단 이벤트수</x:v>
      </x:c>
      <x:c r="O6" s="2062" t="str">
        <x:v>검사 이벤트수 대사(자동)</x:v>
      </x:c>
      <x:c r="P6" s="2062" t="str">
        <x:v>해당 LOT 검사투입 제품수</x:v>
      </x:c>
      <x:c r="Q6" s="2062" t="str">
        <x:v>최종 합격 제품수</x:v>
      </x:c>
      <x:c r="R6" s="2062" t="str">
        <x:v>최종 불합격 제품수</x:v>
      </x:c>
      <x:c r="S6" s="2062" t="str">
        <x:v>최종 보류 제품수</x:v>
      </x:c>
      <x:c r="T6" s="2062" t="str">
        <x:v>실물수량 대사(자동)</x:v>
      </x:c>
      <x:c r="U6" s="2062" t="str">
        <x:v>재검사·NG 추적(입력)</x:v>
      </x:c>
      <x:c r="V6" s="2062" t="str">
        <x:v>원본 검색 재현(입력)</x:v>
      </x:c>
      <x:c r="W6" s="2062" t="str">
        <x:v>확인자</x:v>
      </x:c>
      <x:c r="X6" s="2062" t="str">
        <x:v>확인일</x:v>
      </x:c>
      <x:c r="Y6" s="2062" t="str">
        <x:v>자동 실증판정</x:v>
      </x:c>
      <x:c r="Z6" s="2063" t="str">
        <x:v>보완/특이사항</x:v>
      </x:c>
    </x:row>
    <x:row r="7" ht="64" customHeight="1">
      <x:c r="A7" s="2064" t="n">
        <x:v>1</x:v>
      </x:c>
      <x:c r="B7" s="2065" t="str">
        <x:v>FA1A8HRAAC</x:v>
      </x:c>
      <x:c r="C7" s="2065" t="str">
        <x:v>2동 에어 리크 테스트기</x:v>
      </x:c>
      <x:c r="D7" s="2072"/>
      <x:c r="E7" s="2072"/>
      <x:c r="F7" s="2072"/>
      <x:c r="G7" s="2072"/>
      <x:c r="H7" s="2072"/>
      <x:c r="I7" s="2072"/>
      <x:c r="J7" s="2072"/>
      <x:c r="K7" s="2072"/>
      <x:c r="L7" s="2072"/>
      <x:c r="M7" s="2072"/>
      <x:c r="N7" s="2072"/>
      <x:c r="O7" s="2077" t="str">
        <x:f>IF(COUNT(K7:N7)&lt;4,"검증대기",IF(AND(MIN(K7:N7)&gt;=0,K7=SUM(L7:N7)),"일치","불일치"))</x:f>
        <x:v>검증대기</x:v>
      </x:c>
      <x:c r="P7" s="2072"/>
      <x:c r="Q7" s="2072"/>
      <x:c r="R7" s="2072"/>
      <x:c r="S7" s="2072"/>
      <x:c r="T7" s="2077" t="str">
        <x:f>IF(COUNT(P7:S7)&lt;4,"검증대기",IF(AND(MIN(P7:S7)&gt;=0,P7=SUM(Q7:S7)),"일치","불일치"))</x:f>
        <x:v>검증대기</x:v>
      </x:c>
      <x:c r="U7" s="2072" t="str">
        <x:v>미확인</x:v>
      </x:c>
      <x:c r="V7" s="2072" t="str">
        <x:v>미확인</x:v>
      </x:c>
      <x:c r="W7" s="2072"/>
      <x:c r="X7" s="2072"/>
      <x:c r="Y7" s="2077" t="str">
        <x:f>IF(OR(O7="불일치",T7="불일치"),"수량불일치",IF(AND(D7&lt;&gt;"",E7&lt;&gt;"",F7&lt;&gt;"",G7&lt;&gt;"",H7&lt;&gt;"",I7&lt;&gt;"",J7&lt;&gt;"",LEFT(TRIM(J7),1)&lt;&gt;"[",O7="일치",T7="일치",U7="확인",V7="확인",W7&lt;&gt;"",X7&lt;&gt;""),"전자로그 실증완료","검증대기"))</x:f>
        <x:v>검증대기</x:v>
      </x:c>
      <x:c r="Z7" s="2074" t="str">
        <x:v>원본 사내 조회 및 검증 대기; 검사설비 ID·로그포맷·원자료는 사용자 미제공</x:v>
      </x:c>
    </x:row>
    <x:row r="8" ht="64" customHeight="1">
      <x:c r="A8" s="2069" t="n">
        <x:v>2</x:v>
      </x:c>
      <x:c r="B8" s="2070" t="str">
        <x:v>FA1A8HRAAD</x:v>
      </x:c>
      <x:c r="C8" s="2070" t="str">
        <x:v>2동 에어 리크 테스트기</x:v>
      </x:c>
      <x:c r="D8" s="2073"/>
      <x:c r="E8" s="2073"/>
      <x:c r="F8" s="2073"/>
      <x:c r="G8" s="2073"/>
      <x:c r="H8" s="2073"/>
      <x:c r="I8" s="2073"/>
      <x:c r="J8" s="2073"/>
      <x:c r="K8" s="2073"/>
      <x:c r="L8" s="2073"/>
      <x:c r="M8" s="2073"/>
      <x:c r="N8" s="2073"/>
      <x:c r="O8" s="2079" t="str">
        <x:f>IF(COUNT(K8:N8)&lt;4,"검증대기",IF(AND(MIN(K8:N8)&gt;=0,K8=SUM(L8:N8)),"일치","불일치"))</x:f>
        <x:v>검증대기</x:v>
      </x:c>
      <x:c r="P8" s="2073"/>
      <x:c r="Q8" s="2073"/>
      <x:c r="R8" s="2073"/>
      <x:c r="S8" s="2073"/>
      <x:c r="T8" s="2079" t="str">
        <x:f>IF(COUNT(P8:S8)&lt;4,"검증대기",IF(AND(MIN(P8:S8)&gt;=0,P8=SUM(Q8:S8)),"일치","불일치"))</x:f>
        <x:v>검증대기</x:v>
      </x:c>
      <x:c r="U8" s="2073" t="str">
        <x:v>미확인</x:v>
      </x:c>
      <x:c r="V8" s="2073" t="str">
        <x:v>미확인</x:v>
      </x:c>
      <x:c r="W8" s="2073"/>
      <x:c r="X8" s="2073"/>
      <x:c r="Y8" s="2079" t="str">
        <x:f>IF(OR(O8="불일치",T8="불일치"),"수량불일치",IF(AND(D8&lt;&gt;"",E8&lt;&gt;"",F8&lt;&gt;"",G8&lt;&gt;"",H8&lt;&gt;"",I8&lt;&gt;"",J8&lt;&gt;"",LEFT(TRIM(J8),1)&lt;&gt;"[",O8="일치",T8="일치",U8="확인",V8="확인",W8&lt;&gt;"",X8&lt;&gt;""),"전자로그 실증완료","검증대기"))</x:f>
        <x:v>검증대기</x:v>
      </x:c>
      <x:c r="Z8" s="2076" t="str">
        <x:v>원본 사내 조회 및 검증 대기; 검사설비 ID·로그포맷·원자료는 사용자 미제공</x:v>
      </x:c>
    </x:row>
    <x:row r="11">
      <x:c r="A11" s="2098" t="str">
        <x:v>수량 대사 원칙: 동일 제품이 최초 FAIL 후 재검사 PASS로 바뀐 경우 검사 이벤트 2건, 실제 제품 1개일 수 있습니다. 따라서 검사 이벤트 수(K=L+M+N)와 최종 제품 수(P=Q+R+S)를 각각 대조합니다. 동간 가공/브레이징/검사 LOT 연결키가 불명확하면 ‘검증대기’로 둡니다. FA1A8HRAAD는 AD 전개 표기이므로 사내 승인 도면/ERP 철자 검증 후 최종 확정합니다.</x:v>
      </x:c>
      <x:c r="B11" s="2099"/>
      <x:c r="C11" s="2099"/>
      <x:c r="D11" s="2099"/>
      <x:c r="E11" s="2099"/>
      <x:c r="F11" s="2099"/>
      <x:c r="G11" s="2099"/>
      <x:c r="H11" s="2099"/>
      <x:c r="I11" s="2099"/>
      <x:c r="J11" s="2099"/>
      <x:c r="K11" s="2099"/>
      <x:c r="L11" s="2099"/>
      <x:c r="M11" s="2099"/>
      <x:c r="N11" s="2099"/>
      <x:c r="O11" s="2099"/>
      <x:c r="P11" s="2099"/>
      <x:c r="Q11" s="2099"/>
      <x:c r="R11" s="2099"/>
      <x:c r="S11" s="2099"/>
      <x:c r="T11" s="2099"/>
      <x:c r="U11" s="2099"/>
      <x:c r="V11" s="2099"/>
      <x:c r="W11" s="2099"/>
      <x:c r="X11" s="2099"/>
      <x:c r="Y11" s="2099"/>
      <x:c r="Z11" s="2100"/>
    </x:row>
    <x:row r="12">
      <x:c r="A12" s="2101"/>
      <x:c r="B12" s="2102"/>
      <x:c r="C12" s="2102"/>
      <x:c r="D12" s="2102"/>
      <x:c r="E12" s="2102"/>
      <x:c r="F12" s="2102"/>
      <x:c r="G12" s="2102"/>
      <x:c r="H12" s="2102"/>
      <x:c r="I12" s="2102"/>
      <x:c r="J12" s="2102"/>
      <x:c r="K12" s="2102"/>
      <x:c r="L12" s="2102"/>
      <x:c r="M12" s="2102"/>
      <x:c r="N12" s="2102"/>
      <x:c r="O12" s="2102"/>
      <x:c r="P12" s="2102"/>
      <x:c r="Q12" s="2102"/>
      <x:c r="R12" s="2102"/>
      <x:c r="S12" s="2102"/>
      <x:c r="T12" s="2102"/>
      <x:c r="U12" s="2102"/>
      <x:c r="V12" s="2102"/>
      <x:c r="W12" s="2102"/>
      <x:c r="X12" s="2102"/>
      <x:c r="Y12" s="2102"/>
      <x:c r="Z12" s="2103"/>
    </x:row>
    <x:row r="13">
      <x:c r="A13" s="2104"/>
      <x:c r="B13" s="2105"/>
      <x:c r="C13" s="2105"/>
      <x:c r="D13" s="2105"/>
      <x:c r="E13" s="2105"/>
      <x:c r="F13" s="2105"/>
      <x:c r="G13" s="2105"/>
      <x:c r="H13" s="2105"/>
      <x:c r="I13" s="2105"/>
      <x:c r="J13" s="2105"/>
      <x:c r="K13" s="2105"/>
      <x:c r="L13" s="2105"/>
      <x:c r="M13" s="2105"/>
      <x:c r="N13" s="2105"/>
      <x:c r="O13" s="2105"/>
      <x:c r="P13" s="2105"/>
      <x:c r="Q13" s="2105"/>
      <x:c r="R13" s="2105"/>
      <x:c r="S13" s="2105"/>
      <x:c r="T13" s="2105"/>
      <x:c r="U13" s="2105"/>
      <x:c r="V13" s="2105"/>
      <x:c r="W13" s="2105"/>
      <x:c r="X13" s="2105"/>
      <x:c r="Y13" s="2105"/>
      <x:c r="Z13" s="2106"/>
    </x:row>
  </x:sheetData>
  <x:mergeCells>
    <x:mergeCell ref="A1:Z2"/>
    <x:mergeCell ref="A3:Z4"/>
    <x:mergeCell ref="A11:Z13"/>
  </x:mergeCells>
  <x:conditionalFormatting sqref="Y7:Y8">
    <x:cfRule type="expression" dxfId="66" priority="1">
      <x:formula>Y7="전자로그 실증완료"</x:formula>
    </x:cfRule>
    <x:cfRule type="expression" dxfId="67" priority="2">
      <x:formula>Y7="수량불일치"</x:formula>
    </x:cfRule>
  </x:conditionalFormatting>
  <x:dataValidations count="2">
    <x:dataValidation type="list" sqref="U7:U8">
      <x:formula1>"미확인,확인,불일치"</x:formula1>
    </x:dataValidation>
    <x:dataValidation type="list" sqref="V7:V8">
      <x:formula1>"미확인,확인,불일치"</x:formula1>
    </x:dataValidation>
  </x:dataValidations>
  <x:pageMargins left="0.7" right="0.7" top="0.75" bottom="0.75" header="0.3" footer="0.3"/>
</x:worksheet>
</file>

<file path=xl/worksheets/sheet39.xml><?xml version="1.0" encoding="utf-8"?>
<x:worksheet xmlns:x="http://schemas.openxmlformats.org/spreadsheetml/2006/main">
  <x:sheetViews>
    <x:sheetView workbookViewId="0">
      <x:pane ySplit="6" topLeftCell="A7" activePane="bottomLeft" state="frozen"/>
    </x:sheetView>
  </x:sheetViews>
  <x:sheetFormatPr defaultRowHeight="15"/>
  <x:cols>
    <x:col min="1" max="1" width="8" hidden="0" customWidth="1"/>
    <x:col min="2" max="2" width="18" hidden="0" customWidth="1"/>
    <x:col min="3" max="3" width="22" hidden="0" customWidth="1"/>
    <x:col min="4" max="4" width="70" hidden="0" customWidth="1"/>
    <x:col min="5" max="5" width="34" hidden="0" customWidth="1"/>
    <x:col min="6" max="6" width="49" hidden="0" customWidth="1"/>
    <x:col min="7" max="7" width="19" hidden="0" customWidth="1"/>
    <x:col min="8" max="8" width="19" hidden="0" customWidth="1"/>
    <x:col min="9" max="9" width="18" hidden="0" customWidth="1"/>
    <x:col min="10" max="10" width="41" hidden="0" customWidth="1"/>
    <x:col min="11" max="11" width="20" hidden="0" customWidth="1"/>
    <x:col min="12" max="12" width="47" hidden="0" customWidth="1"/>
  </x:cols>
  <x:sheetData>
    <x:row r="1">
      <x:c r="A1" s="2029" t="str">
        <x:v>Rev.09 | 한온 SQ 사전심사 전자검사 원본데이터 조회 시연</x:v>
      </x:c>
      <x:c r="B1" s="2029"/>
      <x:c r="C1" s="2029"/>
      <x:c r="D1" s="2029"/>
      <x:c r="E1" s="2029"/>
      <x:c r="F1" s="2029"/>
      <x:c r="G1" s="2029"/>
      <x:c r="H1" s="2029"/>
      <x:c r="I1" s="2029"/>
      <x:c r="J1" s="2029"/>
      <x:c r="K1" s="2029"/>
      <x:c r="L1" s="2029"/>
    </x:row>
    <x:row r="2">
      <x:c r="A2" s="2029"/>
      <x:c r="B2" s="2029"/>
      <x:c r="C2" s="2029"/>
      <x:c r="D2" s="2029"/>
      <x:c r="E2" s="2029"/>
      <x:c r="F2" s="2029"/>
      <x:c r="G2" s="2029"/>
      <x:c r="H2" s="2029"/>
      <x:c r="I2" s="2029"/>
      <x:c r="J2" s="2029"/>
      <x:c r="K2" s="2029"/>
      <x:c r="L2" s="2029"/>
    </x:row>
    <x:row r="3">
      <x:c r="A3" s="2044" t="str">
        <x:v>2동 에어 리크 테스트기 데이터 보관·조회 체계의 사전 시연입니다. 아래 순서는 심사 준비를 위한 내부 권장 항목이며 한온의 별도 공식 필수 체크리스트로 단정하지 않습니다. 화면·고객기밀 파일은 외부에 공유하지 않고 적합 결과와 사내 파일위치만 관리합니다.</x:v>
      </x:c>
      <x:c r="B3" s="2045"/>
      <x:c r="C3" s="2045"/>
      <x:c r="D3" s="2045"/>
      <x:c r="E3" s="2045"/>
      <x:c r="F3" s="2045"/>
      <x:c r="G3" s="2045"/>
      <x:c r="H3" s="2045"/>
      <x:c r="I3" s="2045"/>
      <x:c r="J3" s="2045"/>
      <x:c r="K3" s="2045"/>
      <x:c r="L3" s="2046"/>
    </x:row>
    <x:row r="4">
      <x:c r="A4" s="2047"/>
      <x:c r="B4" s="2048"/>
      <x:c r="C4" s="2048"/>
      <x:c r="D4" s="2048"/>
      <x:c r="E4" s="2048"/>
      <x:c r="F4" s="2048"/>
      <x:c r="G4" s="2048"/>
      <x:c r="H4" s="2048"/>
      <x:c r="I4" s="2048"/>
      <x:c r="J4" s="2048"/>
      <x:c r="K4" s="2048"/>
      <x:c r="L4" s="2049"/>
    </x:row>
    <x:row r="6" ht="38" customHeight="1">
      <x:c r="A6" s="2061" t="str">
        <x:v>순서</x:v>
      </x:c>
      <x:c r="B6" s="2062" t="str">
        <x:v>시연 단계</x:v>
      </x:c>
      <x:c r="C6" s="2062" t="str">
        <x:v>담당(안)</x:v>
      </x:c>
      <x:c r="D6" s="2062" t="str">
        <x:v>현장 시연 질문·조치</x:v>
      </x:c>
      <x:c r="E6" s="2062" t="str">
        <x:v>대조 대상</x:v>
      </x:c>
      <x:c r="F6" s="2062" t="str">
        <x:v>실제 화면/사내 경로(입력)</x:v>
      </x:c>
      <x:c r="G6" s="2062" t="str">
        <x:v>시연 결과(입력)</x:v>
      </x:c>
      <x:c r="H6" s="2062" t="str">
        <x:v>시연자(입력)</x:v>
      </x:c>
      <x:c r="I6" s="2062" t="str">
        <x:v>시연일(입력)</x:v>
      </x:c>
      <x:c r="J6" s="2062" t="str">
        <x:v>미흡/재확인(입력)</x:v>
      </x:c>
      <x:c r="K6" s="2062" t="str">
        <x:v>자동 검증상태</x:v>
      </x:c>
      <x:c r="L6" s="2063" t="str">
        <x:v>고객기밀/유의사항</x:v>
      </x:c>
    </x:row>
    <x:row r="7" ht="61" customHeight="1">
      <x:c r="A7" s="2064" t="n">
        <x:v>1</x:v>
      </x:c>
      <x:c r="B7" s="2065" t="str">
        <x:v>설비 ID</x:v>
      </x:c>
      <x:c r="C7" s="2065" t="str">
        <x:v>품질/생산기술</x:v>
      </x:c>
      <x:c r="D7" s="2065" t="str">
        <x:v>2동 기밀시험기 명판·설비대장·프로그램 번호를 연결할 수 있는가?</x:v>
      </x:c>
      <x:c r="E7" s="2065" t="str">
        <x:v>실물 명판/설비대장/프로그램</x:v>
      </x:c>
      <x:c r="F7" s="2072"/>
      <x:c r="G7" s="2072" t="str">
        <x:v>미확인</x:v>
      </x:c>
      <x:c r="H7" s="2072"/>
      <x:c r="I7" s="2072"/>
      <x:c r="J7" s="2072"/>
      <x:c r="K7" s="2077" t="str">
        <x:f>IF(AND(F7&lt;&gt;"",LEFT(TRIM(F7),1)&lt;&gt;"[",G7="적합",H7&lt;&gt;"",I7&lt;&gt;""),"시연완료",IF(G7="부적합","개선필요","미확인"))</x:f>
        <x:v>미확인</x:v>
      </x:c>
      <x:c r="L7" s="2066" t="str">
        <x:v>브레이징 자동2호기와 검사기 ID 혼동 방지</x:v>
      </x:c>
    </x:row>
    <x:row r="8" ht="61" customHeight="1">
      <x:c r="A8" s="2067" t="n">
        <x:v>2</x:v>
      </x:c>
      <x:c r="B8" s="1633" t="str">
        <x:v>품번 검색</x:v>
      </x:c>
      <x:c r="C8" s="1633" t="str">
        <x:v>품질/검사원</x:v>
      </x:c>
      <x:c r="D8" s="1633" t="str">
        <x:v>FA1A8HRAAC/AD 대표품번을 실제 로그 또는 LOT 대응대장에서 조회할 수 있는가?</x:v>
      </x:c>
      <x:c r="E8" s="1633" t="str">
        <x:v>전자 원본로그/연계 표</x:v>
      </x:c>
      <x:c r="F8" s="2024"/>
      <x:c r="G8" s="2024" t="str">
        <x:v>미확인</x:v>
      </x:c>
      <x:c r="H8" s="2024"/>
      <x:c r="I8" s="2024"/>
      <x:c r="J8" s="2024"/>
      <x:c r="K8" s="2078" t="str">
        <x:f>IF(AND(F8&lt;&gt;"",LEFT(TRIM(F8),1)&lt;&gt;"[",G8="적합",H8&lt;&gt;"",I8&lt;&gt;""),"시연완료",IF(G8="부적합","개선필요","미확인"))</x:f>
        <x:v>미확인</x:v>
      </x:c>
      <x:c r="L8" s="2068" t="str">
        <x:v>원본 품번 전개 철자 사내확인</x:v>
      </x:c>
    </x:row>
    <x:row r="9" ht="61" customHeight="1">
      <x:c r="A9" s="2067" t="n">
        <x:v>3</x:v>
      </x:c>
      <x:c r="B9" s="1633" t="str">
        <x:v>LOT/시각 검색</x:v>
      </x:c>
      <x:c r="C9" s="1633" t="str">
        <x:v>품질/검사원</x:v>
      </x:c>
      <x:c r="D9" s="1633" t="str">
        <x:v>실제 생산 LOT·검사일시로 원본 로그 범위를 좁혀 재현할 수 있는가?</x:v>
      </x:c>
      <x:c r="E9" s="1633" t="str">
        <x:v>검사 원본로그/생산일보</x:v>
      </x:c>
      <x:c r="F9" s="2024"/>
      <x:c r="G9" s="2024" t="str">
        <x:v>미확인</x:v>
      </x:c>
      <x:c r="H9" s="2024"/>
      <x:c r="I9" s="2024"/>
      <x:c r="J9" s="2024"/>
      <x:c r="K9" s="2078" t="str">
        <x:f>IF(AND(F9&lt;&gt;"",LEFT(TRIM(F9),1)&lt;&gt;"[",G9="적합",H9&lt;&gt;"",I9&lt;&gt;""),"시연완료",IF(G9="부적합","개선필요","미확인"))</x:f>
        <x:v>미확인</x:v>
      </x:c>
      <x:c r="L9" s="2068" t="str">
        <x:v>동간 LOT 식별 확인</x:v>
      </x:c>
    </x:row>
    <x:row r="10" ht="61" customHeight="1">
      <x:c r="A10" s="2067" t="n">
        <x:v>4</x:v>
      </x:c>
      <x:c r="B10" s="1633" t="str">
        <x:v>조건 대조</x:v>
      </x:c>
      <x:c r="C10" s="1633" t="str">
        <x:v>품질/생산기술</x:v>
      </x:c>
      <x:c r="D10" s="1633" t="str">
        <x:v>승인 누설시험압력·시간·판정한도와 프로그램 조건이 일치하는가?</x:v>
      </x:c>
      <x:c r="E10" s="1633" t="str">
        <x:v>승인 기준/프로그램/원본 로그</x:v>
      </x:c>
      <x:c r="F10" s="2024"/>
      <x:c r="G10" s="2024" t="str">
        <x:v>미확인</x:v>
      </x:c>
      <x:c r="H10" s="2024"/>
      <x:c r="I10" s="2024"/>
      <x:c r="J10" s="2024"/>
      <x:c r="K10" s="2078" t="str">
        <x:f>IF(AND(F10&lt;&gt;"",LEFT(TRIM(F10),1)&lt;&gt;"[",G10="적합",H10&lt;&gt;"",I10&lt;&gt;""),"시연완료",IF(G10="부적합","개선필요","미확인"))</x:f>
        <x:v>미확인</x:v>
      </x:c>
      <x:c r="L10" s="2068" t="str">
        <x:v>고객 비밀 승인조건 외부 기재 금지</x:v>
      </x:c>
    </x:row>
    <x:row r="11" ht="61" customHeight="1">
      <x:c r="A11" s="2067" t="n">
        <x:v>5</x:v>
      </x:c>
      <x:c r="B11" s="1633" t="str">
        <x:v>실측·PASS/FAIL</x:v>
      </x:c>
      <x:c r="C11" s="1633" t="str">
        <x:v>품질/검사원</x:v>
      </x:c>
      <x:c r="D11" s="1633" t="str">
        <x:v>실제 측정값(단위)과 OK/NG 자동판정 및 오류·중단 이력이 확인되는가?</x:v>
      </x:c>
      <x:c r="E11" s="1633" t="str">
        <x:v>원본 로그 화면/원시값</x:v>
      </x:c>
      <x:c r="F11" s="2024"/>
      <x:c r="G11" s="2024" t="str">
        <x:v>미확인</x:v>
      </x:c>
      <x:c r="H11" s="2024"/>
      <x:c r="I11" s="2024"/>
      <x:c r="J11" s="2024"/>
      <x:c r="K11" s="2078" t="str">
        <x:f>IF(AND(F11&lt;&gt;"",LEFT(TRIM(F11),1)&lt;&gt;"[",G11="적합",H11&lt;&gt;"",I11&lt;&gt;""),"시연완료",IF(G11="부적합","개선필요","미확인"))</x:f>
        <x:v>미확인</x:v>
      </x:c>
      <x:c r="L11" s="2068" t="str">
        <x:v>상태만 있고 실측값이 없다면 공백 명시</x:v>
      </x:c>
    </x:row>
    <x:row r="12" ht="61" customHeight="1">
      <x:c r="A12" s="2067" t="n">
        <x:v>6</x:v>
      </x:c>
      <x:c r="B12" s="1633" t="str">
        <x:v>NG/재검사</x:v>
      </x:c>
      <x:c r="C12" s="1633" t="str">
        <x:v>품질/생산</x:v>
      </x:c>
      <x:c r="D12" s="1633" t="str">
        <x:v>실제 NG 1건 또는 기간 내 NG 없음 확인근거, 재검사/격리 흐름을 설명할 수 있는가?</x:v>
      </x:c>
      <x:c r="E12" s="1633" t="str">
        <x:v>NG 로그/부적합대장</x:v>
      </x:c>
      <x:c r="F12" s="2024"/>
      <x:c r="G12" s="2024" t="str">
        <x:v>미확인</x:v>
      </x:c>
      <x:c r="H12" s="2024"/>
      <x:c r="I12" s="2024"/>
      <x:c r="J12" s="2024"/>
      <x:c r="K12" s="2078" t="str">
        <x:f>IF(AND(F12&lt;&gt;"",LEFT(TRIM(F12),1)&lt;&gt;"[",G12="적합",H12&lt;&gt;"",I12&lt;&gt;""),"시연완료",IF(G12="부적합","개선필요","미확인"))</x:f>
        <x:v>미확인</x:v>
      </x:c>
      <x:c r="L12" s="2068" t="str">
        <x:v>임의 NG 테스트 결과를 실생산으로 오인하지 않기</x:v>
      </x:c>
    </x:row>
    <x:row r="13" ht="61" customHeight="1">
      <x:c r="A13" s="2067" t="n">
        <x:v>7</x:v>
      </x:c>
      <x:c r="B13" s="1633" t="str">
        <x:v>수량 대사</x:v>
      </x:c>
      <x:c r="C13" s="1633" t="str">
        <x:v>품질/생산관리</x:v>
      </x:c>
      <x:c r="D13" s="1633" t="str">
        <x:v>검사 이벤트수와 LOT 최종 제품 수를 재검사 중복 없이 각각 대사할 수 있는가?</x:v>
      </x:c>
      <x:c r="E13" s="1633" t="str">
        <x:v>37시트 결과/생산수량대장</x:v>
      </x:c>
      <x:c r="F13" s="2024"/>
      <x:c r="G13" s="2024" t="str">
        <x:v>미확인</x:v>
      </x:c>
      <x:c r="H13" s="2024"/>
      <x:c r="I13" s="2024"/>
      <x:c r="J13" s="2024"/>
      <x:c r="K13" s="2078" t="str">
        <x:f>IF(AND(F13&lt;&gt;"",LEFT(TRIM(F13),1)&lt;&gt;"[",G13="적합",H13&lt;&gt;"",I13&lt;&gt;""),"시연완료",IF(G13="부적합","개선필요","미확인"))</x:f>
        <x:v>미확인</x:v>
      </x:c>
      <x:c r="L13" s="2068" t="str">
        <x:v>이벤트 수 ≠ 제품 수일 수 있음</x:v>
      </x:c>
    </x:row>
    <x:row r="14" ht="61" customHeight="1">
      <x:c r="A14" s="2069" t="n">
        <x:v>8</x:v>
      </x:c>
      <x:c r="B14" s="2070" t="str">
        <x:v>보존·보안</x:v>
      </x:c>
      <x:c r="C14" s="2070" t="str">
        <x:v>품질/생산기술</x:v>
      </x:c>
      <x:c r="D14" s="2070" t="str">
        <x:v>원본 저장경로·접근권한·백업·조회/검색·승인된 심사 제시방법이 명확한가?</x:v>
      </x:c>
      <x:c r="E14" s="2070" t="str">
        <x:v>보관기준/접근·백업 기록</x:v>
      </x:c>
      <x:c r="F14" s="2073"/>
      <x:c r="G14" s="2073" t="str">
        <x:v>미확인</x:v>
      </x:c>
      <x:c r="H14" s="2073"/>
      <x:c r="I14" s="2073"/>
      <x:c r="J14" s="2073"/>
      <x:c r="K14" s="2079" t="str">
        <x:f>IF(AND(F14&lt;&gt;"",LEFT(TRIM(F14),1)&lt;&gt;"[",G14="적합",H14&lt;&gt;"",I14&lt;&gt;""),"시연완료",IF(G14="부적합","개선필요","미확인"))</x:f>
        <x:v>미확인</x:v>
      </x:c>
      <x:c r="L14" s="2071" t="str">
        <x:v>검사 원본 내보내기 강요하지 않음</x:v>
      </x:c>
    </x:row>
  </x:sheetData>
  <x:mergeCells>
    <x:mergeCell ref="A1:L2"/>
    <x:mergeCell ref="A3:L4"/>
  </x:mergeCells>
  <x:conditionalFormatting sqref="K7:K14">
    <x:cfRule type="expression" dxfId="68" priority="1">
      <x:formula>K7="시연완료"</x:formula>
    </x:cfRule>
    <x:cfRule type="expression" dxfId="69" priority="2">
      <x:formula>K7="개선필요"</x:formula>
    </x:cfRule>
  </x:conditionalFormatting>
  <x:dataValidations count="1">
    <x:dataValidation type="list" sqref="G7:G14">
      <x:formula1>"미확인,적합,부적합"</x:formula1>
    </x:dataValidation>
  </x:dataValidations>
  <x:pageMargins left="0.7" right="0.7" top="0.75" bottom="0.75" header="0.3" footer="0.3"/>
</x:worksheet>
</file>

<file path=xl/worksheets/sheet40.xml><?xml version="1.0" encoding="utf-8"?>
<x:worksheet xmlns:x="http://schemas.openxmlformats.org/spreadsheetml/2006/main">
  <x:sheetViews>
    <x:sheetView workbookViewId="0">
      <x:pane ySplit="11" topLeftCell="A12" activePane="bottomLeft" state="frozen"/>
    </x:sheetView>
  </x:sheetViews>
  <x:sheetFormatPr defaultRowHeight="15"/>
  <x:cols>
    <x:col min="1" max="1" width="12" hidden="0" customWidth="1"/>
    <x:col min="2" max="2" width="25" hidden="0" customWidth="1"/>
    <x:col min="3" max="3" width="22" hidden="0" customWidth="1"/>
    <x:col min="4" max="4" width="69" hidden="0" customWidth="1"/>
    <x:col min="5" max="5" width="43" hidden="0" customWidth="1"/>
    <x:col min="6" max="6" width="24" hidden="0" customWidth="1"/>
    <x:col min="7" max="7" width="19" hidden="0" customWidth="1"/>
    <x:col min="8" max="8" width="42" hidden="0" customWidth="1"/>
    <x:col min="9" max="9" width="18" hidden="0" customWidth="1"/>
    <x:col min="10" max="10" width="18" hidden="0" customWidth="1"/>
    <x:col min="11" max="11" width="26" hidden="0" customWidth="1"/>
    <x:col min="12" max="12" width="43" hidden="0" customWidth="1"/>
  </x:cols>
  <x:sheetData>
    <x:row r="1">
      <x:c r="A1" s="2029" t="str">
        <x:v>신화에이치앤티 · 한온 SQ 심사 대응 MASTER Rev.09 | 전자 기밀검사 실증</x:v>
      </x:c>
      <x:c r="B1" s="2029"/>
      <x:c r="C1" s="2029"/>
      <x:c r="D1" s="2029"/>
      <x:c r="E1" s="2029"/>
      <x:c r="F1" s="2029"/>
      <x:c r="G1" s="2029"/>
      <x:c r="H1" s="2029"/>
      <x:c r="I1" s="2029"/>
      <x:c r="J1" s="2029"/>
      <x:c r="K1" s="2029"/>
      <x:c r="L1" s="2029"/>
    </x:row>
    <x:row r="2">
      <x:c r="A2" s="2029"/>
      <x:c r="B2" s="2029"/>
      <x:c r="C2" s="2029"/>
      <x:c r="D2" s="2029"/>
      <x:c r="E2" s="2029"/>
      <x:c r="F2" s="2029"/>
      <x:c r="G2" s="2029"/>
      <x:c r="H2" s="2029"/>
      <x:c r="I2" s="2029"/>
      <x:c r="J2" s="2029"/>
      <x:c r="K2" s="2029"/>
      <x:c r="L2" s="2029"/>
    </x:row>
    <x:row r="3">
      <x:c r="A3" s="2044" t="str">
        <x:v>확정: RG3 HEV / FA1A8HRAAC·AD(AD 전체철자 사내확인) / 도면 Rev.01(사용자 확인). 6동 자동 벤딩·포밍·커팅·코킹 → 이송 → 2동 자동2호기 브레이징 → 2동 에어 리크 테스트기 기밀검사. 기밀검사 기록은 설비 전자데이터만 보관(별도 종이 검사성적서 없음). 에어 리크 테스터 자체 설비관리번호는 아직 미확인입니다.</x:v>
      </x:c>
      <x:c r="B3" s="2045"/>
      <x:c r="C3" s="2045"/>
      <x:c r="D3" s="2045"/>
      <x:c r="E3" s="2045"/>
      <x:c r="F3" s="2045"/>
      <x:c r="G3" s="2045"/>
      <x:c r="H3" s="2045"/>
      <x:c r="I3" s="2045"/>
      <x:c r="J3" s="2045"/>
      <x:c r="K3" s="2045"/>
      <x:c r="L3" s="2046"/>
    </x:row>
    <x:row r="4">
      <x:c r="A4" s="2047"/>
      <x:c r="B4" s="2048"/>
      <x:c r="C4" s="2048"/>
      <x:c r="D4" s="2048"/>
      <x:c r="E4" s="2048"/>
      <x:c r="F4" s="2048"/>
      <x:c r="G4" s="2048"/>
      <x:c r="H4" s="2048"/>
      <x:c r="I4" s="2048"/>
      <x:c r="J4" s="2048"/>
      <x:c r="K4" s="2048"/>
      <x:c r="L4" s="2049"/>
    </x:row>
    <x:row r="6">
      <x:c r="A6" s="2058" t="str">
        <x:v>기밀검사 기록방식</x:v>
      </x:c>
      <x:c r="B6" s="2059" t="str">
        <x:v>전자 원본 로그</x:v>
      </x:c>
      <x:c r="C6" s="2059" t="str">
        <x:v>기준 점검 완료(14)</x:v>
      </x:c>
      <x:c r="D6" s="2059"/>
      <x:c r="E6" s="2059" t="str">
        <x:v>2품번 LOT대사 완료(2)</x:v>
      </x:c>
      <x:c r="F6" s="2059"/>
      <x:c r="G6" s="2059" t="str">
        <x:v>전자조회 시연 완료(8)</x:v>
      </x:c>
      <x:c r="H6" s="2059"/>
      <x:c r="I6" s="2059" t="str">
        <x:v>기밀검사 실증 완료(20)</x:v>
      </x:c>
      <x:c r="J6" s="2059"/>
      <x:c r="K6" s="2059" t="str">
        <x:v>최종 내부 Gate</x:v>
      </x:c>
      <x:c r="L6" s="2060"/>
    </x:row>
    <x:row r="7">
      <x:c r="A7" s="2134" t="str">
        <x:v>전자 설비데이터만 보관 (사용자 확인)</x:v>
      </x:c>
      <x:c r="B7" s="2135"/>
      <x:c r="C7" s="2117" t="n">
        <x:f>COUNTIF('36_전자검사_관리기준'!K7:K20,"검증완료")</x:f>
        <x:v>0</x:v>
      </x:c>
      <x:c r="D7" s="2118"/>
      <x:c r="E7" s="2117" t="n">
        <x:f>COUNTIF('37_전자검사LOT_원본대사'!Y7:Y8,"전자로그 실증완료")</x:f>
        <x:v>0</x:v>
      </x:c>
      <x:c r="F7" s="2118"/>
      <x:c r="G7" s="2117" t="n">
        <x:f>COUNTIF('38_전자기록_심사시연'!K7:K14,"시연완료")</x:f>
        <x:v>0</x:v>
      </x:c>
      <x:c r="H7" s="2118"/>
      <x:c r="I7" s="2117" t="n">
        <x:f>COUNTIF('32_2동_기밀검사_실증'!K7:K26,"검증완료")</x:f>
        <x:v>0</x:v>
      </x:c>
      <x:c r="J7" s="2118"/>
      <x:c r="K7" s="2117" t="str">
        <x:f>'11_FINAL_READY_GATE'!I9</x:f>
        <x:v>NOT READY</x:v>
      </x:c>
      <x:c r="L7" s="2118"/>
    </x:row>
    <x:row r="8">
      <x:c r="A8" s="2136"/>
      <x:c r="B8" s="2137"/>
      <x:c r="C8" s="2119"/>
      <x:c r="D8" s="2120"/>
      <x:c r="E8" s="2119"/>
      <x:c r="F8" s="2120"/>
      <x:c r="G8" s="2119"/>
      <x:c r="H8" s="2120"/>
      <x:c r="I8" s="2119"/>
      <x:c r="J8" s="2120"/>
      <x:c r="K8" s="2119"/>
      <x:c r="L8" s="2120"/>
    </x:row>
    <x:row r="11">
      <x:c r="A11" s="2055" t="str">
        <x:v>순서</x:v>
      </x:c>
      <x:c r="B11" s="2056" t="str">
        <x:v>구분</x:v>
      </x:c>
      <x:c r="C11" s="2056" t="str">
        <x:v>주요 시트</x:v>
      </x:c>
      <x:c r="D11" s="2056" t="str">
        <x:v>확인해야 할 실제 입력/자료</x:v>
      </x:c>
      <x:c r="E11" s="2056" t="str">
        <x:v>완료 요건</x:v>
      </x:c>
      <x:c r="F11" s="2056" t="str">
        <x:v>주관부서</x:v>
      </x:c>
      <x:c r="G11" s="2056" t="str">
        <x:v>현재</x:v>
      </x:c>
      <x:c r="H11" s="2056" t="str">
        <x:v>입력 경로·사내 파일</x:v>
      </x:c>
      <x:c r="I11" s="2056" t="str">
        <x:v>확인자</x:v>
      </x:c>
      <x:c r="J11" s="2056" t="str">
        <x:v>확인일</x:v>
      </x:c>
      <x:c r="K11" s="2056" t="str">
        <x:v>승인/비고</x:v>
      </x:c>
      <x:c r="L11" s="2057" t="str">
        <x:v>주의</x:v>
      </x:c>
    </x:row>
    <x:row r="12" ht="49" customHeight="1">
      <x:c r="A12" s="2064" t="n">
        <x:v>1</x:v>
      </x:c>
      <x:c r="B12" s="2065" t="str">
        <x:v>운영방식 확정</x:v>
      </x:c>
      <x:c r="C12" s="2065" t="str">
        <x:v>32 / 39</x:v>
      </x:c>
      <x:c r="D12" s="2065" t="str">
        <x:v>에어 리크 테스트기 사용 / 설비 전자데이터만 보관</x:v>
      </x:c>
      <x:c r="E12" s="2065" t="str">
        <x:v>사용자 제공 방식 확정</x:v>
      </x:c>
      <x:c r="F12" s="2065" t="str">
        <x:v>품질</x:v>
      </x:c>
      <x:c r="G12" s="2065" t="str">
        <x:v>방식확정</x:v>
      </x:c>
      <x:c r="H12" s="2072"/>
      <x:c r="I12" s="2072"/>
      <x:c r="J12" s="2072"/>
      <x:c r="K12" s="2072"/>
      <x:c r="L12" s="2066" t="str">
        <x:v>원본 로그와 테스터ID는 미검증</x:v>
      </x:c>
    </x:row>
    <x:row r="13" ht="49" customHeight="1">
      <x:c r="A13" s="2067" t="n">
        <x:v>2</x:v>
      </x:c>
      <x:c r="B13" s="1633" t="str">
        <x:v>검사기 관리</x:v>
      </x:c>
      <x:c r="C13" s="1633" t="str">
        <x:v>36 (1~3, 12)</x:v>
      </x:c>
      <x:c r="D13" s="1633" t="str">
        <x:v>테스터 설비ID·조건/Rev·일상점검·교정/검증</x:v>
      </x:c>
      <x:c r="E13" s="1633" t="str">
        <x:v>승인기준·실설비·기록 대조</x:v>
      </x:c>
      <x:c r="F13" s="1633" t="str">
        <x:v>생산기술/품질</x:v>
      </x:c>
      <x:c r="G13" s="1633" t="str">
        <x:v>실증대기</x:v>
      </x:c>
      <x:c r="H13" s="2024"/>
      <x:c r="I13" s="2024"/>
      <x:c r="J13" s="2024"/>
      <x:c r="K13" s="2024"/>
      <x:c r="L13" s="2068" t="str">
        <x:v>브레이징 자동2호기는 용접설비</x:v>
      </x:c>
    </x:row>
    <x:row r="14" ht="49" customHeight="1">
      <x:c r="A14" s="2067" t="n">
        <x:v>3</x:v>
      </x:c>
      <x:c r="B14" s="1633" t="str">
        <x:v>전자 원본·보존</x:v>
      </x:c>
      <x:c r="C14" s="1633" t="str">
        <x:v>36 (4~11,13~14)</x:v>
      </x:c>
      <x:c r="D14" s="1633" t="str">
        <x:v>원본로그 원시값·날짜·합부·LOT·백업·조회</x:v>
      </x:c>
      <x:c r="E14" s="1633" t="str">
        <x:v>14개 항목 실증완료</x:v>
      </x:c>
      <x:c r="F14" s="1633" t="str">
        <x:v>품질/생산기술</x:v>
      </x:c>
      <x:c r="G14" s="1633" t="str">
        <x:v>실증대기</x:v>
      </x:c>
      <x:c r="H14" s="2024"/>
      <x:c r="I14" s="2024"/>
      <x:c r="J14" s="2024"/>
      <x:c r="K14" s="2024"/>
      <x:c r="L14" s="2068" t="str">
        <x:v>고객 원데이터 외부 업로드 불필요</x:v>
      </x:c>
    </x:row>
    <x:row r="15" ht="49" customHeight="1">
      <x:c r="A15" s="2067" t="n">
        <x:v>4</x:v>
      </x:c>
      <x:c r="B15" s="1633" t="str">
        <x:v>품번별 실 LOT</x:v>
      </x:c>
      <x:c r="C15" s="1633" t="str">
        <x:v>37</x:v>
      </x:c>
      <x:c r="D15" s="1633" t="str">
        <x:v>두 대표품번 실제 LOT별 원본로그/이벤트·제품수량 각각 대사</x:v>
      </x:c>
      <x:c r="E15" s="1633" t="str">
        <x:v>2개 품번 모두 실증완료</x:v>
      </x:c>
      <x:c r="F15" s="1633" t="str">
        <x:v>품질/생산관리</x:v>
      </x:c>
      <x:c r="G15" s="1633" t="str">
        <x:v>미확인</x:v>
      </x:c>
      <x:c r="H15" s="2024"/>
      <x:c r="I15" s="2024"/>
      <x:c r="J15" s="2024"/>
      <x:c r="K15" s="2024"/>
      <x:c r="L15" s="2068" t="str">
        <x:v>임의 측정수치 입력 금지</x:v>
      </x:c>
    </x:row>
    <x:row r="16" ht="49" customHeight="1">
      <x:c r="A16" s="2067" t="n">
        <x:v>5</x:v>
      </x:c>
      <x:c r="B16" s="1633" t="str">
        <x:v>전자 조회 시연</x:v>
      </x:c>
      <x:c r="C16" s="1633" t="str">
        <x:v>38</x:v>
      </x:c>
      <x:c r="D16" s="1633" t="str">
        <x:v>검사원 화면에서 LOT·측정결과·NG·조회 시연</x:v>
      </x:c>
      <x:c r="E16" s="1633" t="str">
        <x:v>8개 시연항목 확인완료</x:v>
      </x:c>
      <x:c r="F16" s="1633" t="str">
        <x:v>품질/생산</x:v>
      </x:c>
      <x:c r="G16" s="1633" t="str">
        <x:v>미실시</x:v>
      </x:c>
      <x:c r="H16" s="2024"/>
      <x:c r="I16" s="2024"/>
      <x:c r="J16" s="2024"/>
      <x:c r="K16" s="2024"/>
      <x:c r="L16" s="2068" t="str">
        <x:v>고객 기밀자료 현장 열람</x:v>
      </x:c>
    </x:row>
    <x:row r="17" ht="49" customHeight="1">
      <x:c r="A17" s="2067" t="n">
        <x:v>6</x:v>
      </x:c>
      <x:c r="B17" s="1633" t="str">
        <x:v>검사규격 대조</x:v>
      </x:c>
      <x:c r="C17" s="1633" t="str">
        <x:v>32</x:v>
      </x:c>
      <x:c r="D17" s="1633" t="str">
        <x:v>기존 20개 항목에 전자 로그·승인조건·검사기록 참조</x:v>
      </x:c>
      <x:c r="E17" s="1633" t="str">
        <x:v>20건 실증완료</x:v>
      </x:c>
      <x:c r="F17" s="1633" t="str">
        <x:v>품질</x:v>
      </x:c>
      <x:c r="G17" s="1633" t="str">
        <x:v>검증대기</x:v>
      </x:c>
      <x:c r="H17" s="2024"/>
      <x:c r="I17" s="2024"/>
      <x:c r="J17" s="2024"/>
      <x:c r="K17" s="2024"/>
      <x:c r="L17" s="2068" t="str">
        <x:v>검사기 자체ID 별도 확인</x:v>
      </x:c>
    </x:row>
    <x:row r="18" ht="49" customHeight="1">
      <x:c r="A18" s="2067" t="n">
        <x:v>7</x:v>
      </x:c>
      <x:c r="B18" s="1633" t="str">
        <x:v>LOT 전체 연계</x:v>
      </x:c>
      <x:c r="C18" s="1633" t="str">
        <x:v>31 / 08 / 24</x:v>
      </x:c>
      <x:c r="D18" s="1633" t="str">
        <x:v>6동→2동 용접LOT→에어 리크 로그→최종출하 대조</x:v>
      </x:c>
      <x:c r="E18" s="1633" t="str">
        <x:v>대상 품번 실 LOT 추적</x:v>
      </x:c>
      <x:c r="F18" s="1633" t="str">
        <x:v>품질/자재</x:v>
      </x:c>
      <x:c r="G18" s="1633" t="str">
        <x:v>미실시</x:v>
      </x:c>
      <x:c r="H18" s="2024"/>
      <x:c r="I18" s="2024"/>
      <x:c r="J18" s="2024"/>
      <x:c r="K18" s="2024"/>
      <x:c r="L18" s="2068" t="str">
        <x:v>진짜 LOT 사용 / 예시 기록 제외</x:v>
      </x:c>
    </x:row>
    <x:row r="19" ht="49" customHeight="1">
      <x:c r="A19" s="2069" t="n">
        <x:v>8</x:v>
      </x:c>
      <x:c r="B19" s="2070" t="str">
        <x:v>최종 모의심사</x:v>
      </x:c>
      <x:c r="C19" s="2070" t="str">
        <x:v>09 / 11</x:v>
      </x:c>
      <x:c r="D19" s="2070" t="str">
        <x:v>기밀 전자로그 관련 질문, G1~G10 준비판정</x:v>
      </x:c>
      <x:c r="E19" s="2070" t="str">
        <x:v>실제 로그 객관증빙·게이트 충족</x:v>
      </x:c>
      <x:c r="F19" s="2070" t="str">
        <x:v>품질총괄</x:v>
      </x:c>
      <x:c r="G19" s="2070" t="str">
        <x:v>NOT READY</x:v>
      </x:c>
      <x:c r="H19" s="2073"/>
      <x:c r="I19" s="2073"/>
      <x:c r="J19" s="2073"/>
      <x:c r="K19" s="2073"/>
      <x:c r="L19" s="2071" t="str">
        <x:v>한온 공식 합격점수와 다름</x:v>
      </x:c>
    </x:row>
    <x:row r="22">
      <x:c r="A22" s="2157" t="str">
        <x:v>품질팀 필수 수집자료: ① 승인 누설검사 기준서(압력·측정시간·누설한도·단위) ② 에어 리크 테스터 자체 설비번호·프로그램 Rev ③ 실제 생산 LOT의 전자 원본로그 검색 경로(날짜·품번·측정값·OK/NG·재검사) ④ 6동/2동 용접 LOT 및 최종 제품수 대사 ⑤ NG 처리기록·검사기 점검/교정/검증·기록보존/백업 확인. 종이 기밀검사성적서가 없는 것은 사용자 확정 운영방식이며, 이 사실만으로 부적합 판정하지 않습니다.</x:v>
      </x:c>
      <x:c r="B22" s="2158"/>
      <x:c r="C22" s="2158"/>
      <x:c r="D22" s="2158"/>
      <x:c r="E22" s="2158"/>
      <x:c r="F22" s="2158"/>
      <x:c r="G22" s="2158"/>
      <x:c r="H22" s="2158"/>
      <x:c r="I22" s="2158"/>
      <x:c r="J22" s="2158"/>
      <x:c r="K22" s="2158"/>
      <x:c r="L22" s="2159"/>
    </x:row>
    <x:row r="23">
      <x:c r="A23" s="2160"/>
      <x:c r="B23" s="2161"/>
      <x:c r="C23" s="2161"/>
      <x:c r="D23" s="2161"/>
      <x:c r="E23" s="2161"/>
      <x:c r="F23" s="2161"/>
      <x:c r="G23" s="2161"/>
      <x:c r="H23" s="2161"/>
      <x:c r="I23" s="2161"/>
      <x:c r="J23" s="2161"/>
      <x:c r="K23" s="2161"/>
      <x:c r="L23" s="2162"/>
    </x:row>
    <x:row r="24">
      <x:c r="A24" s="2163"/>
      <x:c r="B24" s="2164"/>
      <x:c r="C24" s="2164"/>
      <x:c r="D24" s="2164"/>
      <x:c r="E24" s="2164"/>
      <x:c r="F24" s="2164"/>
      <x:c r="G24" s="2164"/>
      <x:c r="H24" s="2164"/>
      <x:c r="I24" s="2164"/>
      <x:c r="J24" s="2164"/>
      <x:c r="K24" s="2164"/>
      <x:c r="L24" s="2165"/>
    </x:row>
    <x:row r="26">
      <x:c r="A26" s="2044" t="str">
        <x:v>Rev.09 변경이력 — 2026-10-27: 2동 검사방식 '에어 리크 테스트기' 및 기록형태 '설비 전자데이터만 보관' 사용자 확인. 기존 32시트의 종이 검사성적서 필수 표현을 전자 원본데이터 확인으로 정정, 31·24·08·09·12·33과 연계, 36(전자 보존관리 14항목), 37(2품번 실제 LOT 원본대사), 38(전자기록 조회 시연 8항목), 39(Rev.09 대시보드) 신규. 원본 감사용 과거 개정이력 35는 보존. 실제 전자 로그·시험조건·검사기 ID는 사내 미검증으로 유지합니다.</x:v>
      </x:c>
      <x:c r="B26" s="2045"/>
      <x:c r="C26" s="2045"/>
      <x:c r="D26" s="2045"/>
      <x:c r="E26" s="2045"/>
      <x:c r="F26" s="2045"/>
      <x:c r="G26" s="2045"/>
      <x:c r="H26" s="2045"/>
      <x:c r="I26" s="2045"/>
      <x:c r="J26" s="2045"/>
      <x:c r="K26" s="2045"/>
      <x:c r="L26" s="2046"/>
    </x:row>
    <x:row r="27">
      <x:c r="A27" s="2172"/>
      <x:c r="B27" s="2173"/>
      <x:c r="C27" s="2173"/>
      <x:c r="D27" s="2173"/>
      <x:c r="E27" s="2173"/>
      <x:c r="F27" s="2173"/>
      <x:c r="G27" s="2173"/>
      <x:c r="H27" s="2173"/>
      <x:c r="I27" s="2173"/>
      <x:c r="J27" s="2173"/>
      <x:c r="K27" s="2173"/>
      <x:c r="L27" s="2174"/>
    </x:row>
    <x:row r="28">
      <x:c r="A28" s="2047"/>
      <x:c r="B28" s="2048"/>
      <x:c r="C28" s="2048"/>
      <x:c r="D28" s="2048"/>
      <x:c r="E28" s="2048"/>
      <x:c r="F28" s="2048"/>
      <x:c r="G28" s="2048"/>
      <x:c r="H28" s="2048"/>
      <x:c r="I28" s="2048"/>
      <x:c r="J28" s="2048"/>
      <x:c r="K28" s="2048"/>
      <x:c r="L28" s="2049"/>
    </x:row>
  </x:sheetData>
  <x:mergeCells>
    <x:mergeCell ref="A1:L2"/>
    <x:mergeCell ref="A3:L4"/>
    <x:mergeCell ref="A7:B8"/>
    <x:mergeCell ref="C7:D8"/>
    <x:mergeCell ref="E7:F8"/>
    <x:mergeCell ref="G7:H8"/>
    <x:mergeCell ref="I7:J8"/>
    <x:mergeCell ref="K7:L8"/>
    <x:mergeCell ref="A22:L24"/>
    <x:mergeCell ref="A26:L28"/>
  </x:mergeCells>
  <x:pageMargins left="0.7" right="0.7" top="0.75" bottom="0.75" header="0.3" footer="0.3"/>
</x:worksheet>
</file>