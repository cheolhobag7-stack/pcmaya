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7a4bdc140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심사개요" sheetId="1" r:id="R64e023dd8eb2403a"/>
    <x:sheet xmlns:r="http://schemas.openxmlformats.org/officeDocument/2006/relationships" name="02_일정_담당" sheetId="2" r:id="Reef24fc0d06c416b"/>
    <x:sheet xmlns:r="http://schemas.openxmlformats.org/officeDocument/2006/relationships" name="03_준비자료" sheetId="3" r:id="R3017b8e5a10545f3"/>
    <x:sheet xmlns:r="http://schemas.openxmlformats.org/officeDocument/2006/relationships" name="04_핵심확인사항" sheetId="4" r:id="Rdb709beb88e64f8e"/>
    <x:sheet xmlns:r="http://schemas.openxmlformats.org/officeDocument/2006/relationships" name="05_자료출처" sheetId="5" r:id="Rf6aea5f261da403a"/>
    <x:sheet xmlns:r="http://schemas.openxmlformats.org/officeDocument/2006/relationships" name="06_총괄_완료기준" sheetId="6" r:id="R1cd02e4dbe414f1c"/>
    <x:sheet xmlns:r="http://schemas.openxmlformats.org/officeDocument/2006/relationships" name="07_직접정리_16" sheetId="7" r:id="R5a6b6dc4acf94984"/>
    <x:sheet xmlns:r="http://schemas.openxmlformats.org/officeDocument/2006/relationships" name="08_GAP_조치관리" sheetId="8" r:id="R6878c04e1cc349c6"/>
    <x:sheet xmlns:r="http://schemas.openxmlformats.org/officeDocument/2006/relationships" name="09_증빙자료_색인" sheetId="9" r:id="R9eb412ef32054abf"/>
    <x:sheet xmlns:r="http://schemas.openxmlformats.org/officeDocument/2006/relationships" name="10_환경측면_평가" sheetId="10" r:id="R1025c837704a4e97"/>
    <x:sheet xmlns:r="http://schemas.openxmlformats.org/officeDocument/2006/relationships" name="11_법규_준수평가" sheetId="11" r:id="Rf83f0b1b66624937"/>
    <x:sheet xmlns:r="http://schemas.openxmlformats.org/officeDocument/2006/relationships" name="12_현장_실사표" sheetId="12" r:id="R5535d6ae547a45f5"/>
    <x:sheet xmlns:r="http://schemas.openxmlformats.org/officeDocument/2006/relationships" name="13_내부심사_점검" sheetId="13" r:id="R20666e06687844d5"/>
    <x:sheet xmlns:r="http://schemas.openxmlformats.org/officeDocument/2006/relationships" name="14_경영검토_입출력" sheetId="14" r:id="R7ae2670fe76645ed"/>
    <x:sheet xmlns:r="http://schemas.openxmlformats.org/officeDocument/2006/relationships" name="15_심사QnA_18" sheetId="15" r:id="R644d001c19ed4f60"/>
    <x:sheet xmlns:r="http://schemas.openxmlformats.org/officeDocument/2006/relationships" name="16_2026전환_계획" sheetId="16" r:id="R7f8a79ddd1204c72"/>
    <x:sheet xmlns:r="http://schemas.openxmlformats.org/officeDocument/2006/relationships" name="17_단계별_게이트" sheetId="17" r:id="R263c7d3322f84b1a"/>
    <x:sheet xmlns:r="http://schemas.openxmlformats.org/officeDocument/2006/relationships" name="18_근거와_출처" sheetId="18" r:id="R38b84c370695422a"/>
    <x:sheet xmlns:r="http://schemas.openxmlformats.org/officeDocument/2006/relationships" name="20_증빙검증_37" sheetId="19" r:id="Rf5976d37e57a41d0"/>
    <x:sheet xmlns:r="http://schemas.openxmlformats.org/officeDocument/2006/relationships" name="21_GAP폐쇄_16" sheetId="20" r:id="R6bc33d59a9a94611"/>
    <x:sheet xmlns:r="http://schemas.openxmlformats.org/officeDocument/2006/relationships" name="22_최종판정_게이트" sheetId="21" r:id="R5091ecebf6db4cd5"/>
    <x:sheet xmlns:r="http://schemas.openxmlformats.org/officeDocument/2006/relationships" name="19_실행대시보드" sheetId="22" r:id="Rb3d488ee9dfe4d2b"/>
  </x:sheets>
</x:workbook>
</file>

<file path=xl/sharedStrings.xml><?xml version="1.0" encoding="utf-8"?>
<x:sst xmlns:x="http://schemas.openxmlformats.org/spreadsheetml/2006/main">
  <x:si>
    <x:t xml:space="preserve">ISO 14001 환경경영시스템 갱신심사 | 1단계 기본현황</x:t>
  </x:si>
  <x:si>
    <x:t xml:space="preserve">기준일 2026-10-23 · 인증기관 통보 공문·비용청구서·기존 기안서 확인 · 추정값은 확정 정보와 구분</x:t>
  </x:si>
  <x:si>
    <x:t xml:space="preserve">심사 유형</x:t>
  </x:si>
  <x:si>
    <x:t xml:space="preserve">심사 일정</x:t>
  </x:si>
  <x:si>
    <x:t xml:space="preserve">심사 투입</x:t>
  </x:si>
  <x:si>
    <x:t xml:space="preserve">총 심사비</x:t>
  </x:si>
  <x:si>
    <x:t xml:space="preserve">갱신심사</x:t>
  </x:si>
  <x:si>
    <x:t xml:space="preserve">11.19 ~ 11.20</x:t>
  </x:si>
  <x:si>
    <x:t xml:space="preserve">3 MD</x:t>
  </x:si>
  <x:si>
    <x:t xml:space="preserve">2,673,000원</x:t>
  </x:si>
  <x:si>
    <x:t xml:space="preserve">01 | NQA 심사 통보서 기준 확인사항</x:t>
  </x:si>
  <x:si>
    <x:t xml:space="preserve">심사 규격</x:t>
  </x:si>
  <x:si>
    <x:t xml:space="preserve">ISO 14001:2015</x:t>
  </x:si>
  <x:si>
    <x:t xml:space="preserve">2026-10-14 심사 공문</x:t>
  </x:si>
  <x:si>
    <x:t xml:space="preserve">심사 구분</x:t>
  </x:si>
  <x:si>
    <x:t xml:space="preserve">갱신심사 (Recertification Audit)</x:t>
  </x:si>
  <x:si>
    <x:t xml:space="preserve">심사 공문</x:t>
  </x:si>
  <x:si>
    <x:t xml:space="preserve">심사기관</x:t>
  </x:si>
  <x:si>
    <x:t xml:space="preserve">엔큐에이인증원㈜ / NQA KOREA</x:t>
  </x:si>
  <x:si>
    <x:t xml:space="preserve">심사 기간</x:t>
  </x:si>
  <x:si>
    <x:t xml:space="preserve">2026-11-19 ~ 2026-11-20 (2일)</x:t>
  </x:si>
  <x:si>
    <x:t xml:space="preserve">3 MD (Man-Days)</x:t>
  </x:si>
  <x:si>
    <x:t xml:space="preserve">심사팀장</x:t>
  </x:si>
  <x:si>
    <x:t xml:space="preserve">홍준모 심사팀장</x:t>
  </x:si>
  <x:si>
    <x:t xml:space="preserve">심사팀원</x:t>
  </x:si>
  <x:si>
    <x:t xml:space="preserve">김성교 심사팀원 (11/19 참여)</x:t>
  </x:si>
  <x:si>
    <x:t xml:space="preserve">사업장</x:t>
  </x:si>
  <x:si>
    <x:t xml:space="preserve">충남 천안시 서북구 성환읍 신방로 47</x:t>
  </x:si>
  <x:si>
    <x:t xml:space="preserve">인증범위</x:t>
  </x:si>
  <x:si>
    <x:t xml:space="preserve">자동차용 에어컨 부품의 제조(컨덴서 파이프, 에바 파이프)</x:t>
  </x:si>
  <x:si>
    <x:t xml:space="preserve">인증범위(영문)</x:t>
  </x:si>
  <x:si>
    <x:t xml:space="preserve">Manufacturing of automotive air conditioning parts (condenser pipes, evaporator pipes)</x:t>
  </x:si>
  <x:si>
    <x:t xml:space="preserve">공문상 종업원/교대</x:t>
  </x:si>
  <x:si>
    <x:t xml:space="preserve">48명 / 1교대 (현재 인원 확인 필요)</x:t>
  </x:si>
  <x:si>
    <x:t xml:space="preserve">인증 만료일</x:t>
  </x:si>
  <x:si>
    <x:t xml:space="preserve">2026-12-29</x:t>
  </x:si>
  <x:si>
    <x:t xml:space="preserve">공문번호 / 발송일</x:t>
  </x:si>
  <x:si>
    <x:t xml:space="preserve">NQA202610-1401 / 2026-10-14</x:t>
  </x:si>
  <x:si>
    <x:t xml:space="preserve">인증담당 연락처</x:t>
  </x:si>
  <x:si>
    <x:t xml:space="preserve">정승기 책임 (NQA)</x:t>
  </x:si>
  <x:si>
    <x:t xml:space="preserve">수신·참조</x:t>
  </x:si>
  <x:si>
    <x:t xml:space="preserve">신욱기·조현우 대표이사 / 이광재·박철호 부장</x:t>
  </x:si>
  <x:si>
    <x:t xml:space="preserve">02 | 비용 및 지급 정보</x:t>
  </x:si>
  <x:si>
    <x:t xml:space="preserve">갱신심사 비용</x:t>
  </x:si>
  <x:si>
    <x:t xml:space="preserve">2,100,000원</x:t>
  </x:si>
  <x:si>
    <x:t xml:space="preserve">2026-10-14 비용청구서</x:t>
  </x:si>
  <x:si>
    <x:t xml:space="preserve">심사원 출장비</x:t>
  </x:si>
  <x:si>
    <x:t xml:space="preserve">330,000원</x:t>
  </x:si>
  <x:si>
    <x:t xml:space="preserve">비용청구서</x:t>
  </x:si>
  <x:si>
    <x:t xml:space="preserve">소계</x:t>
  </x:si>
  <x:si>
    <x:t xml:space="preserve">2,430,000원</x:t>
  </x:si>
  <x:si>
    <x:t xml:space="preserve">부가가치세</x:t>
  </x:si>
  <x:si>
    <x:t xml:space="preserve">243,000원</x:t>
  </x:si>
  <x:si>
    <x:t xml:space="preserve">총 지급금액</x:t>
  </x:si>
  <x:si>
    <x:t xml:space="preserve">2,673,000원 (VAT 포함)</x:t>
  </x:si>
  <x:si>
    <x:t xml:space="preserve">비용청구서 / 기안서</x:t>
  </x:si>
  <x:si>
    <x:t xml:space="preserve">입금처·계좌</x:t>
  </x:si>
  <x:si>
    <x:t xml:space="preserve">엔큐에이인증원㈜ / 기업은행 226-067848-01-018</x:t>
  </x:si>
  <x:si>
    <x:t xml:space="preserve">지급기한</x:t>
  </x:si>
  <x:si>
    <x:t xml:space="preserve">2026-11-12 (심사 개시 7일 전)</x:t>
  </x:si>
  <x:si>
    <x:t xml:space="preserve">비용청구서 / 기존 기안서</x:t>
  </x:si>
  <x:si>
    <x:t xml:space="preserve">품의서·기안서</x:t>
  </x:si>
  <x:si>
    <x:t xml:space="preserve">최종 작성 파일은 확보, 결재 완료 여부 미확인</x:t>
  </x:si>
  <x:si>
    <x:t xml:space="preserve">기존 내부 문서</x:t>
  </x:si>
  <x:si>
    <x:t xml:space="preserve">필수 확인: 2026년판 전환 적용 여부</x:t>
  </x:si>
  <x:si>
    <x:t xml:space="preserve">심사 공문은 ISO 14001:2015 갱신심사로 통보됨. 다만 ISO 14001:2026이 2026년 4월 발행됨에 따라 이번 갱신심사의 2015년판 단독 진행 여부 및 2026년판 전환심사 병행 가능 여부를 NQA에 서면으로 확인할 것. 전환 완료기한은 2029-04-30(외부 공식 발표 기준)이며, NQA 확인 전까지 심사규격을 자체 변경하지 않음.</x:t>
  </x:si>
  <x:si>
    <x:t xml:space="preserve">자료 상태 원칙: 실제 파일을 검토한 공문·청구서·내부 기안서만 ‘파일 확인’. 환경 운영기록의 보유 여부는 2단계에서 실물 확인 필요.</x:t>
  </x:si>
  <x:si>
    <x:t xml:space="preserve">심사 준비 실행일정 | 담당·기한 관리</x:t>
  </x:si>
  <x:si>
    <x:t xml:space="preserve">※ ‘권고일’은 내부 준비를 위한 제안 일정이며, NQA가 확정한 날짜는 ‘NQA 확정’으로 명시 · 진행상태는 담당자가 갱신</x:t>
  </x:si>
  <x:si>
    <x:t xml:space="preserve">NO</x:t>
  </x:si>
  <x:si>
    <x:t xml:space="preserve">구분</x:t>
  </x:si>
  <x:si>
    <x:t xml:space="preserve">실행 항목</x:t>
  </x:si>
  <x:si>
    <x:t xml:space="preserve">기한 / 일정</x:t>
  </x:si>
  <x:si>
    <x:t xml:space="preserve">담당 역할(안)</x:t>
  </x:si>
  <x:si>
    <x:t xml:space="preserve">진행상태</x:t>
  </x:si>
  <x:si>
    <x:t xml:space="preserve">완료 판단기준</x:t>
  </x:si>
  <x:si>
    <x:t xml:space="preserve">일정 성격·비고</x:t>
  </x:si>
  <x:si>
    <x:t xml:space="preserve">공문검토</x:t>
  </x:si>
  <x:si>
    <x:t xml:space="preserve">공문·청구서·기안서 대조 및 심사범위 확인</x:t>
  </x:si>
  <x:si>
    <x:t xml:space="preserve">2026-10-23</x:t>
  </x:si>
  <x:si>
    <x:t xml:space="preserve">심사총괄</x:t>
  </x:si>
  <x:si>
    <x:t xml:space="preserve">자료검토 완료</x:t>
  </x:si>
  <x:si>
    <x:t xml:space="preserve">공문/청구서/기안서 핵심정보 일치 확인</x:t>
  </x:si>
  <x:si>
    <x:t xml:space="preserve">1단계 검토 완료(결재·증빙 완료와 별개)</x:t>
  </x:si>
  <x:si>
    <x:t xml:space="preserve">기관협의</x:t>
  </x:si>
  <x:si>
    <x:t xml:space="preserve">NQA에 ISO 14001:2026 전환심사 병행 여부 확인</x:t>
  </x:si>
  <x:si>
    <x:t xml:space="preserve">2026-10-26</x:t>
  </x:si>
  <x:si>
    <x:t xml:space="preserve">미확인</x:t>
  </x:si>
  <x:si>
    <x:t xml:space="preserve">이메일 회신 및 적용 규격 확정</x:t>
  </x:si>
  <x:si>
    <x:t xml:space="preserve">내부 권고일 / 최우선</x:t>
  </x:si>
  <x:si>
    <x:t xml:space="preserve">공문상 인원 48명·1교대·범위·사업장 현황 대조</x:t>
  </x:si>
  <x:si>
    <x:t xml:space="preserve">2026-10-27</x:t>
  </x:si>
  <x:si>
    <x:t xml:space="preserve">심사총괄/인사</x:t>
  </x:si>
  <x:si>
    <x:t xml:space="preserve">최신 인원표·조직도·인증범위 확인</x:t>
  </x:si>
  <x:si>
    <x:t xml:space="preserve">내부 권고일</x:t>
  </x:si>
  <x:si>
    <x:t xml:space="preserve">자료확보</x:t>
  </x:si>
  <x:si>
    <x:t xml:space="preserve">현행 환경매뉴얼·절차·각종 EMS 양식 수집</x:t>
  </x:si>
  <x:si>
    <x:t xml:space="preserve">2026-10-28</x:t>
  </x:si>
  <x:si>
    <x:t xml:space="preserve">환경관리</x:t>
  </x:si>
  <x:si>
    <x:t xml:space="preserve">문서목록·개정상태 확인</x:t>
  </x:si>
  <x:si>
    <x:t xml:space="preserve">법규관리</x:t>
  </x:si>
  <x:si>
    <x:t xml:space="preserve">환경 인허가·준수의무 및 준수평가 기록 확인</x:t>
  </x:si>
  <x:si>
    <x:t xml:space="preserve">2026-10-30</x:t>
  </x:si>
  <x:si>
    <x:t xml:space="preserve">사업장 적용 법규·평가 증빙</x:t>
  </x:si>
  <x:si>
    <x:t xml:space="preserve">환경측면</x:t>
  </x:si>
  <x:si>
    <x:t xml:space="preserve">환경측면 영향평가·리스크 및 운영통제 대조</x:t>
  </x:si>
  <x:si>
    <x:t xml:space="preserve">2026-11-02</x:t>
  </x:si>
  <x:si>
    <x:t xml:space="preserve">환경/생산</x:t>
  </x:si>
  <x:si>
    <x:t xml:space="preserve">공정과 환경측면 연계표</x:t>
  </x:si>
  <x:si>
    <x:t xml:space="preserve">성과확인</x:t>
  </x:si>
  <x:si>
    <x:t xml:space="preserve">목표·성과·모니터링 기록/교육·비상대응 확인</x:t>
  </x:si>
  <x:si>
    <x:t xml:space="preserve">2026-11-04</x:t>
  </x:si>
  <x:si>
    <x:t xml:space="preserve">환경/생산/총무</x:t>
  </x:si>
  <x:si>
    <x:t xml:space="preserve">최근 운영실적과 교육·훈련 증빙</x:t>
  </x:si>
  <x:si>
    <x:t xml:space="preserve">내부심사</x:t>
  </x:si>
  <x:si>
    <x:t xml:space="preserve">내부심사 및 이전 지적사항 시정조치 점검</x:t>
  </x:si>
  <x:si>
    <x:t xml:space="preserve">2026-11-06</x:t>
  </x:si>
  <x:si>
    <x:t xml:space="preserve">내부심사보고서·부적합 처리완료 증빙</x:t>
  </x:si>
  <x:si>
    <x:t xml:space="preserve">경영검토</x:t>
  </x:si>
  <x:si>
    <x:t xml:space="preserve">경영검토 기록 및 개선 지시사항 이행 확인</x:t>
  </x:si>
  <x:si>
    <x:t xml:space="preserve">2026-11-09</x:t>
  </x:si>
  <x:si>
    <x:t xml:space="preserve">경영진/환경관리</x:t>
  </x:si>
  <x:si>
    <x:t xml:space="preserve">경영검토 회의록·조치 추적 기록</x:t>
  </x:si>
  <x:si>
    <x:t xml:space="preserve">결재회계</x:t>
  </x:si>
  <x:si>
    <x:t xml:space="preserve">기안 결재 승인 확인 및 지급 요청</x:t>
  </x:si>
  <x:si>
    <x:t xml:space="preserve">2026-11-10</x:t>
  </x:si>
  <x:si>
    <x:t xml:space="preserve">기안/회계</x:t>
  </x:si>
  <x:si>
    <x:t xml:space="preserve">승인본·이체결재 기록</x:t>
  </x:si>
  <x:si>
    <x:t xml:space="preserve">지급</x:t>
  </x:si>
  <x:si>
    <x:t xml:space="preserve">심사비용 2,673,000원 계좌이체 완료</x:t>
  </x:si>
  <x:si>
    <x:t xml:space="preserve">2026-11-12</x:t>
  </x:si>
  <x:si>
    <x:t xml:space="preserve">회계</x:t>
  </x:si>
  <x:si>
    <x:t xml:space="preserve">입금증·전자세금계산서</x:t>
  </x:si>
  <x:si>
    <x:t xml:space="preserve">NQA 청구서에 따른 지급기한</x:t>
  </x:si>
  <x:si>
    <x:t xml:space="preserve">사전점검</x:t>
  </x:si>
  <x:si>
    <x:t xml:space="preserve">현장 시설·폐기물·화학물질 등 해당사항 점검</x:t>
  </x:si>
  <x:si>
    <x:t xml:space="preserve">2026-11-16</x:t>
  </x:si>
  <x:si>
    <x:t xml:space="preserve">환경/생산/설비</x:t>
  </x:si>
  <x:si>
    <x:t xml:space="preserve">현장점검표·시정조치 완료</x:t>
  </x:si>
  <x:si>
    <x:t xml:space="preserve">내부 권고일(시설별 적용성 판단)</x:t>
  </x:si>
  <x:si>
    <x:t xml:space="preserve">심사자료 인덱스·인터뷰·회의실·공문 준비</x:t>
  </x:si>
  <x:si>
    <x:t xml:space="preserve">2026-11-18</x:t>
  </x:si>
  <x:si>
    <x:t xml:space="preserve">문서바인더/전자증빙 접근 점검</x:t>
  </x:si>
  <x:si>
    <x:t xml:space="preserve">외부심사</x:t>
  </x:si>
  <x:si>
    <x:t xml:space="preserve">NQA ISO 14001 갱신심사 대응</x:t>
  </x:si>
  <x:si>
    <x:t xml:space="preserve">2026-11-19~20</x:t>
  </x:si>
  <x:si>
    <x:t xml:space="preserve">전 부서</x:t>
  </x:si>
  <x:si>
    <x:t xml:space="preserve">예정</x:t>
  </x:si>
  <x:si>
    <x:t xml:space="preserve">심사 대응 및 지적사항 기록</x:t>
  </x:si>
  <x:si>
    <x:t xml:space="preserve">NQA 통보 확정일정 / 3 MD</x:t>
  </x:si>
  <x:si>
    <x:t xml:space="preserve">사후관리</x:t>
  </x:si>
  <x:si>
    <x:t xml:space="preserve">지적사항 발생 시 조치계획·완료 확인</x:t>
  </x:si>
  <x:si>
    <x:t xml:space="preserve">심사 이후</x:t>
  </x:si>
  <x:si>
    <x:t xml:space="preserve">환경/해당부서</x:t>
  </x:si>
  <x:si>
    <x:t xml:space="preserve">대기</x:t>
  </x:si>
  <x:si>
    <x:t xml:space="preserve">시정조치·유효성 검증·NQA 제출</x:t>
  </x:si>
  <x:si>
    <x:t xml:space="preserve">별도 일정은 심사결과에 따름</x:t>
  </x:si>
  <x:si>
    <x:t xml:space="preserve">EMS 심사 준비자료 | 조항별 증빙 체크리스트</x:t>
  </x:si>
  <x:si>
    <x:t xml:space="preserve">현황 ‘미확인’ = 파일 미제공으로 실제 보유여부 확인 불가(미준비 확정 아님) · 해당 설비/배출시설은 실제 적용성 확인 후 결정 · 소관은 제안 역할</x:t>
  </x:si>
  <x:si>
    <x:t xml:space="preserve">준비 상태 집계 — 파일 확인  /  일부 확인  /  미확인 : 실제 현장 증빙은 반드시 개별 확인</x:t>
  </x:si>
  <x:si>
    <x:t xml:space="preserve">ID</x:t>
  </x:si>
  <x:si>
    <x:t xml:space="preserve">ISO 14001 조항</x:t>
  </x:si>
  <x:si>
    <x:t xml:space="preserve">필요 문서/기록</x:t>
  </x:si>
  <x:si>
    <x:t xml:space="preserve">심사 확인 포인트</x:t>
  </x:si>
  <x:si>
    <x:t xml:space="preserve">담당역할(안)</x:t>
  </x:si>
  <x:si>
    <x:t xml:space="preserve">우선순위</x:t>
  </x:si>
  <x:si>
    <x:t xml:space="preserve">현황</x:t>
  </x:si>
  <x:si>
    <x:t xml:space="preserve">확인사항/출처</x:t>
  </x:si>
  <x:si>
    <x:t xml:space="preserve">EMS-001</x:t>
  </x:si>
  <x:si>
    <x:t xml:space="preserve">4.1/4.2</x:t>
  </x:si>
  <x:si>
    <x:t xml:space="preserve">조직 내·외부 이슈 및 이해관계자 요구사항 목록</x:t>
  </x:si>
  <x:si>
    <x:t xml:space="preserve">사업장 환경 이슈, 고객·관계기관 요구, 기후변화 관련성 검토 기록</x:t>
  </x:si>
  <x:si>
    <x:t xml:space="preserve">상</x:t>
  </x:si>
  <x:si>
    <x:t xml:space="preserve">2015+Amd1:2024 적용 경위 및 2026 전환은 NQA 확인</x:t>
  </x:si>
  <x:si>
    <x:t xml:space="preserve">EMS-002</x:t>
  </x:si>
  <x:si>
    <x:t xml:space="preserve">4.3</x:t>
  </x:si>
  <x:si>
    <x:t xml:space="preserve">환경경영시스템 적용범위/인증범위 문서</x:t>
  </x:si>
  <x:si>
    <x:t xml:space="preserve">공문상 범위(컨덴서 파이프·에바 파이프), 사업장 일치 여부</x:t>
  </x:si>
  <x:si>
    <x:t xml:space="preserve">범위 문서 자체 미제공</x:t>
  </x:si>
  <x:si>
    <x:t xml:space="preserve">EMS-003</x:t>
  </x:si>
  <x:si>
    <x:t xml:space="preserve">4.4</x:t>
  </x:si>
  <x:si>
    <x:t xml:space="preserve">EMS 프로세스 및 상호작용 현황</x:t>
  </x:si>
  <x:si>
    <x:t xml:space="preserve">환경관리 활동과 생산·시설·외주업무의 연결</x:t>
  </x:si>
  <x:si>
    <x:t xml:space="preserve">중</x:t>
  </x:si>
  <x:si>
    <x:t xml:space="preserve">관련 환경 문서 수집 필요</x:t>
  </x:si>
  <x:si>
    <x:t xml:space="preserve">EMS-004</x:t>
  </x:si>
  <x:si>
    <x:t xml:space="preserve">5.1/5.2</x:t>
  </x:si>
  <x:si>
    <x:t xml:space="preserve">환경방침(최신 승인본 및 게시·전파 증거)</x:t>
  </x:si>
  <x:si>
    <x:t xml:space="preserve">환경방침의 적합성 및 직원 인지</x:t>
  </x:si>
  <x:si>
    <x:t xml:space="preserve">경영진/환경</x:t>
  </x:si>
  <x:si>
    <x:t xml:space="preserve">원본 미확인</x:t>
  </x:si>
  <x:si>
    <x:t xml:space="preserve">EMS-005</x:t>
  </x:si>
  <x:si>
    <x:t xml:space="preserve">5.3</x:t>
  </x:si>
  <x:si>
    <x:t xml:space="preserve">환경조직도·책임과 권한·환경관리 담당자 지정</x:t>
  </x:si>
  <x:si>
    <x:t xml:space="preserve">승인권한, 법규 담당, 비상 대응 책임</x:t>
  </x:si>
  <x:si>
    <x:t xml:space="preserve">경영진/인사</x:t>
  </x:si>
  <x:si>
    <x:t xml:space="preserve">QMS 조직도와 EMS 책임 대응 여부 확인</x:t>
  </x:si>
  <x:si>
    <x:t xml:space="preserve">EMS-006</x:t>
  </x:si>
  <x:si>
    <x:t xml:space="preserve">6.1.1</x:t>
  </x:si>
  <x:si>
    <x:t xml:space="preserve">환경 리스크·기회 평가 및 조치계획</x:t>
  </x:si>
  <x:si>
    <x:t xml:space="preserve">환경 이슈·준수의무·측면평가 반영</x:t>
  </x:si>
  <x:si>
    <x:t xml:space="preserve">최근 개정 이력 확인</x:t>
  </x:si>
  <x:si>
    <x:t xml:space="preserve">EMS-007</x:t>
  </x:si>
  <x:si>
    <x:t xml:space="preserve">6.1.2</x:t>
  </x:si>
  <x:si>
    <x:t xml:space="preserve">환경측면·환경영향 평가대장</x:t>
  </x:si>
  <x:si>
    <x:t xml:space="preserve">공정별 투입·배출·비상상황 및 중대한 측면 식별</x:t>
  </x:si>
  <x:si>
    <x:t xml:space="preserve">최상</x:t>
  </x:si>
  <x:si>
    <x:t xml:space="preserve">현장 공정별 실제 적용 여부 검증</x:t>
  </x:si>
  <x:si>
    <x:t xml:space="preserve">EMS-008</x:t>
  </x:si>
  <x:si>
    <x:t xml:space="preserve">전과정 관점 및 외주활동 평가자료</x:t>
  </x:si>
  <x:si>
    <x:t xml:space="preserve">조달·운송·외주처리 영향 고려 여부</x:t>
  </x:si>
  <x:si>
    <x:t xml:space="preserve">환경/구매</x:t>
  </x:si>
  <x:si>
    <x:t xml:space="preserve">외주활동 해당성 확인</x:t>
  </x:si>
  <x:si>
    <x:t xml:space="preserve">EMS-009</x:t>
  </x:si>
  <x:si>
    <x:t xml:space="preserve">6.1.3</x:t>
  </x:si>
  <x:si>
    <x:t xml:space="preserve">환경 법규/허가 및 기타 준수의무 목록</x:t>
  </x:si>
  <x:si>
    <x:t xml:space="preserve">사업장 적용 법령·허가·고객 요구·개정 추적</x:t>
  </x:si>
  <x:si>
    <x:t xml:space="preserve">일반 예시와 사업장 실제 적용 법규 구분</x:t>
  </x:si>
  <x:si>
    <x:t xml:space="preserve">EMS-010</x:t>
  </x:si>
  <x:si>
    <x:t xml:space="preserve">6.1.4</x:t>
  </x:si>
  <x:si>
    <x:t xml:space="preserve">중대한 환경측면·준수의무 조치 실행계획</x:t>
  </x:si>
  <x:si>
    <x:t xml:space="preserve">중요위험 평가 결과에서 실행조치까지 연계</x:t>
  </x:si>
  <x:si>
    <x:t xml:space="preserve">미완료 조치 추적 확인</x:t>
  </x:si>
  <x:si>
    <x:t xml:space="preserve">EMS-011</x:t>
  </x:si>
  <x:si>
    <x:t xml:space="preserve">6.2</x:t>
  </x:si>
  <x:si>
    <x:t xml:space="preserve">2026 환경목표·세부 추진계획 및 실적</x:t>
  </x:si>
  <x:si>
    <x:t xml:space="preserve">목표·책임자·자원·기한·성과지표 일치</x:t>
  </x:si>
  <x:si>
    <x:t xml:space="preserve">환경/경영진</x:t>
  </x:si>
  <x:si>
    <x:t xml:space="preserve">연간 또는 최근 성과 자료 확보</x:t>
  </x:si>
  <x:si>
    <x:t xml:space="preserve">EMS-012</x:t>
  </x:si>
  <x:si>
    <x:t xml:space="preserve">7.1</x:t>
  </x:si>
  <x:si>
    <x:t xml:space="preserve">환경관리 자원·설비·인력 확보 근거</x:t>
  </x:si>
  <x:si>
    <x:t xml:space="preserve">인적·물적 자원 적합성 및 지원</x:t>
  </x:si>
  <x:si>
    <x:t xml:space="preserve">경영진/총무</x:t>
  </x:si>
  <x:si>
    <x:t xml:space="preserve">기안 결재와 자원운영은 구분</x:t>
  </x:si>
  <x:si>
    <x:t xml:space="preserve">EMS-013</x:t>
  </x:si>
  <x:si>
    <x:t xml:space="preserve">7.2</x:t>
  </x:si>
  <x:si>
    <x:t xml:space="preserve">환경관련 교육훈련 계획·실시·평가 기록</x:t>
  </x:si>
  <x:si>
    <x:t xml:space="preserve">법규·비상대응·화학물질 등 해당 교육의 역량</x:t>
  </x:si>
  <x:si>
    <x:t xml:space="preserve">인사/환경</x:t>
  </x:si>
  <x:si>
    <x:t xml:space="preserve">교육 일지 자체 미제공</x:t>
  </x:si>
  <x:si>
    <x:t xml:space="preserve">EMS-014</x:t>
  </x:si>
  <x:si>
    <x:t xml:space="preserve">7.3</x:t>
  </x:si>
  <x:si>
    <x:t xml:space="preserve">현장 작업자 인식·면담 준비</x:t>
  </x:si>
  <x:si>
    <x:t xml:space="preserve">환경방침·중대한 측면·업무상 통제 인지</x:t>
  </x:si>
  <x:si>
    <x:t xml:space="preserve">생산/환경</x:t>
  </x:si>
  <x:si>
    <x:t xml:space="preserve">2026-11-17</x:t>
  </x:si>
  <x:si>
    <x:t xml:space="preserve">실제 면담 가능 확인</x:t>
  </x:si>
  <x:si>
    <x:t xml:space="preserve">EMS-015</x:t>
  </x:si>
  <x:si>
    <x:t xml:space="preserve">7.4</x:t>
  </x:si>
  <x:si>
    <x:t xml:space="preserve">환경 내·외부 의사소통·민원 접수기록</x:t>
  </x:si>
  <x:si>
    <x:t xml:space="preserve">관계기관 보고·고객문의·민원 처리</x:t>
  </x:si>
  <x:si>
    <x:t xml:space="preserve">환경/총무</x:t>
  </x:si>
  <x:si>
    <x:t xml:space="preserve">발생 없음도 내부 기록·절차 확인</x:t>
  </x:si>
  <x:si>
    <x:t xml:space="preserve">EMS-016</x:t>
  </x:si>
  <x:si>
    <x:t xml:space="preserve">7.5</x:t>
  </x:si>
  <x:si>
    <x:t xml:space="preserve">EMS 문서목록·개정관리·기록보존 관리대장</x:t>
  </x:si>
  <x:si>
    <x:t xml:space="preserve">유효본 사용, 승인·개정·배포 및 기록 보존</x:t>
  </x:si>
  <x:si>
    <x:t xml:space="preserve">문서관리</x:t>
  </x:si>
  <x:si>
    <x:t xml:space="preserve">QMS Rev.03은 존재 언급만, EMS 적합성 미검증</x:t>
  </x:si>
  <x:si>
    <x:t xml:space="preserve">EMS-017</x:t>
  </x:si>
  <x:si>
    <x:t xml:space="preserve">8.1</x:t>
  </x:si>
  <x:si>
    <x:t xml:space="preserve">현장 환경관리 작업표준·일상점검 기록</x:t>
  </x:si>
  <x:si>
    <x:t xml:space="preserve">오염 예방 및 현장 운영통제 실행</x:t>
  </x:si>
  <x:si>
    <x:t xml:space="preserve">작업현장 확인 필요</x:t>
  </x:si>
  <x:si>
    <x:t xml:space="preserve">EMS-018</x:t>
  </x:si>
  <x:si>
    <x:t xml:space="preserve">폐기물 분리보관·위탁처리 계약·인계내역</x:t>
  </x:si>
  <x:si>
    <x:t xml:space="preserve">폐기물 분류, 보관장소·처리 내역 및 법규 적합성</x:t>
  </x:si>
  <x:si>
    <x:t xml:space="preserve">사업장 해당 폐기물 종류 확인</x:t>
  </x:si>
  <x:si>
    <x:t xml:space="preserve">EMS-019</x:t>
  </x:si>
  <x:si>
    <x:t xml:space="preserve">유해화학물질/MSDS 및 용기·보관기준</x:t>
  </x:si>
  <x:si>
    <x:t xml:space="preserve">실제 사용물질과 법규상 적용성/관리체계</x:t>
  </x:si>
  <x:si>
    <x:t xml:space="preserve">사용 여부 미확인: 해당 시 필수</x:t>
  </x:si>
  <x:si>
    <x:t xml:space="preserve">EMS-020</x:t>
  </x:si>
  <x:si>
    <x:t xml:space="preserve">대기·수질 배출시설 허가 및 운영기록</x:t>
  </x:si>
  <x:si>
    <x:t xml:space="preserve">배출시설 설치/가동 해당 여부, 법정 측정·점검</x:t>
  </x:si>
  <x:si>
    <x:t xml:space="preserve">환경/설비</x:t>
  </x:si>
  <x:si>
    <x:t xml:space="preserve">인허가 대상 여부부터 확인</x:t>
  </x:si>
  <x:si>
    <x:t xml:space="preserve">EMS-021</x:t>
  </x:si>
  <x:si>
    <x:t xml:space="preserve">설비 정기점검·누유/누출 예방 기록</x:t>
  </x:si>
  <x:si>
    <x:t xml:space="preserve">시설 운영상 누유, 오염 관리, 예방정비</x:t>
  </x:si>
  <x:si>
    <x:t xml:space="preserve">설비/환경</x:t>
  </x:si>
  <x:si>
    <x:t xml:space="preserve">현장 적용 설비만</x:t>
  </x:si>
  <x:si>
    <x:t xml:space="preserve">EMS-022</x:t>
  </x:si>
  <x:si>
    <x:t xml:space="preserve">8.2</x:t>
  </x:si>
  <x:si>
    <x:t xml:space="preserve">환경비상사태 대응계획·연락망·훈련 기록</x:t>
  </x:si>
  <x:si>
    <x:t xml:space="preserve">유출·화재 등 적용 비상상황, 훈련 및 개선</x:t>
  </x:si>
  <x:si>
    <x:t xml:space="preserve">환경/안전</x:t>
  </x:si>
  <x:si>
    <x:t xml:space="preserve">안전보건 자료가 EMS 요구사항 대체하는지 검증 필요</x:t>
  </x:si>
  <x:si>
    <x:t xml:space="preserve">EMS-023</x:t>
  </x:si>
  <x:si>
    <x:t xml:space="preserve">9.1.1</x:t>
  </x:si>
  <x:si>
    <x:t xml:space="preserve">환경성과 모니터링/계측 기록</x:t>
  </x:si>
  <x:si>
    <x:t xml:space="preserve">에너지·용수·폐기물 등 실사용 성과와 목표 연계</x:t>
  </x:si>
  <x:si>
    <x:t xml:space="preserve">측정 항목은 실제 중대 환경측면 따라 결정</x:t>
  </x:si>
  <x:si>
    <x:t xml:space="preserve">EMS-024</x:t>
  </x:si>
  <x:si>
    <x:t xml:space="preserve">측정기기 교정·관리기록(해당 시)</x:t>
  </x:si>
  <x:si>
    <x:t xml:space="preserve">법정 또는 자체 모니터링 측정의 유효성</x:t>
  </x:si>
  <x:si>
    <x:t xml:space="preserve">해당 측정기기 존재 확인</x:t>
  </x:si>
  <x:si>
    <x:t xml:space="preserve">EMS-025</x:t>
  </x:si>
  <x:si>
    <x:t xml:space="preserve">9.1.2</x:t>
  </x:si>
  <x:si>
    <x:t xml:space="preserve">법규 준수평가표/결과/개선조치</x:t>
  </x:si>
  <x:si>
    <x:t xml:space="preserve">준수의무별 평가주기 및 실제 결과</x:t>
  </x:si>
  <x:si>
    <x:t xml:space="preserve">법규목록과 1:1 연결 확인</x:t>
  </x:si>
  <x:si>
    <x:t xml:space="preserve">EMS-026</x:t>
  </x:si>
  <x:si>
    <x:t xml:space="preserve">9.2</x:t>
  </x:si>
  <x:si>
    <x:t xml:space="preserve">2026 내부심사 계획·보고서·체크리스트</x:t>
  </x:si>
  <x:si>
    <x:t xml:space="preserve">전 범위 심사, 독립성, 후속 조치</x:t>
  </x:si>
  <x:si>
    <x:t xml:space="preserve">실제 실시 여부 미확인</x:t>
  </x:si>
  <x:si>
    <x:t xml:space="preserve">EMS-027</x:t>
  </x:si>
  <x:si>
    <x:t xml:space="preserve">9.3</x:t>
  </x:si>
  <x:si>
    <x:t xml:space="preserve">경영검토 회의록·입력·출력 및 후속조치</x:t>
  </x:si>
  <x:si>
    <x:t xml:space="preserve">성과·법규·측면·목표·리스크 등 입력과 의사결정</x:t>
  </x:si>
  <x:si>
    <x:t xml:space="preserve">실제 경영검토 실시 여부 미확인</x:t>
  </x:si>
  <x:si>
    <x:t xml:space="preserve">EMS-028</x:t>
  </x:si>
  <x:si>
    <x:t xml:space="preserve">10.2</x:t>
  </x:si>
  <x:si>
    <x:t xml:space="preserve">환경 부적합·시정조치·유효성 검증 기록</x:t>
  </x:si>
  <x:si>
    <x:t xml:space="preserve">원인분석, 조치 완료 및 재발방지</x:t>
  </x:si>
  <x:si>
    <x:t xml:space="preserve">환경/관련부서</x:t>
  </x:si>
  <x:si>
    <x:t xml:space="preserve">부적합 없음 여부도 기록 확인</x:t>
  </x:si>
  <x:si>
    <x:t xml:space="preserve">EMS-029</x:t>
  </x:si>
  <x:si>
    <x:t xml:space="preserve">10.3</x:t>
  </x:si>
  <x:si>
    <x:t xml:space="preserve">환경 개선활동 성과/추진 현황</x:t>
  </x:si>
  <x:si>
    <x:t xml:space="preserve">개선 성과와 지속적 개선 추진</x:t>
  </x:si>
  <x:si>
    <x:t xml:space="preserve">연간 개선 실적 확인</x:t>
  </x:si>
  <x:si>
    <x:t xml:space="preserve">EMS-030</x:t>
  </x:si>
  <x:si>
    <x:t xml:space="preserve">심사 이력</x:t>
  </x:si>
  <x:si>
    <x:t xml:space="preserve">2023 갱신 및 최근 사후심사 결과·지적 대응</x:t>
  </x:si>
  <x:si>
    <x:t xml:space="preserve">이전 지적사항 종료 및 재발방지 효과</x:t>
  </x:si>
  <x:si>
    <x:t xml:space="preserve">2023년 갱신심사일은 공문에서 확인, 결과는 미제공</x:t>
  </x:si>
  <x:si>
    <x:t xml:space="preserve">EMS-031</x:t>
  </x:si>
  <x:si>
    <x:t xml:space="preserve">환경사고·민원·대외기관 지적 처리 기록</x:t>
  </x:si>
  <x:si>
    <x:t xml:space="preserve">발생 시 보고·시정·후속 예방체계 확인</x:t>
  </x:si>
  <x:si>
    <x:t xml:space="preserve">없음과 미확인은 다른 상태</x:t>
  </x:si>
  <x:si>
    <x:t xml:space="preserve">EMS-032</x:t>
  </x:si>
  <x:si>
    <x:t xml:space="preserve">심사 운영</x:t>
  </x:si>
  <x:si>
    <x:t xml:space="preserve">공정도·현장 동선·담당자 인터뷰 명단</x:t>
  </x:si>
  <x:si>
    <x:t xml:space="preserve">공문상 인증범위가 현장공정과 일치</x:t>
  </x:si>
  <x:si>
    <x:t xml:space="preserve">생산/심사총괄</x:t>
  </x:si>
  <x:si>
    <x:t xml:space="preserve">방문 확인 및 실제 담당 지정</x:t>
  </x:si>
  <x:si>
    <x:t xml:space="preserve">EMS-033</x:t>
  </x:si>
  <x:si>
    <x:t xml:space="preserve">현재 인증서 원본·유효기간·표기 사업장</x:t>
  </x:si>
  <x:si>
    <x:t xml:space="preserve">공문상 인증만료일/주소/범위 일치</x:t>
  </x:si>
  <x:si>
    <x:t xml:space="preserve">인증서 원본 미제공</x:t>
  </x:si>
  <x:si>
    <x:t xml:space="preserve">EMS-034</x:t>
  </x:si>
  <x:si>
    <x:t xml:space="preserve">심사 행정</x:t>
  </x:si>
  <x:si>
    <x:t xml:space="preserve">갱신심사 공문 및 비용 청구서</x:t>
  </x:si>
  <x:si>
    <x:t xml:space="preserve">NQA 공문번호·날짜·기관·비용 및 인증범위</x:t>
  </x:si>
  <x:si>
    <x:t xml:space="preserve">파일 확인</x:t>
  </x:si>
  <x:si>
    <x:t xml:space="preserve">파일 확인: 공문·청구서 직접 열람</x:t>
  </x:si>
  <x:si>
    <x:t xml:space="preserve">EMS-035</x:t>
  </x:si>
  <x:si>
    <x:t xml:space="preserve">기안서·품의서 및 비용 지급결재 증빙</x:t>
  </x:si>
  <x:si>
    <x:t xml:space="preserve">문서작성 완료 vs 최종 승인 및 지급 실행</x:t>
  </x:si>
  <x:si>
    <x:t xml:space="preserve">일부 파일 확인</x:t>
  </x:si>
  <x:si>
    <x:t xml:space="preserve">기안서/품의서 파일 확인, 승인·입금 미확인</x:t>
  </x:si>
  <x:si>
    <x:t xml:space="preserve">EMS-036</x:t>
  </x:si>
  <x:si>
    <x:t xml:space="preserve">입금증 및 전자세금계산서</x:t>
  </x:si>
  <x:si>
    <x:t xml:space="preserve">2026-11-12일까지 납부와 세금계산서 수취</x:t>
  </x:si>
  <x:si>
    <x:t xml:space="preserve">청구서상 지급조건 확인, 이행 미확인</x:t>
  </x:si>
  <x:si>
    <x:t xml:space="preserve">EMS-037</x:t>
  </x:si>
  <x:si>
    <x:t xml:space="preserve">규격 전환</x:t>
  </x:si>
  <x:si>
    <x:t xml:space="preserve">ISO 14001:2026 전환심사 여부 NQA 회신</x:t>
  </x:si>
  <x:si>
    <x:t xml:space="preserve">2026년판 병행/별도 계획 및 개정조항 교육</x:t>
  </x:si>
  <x:si>
    <x:t xml:space="preserve">심사총괄/환경</x:t>
  </x:si>
  <x:si>
    <x:t xml:space="preserve">2015 갱신 공문과 신규 규격 발행 사실 병존</x:t>
  </x:si>
  <x:si>
    <x:t xml:space="preserve">1단계 GAP·의사결정 목록 | 우선순위</x:t>
  </x:si>
  <x:si>
    <x:t xml:space="preserve">문서 검토로 확인되지 않은 것은 ‘누락 확정’이 아닌 ‘확인 필요’로 분류 · NQA 회신과 실제 승인기록 확보 후 현황 갱신</x:t>
  </x:si>
  <x:si>
    <x:t xml:space="preserve">번호</x:t>
  </x:si>
  <x:si>
    <x:t xml:space="preserve">확인 범주</x:t>
  </x:si>
  <x:si>
    <x:t xml:space="preserve">확인할 사항</x:t>
  </x:si>
  <x:si>
    <x:t xml:space="preserve">확인 필요 이유 / 결정 기준</x:t>
  </x:si>
  <x:si>
    <x:t xml:space="preserve">조치 역할(안)</x:t>
  </x:si>
  <x:si>
    <x:t xml:space="preserve">권고 기한</x:t>
  </x:si>
  <x:si>
    <x:t xml:space="preserve">상태</x:t>
  </x:si>
  <x:si>
    <x:t xml:space="preserve">참고/결과</x:t>
  </x:si>
  <x:si>
    <x:t xml:space="preserve">G-01</x:t>
  </x:si>
  <x:si>
    <x:t xml:space="preserve">규격 적용</x:t>
  </x:si>
  <x:si>
    <x:t xml:space="preserve">이번 11월 갱신은 2015 단독인지 2026 전환 병행인지</x:t>
  </x:si>
  <x:si>
    <x:t xml:space="preserve">NQA 공문은 2015 갱신, 2026판 신규 발행</x:t>
  </x:si>
  <x:si>
    <x:t xml:space="preserve">NQA 서면 회신 보관</x:t>
  </x:si>
  <x:si>
    <x:t xml:space="preserve">G-02</x:t>
  </x:si>
  <x:si>
    <x:t xml:space="preserve">인증서</x:t>
  </x:si>
  <x:si>
    <x:t xml:space="preserve">현재 ISO 14001 인증서 최신본 수집</x:t>
  </x:si>
  <x:si>
    <x:t xml:space="preserve">만료일·사업장·범위가 공문과 일치하는지</x:t>
  </x:si>
  <x:si>
    <x:t xml:space="preserve">공문상의 만료일 2026-12-29</x:t>
  </x:si>
  <x:si>
    <x:t xml:space="preserve">G-03</x:t>
  </x:si>
  <x:si>
    <x:t xml:space="preserve">인원 및 교대</x:t>
  </x:si>
  <x:si>
    <x:t xml:space="preserve">공문상 48명 1교대와 현행 인력 현황 대조</x:t>
  </x:si>
  <x:si>
    <x:t xml:space="preserve">실제 사업장 인원과 다른 경우 NQA 정정 협의</x:t>
  </x:si>
  <x:si>
    <x:t xml:space="preserve">인사/심사총괄</x:t>
  </x:si>
  <x:si>
    <x:t xml:space="preserve">다른 QMS 프로젝트 인원과 직접 혼동 금지</x:t>
  </x:si>
  <x:si>
    <x:t xml:space="preserve">G-04</x:t>
  </x:si>
  <x:si>
    <x:t xml:space="preserve">컨덴서 파이프·에바 파이프 제조 범위와 현장 대조</x:t>
  </x:si>
  <x:si>
    <x:t xml:space="preserve">공정/작업장/외주 관련 범위 누락 여부</x:t>
  </x:si>
  <x:si>
    <x:t xml:space="preserve">심사 공문 표현 사용</x:t>
  </x:si>
  <x:si>
    <x:t xml:space="preserve">G-05</x:t>
  </x:si>
  <x:si>
    <x:t xml:space="preserve">EMS 관리문서</x:t>
  </x:si>
  <x:si>
    <x:t xml:space="preserve">현행 EMS 매뉴얼·절차·양식 파일 수집</x:t>
  </x:si>
  <x:si>
    <x:t xml:space="preserve">QMS 파일이 EMS 문서를 자동 충족하지 않음</x:t>
  </x:si>
  <x:si>
    <x:t xml:space="preserve">EMS 운영 문서 별도 실물 확인</x:t>
  </x:si>
  <x:si>
    <x:t xml:space="preserve">G-06</x:t>
  </x:si>
  <x:si>
    <x:t xml:space="preserve">법규·인허가</x:t>
  </x:si>
  <x:si>
    <x:t xml:space="preserve">적용 환경법규/인허가 및 최근 준수평가 확인</x:t>
  </x:si>
  <x:si>
    <x:t xml:space="preserve">법규적합성은 핵심 심사 증빙</x:t>
  </x:si>
  <x:si>
    <x:t xml:space="preserve">인허가 유무 실제 확인</x:t>
  </x:si>
  <x:si>
    <x:t xml:space="preserve">G-07</x:t>
  </x:si>
  <x:si>
    <x:t xml:space="preserve">환경영향</x:t>
  </x:si>
  <x:si>
    <x:t xml:space="preserve">환경측면 평가/중대환경측면/관리기준 업데이트</x:t>
  </x:si>
  <x:si>
    <x:t xml:space="preserve">인증범위 내 실제 공정 변화 및 비상상황 반영</x:t>
  </x:si>
  <x:si>
    <x:t xml:space="preserve">공정별 확인</x:t>
  </x:si>
  <x:si>
    <x:t xml:space="preserve">G-08</x:t>
  </x:si>
  <x:si>
    <x:t xml:space="preserve">환경성과</x:t>
  </x:si>
  <x:si>
    <x:t xml:space="preserve">2026 목표·성과 지표 및 운영실적 수집</x:t>
  </x:si>
  <x:si>
    <x:t xml:space="preserve">평가/개선 조치의 실행 증거</x:t>
  </x:si>
  <x:si>
    <x:t xml:space="preserve">측정항목은 적용성 검토</x:t>
  </x:si>
  <x:si>
    <x:t xml:space="preserve">G-09</x:t>
  </x:si>
  <x:si>
    <x:t xml:space="preserve">시스템 검증</x:t>
  </x:si>
  <x:si>
    <x:t xml:space="preserve">내부심사·경영검토 실행 및 조치완료 확인</x:t>
  </x:si>
  <x:si>
    <x:t xml:space="preserve">갱신심사 핵심 선행 관리 기록</x:t>
  </x:si>
  <x:si>
    <x:t xml:space="preserve">환경관리/경영진</x:t>
  </x:si>
  <x:si>
    <x:t xml:space="preserve">실제 문서 미제공</x:t>
  </x:si>
  <x:si>
    <x:t xml:space="preserve">G-10</x:t>
  </x:si>
  <x:si>
    <x:t xml:space="preserve">이전 지적</x:t>
  </x:si>
  <x:si>
    <x:t xml:space="preserve">최근 인증심사 부적합 및 시정조치 이력</x:t>
  </x:si>
  <x:si>
    <x:t xml:space="preserve">재발/미종결 조치 위험</x:t>
  </x:si>
  <x:si>
    <x:t xml:space="preserve">공문에 이전 갱신일만 명시</x:t>
  </x:si>
  <x:si>
    <x:t xml:space="preserve">G-11</x:t>
  </x:si>
  <x:si>
    <x:t xml:space="preserve">비용 집행</x:t>
  </x:si>
  <x:si>
    <x:t xml:space="preserve">기안 최종 승인·지급 증빙 및 세금계산서 확인</x:t>
  </x:si>
  <x:si>
    <x:t xml:space="preserve">기안 작성은 비용 집행 완료 증명이 아님</x:t>
  </x:si>
  <x:si>
    <x:t xml:space="preserve">2,673,000원, 지급기한 11/12</x:t>
  </x:si>
  <x:si>
    <x:t xml:space="preserve">G-12</x:t>
  </x:si>
  <x:si>
    <x:t xml:space="preserve">심사계획서 및 시간표 수령, 장소·인터뷰 준비</x:t>
  </x:si>
  <x:si>
    <x:t xml:space="preserve">통보 공문과 세부 인터뷰 계획은 별개</x:t>
  </x:si>
  <x:si>
    <x:t xml:space="preserve">NQA 상세계획은 현재 제공 자료에 없음</x:t>
  </x:si>
  <x:si>
    <x:t xml:space="preserve">참고자료·출처·상태 구분</x:t>
  </x:si>
  <x:si>
    <x:t xml:space="preserve">구분: [원본확인] 직접 열람 · [작성본확인] 작성파일 존재 확인(승인 완료 의미 아님) · [외부정보] 표준 발행/전환 근거</x:t>
  </x:si>
  <x:si>
    <x:t xml:space="preserve">자료명/파일명</x:t>
  </x:si>
  <x:si>
    <x:t xml:space="preserve">발행·기준일</x:t>
  </x:si>
  <x:si>
    <x:t xml:space="preserve">확인상태</x:t>
  </x:si>
  <x:si>
    <x:t xml:space="preserve">핵심 반영사항</x:t>
  </x:si>
  <x:si>
    <x:t xml:space="preserve">기록성격</x:t>
  </x:si>
  <x:si>
    <x:t xml:space="preserve">참고</x:t>
  </x:si>
  <x:si>
    <x:t xml:space="preserve">NQA 공문</x:t>
  </x:si>
  <x:si>
    <x:t xml:space="preserve">Form004_INFORM_QE_SATA_주식회사 신화에이치앤티.pdf</x:t>
  </x:si>
  <x:si>
    <x:t xml:space="preserve">2026-10-14</x:t>
  </x:si>
  <x:si>
    <x:t xml:space="preserve">원본확인</x:t>
  </x:si>
  <x:si>
    <x:t xml:space="preserve">3 MD/2일·주소·범위·인원·심사팀</x:t>
  </x:si>
  <x:si>
    <x:t xml:space="preserve">공식 통보</x:t>
  </x:si>
  <x:si>
    <x:t xml:space="preserve">NQA202610-1401</x:t>
  </x:si>
  <x:si>
    <x:t xml:space="preserve">NQA 청구서</x:t>
  </x:si>
  <x:si>
    <x:t xml:space="preserve">심사비용청구서 R2_주식회사 신화에이치앤티.pdf</x:t>
  </x:si>
  <x:si>
    <x:t xml:space="preserve">2,673,000원/계좌/납부기한</x:t>
  </x:si>
  <x:si>
    <x:t xml:space="preserve">공식 청구</x:t>
  </x:si>
  <x:si>
    <x:t xml:space="preserve">청구서번호 NQA202610-1401</x:t>
  </x:si>
  <x:si>
    <x:t xml:space="preserve">내부 품의서</x:t>
  </x:si>
  <x:si>
    <x:t xml:space="preserve">SHINHWA_ISO14001_Approval_Review_Final_20261019.docx</x:t>
  </x:si>
  <x:si>
    <x:t xml:space="preserve">2026-10-19</x:t>
  </x:si>
  <x:si>
    <x:t xml:space="preserve">작성본확인</x:t>
  </x:si>
  <x:si>
    <x:t xml:space="preserve">심사 시행·비용 지급 품의</x:t>
  </x:si>
  <x:si>
    <x:t xml:space="preserve">내부 기안</x:t>
  </x:si>
  <x:si>
    <x:t xml:space="preserve">작성/검토/승인 최종 완료 여부 미확인</x:t>
  </x:si>
  <x:si>
    <x:t xml:space="preserve">내부 기안서</x:t>
  </x:si>
  <x:si>
    <x:t xml:space="preserve">SHINHWA_ISO14001_GIAN_Rev01_Table_20261019.xlsx</x:t>
  </x:si>
  <x:si>
    <x:t xml:space="preserve">기안서 표 스타일·심사·지급 명세</x:t>
  </x:si>
  <x:si>
    <x:t xml:space="preserve">기안번호·결재완료 증빙 미확인</x:t>
  </x:si>
  <x:si>
    <x:t xml:space="preserve">ISO 규격</x:t>
  </x:si>
  <x:si>
    <x:t xml:space="preserve">ISO 14001:2026 (ISO 웹사이트)</x:t>
  </x:si>
  <x:si>
    <x:t xml:space="preserve">2026-04-15</x:t>
  </x:si>
  <x:si>
    <x:t xml:space="preserve">외부정보</x:t>
  </x:si>
  <x:si>
    <x:t xml:space="preserve">2015판 대체하는 신규 표준 발행</x:t>
  </x:si>
  <x:si>
    <x:t xml:space="preserve">공식 표준</x:t>
  </x:si>
  <x:si>
    <x:t xml:space="preserve">https://www.iso.org/standard/14001</x:t>
  </x:si>
  <x:si>
    <x:t xml:space="preserve">전환규정</x:t>
  </x:si>
  <x:si>
    <x:t xml:space="preserve">Global ACI ISO 14001:2026 전환 안내</x:t>
  </x:si>
  <x:si>
    <x:t xml:space="preserve">2026-09-14</x:t>
  </x:si>
  <x:si>
    <x:t xml:space="preserve">기존 2015판 인증기업 전환기한 2029-04-30</x:t>
  </x:si>
  <x:si>
    <x:t xml:space="preserve">공식 전환 안내</x:t>
  </x:si>
  <x:si>
    <x:t xml:space="preserve">https://global-aci.org/en/news/global-aci-publishes-transition-requirements-for-iso-140012026/</x:t>
  </x:si>
  <x:si>
    <x:t xml:space="preserve">이전 환경 운영기록</x:t>
  </x:si>
  <x:si>
    <x:t xml:space="preserve">EMS 환경매뉴얼·법규평가·심사기록 등</x:t>
  </x:si>
  <x:si>
    <x:t xml:space="preserve">-</x:t>
  </x:si>
  <x:si>
    <x:t xml:space="preserve">미제공</x:t>
  </x:si>
  <x:si>
    <x:t xml:space="preserve">2단계 자료 수집·실물대조 필요</x:t>
  </x:si>
  <x:si>
    <x:t xml:space="preserve">확인필요</x:t>
  </x:si>
  <x:si>
    <x:t xml:space="preserve">현재 제공 파일에서는 실제 보유 여부 미확인</x:t>
  </x:si>
  <x:si>
    <x:t xml:space="preserve">판단기준: 문서 확보 = 심사 적합 판정 아님. 실무 담당자가 최신 개정·승인·현장 실행·기록 보존을 확인해야 함.</x:t>
  </x:si>
  <x:si>
    <x:t xml:space="preserve">ISO 14001 갱신심사 | 최종 준비 총괄</x:t>
  </x:si>
  <x:si>
    <x:t xml:space="preserve">작성기준 2026-10-26 · 본 파일은 심사 준비·기록 확인 도구이며, 인증 적합성·결재 완료를 의미하지 않습니다.</x:t>
  </x:si>
  <x:si>
    <x:t xml:space="preserve">주요 내용</x:t>
  </x:si>
  <x:si>
    <x:t xml:space="preserve">확정/현황</x:t>
  </x:si>
  <x:si>
    <x:t xml:space="preserve">완료 판정 기준</x:t>
  </x:si>
  <x:si>
    <x:t xml:space="preserve">소관(안)</x:t>
  </x:si>
  <x:si>
    <x:t xml:space="preserve">목표 기한</x:t>
  </x:si>
  <x:si>
    <x:t xml:space="preserve">심사</x:t>
  </x:si>
  <x:si>
    <x:t xml:space="preserve">갱신심사 / ISO 14001:2015</x:t>
  </x:si>
  <x:si>
    <x:t xml:space="preserve">NQA 공문 확인</x:t>
  </x:si>
  <x:si>
    <x:t xml:space="preserve">기관의 적용규격 회신 확보</x:t>
  </x:si>
  <x:si>
    <x:t xml:space="preserve">일정</x:t>
  </x:si>
  <x:si>
    <x:t xml:space="preserve">2026.11.19~11.20 / 3 MD</x:t>
  </x:si>
  <x:si>
    <x:t xml:space="preserve">공문 확인</x:t>
  </x:si>
  <x:si>
    <x:t xml:space="preserve">최종 심사계획/동선 확정</x:t>
  </x:si>
  <x:si>
    <x:t xml:space="preserve">대상 범위</x:t>
  </x:si>
  <x:si>
    <x:t xml:space="preserve">컨덴서·에바 파이프 제조</x:t>
  </x:si>
  <x:si>
    <x:t xml:space="preserve">실제 공정·인원·인증서 일치</x:t>
  </x:si>
  <x:si>
    <x:t xml:space="preserve">환경/생산/인사</x:t>
  </x:si>
  <x:si>
    <x:t xml:space="preserve">2026-10-29</x:t>
  </x:si>
  <x:si>
    <x:t xml:space="preserve">비용</x:t>
  </x:si>
  <x:si>
    <x:t xml:space="preserve">2,673,000원(VAT 포함)</x:t>
  </x:si>
  <x:si>
    <x:t xml:space="preserve">청구서·기안서 확인</x:t>
  </x:si>
  <x:si>
    <x:t xml:space="preserve">결재 승인 + 이체증 확보</x:t>
  </x:si>
  <x:si>
    <x:t xml:space="preserve">경영관리/회계</x:t>
  </x:si>
  <x:si>
    <x:t xml:space="preserve">서류</x:t>
  </x:si>
  <x:si>
    <x:t xml:space="preserve">환경문서/절차/기록</x:t>
  </x:si>
  <x:si>
    <x:t xml:space="preserve">대부분 미확인</x:t>
  </x:si>
  <x:si>
    <x:t xml:space="preserve">최신 승인본 + 최근 운영 증빙 첨부</x:t>
  </x:si>
  <x:si>
    <x:t xml:space="preserve">적합성</x:t>
  </x:si>
  <x:si>
    <x:t xml:space="preserve">법규·허가·준수평가</x:t>
  </x:si>
  <x:si>
    <x:t xml:space="preserve">검증 전</x:t>
  </x:si>
  <x:si>
    <x:t xml:space="preserve">해당여부 판단 + 평가기록 + 시정조치</x:t>
  </x:si>
  <x:si>
    <x:t xml:space="preserve">환경관리/설비</x:t>
  </x:si>
  <x:si>
    <x:t xml:space="preserve">성과</x:t>
  </x:si>
  <x:si>
    <x:t xml:space="preserve">2026 목표·성과·개선</x:t>
  </x:si>
  <x:si>
    <x:t xml:space="preserve">실제 월별 데이터 및 목표대비 분석</x:t>
  </x:si>
  <x:si>
    <x:t xml:space="preserve">환경관리/총무</x:t>
  </x:si>
  <x:si>
    <x:t xml:space="preserve">내부심사/경영검토</x:t>
  </x:si>
  <x:si>
    <x:t xml:space="preserve">완료 기록, 미결 건 후속조치</x:t>
  </x:si>
  <x:si>
    <x:t xml:space="preserve">내부심사/경영진</x:t>
  </x:si>
  <x:si>
    <x:t xml:space="preserve">현장</x:t>
  </x:si>
  <x:si>
    <x:t xml:space="preserve">설비·폐기물·화학물질·비상 대응</x:t>
  </x:si>
  <x:si>
    <x:t xml:space="preserve">현장 동선 점검 및 인터뷰 완료</x:t>
  </x:si>
  <x:si>
    <x:t xml:space="preserve">생산/설비/환경</x:t>
  </x:si>
  <x:si>
    <x:t xml:space="preserve">전환</x:t>
  </x:si>
  <x:si>
    <x:t xml:space="preserve">ISO 14001:2026 전환 여부</x:t>
  </x:si>
  <x:si>
    <x:t xml:space="preserve">NQA 회신 필요</x:t>
  </x:si>
  <x:si>
    <x:t xml:space="preserve">기준일·전환계획 서면 확보</x:t>
  </x:si>
  <x:si>
    <x:t xml:space="preserve">증빙 37건 중 확인 상태 (기존 03_준비자료 G7:G43 수정 시 자동 반영)</x:t>
  </x:si>
  <x:si>
    <x:t xml:space="preserve">전체 관리항목</x:t>
  </x:si>
  <x:si>
    <x:t xml:space="preserve">판정 원칙: 자료 미제출=미확인. 양식 작성=운영 이행이 아님. 실제일자·성명·결과·근거가 있는 승인/운영 기록으로 최종 판단.</x:t>
  </x:si>
  <x:si>
    <x:t xml:space="preserve">사용자가 직접 확정/수집할 16가지 사항</x:t>
  </x:si>
  <x:si>
    <x:t xml:space="preserve">실제 담당자·결재 및 외부 회신이 필요한 사항. 담당 역할은 제안이며 성명/완료일/증빙경로를 반드시 확정하세요.</x:t>
  </x:si>
  <x:si>
    <x:t xml:space="preserve">관리ID</x:t>
  </x:si>
  <x:si>
    <x:t xml:space="preserve">확정/수집할 내용</x:t>
  </x:si>
  <x:si>
    <x:t xml:space="preserve">필요 제출물</x:t>
  </x:si>
  <x:si>
    <x:t xml:space="preserve">권고기한</x:t>
  </x:si>
  <x:si>
    <x:t xml:space="preserve">판정 메모</x:t>
  </x:si>
  <x:si>
    <x:t xml:space="preserve">A-01</x:t>
  </x:si>
  <x:si>
    <x:t xml:space="preserve">최우선</x:t>
  </x:si>
  <x:si>
    <x:t xml:space="preserve">NQA에 2015 갱신/2026 전환 병행 여부 및 전환 최종기한 서면 확인</x:t>
  </x:si>
  <x:si>
    <x:t xml:space="preserve">NQA 이메일 회신</x:t>
  </x:si>
  <x:si>
    <x:t xml:space="preserve">해외 NQA 페이지의 4/14 vs Global ACI 4/30 차이 포함</x:t>
  </x:si>
  <x:si>
    <x:t xml:space="preserve">A-02</x:t>
  </x:si>
  <x:si>
    <x:t xml:space="preserve">현행 ISO 14001 인증서 스캔본 제공</x:t>
  </x:si>
  <x:si>
    <x:t xml:space="preserve">인증서 PDF</x:t>
  </x:si>
  <x:si>
    <x:t xml:space="preserve">주소·범위·만료일 대조</x:t>
  </x:si>
  <x:si>
    <x:t xml:space="preserve">A-03</x:t>
  </x:si>
  <x:si>
    <x:t xml:space="preserve">최신 인원/조직도·교대현황 확정</x:t>
  </x:si>
  <x:si>
    <x:t xml:space="preserve">조직도 및 종업원 현황</x:t>
  </x:si>
  <x:si>
    <x:t xml:space="preserve">인사/총무</x:t>
  </x:si>
  <x:si>
    <x:t xml:space="preserve">공문상 48명 1교대</x:t>
  </x:si>
  <x:si>
    <x:t xml:space="preserve">A-04</x:t>
  </x:si>
  <x:si>
    <x:t xml:space="preserve">현행 EMS 환경매뉴얼/절차서/양식 및 개정목록 제출</x:t>
  </x:si>
  <x:si>
    <x:t xml:space="preserve">승인본 전자파일·문서목록</x:t>
  </x:si>
  <x:si>
    <x:t xml:space="preserve">QMS 문서와 혼용하지 말 것</x:t>
  </x:si>
  <x:si>
    <x:t xml:space="preserve">A-05</x:t>
  </x:si>
  <x:si>
    <x:t xml:space="preserve">공정별 환경측면/중대한 측면평가 실제 기록 제출</x:t>
  </x:si>
  <x:si>
    <x:t xml:space="preserve">2026 평가대장·승인본</x:t>
  </x:si>
  <x:si>
    <x:t xml:space="preserve">절단·성형·브레이징·세척 등 실제 적용 확인</x:t>
  </x:si>
  <x:si>
    <x:t xml:space="preserve">A-06</x:t>
  </x:si>
  <x:si>
    <x:t xml:space="preserve">적용법규/인허가/신고/준수평가 최신 기록</x:t>
  </x:si>
  <x:si>
    <x:t xml:space="preserve">증빙 목록·인허가·준수평가표</x:t>
  </x:si>
  <x:si>
    <x:t xml:space="preserve">사업장 법적 해당여부 검증</x:t>
  </x:si>
  <x:si>
    <x:t xml:space="preserve">A-07</x:t>
  </x:si>
  <x:si>
    <x:t xml:space="preserve">최근 1년 폐기물 처리·보관·위탁 증빙</x:t>
  </x:si>
  <x:si>
    <x:t xml:space="preserve">계약·계량표·인계/처리기록</x:t>
  </x:si>
  <x:si>
    <x:t xml:space="preserve">실제 발생분 기준</x:t>
  </x:si>
  <x:si>
    <x:t xml:space="preserve">A-08</x:t>
  </x:si>
  <x:si>
    <x:t xml:space="preserve">화학물질·MSDS·용기표시·누출관리 확인</x:t>
  </x:si>
  <x:si>
    <x:t xml:space="preserve">사용목록·MSDS·점검표</x:t>
  </x:si>
  <x:si>
    <x:t xml:space="preserve">2026-11-05</x:t>
  </x:si>
  <x:si>
    <x:t xml:space="preserve">실제 취급하는 경우</x:t>
  </x:si>
  <x:si>
    <x:t xml:space="preserve">A-09</x:t>
  </x:si>
  <x:si>
    <x:t xml:space="preserve">환경목표·월별 성과 2026 실적 입력</x:t>
  </x:si>
  <x:si>
    <x:t xml:space="preserve">목표/실적/개선 추적</x:t>
  </x:si>
  <x:si>
    <x:t xml:space="preserve">에너지·용수·폐기물 실제 수치</x:t>
  </x:si>
  <x:si>
    <x:t xml:space="preserve">A-10</x:t>
  </x:si>
  <x:si>
    <x:t xml:space="preserve">환경 교육·비상대응 훈련 실적 확보</x:t>
  </x:si>
  <x:si>
    <x:t xml:space="preserve">교육일지·훈련보고서</x:t>
  </x:si>
  <x:si>
    <x:t xml:space="preserve">미실시를 실시로 입력 금지</x:t>
  </x:si>
  <x:si>
    <x:t xml:space="preserve">A-11</x:t>
  </x:si>
  <x:si>
    <x:t xml:space="preserve">2026 내부심사 시행 및 부적합 종결여부 확인</x:t>
  </x:si>
  <x:si>
    <x:t xml:space="preserve">내부심사 계획·결과·조치 증빙</x:t>
  </x:si>
  <x:si>
    <x:t xml:space="preserve">사후 기재 대신 실제 심사 수행</x:t>
  </x:si>
  <x:si>
    <x:t xml:space="preserve">A-12</x:t>
  </x:si>
  <x:si>
    <x:t xml:space="preserve">경영검토 실적 및 경영진 승인 확보</x:t>
  </x:si>
  <x:si>
    <x:t xml:space="preserve">경영검토 회의록·조치계획</x:t>
  </x:si>
  <x:si>
    <x:t xml:space="preserve">실제 회의 개최·의사결정 필요</x:t>
  </x:si>
  <x:si>
    <x:t xml:space="preserve">A-13</x:t>
  </x:si>
  <x:si>
    <x:t xml:space="preserve">기안서 최종 결재, 11/12까지 입금, 증빙/세금계산서 확보</x:t>
  </x:si>
  <x:si>
    <x:t xml:space="preserve">전자결재·이체확인증·세금계산서</x:t>
  </x:si>
  <x:si>
    <x:t xml:space="preserve">회계/기안</x:t>
  </x:si>
  <x:si>
    <x:t xml:space="preserve">문서 작성만 확인, 승인·이체는 확인 못함</x:t>
  </x:si>
  <x:si>
    <x:t xml:space="preserve">A-14</x:t>
  </x:si>
  <x:si>
    <x:t xml:space="preserve">이전 인증기관 지적/개선조치 종료 근거 확보</x:t>
  </x:si>
  <x:si>
    <x:t xml:space="preserve">이전 심사 보고서·CAR</x:t>
  </x:si>
  <x:si>
    <x:t xml:space="preserve">재발방지 유효성 확인</x:t>
  </x:si>
  <x:si>
    <x:t xml:space="preserve">A-15</x:t>
  </x:si>
  <x:si>
    <x:t xml:space="preserve">현장 2회 동선점검·작업자 인터뷰 시행</x:t>
  </x:si>
  <x:si>
    <x:t xml:space="preserve">현장점검표·면담기록</x:t>
  </x:si>
  <x:si>
    <x:t xml:space="preserve">시정완료 확인 후 실적 기재</x:t>
  </x:si>
  <x:si>
    <x:t xml:space="preserve">A-16</x:t>
  </x:si>
  <x:si>
    <x:t xml:space="preserve">심사대응 인원·장소·자료폴더 지정</x:t>
  </x:si>
  <x:si>
    <x:t xml:space="preserve">최종 일정·책임자·증빙색인</x:t>
  </x:si>
  <x:si>
    <x:t xml:space="preserve">심사원 세부 시간표는 미제공</x:t>
  </x:si>
  <x:si>
    <x:t xml:space="preserve">핵심 GAP 검증 및 시정조치 추적</x:t>
  </x:si>
  <x:si>
    <x:t xml:space="preserve">GAP는 제공파일 기준의 증빙 확인 공백입니다. 실제 법규 위반·시스템 부적합이 확정되었다는 뜻이 아닙니다.</x:t>
  </x:si>
  <x:si>
    <x:t xml:space="preserve">GAP-ID</x:t>
  </x:si>
  <x:si>
    <x:t xml:space="preserve">연관증빙</x:t>
  </x:si>
  <x:si>
    <x:t xml:space="preserve">검토영역</x:t>
  </x:si>
  <x:si>
    <x:t xml:space="preserve">확인·수정 기준</x:t>
  </x:si>
  <x:si>
    <x:t xml:space="preserve">현재 판정 근거</x:t>
  </x:si>
  <x:si>
    <x:t xml:space="preserve">요구 증빙/완료기준</x:t>
  </x:si>
  <x:si>
    <x:t xml:space="preserve">담당 역할</x:t>
  </x:si>
  <x:si>
    <x:t xml:space="preserve">기한</x:t>
  </x:si>
  <x:si>
    <x:t xml:space="preserve">G01</x:t>
  </x:si>
  <x:si>
    <x:t xml:space="preserve">규격 전환 해석</x:t>
  </x:si>
  <x:si>
    <x:t xml:space="preserve">NQA 2015/2026 병행 및 일정 확인</x:t>
  </x:si>
  <x:si>
    <x:t xml:space="preserve">공문상 2015 명시</x:t>
  </x:si>
  <x:si>
    <x:t xml:space="preserve">NQA 회신/변경 공문</x:t>
  </x:si>
  <x:si>
    <x:t xml:space="preserve">G02</x:t>
  </x:si>
  <x:si>
    <x:t xml:space="preserve">인증서 현행성</x:t>
  </x:si>
  <x:si>
    <x:t xml:space="preserve">만료일·범위·사업장 일치 여부</x:t>
  </x:si>
  <x:si>
    <x:t xml:space="preserve">인증서 사본 미확보</x:t>
  </x:si>
  <x:si>
    <x:t xml:space="preserve">현행 인증서 및 변경내역</x:t>
  </x:si>
  <x:si>
    <x:t xml:space="preserve">G03</x:t>
  </x:si>
  <x:si>
    <x:t xml:space="preserve">인원·공정·범위</x:t>
  </x:si>
  <x:si>
    <x:t xml:space="preserve">공문 48명·1교대 대조</x:t>
  </x:si>
  <x:si>
    <x:t xml:space="preserve">실제 수치 확인 못함</x:t>
  </x:si>
  <x:si>
    <x:t xml:space="preserve">최신 조직도·공정도·인원</x:t>
  </x:si>
  <x:si>
    <x:t xml:space="preserve">인사/생산</x:t>
  </x:si>
  <x:si>
    <x:t xml:space="preserve">G04</x:t>
  </x:si>
  <x:si>
    <x:t xml:space="preserve">환경측면 평가</x:t>
  </x:si>
  <x:si>
    <x:t xml:space="preserve">공정별 정상·비정상·비상/전과정 고려</x:t>
  </x:si>
  <x:si>
    <x:t xml:space="preserve">기록 미확인</x:t>
  </x:si>
  <x:si>
    <x:t xml:space="preserve">평가대장·중대측면 관리</x:t>
  </x:si>
  <x:si>
    <x:t xml:space="preserve">G05</x:t>
  </x:si>
  <x:si>
    <x:t xml:space="preserve">적용법규·인허가</x:t>
  </x:si>
  <x:si>
    <x:t xml:space="preserve">현행 적용성 및 변경 이력</x:t>
  </x:si>
  <x:si>
    <x:t xml:space="preserve">법규 대장 미확인</x:t>
  </x:si>
  <x:si>
    <x:t xml:space="preserve">신고·허가·대장</x:t>
  </x:si>
  <x:si>
    <x:t xml:space="preserve">G06</x:t>
  </x:si>
  <x:si>
    <x:t xml:space="preserve">준수평가</x:t>
  </x:si>
  <x:si>
    <x:t xml:space="preserve">의무별 적합성 평가/위반 조치</x:t>
  </x:si>
  <x:si>
    <x:t xml:space="preserve">평가 실적 미확인</x:t>
  </x:si>
  <x:si>
    <x:t xml:space="preserve">실제 준수평가 증빙</x:t>
  </x:si>
  <x:si>
    <x:t xml:space="preserve">G07</x:t>
  </x:si>
  <x:si>
    <x:t xml:space="preserve">폐기물 기록</x:t>
  </x:si>
  <x:si>
    <x:t xml:space="preserve">폐기물 발생·보관·인계 실적</x:t>
  </x:si>
  <x:si>
    <x:t xml:space="preserve">내역 미확인</x:t>
  </x:si>
  <x:si>
    <x:t xml:space="preserve">증빙/처리업체 계약</x:t>
  </x:si>
  <x:si>
    <x:t xml:space="preserve">G08</x:t>
  </x:si>
  <x:si>
    <x:t xml:space="preserve">시설 신고/허가</x:t>
  </x:si>
  <x:si>
    <x:t xml:space="preserve">대기/수질 배출시설 해당 여부</x:t>
  </x:si>
  <x:si>
    <x:t xml:space="preserve">설비현황 미확인</x:t>
  </x:si>
  <x:si>
    <x:t xml:space="preserve">관련 확인서·허가증 등</x:t>
  </x:si>
  <x:si>
    <x:t xml:space="preserve">G09</x:t>
  </x:si>
  <x:si>
    <x:t xml:space="preserve">목표 및 성과</x:t>
  </x:si>
  <x:si>
    <x:t xml:space="preserve">목표 대비 실적 및 미달원인</x:t>
  </x:si>
  <x:si>
    <x:t xml:space="preserve">목표/실적 미확인</x:t>
  </x:si>
  <x:si>
    <x:t xml:space="preserve">월별 사용량 및 개선</x:t>
  </x:si>
  <x:si>
    <x:t xml:space="preserve">G10</x:t>
  </x:si>
  <x:si>
    <x:t xml:space="preserve">환경 비상대응</x:t>
  </x:si>
  <x:si>
    <x:t xml:space="preserve">실제 훈련/점검/개선</x:t>
  </x:si>
  <x:si>
    <x:t xml:space="preserve">훈련 실적 미확인</x:t>
  </x:si>
  <x:si>
    <x:t xml:space="preserve">훈련보고서·사진</x:t>
  </x:si>
  <x:si>
    <x:t xml:space="preserve">G11</x:t>
  </x:si>
  <x:si>
    <x:t xml:space="preserve">독립성·전 범위·조치 검증</x:t>
  </x:si>
  <x:si>
    <x:t xml:space="preserve">심사보고서 미확인</x:t>
  </x:si>
  <x:si>
    <x:t xml:space="preserve">계획표·보고서·CAR</x:t>
  </x:si>
  <x:si>
    <x:t xml:space="preserve">G12</x:t>
  </x:si>
  <x:si>
    <x:t xml:space="preserve">경영검토 필수 입력/출력 충족</x:t>
  </x:si>
  <x:si>
    <x:t xml:space="preserve">승인 회의록 미확인</x:t>
  </x:si>
  <x:si>
    <x:t xml:space="preserve">회의록·후속조치</x:t>
  </x:si>
  <x:si>
    <x:t xml:space="preserve">경영진</x:t>
  </x:si>
  <x:si>
    <x:t xml:space="preserve">G13</x:t>
  </x:si>
  <x:si>
    <x:t xml:space="preserve">이전 심사 부적합 종료 여부</x:t>
  </x:si>
  <x:si>
    <x:t xml:space="preserve">이전 보고서 미확인</x:t>
  </x:si>
  <x:si>
    <x:t xml:space="preserve">이전 지적·조치 증거</x:t>
  </x:si>
  <x:si>
    <x:t xml:space="preserve">G14</x:t>
  </x:si>
  <x:si>
    <x:t xml:space="preserve">비용결재</x:t>
  </x:si>
  <x:si>
    <x:t xml:space="preserve">기안 작성 vs 승인 구분</x:t>
  </x:si>
  <x:si>
    <x:t xml:space="preserve">기안서만 확인</x:t>
  </x:si>
  <x:si>
    <x:t xml:space="preserve">전산결재/승인 기록</x:t>
  </x:si>
  <x:si>
    <x:t xml:space="preserve">G15</x:t>
  </x:si>
  <x:si>
    <x:t xml:space="preserve">비용송금</x:t>
  </x:si>
  <x:si>
    <x:t xml:space="preserve">이체 및 세금계산서 수취</x:t>
  </x:si>
  <x:si>
    <x:t xml:space="preserve">입금증 미확인</x:t>
  </x:si>
  <x:si>
    <x:t xml:space="preserve">이체증·세금계산서</x:t>
  </x:si>
  <x:si>
    <x:t xml:space="preserve">G16</x:t>
  </x:si>
  <x:si>
    <x:t xml:space="preserve">현장 통제</x:t>
  </x:si>
  <x:si>
    <x:t xml:space="preserve">현장 작업표준과 실행 일치</x:t>
  </x:si>
  <x:si>
    <x:t xml:space="preserve">현장점검 실적 미확인</x:t>
  </x:si>
  <x:si>
    <x:t xml:space="preserve">현장 점검표·시정</x:t>
  </x:si>
  <x:si>
    <x:t xml:space="preserve">심사 증빙 37건 제출 색인</x:t>
  </x:si>
  <x:si>
    <x:t xml:space="preserve">임시 색인: 상태는 1단계 기준 복사본입니다. 현황 갱신은 반드시 03_준비자료와 이 시트 양쪽을 대조하세요.</x:t>
  </x:si>
  <x:si>
    <x:t xml:space="preserve">증빙ID</x:t>
  </x:si>
  <x:si>
    <x:t xml:space="preserve">조항</x:t>
  </x:si>
  <x:si>
    <x:t xml:space="preserve">증빙서류</x:t>
  </x:si>
  <x:si>
    <x:t xml:space="preserve">소관역할</x:t>
  </x:si>
  <x:si>
    <x:t xml:space="preserve">중요도</x:t>
  </x:si>
  <x:si>
    <x:t xml:space="preserve">기존상태</x:t>
  </x:si>
  <x:si>
    <x:t xml:space="preserve">파일명 / 개정</x:t>
  </x:si>
  <x:si>
    <x:t xml:space="preserve">보관경로/링크</x:t>
  </x:si>
  <x:si>
    <x:t xml:space="preserve">권고일</x:t>
  </x:si>
  <x:si>
    <x:t xml:space="preserve">실제확인일</x:t>
  </x:si>
  <x:si>
    <x:t xml:space="preserve">비고</x:t>
  </x:si>
  <x:si>
    <x:t xml:space="preserve">원본 1단계 자료에서 이관 / 실제 저장 경로 입력</x:t>
  </x:si>
  <x:si>
    <x:t xml:space="preserve">환경측면 및 환경영향 평가 작업대장</x:t>
  </x:si>
  <x:si>
    <x:t xml:space="preserve">공정명·측면은 평가 출발용 예시이며 실제 사업장 해당여부/점수/중대성은 실사 후 확정해야 합니다.</x:t>
  </x:si>
  <x:si>
    <x:t xml:space="preserve">공정</x:t>
  </x:si>
  <x:si>
    <x:t xml:space="preserve">활동</x:t>
  </x:si>
  <x:si>
    <x:t xml:space="preserve">가능 환경측면</x:t>
  </x:si>
  <x:si>
    <x:t xml:space="preserve">가능 영향</x:t>
  </x:si>
  <x:si>
    <x:t xml:space="preserve">운영상황</x:t>
  </x:si>
  <x:si>
    <x:t xml:space="preserve">빈도</x:t>
  </x:si>
  <x:si>
    <x:t xml:space="preserve">심각도</x:t>
  </x:si>
  <x:si>
    <x:t xml:space="preserve">법규성</x:t>
  </x:si>
  <x:si>
    <x:t xml:space="preserve">평가점수</x:t>
  </x:si>
  <x:si>
    <x:t xml:space="preserve">중대여부</x:t>
  </x:si>
  <x:si>
    <x:t xml:space="preserve">운영통제</x:t>
  </x:si>
  <x:si>
    <x:t xml:space="preserve">메모</x:t>
  </x:si>
  <x:si>
    <x:t xml:space="preserve">원자재/보관</x:t>
  </x:si>
  <x:si>
    <x:t xml:space="preserve">파이프·포장재 입고</x:t>
  </x:si>
  <x:si>
    <x:t xml:space="preserve">포장 폐기물 및 보관</x:t>
  </x:si>
  <x:si>
    <x:t xml:space="preserve">폐기물/자원 사용</x:t>
  </x:si>
  <x:si>
    <x:t xml:space="preserve">정상/비정상/비상 판정 필요</x:t>
  </x:si>
  <x:si>
    <x:t xml:space="preserve">사례 예시: 실제 설비·물질 및 점수표를 기준으로 평가</x:t>
  </x:si>
  <x:si>
    <x:t xml:space="preserve">절단</x:t>
  </x:si>
  <x:si>
    <x:t xml:space="preserve">파이프 절단</x:t>
  </x:si>
  <x:si>
    <x:t xml:space="preserve">칩·절삭유·소음(해당 시)</x:t>
  </x:si>
  <x:si>
    <x:t xml:space="preserve">폐기물/토양/소음</x:t>
  </x:si>
  <x:si>
    <x:t xml:space="preserve">성형/벤딩</x:t>
  </x:si>
  <x:si>
    <x:t xml:space="preserve">포밍 및 벤딩</x:t>
  </x:si>
  <x:si>
    <x:t xml:space="preserve">윤활유/소음/전력 사용</x:t>
  </x:si>
  <x:si>
    <x:t xml:space="preserve">토양/에너지 사용</x:t>
  </x:si>
  <x:si>
    <x:t xml:space="preserve">브레이징/용접</x:t>
  </x:si>
  <x:si>
    <x:t xml:space="preserve">가열·용접·납땜</x:t>
  </x:si>
  <x:si>
    <x:t xml:space="preserve">흄/가스·전력 사용(실제설비 확인)</x:t>
  </x:si>
  <x:si>
    <x:t xml:space="preserve">대기/자원 사용</x:t>
  </x:si>
  <x:si>
    <x:t xml:space="preserve">세척</x:t>
  </x:si>
  <x:si>
    <x:t xml:space="preserve">세척/건조</x:t>
  </x:si>
  <x:si>
    <x:t xml:space="preserve">세척수·세척제(해당 시)</x:t>
  </x:si>
  <x:si>
    <x:t xml:space="preserve">수질/화학물질</x:t>
  </x:si>
  <x:si>
    <x:t xml:space="preserve">검사·포장</x:t>
  </x:si>
  <x:si>
    <x:t xml:space="preserve">제품 검사/포장</x:t>
  </x:si>
  <x:si>
    <x:t xml:space="preserve">폐기품·포장재</x:t>
  </x:si>
  <x:si>
    <x:t xml:space="preserve">폐기물</x:t>
  </x:si>
  <x:si>
    <x:t xml:space="preserve">설비보전</x:t>
  </x:si>
  <x:si>
    <x:t xml:space="preserve">유지보수/윤활</x:t>
  </x:si>
  <x:si>
    <x:t xml:space="preserve">폐유·누유 가능성</x:t>
  </x:si>
  <x:si>
    <x:t xml:space="preserve">토양/수질</x:t>
  </x:si>
  <x:si>
    <x:t xml:space="preserve">보관 및 출하</x:t>
  </x:si>
  <x:si>
    <x:t xml:space="preserve">창고/물류</x:t>
  </x:si>
  <x:si>
    <x:t xml:space="preserve">지게차 에너지/폐기물</x:t>
  </x:si>
  <x:si>
    <x:t xml:space="preserve">대기/에너지</x:t>
  </x:si>
  <x:si>
    <x:t xml:space="preserve">비상상황</x:t>
  </x:si>
  <x:si>
    <x:t xml:space="preserve">화학물질/유류 유출 가정</x:t>
  </x:si>
  <x:si>
    <x:t xml:space="preserve">유출/화재</x:t>
  </x:si>
  <x:si>
    <x:t xml:space="preserve">토양·수질·대기</x:t>
  </x:si>
  <x:si>
    <x:t xml:space="preserve">외주/위탁</x:t>
  </x:si>
  <x:si>
    <x:t xml:space="preserve">외주처리/폐기물 수거</x:t>
  </x:si>
  <x:si>
    <x:t xml:space="preserve">외주 공정의 환경영향</x:t>
  </x:si>
  <x:si>
    <x:t xml:space="preserve">외부 영향</x:t>
  </x:si>
  <x:si>
    <x:t xml:space="preserve">적용 환경법규·준수의무 평가대장</x:t>
  </x:si>
  <x:si>
    <x:t xml:space="preserve">법령명/조문·허가조건·평가 결과는 현행 법령 원문 및 실제 시설현황을 확인한 담당자만 확정하세요.</x:t>
  </x:si>
  <x:si>
    <x:t xml:space="preserve">분야</x:t>
  </x:si>
  <x:si>
    <x:t xml:space="preserve">검토 의무/주제</x:t>
  </x:si>
  <x:si>
    <x:t xml:space="preserve">해당 판단을 위한 사실</x:t>
  </x:si>
  <x:si>
    <x:t xml:space="preserve">사업장 적용성</x:t>
  </x:si>
  <x:si>
    <x:t xml:space="preserve">법령명·조항</x:t>
  </x:si>
  <x:si>
    <x:t xml:space="preserve">허가/신고번호</x:t>
  </x:si>
  <x:si>
    <x:t xml:space="preserve">평가일/결과</x:t>
  </x:si>
  <x:si>
    <x:t xml:space="preserve">증빙상태</x:t>
  </x:si>
  <x:si>
    <x:t xml:space="preserve">개선기한</x:t>
  </x:si>
  <x:si>
    <x:t xml:space="preserve">폐기물 분류·보관·인계 및 위탁처리</x:t>
  </x:si>
  <x:si>
    <x:t xml:space="preserve">사업장 발생 종류·보관량·위탁처리 방법 확인</x:t>
  </x:si>
  <x:si>
    <x:t xml:space="preserve">해당여부 판단 필요</x:t>
  </x:si>
  <x:si>
    <x:t xml:space="preserve">법정 의무 존재·준수 결론을 임의로 판단하지 않음</x:t>
  </x:si>
  <x:si>
    <x:t xml:space="preserve">대기배출시설 신고·허가 및 방지시설</x:t>
  </x:si>
  <x:si>
    <x:t xml:space="preserve">브레이징/용접/연소 설비의 대상 여부 확인</x:t>
  </x:si>
  <x:si>
    <x:t xml:space="preserve">물환경</x:t>
  </x:si>
  <x:si>
    <x:t xml:space="preserve">폐수배출시설 및 배출수</x:t>
  </x:si>
  <x:si>
    <x:t xml:space="preserve">세척·표면처리 실제 공정과 배출 형태 확인</x:t>
  </x:si>
  <x:si>
    <x:t xml:space="preserve">화학물질</x:t>
  </x:si>
  <x:si>
    <x:t xml:space="preserve">화학물질 취급·표지·보관</x:t>
  </x:si>
  <x:si>
    <x:t xml:space="preserve">사용물질 및 화학물질안전정보/수량 확인</x:t>
  </x:si>
  <x:si>
    <x:t xml:space="preserve">물질안전보건자료</x:t>
  </x:si>
  <x:si>
    <x:t xml:space="preserve">MSDS/GHS 등 작업장 표시 연계</x:t>
  </x:si>
  <x:si>
    <x:t xml:space="preserve">환경 외 산업안전 법규도 별도 검토</x:t>
  </x:si>
  <x:si>
    <x:t xml:space="preserve">소음·진동</x:t>
  </x:si>
  <x:si>
    <x:t xml:space="preserve">사업장 소음/진동 관리</x:t>
  </x:si>
  <x:si>
    <x:t xml:space="preserve">민원/측정 및 해당법 적용성 확인</x:t>
  </x:si>
  <x:si>
    <x:t xml:space="preserve">온실가스·에너지</x:t>
  </x:si>
  <x:si>
    <x:t xml:space="preserve">관련 의무·고객 요구</x:t>
  </x:si>
  <x:si>
    <x:t xml:space="preserve">사업장 규모/대상 여부 확인</x:t>
  </x:si>
  <x:si>
    <x:t xml:space="preserve">토양/지하수</x:t>
  </x:si>
  <x:si>
    <x:t xml:space="preserve">유류·화학물질 누출 대응</x:t>
  </x:si>
  <x:si>
    <x:t xml:space="preserve">저장탱크 등 시설 해당성 확인</x:t>
  </x:si>
  <x:si>
    <x:t xml:space="preserve">지자체 조례</x:t>
  </x:si>
  <x:si>
    <x:t xml:space="preserve">천안시 관련 조례/신고</x:t>
  </x:si>
  <x:si>
    <x:t xml:space="preserve">사업장 주소 기반 최신 규정 대조</x:t>
  </x:si>
  <x:si>
    <x:t xml:space="preserve">고객/계약</x:t>
  </x:si>
  <x:si>
    <x:t xml:space="preserve">고객 환경유해물질·납품 요구</x:t>
  </x:si>
  <x:si>
    <x:t xml:space="preserve">계약 및 고객 환경요구 취합</x:t>
  </x:si>
  <x:si>
    <x:t xml:space="preserve">제조현장 환경관리 최종 실사표</x:t>
  </x:si>
  <x:si>
    <x:t xml:space="preserve">실제 사업장 현장을 확인한 날짜, 관찰 결과, 사진/기록, 개선 후 재점검까지 기재하세요.</x:t>
  </x:si>
  <x:si>
    <x:t xml:space="preserve">구역/공정</x:t>
  </x:si>
  <x:si>
    <x:t xml:space="preserve">점검 내용</x:t>
  </x:si>
  <x:si>
    <x:t xml:space="preserve">점검 기준/방법</x:t>
  </x:si>
  <x:si>
    <x:t xml:space="preserve">결과</x:t>
  </x:si>
  <x:si>
    <x:t xml:space="preserve">관찰 내용</x:t>
  </x:si>
  <x:si>
    <x:t xml:space="preserve">조치담당</x:t>
  </x:si>
  <x:si>
    <x:t xml:space="preserve">완료일</x:t>
  </x:si>
  <x:si>
    <x:t xml:space="preserve">원자재 창고</x:t>
  </x:si>
  <x:si>
    <x:t xml:space="preserve">유류/화학물질 누출 흔적·용기 표시</x:t>
  </x:si>
  <x:si>
    <x:t xml:space="preserve">해당 시설/물질 확인</x:t>
  </x:si>
  <x:si>
    <x:t xml:space="preserve">현장확인 후 기록</x:t>
  </x:si>
  <x:si>
    <x:t xml:space="preserve">폐기물/재활용품 분리 보관</x:t>
  </x:si>
  <x:si>
    <x:t xml:space="preserve">구분·표지·혼합 여부</x:t>
  </x:si>
  <x:si>
    <x:t xml:space="preserve">절삭유·폐유 수거·보관</x:t>
  </x:si>
  <x:si>
    <x:t xml:space="preserve">해당 시 유출방지</x:t>
  </x:si>
  <x:si>
    <x:t xml:space="preserve">분진·칩·소음 관리</x:t>
  </x:si>
  <x:si>
    <x:t xml:space="preserve">해당 시 집진/보호/점검</x:t>
  </x:si>
  <x:si>
    <x:t xml:space="preserve">포밍/벤딩</x:t>
  </x:si>
  <x:si>
    <x:t xml:space="preserve">누유·바닥오염·정리정돈</x:t>
  </x:si>
  <x:si>
    <x:t xml:space="preserve">유출·흡착재 여부</x:t>
  </x:si>
  <x:si>
    <x:t xml:space="preserve">흄·가스/집진시설 관리</x:t>
  </x:si>
  <x:si>
    <x:t xml:space="preserve">환경배출설비 해당성 별도 판단</x:t>
  </x:si>
  <x:si>
    <x:t xml:space="preserve">가스용기·연료 관리</x:t>
  </x:si>
  <x:si>
    <x:t xml:space="preserve">실사용 여부 및 표시</x:t>
  </x:si>
  <x:si>
    <x:t xml:space="preserve">세척액/폐수 발생 및 처리</x:t>
  </x:si>
  <x:si>
    <x:t xml:space="preserve">사용 화학물질·배출 경로</x:t>
  </x:si>
  <x:si>
    <x:t xml:space="preserve">설비/유틸리티</x:t>
  </x:si>
  <x:si>
    <x:t xml:space="preserve">압축기·냉각수 관리</x:t>
  </x:si>
  <x:si>
    <x:t xml:space="preserve">누유·누수 기록</x:t>
  </x:si>
  <x:si>
    <x:t xml:space="preserve">전력/용수 계측 및 실적</x:t>
  </x:si>
  <x:si>
    <x:t xml:space="preserve">최근 사용량 확보</x:t>
  </x:si>
  <x:si>
    <x:t xml:space="preserve">폐기물 구역</x:t>
  </x:si>
  <x:si>
    <x:t xml:space="preserve">폐기물 분리·용기·표시·보관</x:t>
  </x:si>
  <x:si>
    <x:t xml:space="preserve">계약 및 인계자료 연결</x:t>
  </x:si>
  <x:si>
    <x:t xml:space="preserve">화학물질 구역</x:t>
  </x:si>
  <x:si>
    <x:t xml:space="preserve">MSDS·용기 라벨·안전보관</x:t>
  </x:si>
  <x:si>
    <x:t xml:space="preserve">해당물질 목록 확인</x:t>
  </x:si>
  <x:si>
    <x:t xml:space="preserve">누출 방제 장비 및 방법</x:t>
  </x:si>
  <x:si>
    <x:t xml:space="preserve">흡착재·차단·연락망</x:t>
  </x:si>
  <x:si>
    <x:t xml:space="preserve">소방/비상</x:t>
  </x:si>
  <x:si>
    <x:t xml:space="preserve">화재/유출 비상연락망 및 통로</x:t>
  </x:si>
  <x:si>
    <x:t xml:space="preserve">통로 확보·훈련</x:t>
  </x:si>
  <x:si>
    <x:t xml:space="preserve">외부 야적</x:t>
  </x:si>
  <x:si>
    <x:t xml:space="preserve">빗물 유출 및 배수구 관리</x:t>
  </x:si>
  <x:si>
    <x:t xml:space="preserve">해당 구역 실사</x:t>
  </x:si>
  <x:si>
    <x:t xml:space="preserve">출하·물류</x:t>
  </x:si>
  <x:si>
    <x:t xml:space="preserve">차량/운송·외주관리 환경요구</x:t>
  </x:si>
  <x:si>
    <x:t xml:space="preserve">외주 계약 기준</x:t>
  </x:si>
  <x:si>
    <x:t xml:space="preserve">사무/공용</x:t>
  </x:si>
  <x:si>
    <x:t xml:space="preserve">환경방침 게시·교육 인지</x:t>
  </x:si>
  <x:si>
    <x:t xml:space="preserve">근로자 면담</x:t>
  </x:si>
  <x:si>
    <x:t xml:space="preserve">심사대응</x:t>
  </x:si>
  <x:si>
    <x:t xml:space="preserve">기록 최신본 및 증빙 경로</x:t>
  </x:si>
  <x:si>
    <x:t xml:space="preserve">바인더/폴더 확인</x:t>
  </x:si>
  <x:si>
    <x:t xml:space="preserve">ISO 14001:2015 내부심사 점검표</x:t>
  </x:si>
  <x:si>
    <x:t xml:space="preserve">심사원 독립성·실시일·객관적 증빙을 기록하세요. 이 문서는 내부심사 실시를 대체하지 않습니다.</x:t>
  </x:si>
  <x:si>
    <x:t xml:space="preserve">심사 질문</x:t>
  </x:si>
  <x:si>
    <x:t xml:space="preserve">요청증빙</x:t>
  </x:si>
  <x:si>
    <x:t xml:space="preserve">실시일</x:t>
  </x:si>
  <x:si>
    <x:t xml:space="preserve">심사원</x:t>
  </x:si>
  <x:si>
    <x:t xml:space="preserve">확인근거</x:t>
  </x:si>
  <x:si>
    <x:t xml:space="preserve">판정</x:t>
  </x:si>
  <x:si>
    <x:t xml:space="preserve">개선조치</x:t>
  </x:si>
  <x:si>
    <x:t xml:space="preserve">4.1</x:t>
  </x:si>
  <x:si>
    <x:t xml:space="preserve">내·외부 환경이슈/기후변화 관련성 확인 근거는?</x:t>
  </x:si>
  <x:si>
    <x:t xml:space="preserve">이슈·리스크 분석표</x:t>
  </x:si>
  <x:si>
    <x:t xml:space="preserve">4.2</x:t>
  </x:si>
  <x:si>
    <x:t xml:space="preserve">환경 이해관계자/준수의무 요구를 파악했는가?</x:t>
  </x:si>
  <x:si>
    <x:t xml:space="preserve">이해관계자 및 준수의무 대장</x:t>
  </x:si>
  <x:si>
    <x:t xml:space="preserve">EMS 범위와 인증범위가 실제 공정을 포괄하는가?</x:t>
  </x:si>
  <x:si>
    <x:t xml:space="preserve">범위·공정도·인증서</x:t>
  </x:si>
  <x:si>
    <x:t xml:space="preserve">5.1</x:t>
  </x:si>
  <x:si>
    <x:t xml:space="preserve">최고경영자가 자원·성과·정책을 책임지는 근거는?</x:t>
  </x:si>
  <x:si>
    <x:t xml:space="preserve">경영검토/자원배분</x:t>
  </x:si>
  <x:si>
    <x:t xml:space="preserve">5.2</x:t>
  </x:si>
  <x:si>
    <x:t xml:space="preserve">환경방침이 실제 사업장 특성에 적합한가?</x:t>
  </x:si>
  <x:si>
    <x:t xml:space="preserve">서명/게시/직원 인지</x:t>
  </x:si>
  <x:si>
    <x:t xml:space="preserve">환경 업무 책임·권한이 명시되어 있는가?</x:t>
  </x:si>
  <x:si>
    <x:t xml:space="preserve">조직도/직무기술서</x:t>
  </x:si>
  <x:si>
    <x:t xml:space="preserve">환경 리스크와 기회에 대한 조치는?</x:t>
  </x:si>
  <x:si>
    <x:t xml:space="preserve">조치계획/실행 결과</x:t>
  </x:si>
  <x:si>
    <x:t xml:space="preserve">중대한 환경측면의 평가기준과 운영통제는?</x:t>
  </x:si>
  <x:si>
    <x:t xml:space="preserve">측면평가/운영기록</x:t>
  </x:si>
  <x:si>
    <x:t xml:space="preserve">환경 법규 변경추적 및 해당성 판단은?</x:t>
  </x:si>
  <x:si>
    <x:t xml:space="preserve">법규대장/인허가</x:t>
  </x:si>
  <x:si>
    <x:t xml:space="preserve">평가결과가 업무계획에 반영되었는가?</x:t>
  </x:si>
  <x:si>
    <x:t xml:space="preserve">실행계획</x:t>
  </x:si>
  <x:si>
    <x:t xml:space="preserve">환경목표의 수치·담당·달성도가 있는가?</x:t>
  </x:si>
  <x:si>
    <x:t xml:space="preserve">목표/월별 실적</x:t>
  </x:si>
  <x:si>
    <x:t xml:space="preserve">필요 자원은 확보되고 있는가?</x:t>
  </x:si>
  <x:si>
    <x:t xml:space="preserve">인력/설비/예산</x:t>
  </x:si>
  <x:si>
    <x:t xml:space="preserve">환경 관련 역량·교육 효과는 확인되는가?</x:t>
  </x:si>
  <x:si>
    <x:t xml:space="preserve">교육일지/평가</x:t>
  </x:si>
  <x:si>
    <x:t xml:space="preserve">근로자가 비상 대응 및 주요환경측면을 아는가?</x:t>
  </x:si>
  <x:si>
    <x:t xml:space="preserve">면담기록</x:t>
  </x:si>
  <x:si>
    <x:t xml:space="preserve">내·외부 환경 의사소통 체계가 작동하는가?</x:t>
  </x:si>
  <x:si>
    <x:t xml:space="preserve">회의/민원 기록</x:t>
  </x:si>
  <x:si>
    <x:t xml:space="preserve">최신 승인문서 사용·기록보존이 되는가?</x:t>
  </x:si>
  <x:si>
    <x:t xml:space="preserve">문서관리대장</x:t>
  </x:si>
  <x:si>
    <x:t xml:space="preserve">현장 통제가 환경측면과 일치하는가?</x:t>
  </x:si>
  <x:si>
    <x:t xml:space="preserve">폐기물/화학물질 점검</x:t>
  </x:si>
  <x:si>
    <x:t xml:space="preserve">환경 비상상황 대비 훈련을 실시했는가?</x:t>
  </x:si>
  <x:si>
    <x:t xml:space="preserve">훈련기록</x:t>
  </x:si>
  <x:si>
    <x:t xml:space="preserve">환경성과 측정·분석이 운영되는가?</x:t>
  </x:si>
  <x:si>
    <x:t xml:space="preserve">전기/물/폐기물 성과</x:t>
  </x:si>
  <x:si>
    <x:t xml:space="preserve">적용 법규 의무를 주기적으로 평가하는가?</x:t>
  </x:si>
  <x:si>
    <x:t xml:space="preserve">준수평가보고서</x:t>
  </x:si>
  <x:si>
    <x:t xml:space="preserve">독립성을 포함한 내부심사 수행 근거는?</x:t>
  </x:si>
  <x:si>
    <x:t xml:space="preserve">심사계획/보고서</x:t>
  </x:si>
  <x:si>
    <x:t xml:space="preserve">경영검토 필수 입력과 출력/조치는?</x:t>
  </x:si>
  <x:si>
    <x:t xml:space="preserve">경영검토 회의록</x:t>
  </x:si>
  <x:si>
    <x:t xml:space="preserve">부적합 원인·조치·유효성 검토가 있는가?</x:t>
  </x:si>
  <x:si>
    <x:t xml:space="preserve">CAR/확인기록</x:t>
  </x:si>
  <x:si>
    <x:t xml:space="preserve">환경성과 개선이 지속되는가?</x:t>
  </x:si>
  <x:si>
    <x:t xml:space="preserve">개선실적</x:t>
  </x:si>
  <x:si>
    <x:t xml:space="preserve">경영검토 입력·결정·후속조치 관리표</x:t>
  </x:si>
  <x:si>
    <x:t xml:space="preserve">경영진 실제 검토회의 후 날짜/검토근거/의사결정/담당 및 기한을 작성·승인해야 합니다.</x:t>
  </x:si>
  <x:si>
    <x:t xml:space="preserve">필수 입력 영역</x:t>
  </x:si>
  <x:si>
    <x:t xml:space="preserve">검토 근거/관점</x:t>
  </x:si>
  <x:si>
    <x:t xml:space="preserve">실제 결과·자료</x:t>
  </x:si>
  <x:si>
    <x:t xml:space="preserve">경영진 결정/출력</x:t>
  </x:si>
  <x:si>
    <x:t xml:space="preserve">담당자</x:t>
  </x:si>
  <x:si>
    <x:t xml:space="preserve">완료근거</x:t>
  </x:si>
  <x:si>
    <x:t xml:space="preserve">이전 경영검토 후 조치 현황</x:t>
  </x:si>
  <x:si>
    <x:t xml:space="preserve">조치 완료/미완료/사유</x:t>
  </x:si>
  <x:si>
    <x:t xml:space="preserve">외부/내부 이슈 변화</x:t>
  </x:si>
  <x:si>
    <x:t xml:space="preserve">법규·고객·공정·기후 변화</x:t>
  </x:si>
  <x:si>
    <x:t xml:space="preserve">이해관계자 요구 변경</x:t>
  </x:si>
  <x:si>
    <x:t xml:space="preserve">고객 및 규제기관 요구</x:t>
  </x:si>
  <x:si>
    <x:t xml:space="preserve">환경방침·목표 달성</x:t>
  </x:si>
  <x:si>
    <x:t xml:space="preserve">목표 vs 실적</x:t>
  </x:si>
  <x:si>
    <x:t xml:space="preserve">환경성과 경향</x:t>
  </x:si>
  <x:si>
    <x:t xml:space="preserve">전력·용수·폐기물·민원</x:t>
  </x:si>
  <x:si>
    <x:t xml:space="preserve">준수의무 및 준수평가</x:t>
  </x:si>
  <x:si>
    <x:t xml:space="preserve">법적 해당성과 위반/조치</x:t>
  </x:si>
  <x:si>
    <x:t xml:space="preserve">중대한 환경측면 변화</x:t>
  </x:si>
  <x:si>
    <x:t xml:space="preserve">평가 기준·공정 변화</x:t>
  </x:si>
  <x:si>
    <x:t xml:space="preserve">리스크·기회 및 대책</x:t>
  </x:si>
  <x:si>
    <x:t xml:space="preserve">조치 결과</x:t>
  </x:si>
  <x:si>
    <x:t xml:space="preserve">내부심사 및 외부심사 결과</x:t>
  </x:si>
  <x:si>
    <x:t xml:space="preserve">지적 및 시정조치</x:t>
  </x:si>
  <x:si>
    <x:t xml:space="preserve">내·외부 의사소통</x:t>
  </x:si>
  <x:si>
    <x:t xml:space="preserve">민원 및 이해관계자 피드백</x:t>
  </x:si>
  <x:si>
    <x:t xml:space="preserve">자원 적절성 및 교육 역량</x:t>
  </x:si>
  <x:si>
    <x:t xml:space="preserve">인원·설비·예산</x:t>
  </x:si>
  <x:si>
    <x:t xml:space="preserve">개선 기회/필요한 변경</x:t>
  </x:si>
  <x:si>
    <x:t xml:space="preserve">차년도 EMS 자원·과제</x:t>
  </x:si>
  <x:si>
    <x:t xml:space="preserve">현장·경영진 심사 예상질문 18문항</x:t>
  </x:si>
  <x:si>
    <x:t xml:space="preserve">아래의 “제시할 증빙”은 답변의 조건입니다. 실제 없는 기록을 있다고 답하지 마세요.</x:t>
  </x:si>
  <x:si>
    <x:t xml:space="preserve">응답 역할</x:t>
  </x:si>
  <x:si>
    <x:t xml:space="preserve">심사원 예상질문</x:t>
  </x:si>
  <x:si>
    <x:t xml:space="preserve">제시할 실제 증빙</x:t>
  </x:si>
  <x:si>
    <x:t xml:space="preserve">실제 답변 요지</x:t>
  </x:si>
  <x:si>
    <x:t xml:space="preserve">이번 갱신심사 범위 및 현행 인증서와 일치하는가?</x:t>
  </x:si>
  <x:si>
    <x:t xml:space="preserve">공문·인증서·공정도</x:t>
  </x:si>
  <x:si>
    <x:t xml:space="preserve">대표/경영진</x:t>
  </x:si>
  <x:si>
    <x:t xml:space="preserve">환경방침과 환경개선에 직접 관여한 사례는?</x:t>
  </x:si>
  <x:si>
    <x:t xml:space="preserve">승인 방침·경영검토·투자</x:t>
  </x:si>
  <x:si>
    <x:t xml:space="preserve">환경담당</x:t>
  </x:si>
  <x:si>
    <x:t xml:space="preserve">중대한 환경측면을 어떻게 선정했는가?</x:t>
  </x:si>
  <x:si>
    <x:t xml:space="preserve">평가기준·공정별 평가</x:t>
  </x:si>
  <x:si>
    <x:t xml:space="preserve">환경 법규 해당여부 및 준수평가 방법은?</x:t>
  </x:si>
  <x:si>
    <x:t xml:space="preserve">법규대장·허가·평가</x:t>
  </x:si>
  <x:si>
    <x:t xml:space="preserve">최근 1년 환경목표 달성률과 개선조치는?</x:t>
  </x:si>
  <x:si>
    <x:t xml:space="preserve">목표/실적 자료</x:t>
  </x:si>
  <x:si>
    <x:t xml:space="preserve">설비담당</x:t>
  </x:si>
  <x:si>
    <x:t xml:space="preserve">누유·오염 위험 설비를 어떻게 점검하는가?</x:t>
  </x:si>
  <x:si>
    <x:t xml:space="preserve">예방점검 기록</x:t>
  </x:si>
  <x:si>
    <x:t xml:space="preserve">생산담당</x:t>
  </x:si>
  <x:si>
    <x:t xml:space="preserve">브레이징/용접 발생물은 어떻게 관리하는가?</x:t>
  </x:si>
  <x:si>
    <x:t xml:space="preserve">설비현황·환경 통제 기록</x:t>
  </x:si>
  <x:si>
    <x:t xml:space="preserve">세척 공정에서 폐수·화학물질은 발생하는가?</x:t>
  </x:si>
  <x:si>
    <x:t xml:space="preserve">공정 및 사용량 자료</x:t>
  </x:si>
  <x:si>
    <x:t xml:space="preserve">현장작업자</x:t>
  </x:si>
  <x:si>
    <x:t xml:space="preserve">폐기물 구분·이상 발견시 행동은?</x:t>
  </x:si>
  <x:si>
    <x:t xml:space="preserve">표지·현장 작업표준</x:t>
  </x:si>
  <x:si>
    <x:t xml:space="preserve">환경 비상상황 신고 연락처는?</x:t>
  </x:si>
  <x:si>
    <x:t xml:space="preserve">연락망·면담</x:t>
  </x:si>
  <x:si>
    <x:t xml:space="preserve">안전/환경</x:t>
  </x:si>
  <x:si>
    <x:t xml:space="preserve">환경 유출 가정훈련은 언제 무엇을 했는가?</x:t>
  </x:si>
  <x:si>
    <x:t xml:space="preserve">훈련보고서</x:t>
  </x:si>
  <x:si>
    <x:t xml:space="preserve">총무/환경</x:t>
  </x:si>
  <x:si>
    <x:t xml:space="preserve">폐기물 위탁처리 업체 선정/추적 방법은?</x:t>
  </x:si>
  <x:si>
    <x:t xml:space="preserve">계약·인계내역</x:t>
  </x:si>
  <x:si>
    <x:t xml:space="preserve">작업자들이 최신 문서를 볼 수 있는가?</x:t>
  </x:si>
  <x:si>
    <x:t xml:space="preserve">문서관리대장/관리본</x:t>
  </x:si>
  <x:si>
    <x:t xml:space="preserve">지난 내부심사 부적합 조치 결과는?</x:t>
  </x:si>
  <x:si>
    <x:t xml:space="preserve">보고서·조치·유효성</x:t>
  </x:si>
  <x:si>
    <x:t xml:space="preserve">경영검토에서 승인한 개선계획은?</x:t>
  </x:si>
  <x:si>
    <x:t xml:space="preserve">회의록·결정사항</x:t>
  </x:si>
  <x:si>
    <x:t xml:space="preserve">이전 NQA 지적사항은 모두 종결됐는가?</x:t>
  </x:si>
  <x:si>
    <x:t xml:space="preserve">이전 심사·조치</x:t>
  </x:si>
  <x:si>
    <x:t xml:space="preserve">심사비용 납부 완료 증빙은?</x:t>
  </x:si>
  <x:si>
    <x:t xml:space="preserve">승인 품의서·이체내역</x:t>
  </x:si>
  <x:si>
    <x:t xml:space="preserve">ISO 14001:2026 전환 계획은 무엇인가?</x:t>
  </x:si>
  <x:si>
    <x:t xml:space="preserve">NQA 회신·전환 계획</x:t>
  </x:si>
  <x:si>
    <x:t xml:space="preserve">ISO 14001:2026 별도 전환 대응 로드맵</x:t>
  </x:si>
  <x:si>
    <x:t xml:space="preserve">이번 NQA 공문은 2015 갱신심사입니다. 2026년판은 별도 GAP이며 NQA 계약/일정이 확인되기 전 동시 심사로 간주하지 마세요.</x:t>
  </x:si>
  <x:si>
    <x:t xml:space="preserve">전환 검토 항목</x:t>
  </x:si>
  <x:si>
    <x:t xml:space="preserve">실제 완료 기준</x:t>
  </x:si>
  <x:si>
    <x:t xml:space="preserve">담당역할</x:t>
  </x:si>
  <x:si>
    <x:t xml:space="preserve">검증근거</x:t>
  </x:si>
  <x:si>
    <x:t xml:space="preserve">전환 기본</x:t>
  </x:si>
  <x:si>
    <x:t xml:space="preserve">NQA 한국 담당 인증규격 회신</x:t>
  </x:si>
  <x:si>
    <x:t xml:space="preserve">2026.11 2015 갱신 단독/2026 전환 병행 확정</x:t>
  </x:si>
  <x:si>
    <x:t xml:space="preserve">기한 검증</x:t>
  </x:si>
  <x:si>
    <x:t xml:space="preserve">Global ACI 2029-04-30 vs NQA 글로벌 안내 2029-04-14</x:t>
  </x:si>
  <x:si>
    <x:t xml:space="preserve">NQA 한국 적용일·요구규칙 서면 요청</x:t>
  </x:si>
  <x:si>
    <x:t xml:space="preserve">문서 확보</x:t>
  </x:si>
  <x:si>
    <x:t xml:space="preserve">ISO 14001:2026 정식표준 확보</x:t>
  </x:si>
  <x:si>
    <x:t xml:space="preserve">표준 원문 최신 발행본 확보 및 적법 이용</x:t>
  </x:si>
  <x:si>
    <x:t xml:space="preserve">조직상황</x:t>
  </x:si>
  <x:si>
    <x:t xml:space="preserve">기후변화·생물다양성·환경 관심이슈</x:t>
  </x:si>
  <x:si>
    <x:t xml:space="preserve">관련성 및 의사결정/자료 정리</x:t>
  </x:si>
  <x:si>
    <x:t xml:space="preserve">리더십</x:t>
  </x:si>
  <x:si>
    <x:t xml:space="preserve">경영진 책임/EMS 성과·자원</x:t>
  </x:si>
  <x:si>
    <x:t xml:space="preserve">의사결정 증빙 강화</x:t>
  </x:si>
  <x:si>
    <x:t xml:space="preserve">위험기회</x:t>
  </x:si>
  <x:si>
    <x:t xml:space="preserve">전과정 및 가치사슬 관련 위험</x:t>
  </x:si>
  <x:si>
    <x:t xml:space="preserve">활동·협력업체 연계 확인</x:t>
  </x:si>
  <x:si>
    <x:t xml:space="preserve">변경관리</x:t>
  </x:si>
  <x:si>
    <x:t xml:space="preserve">2026판의 변경관리 요구 검토</x:t>
  </x:si>
  <x:si>
    <x:t xml:space="preserve">공정·설비·외주 변경 흐름 보완</x:t>
  </x:si>
  <x:si>
    <x:t xml:space="preserve">공급자</x:t>
  </x:si>
  <x:si>
    <x:t xml:space="preserve">외부 제공 프로세스/제품/서비스 환경영향</x:t>
  </x:si>
  <x:si>
    <x:t xml:space="preserve">구매/외주 관리 기준</x:t>
  </x:si>
  <x:si>
    <x:t xml:space="preserve">평가와 검토</x:t>
  </x:si>
  <x:si>
    <x:t xml:space="preserve">내부심사·경영검토 강화 요구 검토</x:t>
  </x:si>
  <x:si>
    <x:t xml:space="preserve">전환 전 프로그램 갱신</x:t>
  </x:si>
  <x:si>
    <x:t xml:space="preserve">전환실행</x:t>
  </x:si>
  <x:si>
    <x:t xml:space="preserve">규격 변경 교육·심사신청·승인</x:t>
  </x:si>
  <x:si>
    <x:t xml:space="preserve">전환 계획 및 최종 심사 확보</x:t>
  </x:si>
  <x:si>
    <x:t xml:space="preserve">공식 Global ACI: https://global-aci.org/en/news/global-aci-publishes-transition-requirements-for-iso-140012026/</x:t>
  </x:si>
  <x:si>
    <x:t xml:space="preserve">NQA 글로벌 안내: https://www.nqa.com/en-in/transitions/iso-14001-2026 (전환일 표기 상이하므로 NQA 한국 회신 필요)</x:t>
  </x:si>
  <x:si>
    <x:t xml:space="preserve">1~최종단계: 단계별 완료조건 및 운영상태</x:t>
  </x:si>
  <x:si>
    <x:t xml:space="preserve">서식 개발 완료와 실제 인증심사 준비 완료를 구분합니다. 외부 인증심사는 NQA가 수행하고 인증여부는 해당 기관이 판단합니다.</x:t>
  </x:si>
  <x:si>
    <x:t xml:space="preserve">단계</x:t>
  </x:si>
  <x:si>
    <x:t xml:space="preserve">이름</x:t>
  </x:si>
  <x:si>
    <x:t xml:space="preserve">현상태</x:t>
  </x:si>
  <x:si>
    <x:t xml:space="preserve">요구 자료</x:t>
  </x:si>
  <x:si>
    <x:t xml:space="preserve">단계 완료 조건</x:t>
  </x:si>
  <x:si>
    <x:t xml:space="preserve">ST1</x:t>
  </x:si>
  <x:si>
    <x:t xml:space="preserve">자료·공문 검토</x:t>
  </x:si>
  <x:si>
    <x:t xml:space="preserve">완료(행정서류 한정)</x:t>
  </x:si>
  <x:si>
    <x:t xml:space="preserve">NQA 공문, 청구서, 기존 품의서/기안서 대조</x:t>
  </x:si>
  <x:si>
    <x:t xml:space="preserve">완료 자료파일 확인</x:t>
  </x:si>
  <x:si>
    <x:t xml:space="preserve">ST2</x:t>
  </x:si>
  <x:si>
    <x:t xml:space="preserve">문서/GAP 분석</x:t>
  </x:si>
  <x:si>
    <x:t xml:space="preserve">템플릿 작성 완료 / 실물미검증</x:t>
  </x:si>
  <x:si>
    <x:t xml:space="preserve">환경매뉴얼·목록 및 37종 최신 증빙</x:t>
  </x:si>
  <x:si>
    <x:t xml:space="preserve">문서·서명·개정번호 실사</x:t>
  </x:si>
  <x:si>
    <x:t xml:space="preserve">ST3</x:t>
  </x:si>
  <x:si>
    <x:t xml:space="preserve">운영/법규/환경측면</x:t>
  </x:si>
  <x:si>
    <x:t xml:space="preserve">공정별 환경측면, 법규, 운영 실적</x:t>
  </x:si>
  <x:si>
    <x:t xml:space="preserve">사업장 기록 및 적용성 확정</x:t>
  </x:si>
  <x:si>
    <x:t xml:space="preserve">ST4</x:t>
  </x:si>
  <x:si>
    <x:t xml:space="preserve">내부심사·경영검토</x:t>
  </x:si>
  <x:si>
    <x:t xml:space="preserve">템플릿 작성 완료 / 실제 수행확인 필요</x:t>
  </x:si>
  <x:si>
    <x:t xml:space="preserve">실제 내부심사·경영검토·후속조치</x:t>
  </x:si>
  <x:si>
    <x:t xml:space="preserve">심사/회의 실행 및 승인기록</x:t>
  </x:si>
  <x:si>
    <x:t xml:space="preserve">ST5</x:t>
  </x:si>
  <x:si>
    <x:t xml:space="preserve">현장·서류 모의점검</x:t>
  </x:si>
  <x:si>
    <x:t xml:space="preserve">실사표, Q&amp;A, 조치폐쇄</x:t>
  </x:si>
  <x:si>
    <x:t xml:space="preserve">담당자 인터뷰 및 완료 증빙</x:t>
  </x:si>
  <x:si>
    <x:t xml:space="preserve">ST6</x:t>
  </x:si>
  <x:si>
    <x:t xml:space="preserve">NQA 갱신 본심사</x:t>
  </x:si>
  <x:si>
    <x:t xml:space="preserve">예정(미실시)</x:t>
  </x:si>
  <x:si>
    <x:t xml:space="preserve">2026.11.19~11.20</x:t>
  </x:si>
  <x:si>
    <x:t xml:space="preserve">심사기관 정식 심사</x:t>
  </x:si>
  <x:si>
    <x:t xml:space="preserve">2026-11-20</x:t>
  </x:si>
  <x:si>
    <x:t xml:space="preserve">ST7</x:t>
  </x:si>
  <x:si>
    <x:t xml:space="preserve">심사 후 시정/갱신확인</x:t>
  </x:si>
  <x:si>
    <x:t xml:space="preserve">NQA 부적합/관찰·시정조치·인증서</x:t>
  </x:si>
  <x:si>
    <x:t xml:space="preserve">기관 정식 결정/인증서</x:t>
  </x:si>
  <x:si>
    <x:t xml:space="preserve">심사 후</x:t>
  </x:si>
  <x:si>
    <x:t xml:space="preserve">근거 자료 및 확인 범위</x:t>
  </x:si>
  <x:si>
    <x:t xml:space="preserve">IATF 16949 비용청구서(2026-10-21/3,190,000원)는 본 ISO14001 준비자료에서 제외했습니다.</x:t>
  </x:si>
  <x:si>
    <x:t xml:space="preserve">자료명</x:t>
  </x:si>
  <x:si>
    <x:t xml:space="preserve">발행/기준일</x:t>
  </x:si>
  <x:si>
    <x:t xml:space="preserve">문서번호</x:t>
  </x:si>
  <x:si>
    <x:t xml:space="preserve">반영 범위</x:t>
  </x:si>
  <x:si>
    <x:t xml:space="preserve">검토결과</x:t>
  </x:si>
  <x:si>
    <x:t xml:space="preserve">원본 파일/URL</x:t>
  </x:si>
  <x:si>
    <x:t xml:space="preserve">S01</x:t>
  </x:si>
  <x:si>
    <x:t xml:space="preserve">NQA 갱신심사 일정통보 공문</x:t>
  </x:si>
  <x:si>
    <x:t xml:space="preserve">ISO 14001 2015 갱신/3MD/11.19~20/인증범위</x:t>
  </x:si>
  <x:si>
    <x:t xml:space="preserve">대조 완료</x:t>
  </x:si>
  <x:si>
    <x:t xml:space="preserve">EMS 심사공문 및 비용청구서.zip</x:t>
  </x:si>
  <x:si>
    <x:t xml:space="preserve">S02</x:t>
  </x:si>
  <x:si>
    <x:t xml:space="preserve">NQA ISO14001 비용청구서 R2</x:t>
  </x:si>
  <x:si>
    <x:t xml:space="preserve">2,673,000원/IBK계좌/7일전 지급</x:t>
  </x:si>
  <x:si>
    <x:t xml:space="preserve">S03</x:t>
  </x:si>
  <x:si>
    <x:t xml:space="preserve">ISO 14001 비용품의서</x:t>
  </x:si>
  <x:si>
    <x:t xml:space="preserve">Rev 검토본</x:t>
  </x:si>
  <x:si>
    <x:t xml:space="preserve">기안 작성/결재 여부는 미확인</x:t>
  </x:si>
  <x:si>
    <x:t xml:space="preserve">S04</x:t>
  </x:si>
  <x:si>
    <x:t xml:space="preserve">ISO14001 기안서 Rev01</x:t>
  </x:si>
  <x:si>
    <x:t xml:space="preserve">Rev01</x:t>
  </x:si>
  <x:si>
    <x:t xml:space="preserve">표형식 기안/승인 상태는 미확인</x:t>
  </x:si>
  <x:si>
    <x:t xml:space="preserve">S05</x:t>
  </x:si>
  <x:si>
    <x:t xml:space="preserve">ISO14001 1단계 준비관리표</x:t>
  </x:si>
  <x:si>
    <x:t xml:space="preserve">Stage1</x:t>
  </x:si>
  <x:si>
    <x:t xml:space="preserve">37항목/12확인사항/15일정</x:t>
  </x:si>
  <x:si>
    <x:t xml:space="preserve">이관</x:t>
  </x:si>
  <x:si>
    <x:t xml:space="preserve">EMS_STAGE1_20261023.xlsx</x:t>
  </x:si>
  <x:si>
    <x:t xml:space="preserve">S06</x:t>
  </x:si>
  <x:si>
    <x:t xml:space="preserve">ISO 14001 공식 발행 페이지</x:t>
  </x:si>
  <x:si>
    <x:t xml:space="preserve">2026판 발행</x:t>
  </x:si>
  <x:si>
    <x:t xml:space="preserve">공식 ISO 표준 상태</x:t>
  </x:si>
  <x:si>
    <x:t xml:space="preserve">온라인 확인</x:t>
  </x:si>
  <x:si>
    <x:t xml:space="preserve">S07</x:t>
  </x:si>
  <x:si>
    <x:t xml:space="preserve">Global ACI 2026판 전환규칙</x:t>
  </x:si>
  <x:si>
    <x:t xml:space="preserve">TECH-3-TR</x:t>
  </x:si>
  <x:si>
    <x:t xml:space="preserve">공식 전환 완료 2029-04-30</x:t>
  </x:si>
  <x:si>
    <x:t xml:space="preserve">S08</x:t>
  </x:si>
  <x:si>
    <x:t xml:space="preserve">NQA 글로벌 ISO14001 2026 전환안내</x:t>
  </x:si>
  <x:si>
    <x:t xml:space="preserve">NQA 글로벌 사이트</x:t>
  </x:si>
  <x:si>
    <x:t xml:space="preserve">2029-04-14 표기 - 공식 일자와 차이 / 서면확인</x:t>
  </x:si>
  <x:si>
    <x:t xml:space="preserve">확인 필요</x:t>
  </x:si>
  <x:si>
    <x:t xml:space="preserve">https://www.nqa.com/en-in/transitions/iso-14001-2026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</x:si>
</x:sst>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26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맑은 고딕"/>
    </x:font>
    <x:font>
      <x:sz val="10"/>
      <x:color rgb="FF102A43"/>
      <x:name val="맑은 고딕"/>
    </x:font>
    <x:font>
      <x:b/>
      <x:sz val="10"/>
      <x:color rgb="FF0A6C73"/>
      <x:name val="맑은 고딕"/>
    </x:font>
    <x:font>
      <x:b/>
      <x:sz val="14"/>
      <x:color rgb="FF102A43"/>
      <x:name val="맑은 고딕"/>
    </x:font>
    <x:font>
      <x:b/>
      <x:sz val="12"/>
      <x:color rgb="FFFFFFFF"/>
      <x:name val="맑은 고딕"/>
    </x:font>
    <x:font>
      <x:sz val="10"/>
      <x:color rgb="FF5B6B79"/>
      <x:name val="맑은 고딕"/>
    </x:font>
    <x:font>
      <x:sz val="9"/>
      <x:color rgb="FF5B6B79"/>
      <x:name val="맑은 고딕"/>
    </x:font>
    <x:font>
      <x:sz val="11"/>
      <x:color rgb="FF102A43"/>
      <x:name val="맑은 고딕"/>
    </x:font>
    <x:font>
      <x:b/>
      <x:sz val="11"/>
      <x:color rgb="FFFFFFFF"/>
      <x:name val="맑은 고딕"/>
    </x:font>
    <x:font>
      <x:b/>
      <x:sz val="10"/>
      <x:color rgb="FF9B4127"/>
      <x:name val="맑은 고딕"/>
    </x:font>
    <x:font>
      <x:b/>
      <x:sz val="10"/>
      <x:color rgb="FF5B6B79"/>
      <x:name val="맑은 고딕"/>
    </x:font>
    <x:font>
      <x:b/>
      <x:sz val="10"/>
      <x:color rgb="FF102A43"/>
      <x:name val="맑은 고딕"/>
    </x:font>
    <x:font>
      <x:b/>
      <x:sz val="11"/>
      <x:color rgb="FF102A43"/>
      <x:name val="맑은 고딕"/>
    </x:font>
    <x:font>
      <x:b/>
      <x:sz val="16"/>
      <x:color rgb="FFFFFFFF"/>
      <x:name val="Carlito"/>
    </x:font>
    <x:font>
      <x:sz val="10"/>
      <x:color rgb="FF0A706C"/>
      <x:name val="Carlito"/>
    </x:font>
    <x:font>
      <x:b/>
      <x:sz val="10"/>
      <x:color rgb="FFFFFFFF"/>
      <x:name val="Carlito"/>
    </x:font>
    <x:font>
      <x:sz val="10"/>
      <x:color rgb="FF223447"/>
      <x:name val="Carlito"/>
    </x:font>
    <x:font>
      <x:sz val="11"/>
      <x:name val="Carlito"/>
    </x:font>
    <x:font>
      <x:sz val="8"/>
      <x:name val="돋움"/>
    </x:font>
    <x:font>
      <x:b/>
      <x:sz val="17"/>
      <x:color rgb="FFFFFFFF"/>
      <x:name val="Carlito"/>
    </x:font>
    <x:font>
      <x:sz val="10"/>
      <x:color rgb="FF1D3245"/>
      <x:name val="Carlito"/>
    </x:font>
    <x:font>
      <x:sz val="10"/>
      <x:color rgb="FF64748B"/>
      <x:name val="Carlito"/>
    </x:font>
    <x:font>
      <x:b/>
      <x:sz val="24"/>
      <x:color rgb="FF183A56"/>
      <x:name val="Carlito"/>
    </x:font>
    <x:font>
      <x:b/>
      <x:sz val="12"/>
      <x:color rgb="FFFFFFFF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8344D"/>
      </x:patternFill>
    </x:fill>
    <x:fill>
      <x:patternFill patternType="solid">
        <x:fgColor rgb="FFEAF1F8"/>
      </x:patternFill>
    </x:fill>
    <x:fill>
      <x:patternFill patternType="solid">
        <x:fgColor rgb="FFE7F3F2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0A6C73"/>
      </x:patternFill>
    </x:fill>
    <x:fill>
      <x:patternFill patternType="solid">
        <x:fgColor rgb="FFFFF3D9"/>
      </x:patternFill>
    </x:fill>
    <x:fill>
      <x:patternFill patternType="solid">
        <x:fgColor rgb="FFDDEFE3"/>
      </x:patternFill>
    </x:fill>
    <x:fill>
      <x:patternFill patternType="solid">
        <x:fgColor rgb="FF163451"/>
      </x:patternFill>
    </x:fill>
    <x:fill>
      <x:patternFill patternType="solid">
        <x:fgColor rgb="FFE8F3F1"/>
      </x:patternFill>
    </x:fill>
    <x:fill>
      <x:patternFill patternType="solid">
        <x:fgColor rgb="FF0A706C"/>
      </x:patternFill>
    </x:fill>
    <x:fill>
      <x:patternFill patternType="solid">
        <x:fgColor rgb="FFEEF4F7"/>
      </x:patternFill>
    </x:fill>
    <x:fill>
      <x:patternFill patternType="solid">
        <x:fgColor rgb="FFFFF0D9"/>
      </x:patternFill>
    </x:fill>
    <x:fill>
      <x:patternFill patternType="solid">
        <x:fgColor rgb="FF183A56"/>
      </x:patternFill>
    </x:fill>
    <x:fill>
      <x:patternFill patternType="solid">
        <x:fgColor rgb="FFEAF3F6"/>
      </x:patternFill>
    </x:fill>
    <x:fill>
      <x:patternFill patternType="solid">
        <x:fgColor rgb="FF176A72"/>
      </x:patternFill>
    </x:fill>
    <x:fill>
      <x:patternFill patternType="solid">
        <x:fgColor rgb="FFFFF9E9"/>
      </x:patternFill>
    </x:fill>
    <x:fill>
      <x:patternFill patternType="solid">
        <x:fgColor rgb="FFE7F3EE"/>
      </x:patternFill>
    </x:fill>
    <x:fill>
      <x:patternFill patternType="solid">
        <x:fgColor rgb="FFF3F6F9"/>
      </x:patternFill>
    </x:fill>
    <x:fill>
      <x:patternFill patternType="solid">
        <x:fgColor rgb="FFF6F9FC"/>
      </x:patternFill>
    </x:fill>
    <x:fill>
      <x:patternFill patternType="solid">
        <x:fgColor rgb="FFFFF4D8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6C8D5"/>
      </x:left>
      <x:right style="thin">
        <x:color rgb="FFB6C8D5"/>
      </x:right>
      <x:top style="thin">
        <x:color rgb="FFB6C8D5"/>
      </x:top>
      <x:bottom style="thin">
        <x:color rgb="FFB6C8D5"/>
      </x:bottom>
    </x:border>
    <x:border>
      <x:left style="thin">
        <x:color rgb="FFB6C8D5"/>
      </x:left>
      <x:right style="thin">
        <x:color rgb="FFB6C8D5"/>
      </x:right>
      <x:top style="thin">
        <x:color rgb="FFB6C8D5"/>
      </x:top>
      <x:bottom style="thin">
        <x:color rgb="FFB6C8D5"/>
      </x:bottom>
    </x:border>
  </x:borders>
  <x:cellStyleXfs count="2">
    <x:xf numFmtId="0" fontId="0" fillId="0" borderId="0"/>
    <x:xf numFmtId="0" fontId="19" fillId="0" borderId="0"/>
  </x:cellStyleXfs>
  <x:cellXfs count="177">
    <x:xf numFmtId="0" fontId="0" fillId="0" borderId="0" xfId="0"/>
    <x:xf numFmtId="0" fontId="17" fillId="12" borderId="0" xfId="1" applyFont="1" applyFill="1" applyAlignment="1">
      <x:alignment horizontal="center" vertical="center" wrapText="1"/>
    </x:xf>
    <x:xf numFmtId="0" fontId="18" fillId="0" borderId="0" xfId="1" applyFont="1" applyAlignment="1">
      <x:alignment vertical="center" wrapText="1"/>
    </x:xf>
    <x:xf numFmtId="0" fontId="18" fillId="13" borderId="0" xfId="1" applyFont="1" applyFill="1" applyAlignment="1">
      <x:alignment vertical="center" wrapText="1"/>
    </x:xf>
    <x:xf numFmtId="0" fontId="2" fillId="2" borderId="0" xfId="1" applyFont="1" applyFill="1" applyAlignment="1">
      <x:alignment vertical="center"/>
    </x:xf>
    <x:xf numFmtId="0" fontId="3" fillId="3" borderId="0" xfId="1" applyFont="1" applyFill="1" applyAlignment="1">
      <x:alignment vertical="center" wrapText="1"/>
    </x:xf>
    <x:xf numFmtId="0" fontId="7" fillId="5" borderId="0" xfId="1" applyFont="1" applyFill="1" applyAlignment="1">
      <x:alignment vertical="center" wrapText="1"/>
    </x:xf>
    <x:xf numFmtId="0" fontId="13" fillId="8" borderId="0" xfId="1" applyFont="1" applyFill="1" applyAlignment="1">
      <x:alignment vertical="center"/>
    </x:xf>
    <x:xf numFmtId="0" fontId="14" fillId="8" borderId="0" xfId="1" applyFont="1" applyFill="1" applyAlignment="1">
      <x:alignment vertical="center" wrapText="1"/>
    </x:xf>
    <x:xf numFmtId="0" fontId="15" fillId="10" borderId="0" xfId="1" applyFont="1" applyFill="1" applyAlignment="1">
      <x:alignment vertical="center"/>
    </x:xf>
    <x:xf numFmtId="0" fontId="16" fillId="11" borderId="0" xfId="1" applyFont="1" applyFill="1" applyAlignment="1">
      <x:alignment vertical="center" wrapText="1"/>
    </x:xf>
    <x:xf numFmtId="0" fontId="0" fillId="13" borderId="0" xfId="1" applyFont="1" applyFill="1" applyAlignment="1">
      <x:alignment wrapText="1"/>
    </x:xf>
    <x:xf numFmtId="0" fontId="17" fillId="12" borderId="1" xfId="1" applyFont="1" applyFill="1" applyBorder="1" applyAlignment="1">
      <x:alignment horizontal="center" vertical="center" wrapText="1"/>
    </x:xf>
    <x:xf numFmtId="0" fontId="18" fillId="0" borderId="1" xfId="1" applyFont="1" applyBorder="1" applyAlignment="1">
      <x:alignment horizontal="center" vertical="center" wrapText="1"/>
    </x:xf>
    <x:xf numFmtId="0" fontId="18" fillId="13" borderId="1" xfId="1" applyFont="1" applyFill="1" applyBorder="1" applyAlignment="1">
      <x:alignment horizontal="center" vertical="center" wrapText="1"/>
    </x:xf>
    <x:xf numFmtId="0" fontId="4" fillId="4" borderId="1" xfId="1" applyFont="1" applyFill="1" applyBorder="1" applyAlignment="1">
      <x:alignment horizontal="center" vertical="center"/>
    </x:xf>
    <x:xf numFmtId="0" fontId="5" fillId="5" borderId="1" xfId="1" applyFont="1" applyFill="1" applyBorder="1" applyAlignment="1">
      <x:alignment horizontal="center" vertical="center"/>
    </x:xf>
    <x:xf numFmtId="0" fontId="6" fillId="2" borderId="1" xfId="1" applyFont="1" applyFill="1" applyBorder="1" applyAlignment="1">
      <x:alignment horizontal="center" vertical="center"/>
    </x:xf>
    <x:xf numFmtId="0" fontId="4" fillId="4" borderId="1" xfId="1" applyFont="1" applyFill="1" applyBorder="1" applyAlignment="1">
      <x:alignment horizontal="center" vertical="center" wrapText="1"/>
    </x:xf>
    <x:xf numFmtId="0" fontId="3" fillId="6" borderId="1" xfId="1" applyFont="1" applyFill="1" applyBorder="1" applyAlignment="1">
      <x:alignment horizontal="center" vertical="center" wrapText="1"/>
    </x:xf>
    <x:xf numFmtId="0" fontId="8" fillId="5" borderId="1" xfId="1" applyFont="1" applyFill="1" applyBorder="1" applyAlignment="1">
      <x:alignment horizontal="center" vertical="center" wrapText="1"/>
    </x:xf>
    <x:xf numFmtId="0" fontId="3" fillId="5" borderId="1" xfId="1" applyFont="1" applyFill="1" applyBorder="1" applyAlignment="1">
      <x:alignment horizontal="center" vertical="center" wrapText="1"/>
    </x:xf>
    <x:xf numFmtId="0" fontId="6" fillId="7" borderId="1" xfId="1" applyFont="1" applyFill="1" applyBorder="1" applyAlignment="1">
      <x:alignment vertical="center"/>
    </x:xf>
    <x:xf numFmtId="0" fontId="9" fillId="8" borderId="1" xfId="1" applyFont="1" applyFill="1" applyBorder="1" applyAlignment="1">
      <x:alignment vertical="center" wrapText="1"/>
    </x:xf>
    <x:xf numFmtId="0" fontId="10" fillId="7" borderId="1" xfId="1" applyFont="1" applyFill="1" applyBorder="1" applyAlignment="1">
      <x:alignment horizontal="center" vertical="center" wrapText="1"/>
    </x:xf>
    <x:xf numFmtId="0" fontId="4" fillId="9" borderId="1" xfId="1" applyFont="1" applyFill="1" applyBorder="1" applyAlignment="1">
      <x:alignment horizontal="center" vertical="center" wrapText="1"/>
    </x:xf>
    <x:xf numFmtId="0" fontId="11" fillId="8" borderId="1" xfId="1" applyFont="1" applyFill="1" applyBorder="1" applyAlignment="1">
      <x:alignment horizontal="center" vertical="center" wrapText="1"/>
    </x:xf>
    <x:xf numFmtId="0" fontId="12" fillId="3" borderId="1" xfId="1" applyFont="1" applyFill="1" applyBorder="1" applyAlignment="1">
      <x:alignment horizontal="center" vertical="center" wrapText="1"/>
    </x:xf>
    <x:xf numFmtId="0" fontId="3" fillId="6" borderId="1" xfId="1" applyFont="1" applyFill="1" applyBorder="1" applyAlignment="1">
      <x:alignment horizontal="center" vertical="center" wrapText="1"/>
    </x:xf>
    <x:xf numFmtId="0" fontId="3" fillId="5" borderId="1" xfId="1" applyFont="1" applyFill="1" applyBorder="1" applyAlignment="1">
      <x:alignment horizontal="center" vertical="center" wrapText="1"/>
    </x:xf>
    <x:xf numFmtId="0" fontId="12" fillId="4" borderId="1" xfId="1" applyFont="1" applyFill="1" applyBorder="1" applyAlignment="1">
      <x:alignment horizontal="center" vertical="center" wrapText="1"/>
    </x:xf>
    <x:xf numFmtId="0" fontId="12" fillId="5" borderId="1" xfId="1" applyFont="1" applyFill="1" applyBorder="1" applyAlignment="1">
      <x:alignment horizontal="center" vertical="center" wrapText="1"/>
    </x:xf>
    <x:xf numFmtId="0" fontId="4" fillId="4" borderId="1" xfId="1" applyFont="1" applyFill="1" applyBorder="1" applyAlignment="1">
      <x:alignment horizontal="center" vertical="center" wrapText="1"/>
    </x:xf>
    <x:xf numFmtId="0" fontId="4" fillId="3" borderId="1" xfId="1" applyFont="1" applyFill="1" applyBorder="1" applyAlignment="1">
      <x:alignment horizontal="center" vertical="center" wrapText="1"/>
    </x:xf>
    <x:xf numFmtId="0" fontId="1" fillId="10" borderId="1" xfId="1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14" borderId="0" xfId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7" fillId="12" borderId="2" xfId="0" applyNumberFormat="1" applyFont="1" applyFill="1" applyBorder="1" applyAlignment="1">
      <x:alignment horizontal="center" vertical="center" wrapText="1"/>
    </x:xf>
    <x:xf numFmtId="0" fontId="18" fillId="0" borderId="2" xfId="0" applyNumberFormat="1" applyFont="1" applyFill="1" applyBorder="1" applyAlignment="1">
      <x:alignment vertical="center" wrapText="1"/>
    </x:xf>
    <x:xf numFmtId="0" fontId="18" fillId="13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/>
    </x:xf>
    <x:xf numFmtId="0" fontId="14" fillId="8" borderId="2" xfId="0" applyNumberFormat="1" applyFont="1" applyFill="1" applyBorder="1" applyAlignment="1">
      <x:alignment vertical="center" wrapText="1"/>
    </x:xf>
    <x:xf numFmtId="0" fontId="15" fillId="10" borderId="2" xfId="0" applyNumberFormat="1" applyFont="1" applyFill="1" applyBorder="1" applyAlignment="1">
      <x:alignment vertical="center"/>
    </x:xf>
    <x:xf numFmtId="0" fontId="16" fillId="11" borderId="2" xfId="0" applyNumberFormat="1" applyFont="1" applyFill="1" applyBorder="1" applyAlignment="1">
      <x:alignment vertical="center" wrapText="1"/>
    </x:xf>
    <x:xf numFmtId="0" fontId="0" fillId="13" borderId="2" xfId="0" applyNumberFormat="1" applyFont="1" applyFill="1" applyBorder="1" applyAlignment="1">
      <x:alignment wrapText="1"/>
    </x:xf>
    <x:xf numFmtId="0" fontId="17" fillId="12" borderId="3" xfId="0" applyNumberFormat="1" applyFont="1" applyFill="1" applyBorder="1" applyAlignment="1">
      <x:alignment horizontal="center" vertical="center" wrapText="1"/>
    </x:xf>
    <x:xf numFmtId="0" fontId="18" fillId="0" borderId="3" xfId="0" applyNumberFormat="1" applyFont="1" applyFill="1" applyBorder="1" applyAlignment="1">
      <x:alignment horizontal="center" vertical="center" wrapText="1"/>
    </x:xf>
    <x:xf numFmtId="0" fontId="18" fillId="13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vertical="center"/>
    </x:xf>
    <x:xf numFmtId="0" fontId="9" fillId="8" borderId="3" xfId="0" applyNumberFormat="1" applyFont="1" applyFill="1" applyBorder="1" applyAlignment="1">
      <x:alignment vertical="center" wrapText="1"/>
    </x:xf>
    <x:xf numFmtId="0" fontId="10" fillId="7" borderId="3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11" fillId="8" borderId="3" xfId="0" applyNumberFormat="1" applyFont="1" applyFill="1" applyBorder="1" applyAlignment="1">
      <x:alignment horizontal="center" vertical="center" wrapText="1"/>
    </x:xf>
    <x:xf numFmtId="0" fontId="12" fillId="3" borderId="3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2" fillId="5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1" fillId="1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14" borderId="2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1" fillId="15" borderId="0" xfId="0" applyNumberFormat="1" applyFont="1" applyFill="1" applyBorder="1"/>
    <x:xf numFmtId="0" fontId="21" fillId="15" borderId="0" xfId="0" applyNumberFormat="1" applyFont="1" applyFill="1" applyBorder="1" applyAlignment="1">
      <x:alignment vertical="center"/>
    </x:xf>
    <x:xf numFmtId="0" fontId="0" fillId="15" borderId="2" xfId="0" applyNumberFormat="1" applyFont="1" applyFill="1" applyBorder="1"/>
    <x:xf numFmtId="0" fontId="21" fillId="15" borderId="2" xfId="0" applyNumberFormat="1" applyFont="1" applyFill="1" applyBorder="1"/>
    <x:xf numFmtId="0" fontId="21" fillId="15" borderId="2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22" fillId="16" borderId="0" xfId="0" applyNumberFormat="1" applyFont="1" applyFill="1" applyBorder="1"/>
    <x:xf numFmtId="0" fontId="22" fillId="16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vertical="center" wrapText="1"/>
    </x:xf>
    <x:xf numFmtId="0" fontId="0" fillId="16" borderId="2" xfId="0" applyNumberFormat="1" applyFont="1" applyFill="1" applyBorder="1"/>
    <x:xf numFmtId="0" fontId="22" fillId="16" borderId="2" xfId="0" applyNumberFormat="1" applyFont="1" applyFill="1" applyBorder="1"/>
    <x:xf numFmtId="0" fontId="22" fillId="16" borderId="2" xfId="0" applyNumberFormat="1" applyFont="1" applyFill="1" applyBorder="1" applyAlignment="1">
      <x:alignment wrapText="1"/>
    </x:xf>
    <x:xf numFmtId="0" fontId="22" fillId="16" borderId="2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7" fillId="17" borderId="0" xfId="0" applyNumberFormat="1" applyFont="1" applyFill="1" applyBorder="1"/>
    <x:xf numFmtId="0" fontId="17" fillId="17" borderId="0" xfId="0" applyNumberFormat="1" applyFont="1" applyFill="1" applyBorder="1" applyAlignment="1">
      <x:alignment wrapText="1"/>
    </x:xf>
    <x:xf numFmtId="0" fontId="17" fillId="17" borderId="0" xfId="0" applyNumberFormat="1" applyFont="1" applyFill="1" applyBorder="1" applyAlignment="1">
      <x:alignment horizontal="center" wrapText="1"/>
    </x:xf>
    <x:xf numFmtId="0" fontId="17" fillId="17" borderId="0" xfId="0" applyNumberFormat="1" applyFont="1" applyFill="1" applyBorder="1" applyAlignment="1">
      <x:alignment horizontal="center" vertical="center" wrapText="1"/>
    </x:xf>
    <x:xf numFmtId="0" fontId="0" fillId="17" borderId="2" xfId="0" applyNumberFormat="1" applyFont="1" applyFill="1" applyBorder="1"/>
    <x:xf numFmtId="0" fontId="17" fillId="17" borderId="2" xfId="0" applyNumberFormat="1" applyFont="1" applyFill="1" applyBorder="1"/>
    <x:xf numFmtId="0" fontId="17" fillId="17" borderId="2" xfId="0" applyNumberFormat="1" applyFont="1" applyFill="1" applyBorder="1" applyAlignment="1">
      <x:alignment wrapText="1"/>
    </x:xf>
    <x:xf numFmtId="0" fontId="17" fillId="17" borderId="2" xfId="0" applyNumberFormat="1" applyFont="1" applyFill="1" applyBorder="1" applyAlignment="1">
      <x:alignment horizontal="center" wrapText="1"/>
    </x:xf>
    <x:xf numFmtId="0" fontId="17" fillId="17" borderId="2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vertical="center" wrapText="1"/>
    </x:xf>
    <x:xf numFmtId="0" fontId="22" fillId="0" borderId="2" xfId="0" applyNumberFormat="1" applyFont="1" applyFill="1" applyBorder="1"/>
    <x:xf numFmtId="0" fontId="22" fillId="0" borderId="2" xfId="0" applyNumberFormat="1" applyFont="1" applyFill="1" applyBorder="1" applyAlignment="1">
      <x:alignment wrapText="1"/>
    </x:xf>
    <x:xf numFmtId="0" fontId="22" fillId="0" borderId="2" xfId="0" applyNumberFormat="1" applyFont="1" applyFill="1" applyBorder="1" applyAlignment="1">
      <x:alignment vertical="center" wrapText="1"/>
    </x:xf>
    <x:xf numFmtId="0" fontId="22" fillId="0" borderId="4" xfId="0" applyNumberFormat="1" applyFont="1" applyFill="1" applyBorder="1" applyAlignment="1">
      <x:alignment vertical="center" wrapText="1"/>
    </x:xf>
    <x:xf numFmtId="0" fontId="22" fillId="0" borderId="5" xfId="0" applyNumberFormat="1" applyFont="1" applyFill="1" applyBorder="1" applyAlignment="1">
      <x:alignment vertical="center" wrapText="1"/>
    </x:xf>
    <x:xf numFmtId="0" fontId="17" fillId="17" borderId="4" xfId="0" applyNumberFormat="1" applyFont="1" applyFill="1" applyBorder="1" applyAlignment="1">
      <x:alignment horizontal="center" vertical="center" wrapText="1"/>
    </x:xf>
    <x:xf numFmtId="0" fontId="17" fillId="17" borderId="5" xfId="0" applyNumberFormat="1" applyFont="1" applyFill="1" applyBorder="1" applyAlignment="1">
      <x:alignment horizontal="center" vertical="center" wrapText="1"/>
    </x:xf>
    <x:xf numFmtId="0" fontId="22" fillId="18" borderId="4" xfId="0" applyNumberFormat="1" applyFont="1" applyFill="1" applyBorder="1" applyAlignment="1">
      <x:alignment vertical="center" wrapText="1"/>
    </x:xf>
    <x:xf numFmtId="0" fontId="22" fillId="18" borderId="5" xfId="0" applyNumberFormat="1" applyFont="1" applyFill="1" applyBorder="1" applyAlignment="1">
      <x:alignment vertical="center" wrapText="1"/>
    </x:xf>
    <x:xf numFmtId="0" fontId="22" fillId="19" borderId="4" xfId="0" applyNumberFormat="1" applyFont="1" applyFill="1" applyBorder="1" applyAlignment="1">
      <x:alignment vertical="center" wrapText="1"/>
    </x:xf>
    <x:xf numFmtId="0" fontId="22" fillId="19" borderId="5" xfId="0" applyNumberFormat="1" applyFont="1" applyFill="1" applyBorder="1" applyAlignment="1">
      <x:alignment vertical="center" wrapText="1"/>
    </x:xf>
    <x:xf numFmtId="0" fontId="22" fillId="18" borderId="4" xfId="0" applyNumberFormat="1" applyFont="1" applyFill="1" applyBorder="1" applyAlignment="1">
      <x:alignment horizontal="center" vertical="center" wrapText="1"/>
    </x:xf>
    <x:xf numFmtId="0" fontId="22" fillId="19" borderId="4" xfId="0" applyNumberFormat="1" applyFont="1" applyFill="1" applyBorder="1" applyAlignment="1">
      <x:alignment horizontal="center" vertical="center" wrapText="1"/>
    </x:xf>
    <x:xf numFmtId="0" fontId="22" fillId="18" borderId="5" xfId="0" applyNumberFormat="1" applyFont="1" applyFill="1" applyBorder="1" applyAlignment="1">
      <x:alignment horizontal="center" vertical="center" wrapText="1"/>
    </x:xf>
    <x:xf numFmtId="0" fontId="22" fillId="19" borderId="5" xfId="0" applyNumberFormat="1" applyFont="1" applyFill="1" applyBorder="1" applyAlignment="1">
      <x:alignment horizontal="center" vertical="center" wrapText="1"/>
    </x:xf>
    <x:xf numFmtId="0" fontId="22" fillId="18" borderId="4" xfId="0" applyNumberFormat="1" applyFont="1" applyFill="1" applyBorder="1" applyAlignment="1">
      <x:alignment horizontal="left" vertical="center" wrapText="1"/>
    </x:xf>
    <x:xf numFmtId="0" fontId="22" fillId="18" borderId="5" xfId="0" applyNumberFormat="1" applyFont="1" applyFill="1" applyBorder="1" applyAlignment="1">
      <x:alignment horizontal="left" vertical="center" wrapText="1"/>
    </x:xf>
    <x:xf numFmtId="0" fontId="22" fillId="0" borderId="4" xfId="0" applyNumberFormat="1" applyFont="1" applyFill="1" applyBorder="1" applyAlignment="1">
      <x:alignment horizontal="center" vertical="center" wrapText="1"/>
    </x:xf>
    <x:xf numFmtId="0" fontId="22" fillId="0" borderId="5" xfId="0" applyNumberFormat="1" applyFont="1" applyFill="1" applyBorder="1" applyAlignment="1">
      <x:alignment horizontal="center" vertical="center" wrapText="1"/>
    </x:xf>
    <x:xf numFmtId="200" fontId="22" fillId="18" borderId="4" xfId="0" applyNumberFormat="1" applyFont="1" applyFill="1" applyBorder="1" applyAlignment="1">
      <x:alignment horizontal="center" vertical="center" wrapText="1"/>
    </x:xf>
    <x:xf numFmtId="200" fontId="22" fillId="18" borderId="5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3" fillId="20" borderId="0" xfId="0" applyNumberFormat="1" applyFont="1" applyFill="1" applyBorder="1"/>
    <x:xf numFmtId="0" fontId="23" fillId="20" borderId="0" xfId="0" applyNumberFormat="1" applyFont="1" applyFill="1" applyBorder="1" applyAlignment="1">
      <x:alignment wrapText="1"/>
    </x:xf>
    <x:xf numFmtId="0" fontId="0" fillId="20" borderId="2" xfId="0" applyNumberFormat="1" applyFont="1" applyFill="1" applyBorder="1"/>
    <x:xf numFmtId="0" fontId="23" fillId="20" borderId="2" xfId="0" applyNumberFormat="1" applyFont="1" applyFill="1" applyBorder="1"/>
    <x:xf numFmtId="0" fontId="23" fillId="20" borderId="2" xfId="0" applyNumberFormat="1" applyFont="1" applyFill="1" applyBorder="1" applyAlignment="1">
      <x:alignment wrapText="1"/>
    </x:xf>
    <x:xf numFmtId="200" fontId="22" fillId="18" borderId="4" xfId="0" applyNumberFormat="1" applyFont="1" applyFill="1" applyBorder="1" applyAlignment="1">
      <x:alignment vertical="center" wrapText="1"/>
    </x:xf>
    <x:xf numFmtId="200" fontId="22" fillId="18" borderId="5" xfId="0" applyNumberFormat="1" applyFont="1" applyFill="1" applyBorder="1" applyAlignment="1">
      <x:alignment vertical="center" wrapText="1"/>
    </x:xf>
    <x:xf numFmtId="0" fontId="17" fillId="17" borderId="0" xfId="0" applyNumberFormat="1" applyFont="1" applyFill="1" applyBorder="1" applyAlignment="1">
      <x:alignment horizontal="center"/>
    </x:xf>
    <x:xf numFmtId="0" fontId="17" fillId="17" borderId="2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0" xfId="0" applyNumberFormat="1" applyFont="1" applyFill="1" applyBorder="1" applyAlignment="1">
      <x:alignment horizontal="center"/>
    </x:xf>
    <x:xf numFmtId="0" fontId="24" fillId="21" borderId="0" xfId="0" applyNumberFormat="1" applyFont="1" applyFill="1" applyBorder="1" applyAlignment="1">
      <x:alignment horizontal="center" vertical="center"/>
    </x:xf>
    <x:xf numFmtId="0" fontId="0" fillId="21" borderId="2" xfId="0" applyNumberFormat="1" applyFont="1" applyFill="1" applyBorder="1"/>
    <x:xf numFmtId="0" fontId="24" fillId="21" borderId="2" xfId="0" applyNumberFormat="1" applyFont="1" applyFill="1" applyBorder="1"/>
    <x:xf numFmtId="0" fontId="24" fillId="21" borderId="2" xfId="0" applyNumberFormat="1" applyFont="1" applyFill="1" applyBorder="1" applyAlignment="1">
      <x:alignment horizontal="center"/>
    </x:xf>
    <x:xf numFmtId="0" fontId="24" fillId="21" borderId="2" xfId="0" applyNumberFormat="1" applyFont="1" applyFill="1" applyBorder="1" applyAlignment="1">
      <x:alignment horizontal="center" vertical="center"/>
    </x:xf>
    <x:xf numFmtId="0" fontId="17" fillId="17" borderId="4" xfId="0" applyNumberFormat="1" applyFont="1" applyFill="1" applyBorder="1" applyAlignment="1">
      <x:alignment horizontal="center"/>
    </x:xf>
    <x:xf numFmtId="0" fontId="24" fillId="21" borderId="4" xfId="0" applyNumberFormat="1" applyFont="1" applyFill="1" applyBorder="1" applyAlignment="1">
      <x:alignment horizontal="center" vertical="center"/>
    </x:xf>
    <x:xf numFmtId="0" fontId="17" fillId="17" borderId="5" xfId="0" applyNumberFormat="1" applyFont="1" applyFill="1" applyBorder="1" applyAlignment="1">
      <x:alignment horizontal="center"/>
    </x:xf>
    <x:xf numFmtId="0" fontId="24" fillId="21" borderId="5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0" xfId="0" applyNumberFormat="1" applyFont="1" applyFill="1" applyBorder="1" applyAlignment="1">
      <x:alignment wrapText="1"/>
    </x:xf>
    <x:xf numFmtId="0" fontId="0" fillId="22" borderId="2" xfId="0" applyNumberFormat="1" applyFont="1" applyFill="1" applyBorder="1"/>
    <x:xf numFmtId="0" fontId="22" fillId="22" borderId="2" xfId="0" applyNumberFormat="1" applyFont="1" applyFill="1" applyBorder="1"/>
    <x:xf numFmtId="0" fontId="22" fillId="22" borderId="2" xfId="0" applyNumberFormat="1" applyFont="1" applyFill="1" applyBorder="1" applyAlignment="1">
      <x:alignment wrapText="1"/>
    </x:xf>
    <x:xf numFmtId="0" fontId="25" fillId="15" borderId="0" xfId="0" applyNumberFormat="1" applyFont="1" applyFill="1" applyBorder="1"/>
    <x:xf numFmtId="0" fontId="25" fillId="15" borderId="2" xfId="0" applyNumberFormat="1" applyFont="1" applyFill="1" applyBorder="1"/>
    <x:xf numFmtId="0" fontId="22" fillId="21" borderId="0" xfId="0" applyNumberFormat="1" applyFont="1" applyFill="1" applyBorder="1"/>
    <x:xf numFmtId="0" fontId="22" fillId="21" borderId="0" xfId="0" applyNumberFormat="1" applyFont="1" applyFill="1" applyBorder="1" applyAlignment="1">
      <x:alignment vertical="center"/>
    </x:xf>
    <x:xf numFmtId="0" fontId="22" fillId="21" borderId="2" xfId="0" applyNumberFormat="1" applyFont="1" applyFill="1" applyBorder="1"/>
    <x:xf numFmtId="0" fontId="22" fillId="21" borderId="2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22" fillId="23" borderId="0" xfId="0" applyNumberFormat="1" applyFont="1" applyFill="1" applyBorder="1"/>
    <x:xf numFmtId="0" fontId="22" fillId="23" borderId="0" xfId="0" applyNumberFormat="1" applyFont="1" applyFill="1" applyBorder="1" applyAlignment="1">
      <x:alignment vertical="center"/>
    </x:xf>
    <x:xf numFmtId="0" fontId="0" fillId="23" borderId="2" xfId="0" applyNumberFormat="1" applyFont="1" applyFill="1" applyBorder="1"/>
    <x:xf numFmtId="0" fontId="22" fillId="23" borderId="2" xfId="0" applyNumberFormat="1" applyFont="1" applyFill="1" applyBorder="1"/>
    <x:xf numFmtId="0" fontId="22" fillId="23" borderId="2" xfId="0" applyNumberFormat="1" applyFont="1" applyFill="1" applyBorder="1" applyAlignment="1">
      <x:alignment vertical="center"/>
    </x:xf>
    <x:xf numFmtId="0" fontId="22" fillId="21" borderId="4" xfId="0" applyNumberFormat="1" applyFont="1" applyFill="1" applyBorder="1" applyAlignment="1">
      <x:alignment vertical="center"/>
    </x:xf>
    <x:xf numFmtId="0" fontId="22" fillId="23" borderId="4" xfId="0" applyNumberFormat="1" applyFont="1" applyFill="1" applyBorder="1" applyAlignment="1">
      <x:alignment vertical="center"/>
    </x:xf>
    <x:xf numFmtId="0" fontId="22" fillId="21" borderId="5" xfId="0" applyNumberFormat="1" applyFont="1" applyFill="1" applyBorder="1" applyAlignment="1">
      <x:alignment vertical="center"/>
    </x:xf>
    <x:xf numFmtId="0" fontId="22" fillId="23" borderId="5" xfId="0" applyNumberFormat="1" applyFont="1" applyFill="1" applyBorder="1" applyAlignment="1">
      <x:alignment vertical="center"/>
    </x:xf>
    <x:xf numFmtId="0" fontId="22" fillId="21" borderId="0" xfId="0" applyNumberFormat="1" applyFont="1" applyFill="1" applyBorder="1" applyAlignment="1">
      <x:alignment wrapText="1"/>
    </x:xf>
    <x:xf numFmtId="0" fontId="22" fillId="21" borderId="0" xfId="0" applyNumberFormat="1" applyFont="1" applyFill="1" applyBorder="1" applyAlignment="1">
      <x:alignment vertical="center" wrapText="1"/>
    </x:xf>
    <x:xf numFmtId="0" fontId="22" fillId="21" borderId="2" xfId="0" applyNumberFormat="1" applyFont="1" applyFill="1" applyBorder="1" applyAlignment="1">
      <x:alignment wrapText="1"/>
    </x:xf>
    <x:xf numFmtId="0" fontId="22" fillId="21" borderId="2" xfId="0" applyNumberFormat="1" applyFont="1" applyFill="1" applyBorder="1" applyAlignment="1">
      <x:alignment vertical="center" wrapText="1"/>
    </x:xf>
    <x:xf numFmtId="0" fontId="22" fillId="23" borderId="0" xfId="0" applyNumberFormat="1" applyFont="1" applyFill="1" applyBorder="1" applyAlignment="1">
      <x:alignment wrapText="1"/>
    </x:xf>
    <x:xf numFmtId="0" fontId="22" fillId="23" borderId="0" xfId="0" applyNumberFormat="1" applyFont="1" applyFill="1" applyBorder="1" applyAlignment="1">
      <x:alignment vertical="center" wrapText="1"/>
    </x:xf>
    <x:xf numFmtId="0" fontId="22" fillId="23" borderId="2" xfId="0" applyNumberFormat="1" applyFont="1" applyFill="1" applyBorder="1" applyAlignment="1">
      <x:alignment wrapText="1"/>
    </x:xf>
    <x:xf numFmtId="0" fontId="22" fillId="23" borderId="2" xfId="0" applyNumberFormat="1" applyFont="1" applyFill="1" applyBorder="1" applyAlignment="1">
      <x:alignment vertical="center" wrapText="1"/>
    </x:xf>
    <x:xf numFmtId="0" fontId="22" fillId="21" borderId="4" xfId="0" applyNumberFormat="1" applyFont="1" applyFill="1" applyBorder="1" applyAlignment="1">
      <x:alignment vertical="center" wrapText="1"/>
    </x:xf>
    <x:xf numFmtId="0" fontId="22" fillId="23" borderId="4" xfId="0" applyNumberFormat="1" applyFont="1" applyFill="1" applyBorder="1" applyAlignment="1">
      <x:alignment vertical="center" wrapText="1"/>
    </x:xf>
    <x:xf numFmtId="0" fontId="22" fillId="21" borderId="5" xfId="0" applyNumberFormat="1" applyFont="1" applyFill="1" applyBorder="1" applyAlignment="1">
      <x:alignment vertical="center" wrapText="1"/>
    </x:xf>
    <x:xf numFmtId="0" fontId="22" fillId="23" borderId="5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/>
    <x:xf numFmtId="0" fontId="1" fillId="15" borderId="2" xfId="0" applyNumberFormat="1" applyFont="1" applyFill="1" applyBorder="1"/>
  </x:cellXfs>
  <x:cellStyles count="2">
    <x:cellStyle name="Normal" xfId="1"/>
    <x:cellStyle name="표준" xfId="0"/>
  </x:cellStyles>
  <x:dxfs count="4">
    <x:dxf>
      <x:fill>
        <x:patternFill patternType="solid">
          <x:bgColor rgb="FFD9F2E7"/>
        </x:patternFill>
      </x:fill>
    </x:dxf>
    <x:dxf>
      <x:fill>
        <x:patternFill patternType="solid">
          <x:bgColor rgb="FFD9F2E7"/>
        </x:patternFill>
      </x:fill>
    </x:dxf>
    <x:dxf>
      <x:fill>
        <x:patternFill patternType="solid">
          <x:bgColor rgb="FFD9F2E7"/>
        </x:patternFill>
      </x:fill>
    </x:dxf>
    <x:dxf>
      <x:fill>
        <x:patternFill patternType="solid">
          <x:bgColor rgb="FFD9F2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e9f4de6c043a9" /><Relationship Type="http://schemas.openxmlformats.org/officeDocument/2006/relationships/theme" Target="/xl/theme/theme1.xml" Id="R847b8c653a984bcd" /><Relationship Type="http://schemas.openxmlformats.org/officeDocument/2006/relationships/sharedStrings" Target="/xl/sharedStrings.xml" Id="R6412241dae144f9f" /><Relationship Type="http://schemas.openxmlformats.org/officeDocument/2006/relationships/worksheet" Target="/xl/worksheets/sheet1.xml" Id="R64e023dd8eb2403a" /><Relationship Type="http://schemas.openxmlformats.org/officeDocument/2006/relationships/worksheet" Target="/xl/worksheets/sheet2.xml" Id="Reef24fc0d06c416b" /><Relationship Type="http://schemas.openxmlformats.org/officeDocument/2006/relationships/worksheet" Target="/xl/worksheets/sheet3.xml" Id="R3017b8e5a10545f3" /><Relationship Type="http://schemas.openxmlformats.org/officeDocument/2006/relationships/worksheet" Target="/xl/worksheets/sheet4.xml" Id="Rdb709beb88e64f8e" /><Relationship Type="http://schemas.openxmlformats.org/officeDocument/2006/relationships/worksheet" Target="/xl/worksheets/sheet5.xml" Id="Rf6aea5f261da403a" /><Relationship Type="http://schemas.openxmlformats.org/officeDocument/2006/relationships/worksheet" Target="/xl/worksheets/sheet6.xml" Id="R1cd02e4dbe414f1c" /><Relationship Type="http://schemas.openxmlformats.org/officeDocument/2006/relationships/worksheet" Target="/xl/worksheets/sheet7.xml" Id="R5a6b6dc4acf94984" /><Relationship Type="http://schemas.openxmlformats.org/officeDocument/2006/relationships/worksheet" Target="/xl/worksheets/sheet8.xml" Id="R6878c04e1cc349c6" /><Relationship Type="http://schemas.openxmlformats.org/officeDocument/2006/relationships/worksheet" Target="/xl/worksheets/sheet9.xml" Id="R9eb412ef32054abf" /><Relationship Type="http://schemas.openxmlformats.org/officeDocument/2006/relationships/worksheet" Target="/xl/worksheets/sheet10.xml" Id="R1025c837704a4e97" /><Relationship Type="http://schemas.openxmlformats.org/officeDocument/2006/relationships/worksheet" Target="/xl/worksheets/sheet11.xml" Id="Rf83f0b1b66624937" /><Relationship Type="http://schemas.openxmlformats.org/officeDocument/2006/relationships/worksheet" Target="/xl/worksheets/sheet12.xml" Id="R5535d6ae547a45f5" /><Relationship Type="http://schemas.openxmlformats.org/officeDocument/2006/relationships/worksheet" Target="/xl/worksheets/sheet13.xml" Id="R20666e06687844d5" /><Relationship Type="http://schemas.openxmlformats.org/officeDocument/2006/relationships/worksheet" Target="/xl/worksheets/sheet14.xml" Id="R7ae2670fe76645ed" /><Relationship Type="http://schemas.openxmlformats.org/officeDocument/2006/relationships/worksheet" Target="/xl/worksheets/sheet15.xml" Id="R644d001c19ed4f60" /><Relationship Type="http://schemas.openxmlformats.org/officeDocument/2006/relationships/worksheet" Target="/xl/worksheets/sheet16.xml" Id="R7f8a79ddd1204c72" /><Relationship Type="http://schemas.openxmlformats.org/officeDocument/2006/relationships/worksheet" Target="/xl/worksheets/sheet17.xml" Id="R263c7d3322f84b1a" /><Relationship Type="http://schemas.openxmlformats.org/officeDocument/2006/relationships/worksheet" Target="/xl/worksheets/sheet18.xml" Id="R38b84c370695422a" /><Relationship Type="http://schemas.openxmlformats.org/officeDocument/2006/relationships/worksheet" Target="/xl/worksheets/sheet19.xml" Id="Rf5976d37e57a41d0" /><Relationship Type="http://schemas.openxmlformats.org/officeDocument/2006/relationships/worksheet" Target="/xl/worksheets/sheet20.xml" Id="R6bc33d59a9a94611" /><Relationship Type="http://schemas.openxmlformats.org/officeDocument/2006/relationships/worksheet" Target="/xl/worksheets/sheet21.xml" Id="R5091ecebf6db4cd5" /><Relationship Type="http://schemas.openxmlformats.org/officeDocument/2006/relationships/worksheet" Target="/xl/worksheets/sheet22.xml" Id="Rb3d488ee9dfe4d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2" width="15" customWidth="1"/>
    <x:col min="3" max="3" width="19" customWidth="1"/>
    <x:col min="4" max="5" width="18" customWidth="1"/>
    <x:col min="6" max="6" width="16" customWidth="1"/>
    <x:col min="7" max="7" width="19" customWidth="1"/>
    <x:col min="8" max="8" width="22" customWidth="1"/>
  </x:cols>
  <x:sheetData>
    <x:row r="1" ht="29.100000381469727" customHeight="1">
      <x:c r="A1" s="4" t="s">
        <x:v>0</x:v>
      </x:c>
      <x:c r="B1" s="4"/>
      <x:c r="C1" s="4"/>
      <x:c r="D1" s="4"/>
      <x:c r="E1" s="4"/>
      <x:c r="F1" s="4"/>
      <x:c r="G1" s="4"/>
      <x:c r="H1" s="4"/>
    </x:row>
    <x:row r="2" ht="15" customHeight="1">
      <x:c r="A2" s="4"/>
      <x:c r="B2" s="4"/>
      <x:c r="C2" s="4"/>
      <x:c r="D2" s="4"/>
      <x:c r="E2" s="4"/>
      <x:c r="F2" s="4"/>
      <x:c r="G2" s="4"/>
      <x:c r="H2" s="4"/>
    </x:row>
    <x:row r="3" ht="30.950000762939453" customHeight="1">
      <x:c r="A3" s="5" t="s">
        <x:v>1</x:v>
      </x:c>
      <x:c r="B3" s="5"/>
      <x:c r="C3" s="5"/>
      <x:c r="D3" s="5"/>
      <x:c r="E3" s="5"/>
      <x:c r="F3" s="5"/>
      <x:c r="G3" s="5"/>
      <x:c r="H3" s="5"/>
    </x:row>
    <x:row r="4" ht="12" customHeight="1"/>
    <x:row r="5" ht="27.950000762939453" customHeight="1">
      <x:c r="A5" s="15" t="s">
        <x:v>2</x:v>
      </x:c>
      <x:c r="B5" s="15"/>
      <x:c r="C5" s="15" t="s">
        <x:v>3</x:v>
      </x:c>
      <x:c r="D5" s="15"/>
      <x:c r="E5" s="15" t="s">
        <x:v>4</x:v>
      </x:c>
      <x:c r="F5" s="15"/>
      <x:c r="G5" s="15" t="s">
        <x:v>5</x:v>
      </x:c>
      <x:c r="H5" s="15"/>
    </x:row>
    <x:row r="6" ht="27.950000762939453" customHeight="1">
      <x:c r="A6" s="16" t="s">
        <x:v>6</x:v>
      </x:c>
      <x:c r="B6" s="16"/>
      <x:c r="C6" s="16" t="s">
        <x:v>7</x:v>
      </x:c>
      <x:c r="D6" s="16"/>
      <x:c r="E6" s="16" t="s">
        <x:v>8</x:v>
      </x:c>
      <x:c r="F6" s="16"/>
      <x:c r="G6" s="16" t="s">
        <x:v>9</x:v>
      </x:c>
      <x:c r="H6" s="16"/>
    </x:row>
    <x:row r="8" ht="17.25">
      <x:c r="A8" s="17" t="s">
        <x:v>10</x:v>
      </x:c>
      <x:c r="B8" s="17"/>
      <x:c r="C8" s="17"/>
      <x:c r="D8" s="17"/>
      <x:c r="E8" s="17"/>
      <x:c r="F8" s="17"/>
      <x:c r="G8" s="17"/>
      <x:c r="H8" s="17"/>
    </x:row>
    <x:row r="9" ht="18" customHeight="1">
      <x:c r="A9" s="18" t="s">
        <x:v>11</x:v>
      </x:c>
      <x:c r="B9" s="18"/>
      <x:c r="C9" s="19" t="s">
        <x:v>12</x:v>
      </x:c>
      <x:c r="D9" s="19"/>
      <x:c r="E9" s="19"/>
      <x:c r="F9" s="19"/>
      <x:c r="G9" s="20" t="s">
        <x:v>13</x:v>
      </x:c>
      <x:c r="H9" s="20"/>
    </x:row>
    <x:row r="10" ht="18" customHeight="1">
      <x:c r="A10" s="18" t="s">
        <x:v>14</x:v>
      </x:c>
      <x:c r="B10" s="18"/>
      <x:c r="C10" s="21" t="s">
        <x:v>15</x:v>
      </x:c>
      <x:c r="D10" s="21"/>
      <x:c r="E10" s="21"/>
      <x:c r="F10" s="21"/>
      <x:c r="G10" s="20" t="s">
        <x:v>16</x:v>
      </x:c>
      <x:c r="H10" s="20"/>
    </x:row>
    <x:row r="11" ht="18" customHeight="1">
      <x:c r="A11" s="18" t="s">
        <x:v>17</x:v>
      </x:c>
      <x:c r="B11" s="18"/>
      <x:c r="C11" s="19" t="s">
        <x:v>18</x:v>
      </x:c>
      <x:c r="D11" s="19"/>
      <x:c r="E11" s="19"/>
      <x:c r="F11" s="19"/>
      <x:c r="G11" s="20" t="s">
        <x:v>16</x:v>
      </x:c>
      <x:c r="H11" s="20"/>
    </x:row>
    <x:row r="12" ht="18" customHeight="1">
      <x:c r="A12" s="18" t="s">
        <x:v>19</x:v>
      </x:c>
      <x:c r="B12" s="18"/>
      <x:c r="C12" s="21" t="s">
        <x:v>20</x:v>
      </x:c>
      <x:c r="D12" s="21"/>
      <x:c r="E12" s="21"/>
      <x:c r="F12" s="21"/>
      <x:c r="G12" s="20" t="s">
        <x:v>16</x:v>
      </x:c>
      <x:c r="H12" s="20"/>
    </x:row>
    <x:row r="13" ht="18" customHeight="1">
      <x:c r="A13" s="18" t="s">
        <x:v>4</x:v>
      </x:c>
      <x:c r="B13" s="18"/>
      <x:c r="C13" s="19" t="s">
        <x:v>21</x:v>
      </x:c>
      <x:c r="D13" s="19"/>
      <x:c r="E13" s="19"/>
      <x:c r="F13" s="19"/>
      <x:c r="G13" s="20" t="s">
        <x:v>16</x:v>
      </x:c>
      <x:c r="H13" s="20"/>
    </x:row>
    <x:row r="14" ht="18" customHeight="1">
      <x:c r="A14" s="18" t="s">
        <x:v>22</x:v>
      </x:c>
      <x:c r="B14" s="18"/>
      <x:c r="C14" s="21" t="s">
        <x:v>23</x:v>
      </x:c>
      <x:c r="D14" s="21"/>
      <x:c r="E14" s="21"/>
      <x:c r="F14" s="21"/>
      <x:c r="G14" s="20" t="s">
        <x:v>16</x:v>
      </x:c>
      <x:c r="H14" s="20"/>
    </x:row>
    <x:row r="15" ht="18" customHeight="1">
      <x:c r="A15" s="18" t="s">
        <x:v>24</x:v>
      </x:c>
      <x:c r="B15" s="18"/>
      <x:c r="C15" s="19" t="s">
        <x:v>25</x:v>
      </x:c>
      <x:c r="D15" s="19"/>
      <x:c r="E15" s="19"/>
      <x:c r="F15" s="19"/>
      <x:c r="G15" s="20" t="s">
        <x:v>16</x:v>
      </x:c>
      <x:c r="H15" s="20"/>
    </x:row>
    <x:row r="16" ht="18" customHeight="1">
      <x:c r="A16" s="18" t="s">
        <x:v>26</x:v>
      </x:c>
      <x:c r="B16" s="18"/>
      <x:c r="C16" s="21" t="s">
        <x:v>27</x:v>
      </x:c>
      <x:c r="D16" s="21"/>
      <x:c r="E16" s="21"/>
      <x:c r="F16" s="21"/>
      <x:c r="G16" s="20" t="s">
        <x:v>16</x:v>
      </x:c>
      <x:c r="H16" s="20"/>
    </x:row>
    <x:row r="17" ht="18" customHeight="1">
      <x:c r="A17" s="18" t="s">
        <x:v>28</x:v>
      </x:c>
      <x:c r="B17" s="18"/>
      <x:c r="C17" s="19" t="s">
        <x:v>29</x:v>
      </x:c>
      <x:c r="D17" s="19"/>
      <x:c r="E17" s="19"/>
      <x:c r="F17" s="19"/>
      <x:c r="G17" s="20" t="s">
        <x:v>16</x:v>
      </x:c>
      <x:c r="H17" s="20"/>
    </x:row>
    <x:row r="18" ht="18" customHeight="1">
      <x:c r="A18" s="18" t="s">
        <x:v>30</x:v>
      </x:c>
      <x:c r="B18" s="18"/>
      <x:c r="C18" s="21" t="s">
        <x:v>31</x:v>
      </x:c>
      <x:c r="D18" s="21"/>
      <x:c r="E18" s="21"/>
      <x:c r="F18" s="21"/>
      <x:c r="G18" s="20" t="s">
        <x:v>16</x:v>
      </x:c>
      <x:c r="H18" s="20"/>
    </x:row>
    <x:row r="19" ht="18" customHeight="1">
      <x:c r="A19" s="18" t="s">
        <x:v>32</x:v>
      </x:c>
      <x:c r="B19" s="18"/>
      <x:c r="C19" s="19" t="s">
        <x:v>33</x:v>
      </x:c>
      <x:c r="D19" s="19"/>
      <x:c r="E19" s="19"/>
      <x:c r="F19" s="19"/>
      <x:c r="G19" s="20" t="s">
        <x:v>16</x:v>
      </x:c>
      <x:c r="H19" s="20"/>
    </x:row>
    <x:row r="20" ht="18" customHeight="1">
      <x:c r="A20" s="18" t="s">
        <x:v>34</x:v>
      </x:c>
      <x:c r="B20" s="18"/>
      <x:c r="C20" s="21" t="s">
        <x:v>35</x:v>
      </x:c>
      <x:c r="D20" s="21"/>
      <x:c r="E20" s="21"/>
      <x:c r="F20" s="21"/>
      <x:c r="G20" s="20" t="s">
        <x:v>16</x:v>
      </x:c>
      <x:c r="H20" s="20"/>
    </x:row>
    <x:row r="21" ht="18" customHeight="1">
      <x:c r="A21" s="18" t="s">
        <x:v>36</x:v>
      </x:c>
      <x:c r="B21" s="18"/>
      <x:c r="C21" s="19" t="s">
        <x:v>37</x:v>
      </x:c>
      <x:c r="D21" s="19"/>
      <x:c r="E21" s="19"/>
      <x:c r="F21" s="19"/>
      <x:c r="G21" s="20" t="s">
        <x:v>16</x:v>
      </x:c>
      <x:c r="H21" s="20"/>
    </x:row>
    <x:row r="22" ht="18" customHeight="1">
      <x:c r="A22" s="18" t="s">
        <x:v>38</x:v>
      </x:c>
      <x:c r="B22" s="18"/>
      <x:c r="C22" s="21" t="s">
        <x:v>39</x:v>
      </x:c>
      <x:c r="D22" s="21"/>
      <x:c r="E22" s="21"/>
      <x:c r="F22" s="21"/>
      <x:c r="G22" s="20" t="s">
        <x:v>16</x:v>
      </x:c>
      <x:c r="H22" s="20"/>
    </x:row>
    <x:row r="23" ht="18" customHeight="1">
      <x:c r="A23" s="18" t="s">
        <x:v>40</x:v>
      </x:c>
      <x:c r="B23" s="18"/>
      <x:c r="C23" s="19" t="s">
        <x:v>41</x:v>
      </x:c>
      <x:c r="D23" s="19"/>
      <x:c r="E23" s="19"/>
      <x:c r="F23" s="19"/>
      <x:c r="G23" s="20" t="s">
        <x:v>16</x:v>
      </x:c>
      <x:c r="H23" s="20"/>
    </x:row>
    <x:row r="25" ht="17.25">
      <x:c r="A25" s="17" t="s">
        <x:v>42</x:v>
      </x:c>
      <x:c r="B25" s="17"/>
      <x:c r="C25" s="17"/>
      <x:c r="D25" s="17"/>
      <x:c r="E25" s="17"/>
      <x:c r="F25" s="17"/>
      <x:c r="G25" s="17"/>
      <x:c r="H25" s="17"/>
    </x:row>
    <x:row r="26" ht="24" customHeight="1">
      <x:c r="A26" s="18" t="s">
        <x:v>43</x:v>
      </x:c>
      <x:c r="B26" s="18"/>
      <x:c r="C26" s="19" t="s">
        <x:v>44</x:v>
      </x:c>
      <x:c r="D26" s="19"/>
      <x:c r="E26" s="19"/>
      <x:c r="F26" s="19"/>
      <x:c r="G26" s="20" t="s">
        <x:v>45</x:v>
      </x:c>
      <x:c r="H26" s="20"/>
    </x:row>
    <x:row r="27" ht="24" customHeight="1">
      <x:c r="A27" s="18" t="s">
        <x:v>46</x:v>
      </x:c>
      <x:c r="B27" s="18"/>
      <x:c r="C27" s="21" t="s">
        <x:v>47</x:v>
      </x:c>
      <x:c r="D27" s="21"/>
      <x:c r="E27" s="21"/>
      <x:c r="F27" s="21"/>
      <x:c r="G27" s="20" t="s">
        <x:v>48</x:v>
      </x:c>
      <x:c r="H27" s="20"/>
    </x:row>
    <x:row r="28" ht="24" customHeight="1">
      <x:c r="A28" s="18" t="s">
        <x:v>49</x:v>
      </x:c>
      <x:c r="B28" s="18"/>
      <x:c r="C28" s="19" t="s">
        <x:v>50</x:v>
      </x:c>
      <x:c r="D28" s="19"/>
      <x:c r="E28" s="19"/>
      <x:c r="F28" s="19"/>
      <x:c r="G28" s="20" t="s">
        <x:v>48</x:v>
      </x:c>
      <x:c r="H28" s="20"/>
    </x:row>
    <x:row r="29" ht="24" customHeight="1">
      <x:c r="A29" s="18" t="s">
        <x:v>51</x:v>
      </x:c>
      <x:c r="B29" s="18"/>
      <x:c r="C29" s="21" t="s">
        <x:v>52</x:v>
      </x:c>
      <x:c r="D29" s="21"/>
      <x:c r="E29" s="21"/>
      <x:c r="F29" s="21"/>
      <x:c r="G29" s="20" t="s">
        <x:v>48</x:v>
      </x:c>
      <x:c r="H29" s="20"/>
    </x:row>
    <x:row r="30" ht="24" customHeight="1">
      <x:c r="A30" s="18" t="s">
        <x:v>53</x:v>
      </x:c>
      <x:c r="B30" s="18"/>
      <x:c r="C30" s="19" t="s">
        <x:v>54</x:v>
      </x:c>
      <x:c r="D30" s="19"/>
      <x:c r="E30" s="19"/>
      <x:c r="F30" s="19"/>
      <x:c r="G30" s="20" t="s">
        <x:v>55</x:v>
      </x:c>
      <x:c r="H30" s="20"/>
    </x:row>
    <x:row r="31" ht="24" customHeight="1">
      <x:c r="A31" s="18" t="s">
        <x:v>56</x:v>
      </x:c>
      <x:c r="B31" s="18"/>
      <x:c r="C31" s="21" t="s">
        <x:v>57</x:v>
      </x:c>
      <x:c r="D31" s="21"/>
      <x:c r="E31" s="21"/>
      <x:c r="F31" s="21"/>
      <x:c r="G31" s="20" t="s">
        <x:v>48</x:v>
      </x:c>
      <x:c r="H31" s="20"/>
    </x:row>
    <x:row r="32" ht="24" customHeight="1">
      <x:c r="A32" s="18" t="s">
        <x:v>58</x:v>
      </x:c>
      <x:c r="B32" s="18"/>
      <x:c r="C32" s="19" t="s">
        <x:v>59</x:v>
      </x:c>
      <x:c r="D32" s="19"/>
      <x:c r="E32" s="19"/>
      <x:c r="F32" s="19"/>
      <x:c r="G32" s="20" t="s">
        <x:v>60</x:v>
      </x:c>
      <x:c r="H32" s="20"/>
    </x:row>
    <x:row r="33" ht="24" customHeight="1">
      <x:c r="A33" s="18" t="s">
        <x:v>61</x:v>
      </x:c>
      <x:c r="B33" s="18"/>
      <x:c r="C33" s="21" t="s">
        <x:v>62</x:v>
      </x:c>
      <x:c r="D33" s="21"/>
      <x:c r="E33" s="21"/>
      <x:c r="F33" s="21"/>
      <x:c r="G33" s="20" t="s">
        <x:v>63</x:v>
      </x:c>
      <x:c r="H33" s="20"/>
    </x:row>
    <x:row r="35" ht="17.25">
      <x:c r="A35" s="22" t="s">
        <x:v>64</x:v>
      </x:c>
      <x:c r="B35" s="22"/>
      <x:c r="C35" s="22"/>
      <x:c r="D35" s="22"/>
      <x:c r="E35" s="22"/>
      <x:c r="F35" s="22"/>
      <x:c r="G35" s="22"/>
      <x:c r="H35" s="22"/>
    </x:row>
    <x:row r="36" ht="22.5" customHeight="1">
      <x:c r="A36" s="23" t="s">
        <x:v>65</x:v>
      </x:c>
      <x:c r="B36" s="23"/>
      <x:c r="C36" s="23"/>
      <x:c r="D36" s="23"/>
      <x:c r="E36" s="23"/>
      <x:c r="F36" s="23"/>
      <x:c r="G36" s="23"/>
      <x:c r="H36" s="23"/>
    </x:row>
    <x:row r="37" ht="22.5" customHeight="1">
      <x:c r="A37" s="23"/>
      <x:c r="B37" s="23"/>
      <x:c r="C37" s="23"/>
      <x:c r="D37" s="23"/>
      <x:c r="E37" s="23"/>
      <x:c r="F37" s="23"/>
      <x:c r="G37" s="23"/>
      <x:c r="H37" s="23"/>
    </x:row>
    <x:row r="38" ht="22.5" customHeight="1">
      <x:c r="A38" s="23"/>
      <x:c r="B38" s="23"/>
      <x:c r="C38" s="23"/>
      <x:c r="D38" s="23"/>
      <x:c r="E38" s="23"/>
      <x:c r="F38" s="23"/>
      <x:c r="G38" s="23"/>
      <x:c r="H38" s="23"/>
    </x:row>
    <x:row r="40">
      <x:c r="A40" s="6" t="s">
        <x:v>66</x:v>
      </x:c>
      <x:c r="B40" s="6"/>
      <x:c r="C40" s="6"/>
      <x:c r="D40" s="6"/>
      <x:c r="E40" s="6"/>
      <x:c r="F40" s="6"/>
      <x:c r="G40" s="6"/>
      <x:c r="H40" s="6"/>
    </x:row>
  </x:sheetData>
  <x:mergeCells>
    <x:mergeCell ref="A40:H40"/>
    <x:mergeCell ref="A33:B33"/>
    <x:mergeCell ref="C33:F33"/>
    <x:mergeCell ref="G33:H33"/>
    <x:mergeCell ref="A35:H35"/>
    <x:mergeCell ref="A36:H38"/>
    <x:mergeCell ref="A31:B31"/>
    <x:mergeCell ref="C31:F31"/>
    <x:mergeCell ref="G31:H31"/>
    <x:mergeCell ref="A32:B32"/>
    <x:mergeCell ref="C32:F32"/>
    <x:mergeCell ref="G32:H32"/>
    <x:mergeCell ref="A29:B29"/>
    <x:mergeCell ref="C29:F29"/>
    <x:mergeCell ref="G29:H29"/>
    <x:mergeCell ref="A30:B30"/>
    <x:mergeCell ref="C30:F30"/>
    <x:mergeCell ref="G30:H30"/>
    <x:mergeCell ref="A27:B27"/>
    <x:mergeCell ref="C27:F27"/>
    <x:mergeCell ref="G27:H27"/>
    <x:mergeCell ref="A28:B28"/>
    <x:mergeCell ref="C28:F28"/>
    <x:mergeCell ref="G28:H28"/>
    <x:mergeCell ref="A23:B23"/>
    <x:mergeCell ref="C23:F23"/>
    <x:mergeCell ref="G23:H23"/>
    <x:mergeCell ref="A25:H25"/>
    <x:mergeCell ref="A26:B26"/>
    <x:mergeCell ref="C26:F26"/>
    <x:mergeCell ref="G26:H26"/>
    <x:mergeCell ref="A21:B21"/>
    <x:mergeCell ref="C21:F21"/>
    <x:mergeCell ref="G21:H21"/>
    <x:mergeCell ref="A22:B22"/>
    <x:mergeCell ref="C22:F22"/>
    <x:mergeCell ref="G22:H22"/>
    <x:mergeCell ref="A19:B19"/>
    <x:mergeCell ref="C19:F19"/>
    <x:mergeCell ref="G19:H19"/>
    <x:mergeCell ref="A20:B20"/>
    <x:mergeCell ref="C20:F20"/>
    <x:mergeCell ref="G20:H20"/>
    <x:mergeCell ref="A17:B17"/>
    <x:mergeCell ref="C17:F17"/>
    <x:mergeCell ref="G17:H17"/>
    <x:mergeCell ref="A18:B18"/>
    <x:mergeCell ref="C18:F18"/>
    <x:mergeCell ref="G18:H18"/>
    <x:mergeCell ref="A15:B15"/>
    <x:mergeCell ref="C15:F15"/>
    <x:mergeCell ref="G15:H15"/>
    <x:mergeCell ref="A16:B16"/>
    <x:mergeCell ref="C16:F16"/>
    <x:mergeCell ref="G16:H16"/>
    <x:mergeCell ref="A13:B13"/>
    <x:mergeCell ref="C13:F13"/>
    <x:mergeCell ref="G13:H13"/>
    <x:mergeCell ref="A14:B14"/>
    <x:mergeCell ref="C14:F14"/>
    <x:mergeCell ref="G14:H14"/>
    <x:mergeCell ref="A11:B11"/>
    <x:mergeCell ref="C11:F11"/>
    <x:mergeCell ref="G11:H11"/>
    <x:mergeCell ref="A12:B12"/>
    <x:mergeCell ref="C12:F12"/>
    <x:mergeCell ref="G12:H12"/>
    <x:mergeCell ref="A8:H8"/>
    <x:mergeCell ref="A9:B9"/>
    <x:mergeCell ref="C9:F9"/>
    <x:mergeCell ref="G9:H9"/>
    <x:mergeCell ref="A10:B10"/>
    <x:mergeCell ref="C10:F10"/>
    <x:mergeCell ref="G10:H10"/>
    <x:mergeCell ref="A1:H2"/>
    <x:mergeCell ref="A3:H3"/>
    <x:mergeCell ref="A5:B5"/>
    <x:mergeCell ref="A6:B6"/>
    <x:mergeCell ref="C5:D5"/>
    <x:mergeCell ref="C6:D6"/>
    <x:mergeCell ref="E5:F5"/>
    <x:mergeCell ref="E6:F6"/>
    <x:mergeCell ref="G5:H5"/>
    <x:mergeCell ref="G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customWidth="1"/>
    <x:col min="2" max="2" width="13.375" customWidth="1"/>
    <x:col min="3" max="3" width="42" customWidth="1"/>
    <x:col min="4" max="4" width="17" customWidth="1"/>
    <x:col min="5" max="5" width="20" customWidth="1"/>
    <x:col min="6" max="6" width="15" customWidth="1"/>
    <x:col min="7" max="7" width="44" customWidth="1"/>
    <x:col min="8" max="8" width="35" customWidth="1"/>
  </x:cols>
  <x:sheetData>
    <x:row r="1" ht="29.100000381469727" customHeight="1">
      <x:c r="A1" s="4" t="s">
        <x:v>67</x:v>
      </x:c>
      <x:c r="B1" s="4"/>
      <x:c r="C1" s="4"/>
      <x:c r="D1" s="4"/>
      <x:c r="E1" s="4"/>
      <x:c r="F1" s="4"/>
      <x:c r="G1" s="4"/>
      <x:c r="H1" s="4"/>
    </x:row>
    <x:row r="2" ht="15" customHeight="1">
      <x:c r="A2" s="4"/>
      <x:c r="B2" s="4"/>
      <x:c r="C2" s="4"/>
      <x:c r="D2" s="4"/>
      <x:c r="E2" s="4"/>
      <x:c r="F2" s="4"/>
      <x:c r="G2" s="4"/>
      <x:c r="H2" s="4"/>
    </x:row>
    <x:row r="3" ht="30.950000762939453" customHeight="1">
      <x:c r="A3" s="5" t="s">
        <x:v>68</x:v>
      </x:c>
      <x:c r="B3" s="5"/>
      <x:c r="C3" s="5"/>
      <x:c r="D3" s="5"/>
      <x:c r="E3" s="5"/>
      <x:c r="F3" s="5"/>
      <x:c r="G3" s="5"/>
      <x:c r="H3" s="5"/>
    </x:row>
    <x:row r="4" ht="12" customHeight="1"/>
    <x:row r="6" ht="33.95000076293945" customHeight="1">
      <x:c r="A6" s="24" t="s">
        <x:v>69</x:v>
      </x:c>
      <x:c r="B6" s="24" t="s">
        <x:v>70</x:v>
      </x:c>
      <x:c r="C6" s="24" t="s">
        <x:v>71</x:v>
      </x:c>
      <x:c r="D6" s="24" t="s">
        <x:v>72</x:v>
      </x:c>
      <x:c r="E6" s="24" t="s">
        <x:v>73</x:v>
      </x:c>
      <x:c r="F6" s="24" t="s">
        <x:v>74</x:v>
      </x:c>
      <x:c r="G6" s="24" t="s">
        <x:v>75</x:v>
      </x:c>
      <x:c r="H6" s="24" t="s">
        <x:v>76</x:v>
      </x:c>
    </x:row>
    <x:row r="7" ht="26.25" customHeight="1">
      <x:c r="A7" s="28">
        <x:v>1</x:v>
      </x:c>
      <x:c r="B7" s="28" t="s">
        <x:v>77</x:v>
      </x:c>
      <x:c r="C7" s="28" t="s">
        <x:v>78</x:v>
      </x:c>
      <x:c r="D7" s="28" t="s">
        <x:v>79</x:v>
      </x:c>
      <x:c r="E7" s="28" t="s">
        <x:v>80</x:v>
      </x:c>
      <x:c r="F7" s="25" t="s">
        <x:v>81</x:v>
      </x:c>
      <x:c r="G7" s="28" t="s">
        <x:v>82</x:v>
      </x:c>
      <x:c r="H7" s="28" t="s">
        <x:v>83</x:v>
      </x:c>
    </x:row>
    <x:row r="8" ht="26.25" customHeight="1">
      <x:c r="A8" s="29">
        <x:v>2</x:v>
      </x:c>
      <x:c r="B8" s="29" t="s">
        <x:v>84</x:v>
      </x:c>
      <x:c r="C8" s="29" t="s">
        <x:v>85</x:v>
      </x:c>
      <x:c r="D8" s="29" t="s">
        <x:v>86</x:v>
      </x:c>
      <x:c r="E8" s="29" t="s">
        <x:v>80</x:v>
      </x:c>
      <x:c r="F8" s="26" t="s">
        <x:v>87</x:v>
      </x:c>
      <x:c r="G8" s="29" t="s">
        <x:v>88</x:v>
      </x:c>
      <x:c r="H8" s="29" t="s">
        <x:v>89</x:v>
      </x:c>
    </x:row>
    <x:row r="9" ht="26.25" customHeight="1">
      <x:c r="A9" s="28">
        <x:v>3</x:v>
      </x:c>
      <x:c r="B9" s="28" t="s">
        <x:v>84</x:v>
      </x:c>
      <x:c r="C9" s="28" t="s">
        <x:v>90</x:v>
      </x:c>
      <x:c r="D9" s="28" t="s">
        <x:v>91</x:v>
      </x:c>
      <x:c r="E9" s="28" t="s">
        <x:v>92</x:v>
      </x:c>
      <x:c r="F9" s="26" t="s">
        <x:v>87</x:v>
      </x:c>
      <x:c r="G9" s="28" t="s">
        <x:v>93</x:v>
      </x:c>
      <x:c r="H9" s="28" t="s">
        <x:v>94</x:v>
      </x:c>
    </x:row>
    <x:row r="10" ht="26.25" customHeight="1">
      <x:c r="A10" s="29">
        <x:v>4</x:v>
      </x:c>
      <x:c r="B10" s="29" t="s">
        <x:v>95</x:v>
      </x:c>
      <x:c r="C10" s="29" t="s">
        <x:v>96</x:v>
      </x:c>
      <x:c r="D10" s="29" t="s">
        <x:v>97</x:v>
      </x:c>
      <x:c r="E10" s="29" t="s">
        <x:v>98</x:v>
      </x:c>
      <x:c r="F10" s="26" t="s">
        <x:v>87</x:v>
      </x:c>
      <x:c r="G10" s="29" t="s">
        <x:v>99</x:v>
      </x:c>
      <x:c r="H10" s="29" t="s">
        <x:v>94</x:v>
      </x:c>
    </x:row>
    <x:row r="11" ht="26.25" customHeight="1">
      <x:c r="A11" s="28">
        <x:v>5</x:v>
      </x:c>
      <x:c r="B11" s="28" t="s">
        <x:v>100</x:v>
      </x:c>
      <x:c r="C11" s="28" t="s">
        <x:v>101</x:v>
      </x:c>
      <x:c r="D11" s="28" t="s">
        <x:v>102</x:v>
      </x:c>
      <x:c r="E11" s="28" t="s">
        <x:v>98</x:v>
      </x:c>
      <x:c r="F11" s="26" t="s">
        <x:v>87</x:v>
      </x:c>
      <x:c r="G11" s="28" t="s">
        <x:v>103</x:v>
      </x:c>
      <x:c r="H11" s="28" t="s">
        <x:v>94</x:v>
      </x:c>
    </x:row>
    <x:row r="12" ht="26.25" customHeight="1">
      <x:c r="A12" s="29">
        <x:v>6</x:v>
      </x:c>
      <x:c r="B12" s="29" t="s">
        <x:v>104</x:v>
      </x:c>
      <x:c r="C12" s="29" t="s">
        <x:v>105</x:v>
      </x:c>
      <x:c r="D12" s="29" t="s">
        <x:v>106</x:v>
      </x:c>
      <x:c r="E12" s="29" t="s">
        <x:v>107</x:v>
      </x:c>
      <x:c r="F12" s="26" t="s">
        <x:v>87</x:v>
      </x:c>
      <x:c r="G12" s="29" t="s">
        <x:v>108</x:v>
      </x:c>
      <x:c r="H12" s="29" t="s">
        <x:v>94</x:v>
      </x:c>
    </x:row>
    <x:row r="13" ht="26.25" customHeight="1">
      <x:c r="A13" s="28">
        <x:v>7</x:v>
      </x:c>
      <x:c r="B13" s="28" t="s">
        <x:v>109</x:v>
      </x:c>
      <x:c r="C13" s="28" t="s">
        <x:v>110</x:v>
      </x:c>
      <x:c r="D13" s="28" t="s">
        <x:v>111</x:v>
      </x:c>
      <x:c r="E13" s="28" t="s">
        <x:v>112</x:v>
      </x:c>
      <x:c r="F13" s="26" t="s">
        <x:v>87</x:v>
      </x:c>
      <x:c r="G13" s="28" t="s">
        <x:v>113</x:v>
      </x:c>
      <x:c r="H13" s="28" t="s">
        <x:v>94</x:v>
      </x:c>
    </x:row>
    <x:row r="14" ht="26.25" customHeight="1">
      <x:c r="A14" s="29">
        <x:v>8</x:v>
      </x:c>
      <x:c r="B14" s="29" t="s">
        <x:v>114</x:v>
      </x:c>
      <x:c r="C14" s="29" t="s">
        <x:v>115</x:v>
      </x:c>
      <x:c r="D14" s="29" t="s">
        <x:v>116</x:v>
      </x:c>
      <x:c r="E14" s="29" t="s">
        <x:v>98</x:v>
      </x:c>
      <x:c r="F14" s="26" t="s">
        <x:v>87</x:v>
      </x:c>
      <x:c r="G14" s="29" t="s">
        <x:v>117</x:v>
      </x:c>
      <x:c r="H14" s="29" t="s">
        <x:v>94</x:v>
      </x:c>
    </x:row>
    <x:row r="15" ht="26.25" customHeight="1">
      <x:c r="A15" s="28">
        <x:v>9</x:v>
      </x:c>
      <x:c r="B15" s="28" t="s">
        <x:v>118</x:v>
      </x:c>
      <x:c r="C15" s="28" t="s">
        <x:v>119</x:v>
      </x:c>
      <x:c r="D15" s="28" t="s">
        <x:v>120</x:v>
      </x:c>
      <x:c r="E15" s="28" t="s">
        <x:v>121</x:v>
      </x:c>
      <x:c r="F15" s="26" t="s">
        <x:v>87</x:v>
      </x:c>
      <x:c r="G15" s="28" t="s">
        <x:v>122</x:v>
      </x:c>
      <x:c r="H15" s="28" t="s">
        <x:v>94</x:v>
      </x:c>
    </x:row>
    <x:row r="16" ht="26.25" customHeight="1">
      <x:c r="A16" s="29">
        <x:v>10</x:v>
      </x:c>
      <x:c r="B16" s="29" t="s">
        <x:v>123</x:v>
      </x:c>
      <x:c r="C16" s="29" t="s">
        <x:v>124</x:v>
      </x:c>
      <x:c r="D16" s="29" t="s">
        <x:v>125</x:v>
      </x:c>
      <x:c r="E16" s="29" t="s">
        <x:v>126</x:v>
      </x:c>
      <x:c r="F16" s="26" t="s">
        <x:v>87</x:v>
      </x:c>
      <x:c r="G16" s="29" t="s">
        <x:v>127</x:v>
      </x:c>
      <x:c r="H16" s="29" t="s">
        <x:v>94</x:v>
      </x:c>
    </x:row>
    <x:row r="17" ht="26.25" customHeight="1">
      <x:c r="A17" s="28">
        <x:v>11</x:v>
      </x:c>
      <x:c r="B17" s="28" t="s">
        <x:v>128</x:v>
      </x:c>
      <x:c r="C17" s="28" t="s">
        <x:v>129</x:v>
      </x:c>
      <x:c r="D17" s="28" t="s">
        <x:v>130</x:v>
      </x:c>
      <x:c r="E17" s="28" t="s">
        <x:v>131</x:v>
      </x:c>
      <x:c r="F17" s="26" t="s">
        <x:v>87</x:v>
      </x:c>
      <x:c r="G17" s="28" t="s">
        <x:v>132</x:v>
      </x:c>
      <x:c r="H17" s="28" t="s">
        <x:v>133</x:v>
      </x:c>
    </x:row>
    <x:row r="18" ht="26.25" customHeight="1">
      <x:c r="A18" s="29">
        <x:v>12</x:v>
      </x:c>
      <x:c r="B18" s="29" t="s">
        <x:v>134</x:v>
      </x:c>
      <x:c r="C18" s="29" t="s">
        <x:v>135</x:v>
      </x:c>
      <x:c r="D18" s="29" t="s">
        <x:v>136</x:v>
      </x:c>
      <x:c r="E18" s="29" t="s">
        <x:v>137</x:v>
      </x:c>
      <x:c r="F18" s="26" t="s">
        <x:v>87</x:v>
      </x:c>
      <x:c r="G18" s="29" t="s">
        <x:v>138</x:v>
      </x:c>
      <x:c r="H18" s="29" t="s">
        <x:v>139</x:v>
      </x:c>
    </x:row>
    <x:row r="19" ht="26.25" customHeight="1">
      <x:c r="A19" s="28">
        <x:v>13</x:v>
      </x:c>
      <x:c r="B19" s="28" t="s">
        <x:v>134</x:v>
      </x:c>
      <x:c r="C19" s="28" t="s">
        <x:v>140</x:v>
      </x:c>
      <x:c r="D19" s="28" t="s">
        <x:v>141</x:v>
      </x:c>
      <x:c r="E19" s="28" t="s">
        <x:v>80</x:v>
      </x:c>
      <x:c r="F19" s="26" t="s">
        <x:v>87</x:v>
      </x:c>
      <x:c r="G19" s="28" t="s">
        <x:v>142</x:v>
      </x:c>
      <x:c r="H19" s="28" t="s">
        <x:v>94</x:v>
      </x:c>
    </x:row>
    <x:row r="20" ht="26.25" customHeight="1">
      <x:c r="A20" s="29">
        <x:v>14</x:v>
      </x:c>
      <x:c r="B20" s="29" t="s">
        <x:v>143</x:v>
      </x:c>
      <x:c r="C20" s="29" t="s">
        <x:v>144</x:v>
      </x:c>
      <x:c r="D20" s="29" t="s">
        <x:v>145</x:v>
      </x:c>
      <x:c r="E20" s="29" t="s">
        <x:v>146</x:v>
      </x:c>
      <x:c r="F20" s="27" t="s">
        <x:v>147</x:v>
      </x:c>
      <x:c r="G20" s="29" t="s">
        <x:v>148</x:v>
      </x:c>
      <x:c r="H20" s="29" t="s">
        <x:v>149</x:v>
      </x:c>
    </x:row>
    <x:row r="21" ht="26.25" customHeight="1">
      <x:c r="A21" s="28">
        <x:v>15</x:v>
      </x:c>
      <x:c r="B21" s="28" t="s">
        <x:v>150</x:v>
      </x:c>
      <x:c r="C21" s="28" t="s">
        <x:v>151</x:v>
      </x:c>
      <x:c r="D21" s="28" t="s">
        <x:v>152</x:v>
      </x:c>
      <x:c r="E21" s="28" t="s">
        <x:v>153</x:v>
      </x:c>
      <x:c r="F21" s="27" t="s">
        <x:v>154</x:v>
      </x:c>
      <x:c r="G21" s="28" t="s">
        <x:v>155</x:v>
      </x:c>
      <x:c r="H21" s="28" t="s">
        <x:v>156</x:v>
      </x:c>
    </x:row>
  </x:sheetData>
  <x:mergeCells>
    <x:mergeCell ref="A1:H2"/>
    <x:mergeCell ref="A3:H3"/>
  </x:mergeCells>
  <x:dataValidations count="1">
    <x:dataValidation type="list" sqref="F7:F21">
      <x:formula1>"미확인,자료수집중,검토완료,자료검토 완료,예정,대기,해당없음"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9" customWidth="1"/>
    <x:col min="2" max="2" width="16" customWidth="1"/>
    <x:col min="3" max="3" width="39" customWidth="1"/>
    <x:col min="4" max="4" width="49" customWidth="1"/>
    <x:col min="5" max="5" width="20" customWidth="1"/>
    <x:col min="6" max="7" width="14" customWidth="1"/>
    <x:col min="8" max="8" width="17" customWidth="1"/>
    <x:col min="9" max="9" width="40" customWidth="1"/>
  </x:cols>
  <x:sheetData>
    <x:row r="1" ht="29.100000381469727" customHeight="1">
      <x:c r="A1" s="4" t="s">
        <x:v>157</x:v>
      </x:c>
      <x:c r="B1" s="4"/>
      <x:c r="C1" s="4"/>
      <x:c r="D1" s="4"/>
      <x:c r="E1" s="4"/>
      <x:c r="F1" s="4"/>
      <x:c r="G1" s="4"/>
      <x:c r="H1" s="4"/>
      <x:c r="I1" s="4"/>
    </x:row>
    <x:row r="2" ht="1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0.950000762939453" customHeight="1">
      <x:c r="A3" s="5" t="s">
        <x:v>158</x:v>
      </x:c>
      <x:c r="B3" s="5"/>
      <x:c r="C3" s="5"/>
      <x:c r="D3" s="5"/>
      <x:c r="E3" s="5"/>
      <x:c r="F3" s="5"/>
      <x:c r="G3" s="5"/>
      <x:c r="H3" s="5"/>
      <x:c r="I3" s="5"/>
    </x:row>
    <x:row r="4" ht="12" customHeight="1"/>
    <x:row r="5" ht="23.100000381469727" customHeight="1">
      <x:c r="A5" s="7" t="s">
        <x:v>159</x:v>
      </x:c>
      <x:c r="B5" s="7"/>
      <x:c r="C5" s="7"/>
      <x:c r="D5" s="7"/>
      <x:c r="E5" s="7"/>
      <x:c r="F5" s="7"/>
      <x:c r="G5" s="7"/>
      <x:c r="H5" s="7"/>
      <x:c r="I5" s="7"/>
    </x:row>
    <x:row r="6" ht="33.95000076293945" customHeight="1">
      <x:c r="A6" s="24" t="s">
        <x:v>160</x:v>
      </x:c>
      <x:c r="B6" s="24" t="s">
        <x:v>161</x:v>
      </x:c>
      <x:c r="C6" s="24" t="s">
        <x:v>162</x:v>
      </x:c>
      <x:c r="D6" s="24" t="s">
        <x:v>163</x:v>
      </x:c>
      <x:c r="E6" s="24" t="s">
        <x:v>164</x:v>
      </x:c>
      <x:c r="F6" s="24" t="s">
        <x:v>165</x:v>
      </x:c>
      <x:c r="G6" s="24" t="s">
        <x:v>166</x:v>
      </x:c>
      <x:c r="H6" s="24" t="s">
        <x:v>94</x:v>
      </x:c>
      <x:c r="I6" s="24" t="s">
        <x:v>167</x:v>
      </x:c>
    </x:row>
    <x:row r="7" ht="27.75" customHeight="1">
      <x:c r="A7" s="28" t="s">
        <x:v>168</x:v>
      </x:c>
      <x:c r="B7" s="28" t="s">
        <x:v>169</x:v>
      </x:c>
      <x:c r="C7" s="28" t="s">
        <x:v>170</x:v>
      </x:c>
      <x:c r="D7" s="28" t="s">
        <x:v>171</x:v>
      </x:c>
      <x:c r="E7" s="28" t="s">
        <x:v>98</x:v>
      </x:c>
      <x:c r="F7" s="30" t="s">
        <x:v>172</x:v>
      </x:c>
      <x:c r="G7" s="31" t="s">
        <x:v>87</x:v>
      </x:c>
      <x:c r="H7" s="28" t="s">
        <x:v>97</x:v>
      </x:c>
      <x:c r="I7" s="28" t="s">
        <x:v>173</x:v>
      </x:c>
    </x:row>
    <x:row r="8" ht="27.75" customHeight="1">
      <x:c r="A8" s="29" t="s">
        <x:v>174</x:v>
      </x:c>
      <x:c r="B8" s="29" t="s">
        <x:v>175</x:v>
      </x:c>
      <x:c r="C8" s="29" t="s">
        <x:v>176</x:v>
      </x:c>
      <x:c r="D8" s="29" t="s">
        <x:v>177</x:v>
      </x:c>
      <x:c r="E8" s="29" t="s">
        <x:v>98</x:v>
      </x:c>
      <x:c r="F8" s="30" t="s">
        <x:v>172</x:v>
      </x:c>
      <x:c r="G8" s="31" t="s">
        <x:v>87</x:v>
      </x:c>
      <x:c r="H8" s="29" t="s">
        <x:v>91</x:v>
      </x:c>
      <x:c r="I8" s="29" t="s">
        <x:v>178</x:v>
      </x:c>
    </x:row>
    <x:row r="9" ht="27.75" customHeight="1">
      <x:c r="A9" s="28" t="s">
        <x:v>179</x:v>
      </x:c>
      <x:c r="B9" s="28" t="s">
        <x:v>180</x:v>
      </x:c>
      <x:c r="C9" s="28" t="s">
        <x:v>181</x:v>
      </x:c>
      <x:c r="D9" s="28" t="s">
        <x:v>182</x:v>
      </x:c>
      <x:c r="E9" s="28" t="s">
        <x:v>98</x:v>
      </x:c>
      <x:c r="F9" s="31" t="s">
        <x:v>183</x:v>
      </x:c>
      <x:c r="G9" s="31" t="s">
        <x:v>87</x:v>
      </x:c>
      <x:c r="H9" s="28" t="s">
        <x:v>106</x:v>
      </x:c>
      <x:c r="I9" s="28" t="s">
        <x:v>184</x:v>
      </x:c>
    </x:row>
    <x:row r="10" ht="27.75" customHeight="1">
      <x:c r="A10" s="29" t="s">
        <x:v>185</x:v>
      </x:c>
      <x:c r="B10" s="29" t="s">
        <x:v>186</x:v>
      </x:c>
      <x:c r="C10" s="29" t="s">
        <x:v>187</x:v>
      </x:c>
      <x:c r="D10" s="29" t="s">
        <x:v>188</x:v>
      </x:c>
      <x:c r="E10" s="29" t="s">
        <x:v>189</x:v>
      </x:c>
      <x:c r="F10" s="30" t="s">
        <x:v>172</x:v>
      </x:c>
      <x:c r="G10" s="31" t="s">
        <x:v>87</x:v>
      </x:c>
      <x:c r="H10" s="29" t="s">
        <x:v>102</x:v>
      </x:c>
      <x:c r="I10" s="29" t="s">
        <x:v>190</x:v>
      </x:c>
    </x:row>
    <x:row r="11" ht="27.75" customHeight="1">
      <x:c r="A11" s="28" t="s">
        <x:v>191</x:v>
      </x:c>
      <x:c r="B11" s="28" t="s">
        <x:v>192</x:v>
      </x:c>
      <x:c r="C11" s="28" t="s">
        <x:v>193</x:v>
      </x:c>
      <x:c r="D11" s="28" t="s">
        <x:v>194</x:v>
      </x:c>
      <x:c r="E11" s="28" t="s">
        <x:v>195</x:v>
      </x:c>
      <x:c r="F11" s="30" t="s">
        <x:v>172</x:v>
      </x:c>
      <x:c r="G11" s="31" t="s">
        <x:v>87</x:v>
      </x:c>
      <x:c r="H11" s="28" t="s">
        <x:v>91</x:v>
      </x:c>
      <x:c r="I11" s="28" t="s">
        <x:v>196</x:v>
      </x:c>
    </x:row>
    <x:row r="12" ht="27.75" customHeight="1">
      <x:c r="A12" s="29" t="s">
        <x:v>197</x:v>
      </x:c>
      <x:c r="B12" s="29" t="s">
        <x:v>198</x:v>
      </x:c>
      <x:c r="C12" s="29" t="s">
        <x:v>199</x:v>
      </x:c>
      <x:c r="D12" s="29" t="s">
        <x:v>200</x:v>
      </x:c>
      <x:c r="E12" s="29" t="s">
        <x:v>98</x:v>
      </x:c>
      <x:c r="F12" s="30" t="s">
        <x:v>172</x:v>
      </x:c>
      <x:c r="G12" s="31" t="s">
        <x:v>87</x:v>
      </x:c>
      <x:c r="H12" s="29" t="s">
        <x:v>106</x:v>
      </x:c>
      <x:c r="I12" s="29" t="s">
        <x:v>201</x:v>
      </x:c>
    </x:row>
    <x:row r="13" ht="27.75" customHeight="1">
      <x:c r="A13" s="28" t="s">
        <x:v>202</x:v>
      </x:c>
      <x:c r="B13" s="28" t="s">
        <x:v>203</x:v>
      </x:c>
      <x:c r="C13" s="28" t="s">
        <x:v>204</x:v>
      </x:c>
      <x:c r="D13" s="28" t="s">
        <x:v>205</x:v>
      </x:c>
      <x:c r="E13" s="28" t="s">
        <x:v>107</x:v>
      </x:c>
      <x:c r="F13" s="26" t="s">
        <x:v>206</x:v>
      </x:c>
      <x:c r="G13" s="31" t="s">
        <x:v>87</x:v>
      </x:c>
      <x:c r="H13" s="28" t="s">
        <x:v>102</x:v>
      </x:c>
      <x:c r="I13" s="28" t="s">
        <x:v>207</x:v>
      </x:c>
    </x:row>
    <x:row r="14" ht="27.75" customHeight="1">
      <x:c r="A14" s="29" t="s">
        <x:v>208</x:v>
      </x:c>
      <x:c r="B14" s="29" t="s">
        <x:v>203</x:v>
      </x:c>
      <x:c r="C14" s="29" t="s">
        <x:v>209</x:v>
      </x:c>
      <x:c r="D14" s="29" t="s">
        <x:v>210</x:v>
      </x:c>
      <x:c r="E14" s="29" t="s">
        <x:v>211</x:v>
      </x:c>
      <x:c r="F14" s="31" t="s">
        <x:v>183</x:v>
      </x:c>
      <x:c r="G14" s="31" t="s">
        <x:v>87</x:v>
      </x:c>
      <x:c r="H14" s="29" t="s">
        <x:v>106</x:v>
      </x:c>
      <x:c r="I14" s="29" t="s">
        <x:v>212</x:v>
      </x:c>
    </x:row>
    <x:row r="15" ht="27.75" customHeight="1">
      <x:c r="A15" s="28" t="s">
        <x:v>213</x:v>
      </x:c>
      <x:c r="B15" s="28" t="s">
        <x:v>214</x:v>
      </x:c>
      <x:c r="C15" s="28" t="s">
        <x:v>215</x:v>
      </x:c>
      <x:c r="D15" s="28" t="s">
        <x:v>216</x:v>
      </x:c>
      <x:c r="E15" s="28" t="s">
        <x:v>98</x:v>
      </x:c>
      <x:c r="F15" s="26" t="s">
        <x:v>206</x:v>
      </x:c>
      <x:c r="G15" s="31" t="s">
        <x:v>87</x:v>
      </x:c>
      <x:c r="H15" s="28" t="s">
        <x:v>102</x:v>
      </x:c>
      <x:c r="I15" s="28" t="s">
        <x:v>217</x:v>
      </x:c>
    </x:row>
    <x:row r="16" ht="27.75" customHeight="1">
      <x:c r="A16" s="29" t="s">
        <x:v>218</x:v>
      </x:c>
      <x:c r="B16" s="29" t="s">
        <x:v>219</x:v>
      </x:c>
      <x:c r="C16" s="29" t="s">
        <x:v>220</x:v>
      </x:c>
      <x:c r="D16" s="29" t="s">
        <x:v>221</x:v>
      </x:c>
      <x:c r="E16" s="29" t="s">
        <x:v>98</x:v>
      </x:c>
      <x:c r="F16" s="30" t="s">
        <x:v>172</x:v>
      </x:c>
      <x:c r="G16" s="31" t="s">
        <x:v>87</x:v>
      </x:c>
      <x:c r="H16" s="29" t="s">
        <x:v>106</x:v>
      </x:c>
      <x:c r="I16" s="29" t="s">
        <x:v>222</x:v>
      </x:c>
    </x:row>
    <x:row r="17" ht="27.75" customHeight="1">
      <x:c r="A17" s="28" t="s">
        <x:v>223</x:v>
      </x:c>
      <x:c r="B17" s="28" t="s">
        <x:v>224</x:v>
      </x:c>
      <x:c r="C17" s="28" t="s">
        <x:v>225</x:v>
      </x:c>
      <x:c r="D17" s="28" t="s">
        <x:v>226</x:v>
      </x:c>
      <x:c r="E17" s="28" t="s">
        <x:v>227</x:v>
      </x:c>
      <x:c r="F17" s="26" t="s">
        <x:v>206</x:v>
      </x:c>
      <x:c r="G17" s="31" t="s">
        <x:v>87</x:v>
      </x:c>
      <x:c r="H17" s="28" t="s">
        <x:v>111</x:v>
      </x:c>
      <x:c r="I17" s="28" t="s">
        <x:v>228</x:v>
      </x:c>
    </x:row>
    <x:row r="18" ht="27.75" customHeight="1">
      <x:c r="A18" s="29" t="s">
        <x:v>229</x:v>
      </x:c>
      <x:c r="B18" s="29" t="s">
        <x:v>230</x:v>
      </x:c>
      <x:c r="C18" s="29" t="s">
        <x:v>231</x:v>
      </x:c>
      <x:c r="D18" s="29" t="s">
        <x:v>232</x:v>
      </x:c>
      <x:c r="E18" s="29" t="s">
        <x:v>233</x:v>
      </x:c>
      <x:c r="F18" s="31" t="s">
        <x:v>183</x:v>
      </x:c>
      <x:c r="G18" s="31" t="s">
        <x:v>87</x:v>
      </x:c>
      <x:c r="H18" s="29" t="s">
        <x:v>111</x:v>
      </x:c>
      <x:c r="I18" s="29" t="s">
        <x:v>234</x:v>
      </x:c>
    </x:row>
    <x:row r="19" ht="27.75" customHeight="1">
      <x:c r="A19" s="28" t="s">
        <x:v>235</x:v>
      </x:c>
      <x:c r="B19" s="28" t="s">
        <x:v>236</x:v>
      </x:c>
      <x:c r="C19" s="28" t="s">
        <x:v>237</x:v>
      </x:c>
      <x:c r="D19" s="28" t="s">
        <x:v>238</x:v>
      </x:c>
      <x:c r="E19" s="28" t="s">
        <x:v>239</x:v>
      </x:c>
      <x:c r="F19" s="30" t="s">
        <x:v>172</x:v>
      </x:c>
      <x:c r="G19" s="31" t="s">
        <x:v>87</x:v>
      </x:c>
      <x:c r="H19" s="28" t="s">
        <x:v>111</x:v>
      </x:c>
      <x:c r="I19" s="28" t="s">
        <x:v>240</x:v>
      </x:c>
    </x:row>
    <x:row r="20" ht="27.75" customHeight="1">
      <x:c r="A20" s="29" t="s">
        <x:v>241</x:v>
      </x:c>
      <x:c r="B20" s="29" t="s">
        <x:v>242</x:v>
      </x:c>
      <x:c r="C20" s="29" t="s">
        <x:v>243</x:v>
      </x:c>
      <x:c r="D20" s="29" t="s">
        <x:v>244</x:v>
      </x:c>
      <x:c r="E20" s="29" t="s">
        <x:v>245</x:v>
      </x:c>
      <x:c r="F20" s="31" t="s">
        <x:v>183</x:v>
      </x:c>
      <x:c r="G20" s="31" t="s">
        <x:v>87</x:v>
      </x:c>
      <x:c r="H20" s="29" t="s">
        <x:v>246</x:v>
      </x:c>
      <x:c r="I20" s="29" t="s">
        <x:v>247</x:v>
      </x:c>
    </x:row>
    <x:row r="21" ht="27.75" customHeight="1">
      <x:c r="A21" s="28" t="s">
        <x:v>248</x:v>
      </x:c>
      <x:c r="B21" s="28" t="s">
        <x:v>249</x:v>
      </x:c>
      <x:c r="C21" s="28" t="s">
        <x:v>250</x:v>
      </x:c>
      <x:c r="D21" s="28" t="s">
        <x:v>251</x:v>
      </x:c>
      <x:c r="E21" s="28" t="s">
        <x:v>252</x:v>
      </x:c>
      <x:c r="F21" s="31" t="s">
        <x:v>183</x:v>
      </x:c>
      <x:c r="G21" s="31" t="s">
        <x:v>87</x:v>
      </x:c>
      <x:c r="H21" s="28" t="s">
        <x:v>116</x:v>
      </x:c>
      <x:c r="I21" s="28" t="s">
        <x:v>253</x:v>
      </x:c>
    </x:row>
    <x:row r="22" ht="27.75" customHeight="1">
      <x:c r="A22" s="29" t="s">
        <x:v>254</x:v>
      </x:c>
      <x:c r="B22" s="29" t="s">
        <x:v>255</x:v>
      </x:c>
      <x:c r="C22" s="29" t="s">
        <x:v>256</x:v>
      </x:c>
      <x:c r="D22" s="29" t="s">
        <x:v>257</x:v>
      </x:c>
      <x:c r="E22" s="29" t="s">
        <x:v>258</x:v>
      </x:c>
      <x:c r="F22" s="30" t="s">
        <x:v>172</x:v>
      </x:c>
      <x:c r="G22" s="31" t="s">
        <x:v>87</x:v>
      </x:c>
      <x:c r="H22" s="29" t="s">
        <x:v>97</x:v>
      </x:c>
      <x:c r="I22" s="29" t="s">
        <x:v>259</x:v>
      </x:c>
    </x:row>
    <x:row r="23" ht="27.75" customHeight="1">
      <x:c r="A23" s="28" t="s">
        <x:v>260</x:v>
      </x:c>
      <x:c r="B23" s="28" t="s">
        <x:v>261</x:v>
      </x:c>
      <x:c r="C23" s="28" t="s">
        <x:v>262</x:v>
      </x:c>
      <x:c r="D23" s="28" t="s">
        <x:v>263</x:v>
      </x:c>
      <x:c r="E23" s="28" t="s">
        <x:v>107</x:v>
      </x:c>
      <x:c r="F23" s="26" t="s">
        <x:v>206</x:v>
      </x:c>
      <x:c r="G23" s="31" t="s">
        <x:v>87</x:v>
      </x:c>
      <x:c r="H23" s="28" t="s">
        <x:v>120</x:v>
      </x:c>
      <x:c r="I23" s="28" t="s">
        <x:v>264</x:v>
      </x:c>
    </x:row>
    <x:row r="24" ht="27.75" customHeight="1">
      <x:c r="A24" s="29" t="s">
        <x:v>265</x:v>
      </x:c>
      <x:c r="B24" s="29" t="s">
        <x:v>261</x:v>
      </x:c>
      <x:c r="C24" s="29" t="s">
        <x:v>266</x:v>
      </x:c>
      <x:c r="D24" s="29" t="s">
        <x:v>267</x:v>
      </x:c>
      <x:c r="E24" s="29" t="s">
        <x:v>252</x:v>
      </x:c>
      <x:c r="F24" s="26" t="s">
        <x:v>206</x:v>
      </x:c>
      <x:c r="G24" s="31" t="s">
        <x:v>87</x:v>
      </x:c>
      <x:c r="H24" s="29" t="s">
        <x:v>116</x:v>
      </x:c>
      <x:c r="I24" s="29" t="s">
        <x:v>268</x:v>
      </x:c>
    </x:row>
    <x:row r="25" ht="27.75" customHeight="1">
      <x:c r="A25" s="28" t="s">
        <x:v>269</x:v>
      </x:c>
      <x:c r="B25" s="28" t="s">
        <x:v>261</x:v>
      </x:c>
      <x:c r="C25" s="28" t="s">
        <x:v>270</x:v>
      </x:c>
      <x:c r="D25" s="28" t="s">
        <x:v>271</x:v>
      </x:c>
      <x:c r="E25" s="28" t="s">
        <x:v>107</x:v>
      </x:c>
      <x:c r="F25" s="30" t="s">
        <x:v>172</x:v>
      </x:c>
      <x:c r="G25" s="31" t="s">
        <x:v>87</x:v>
      </x:c>
      <x:c r="H25" s="28" t="s">
        <x:v>116</x:v>
      </x:c>
      <x:c r="I25" s="28" t="s">
        <x:v>272</x:v>
      </x:c>
    </x:row>
    <x:row r="26" ht="27.75" customHeight="1">
      <x:c r="A26" s="29" t="s">
        <x:v>273</x:v>
      </x:c>
      <x:c r="B26" s="29" t="s">
        <x:v>261</x:v>
      </x:c>
      <x:c r="C26" s="29" t="s">
        <x:v>274</x:v>
      </x:c>
      <x:c r="D26" s="29" t="s">
        <x:v>275</x:v>
      </x:c>
      <x:c r="E26" s="29" t="s">
        <x:v>276</x:v>
      </x:c>
      <x:c r="F26" s="26" t="s">
        <x:v>206</x:v>
      </x:c>
      <x:c r="G26" s="31" t="s">
        <x:v>87</x:v>
      </x:c>
      <x:c r="H26" s="29" t="s">
        <x:v>116</x:v>
      </x:c>
      <x:c r="I26" s="29" t="s">
        <x:v>277</x:v>
      </x:c>
    </x:row>
    <x:row r="27" ht="27.75" customHeight="1">
      <x:c r="A27" s="28" t="s">
        <x:v>278</x:v>
      </x:c>
      <x:c r="B27" s="28" t="s">
        <x:v>261</x:v>
      </x:c>
      <x:c r="C27" s="28" t="s">
        <x:v>279</x:v>
      </x:c>
      <x:c r="D27" s="28" t="s">
        <x:v>280</x:v>
      </x:c>
      <x:c r="E27" s="28" t="s">
        <x:v>281</x:v>
      </x:c>
      <x:c r="F27" s="30" t="s">
        <x:v>172</x:v>
      </x:c>
      <x:c r="G27" s="31" t="s">
        <x:v>87</x:v>
      </x:c>
      <x:c r="H27" s="28" t="s">
        <x:v>120</x:v>
      </x:c>
      <x:c r="I27" s="28" t="s">
        <x:v>282</x:v>
      </x:c>
    </x:row>
    <x:row r="28" ht="27.75" customHeight="1">
      <x:c r="A28" s="29" t="s">
        <x:v>283</x:v>
      </x:c>
      <x:c r="B28" s="29" t="s">
        <x:v>284</x:v>
      </x:c>
      <x:c r="C28" s="29" t="s">
        <x:v>285</x:v>
      </x:c>
      <x:c r="D28" s="29" t="s">
        <x:v>286</x:v>
      </x:c>
      <x:c r="E28" s="29" t="s">
        <x:v>287</x:v>
      </x:c>
      <x:c r="F28" s="26" t="s">
        <x:v>206</x:v>
      </x:c>
      <x:c r="G28" s="31" t="s">
        <x:v>87</x:v>
      </x:c>
      <x:c r="H28" s="29" t="s">
        <x:v>120</x:v>
      </x:c>
      <x:c r="I28" s="29" t="s">
        <x:v>288</x:v>
      </x:c>
    </x:row>
    <x:row r="29" ht="27.75" customHeight="1">
      <x:c r="A29" s="28" t="s">
        <x:v>289</x:v>
      </x:c>
      <x:c r="B29" s="28" t="s">
        <x:v>290</x:v>
      </x:c>
      <x:c r="C29" s="28" t="s">
        <x:v>291</x:v>
      </x:c>
      <x:c r="D29" s="28" t="s">
        <x:v>292</x:v>
      </x:c>
      <x:c r="E29" s="28" t="s">
        <x:v>252</x:v>
      </x:c>
      <x:c r="F29" s="26" t="s">
        <x:v>206</x:v>
      </x:c>
      <x:c r="G29" s="31" t="s">
        <x:v>87</x:v>
      </x:c>
      <x:c r="H29" s="28" t="s">
        <x:v>111</x:v>
      </x:c>
      <x:c r="I29" s="28" t="s">
        <x:v>293</x:v>
      </x:c>
    </x:row>
    <x:row r="30" ht="27.75" customHeight="1">
      <x:c r="A30" s="29" t="s">
        <x:v>294</x:v>
      </x:c>
      <x:c r="B30" s="29" t="s">
        <x:v>290</x:v>
      </x:c>
      <x:c r="C30" s="29" t="s">
        <x:v>295</x:v>
      </x:c>
      <x:c r="D30" s="29" t="s">
        <x:v>296</x:v>
      </x:c>
      <x:c r="E30" s="29" t="s">
        <x:v>276</x:v>
      </x:c>
      <x:c r="F30" s="31" t="s">
        <x:v>183</x:v>
      </x:c>
      <x:c r="G30" s="31" t="s">
        <x:v>87</x:v>
      </x:c>
      <x:c r="H30" s="29" t="s">
        <x:v>120</x:v>
      </x:c>
      <x:c r="I30" s="29" t="s">
        <x:v>297</x:v>
      </x:c>
    </x:row>
    <x:row r="31" ht="27.75" customHeight="1">
      <x:c r="A31" s="28" t="s">
        <x:v>298</x:v>
      </x:c>
      <x:c r="B31" s="28" t="s">
        <x:v>299</x:v>
      </x:c>
      <x:c r="C31" s="28" t="s">
        <x:v>300</x:v>
      </x:c>
      <x:c r="D31" s="28" t="s">
        <x:v>301</x:v>
      </x:c>
      <x:c r="E31" s="28" t="s">
        <x:v>98</x:v>
      </x:c>
      <x:c r="F31" s="26" t="s">
        <x:v>206</x:v>
      </x:c>
      <x:c r="G31" s="31" t="s">
        <x:v>87</x:v>
      </x:c>
      <x:c r="H31" s="28" t="s">
        <x:v>116</x:v>
      </x:c>
      <x:c r="I31" s="28" t="s">
        <x:v>302</x:v>
      </x:c>
    </x:row>
    <x:row r="32" ht="27.75" customHeight="1">
      <x:c r="A32" s="29" t="s">
        <x:v>303</x:v>
      </x:c>
      <x:c r="B32" s="29" t="s">
        <x:v>304</x:v>
      </x:c>
      <x:c r="C32" s="29" t="s">
        <x:v>305</x:v>
      </x:c>
      <x:c r="D32" s="29" t="s">
        <x:v>306</x:v>
      </x:c>
      <x:c r="E32" s="29" t="s">
        <x:v>114</x:v>
      </x:c>
      <x:c r="F32" s="26" t="s">
        <x:v>206</x:v>
      </x:c>
      <x:c r="G32" s="31" t="s">
        <x:v>87</x:v>
      </x:c>
      <x:c r="H32" s="29" t="s">
        <x:v>116</x:v>
      </x:c>
      <x:c r="I32" s="29" t="s">
        <x:v>307</x:v>
      </x:c>
    </x:row>
    <x:row r="33" ht="27.75" customHeight="1">
      <x:c r="A33" s="28" t="s">
        <x:v>308</x:v>
      </x:c>
      <x:c r="B33" s="28" t="s">
        <x:v>309</x:v>
      </x:c>
      <x:c r="C33" s="28" t="s">
        <x:v>310</x:v>
      </x:c>
      <x:c r="D33" s="28" t="s">
        <x:v>311</x:v>
      </x:c>
      <x:c r="E33" s="28" t="s">
        <x:v>189</x:v>
      </x:c>
      <x:c r="F33" s="26" t="s">
        <x:v>206</x:v>
      </x:c>
      <x:c r="G33" s="31" t="s">
        <x:v>87</x:v>
      </x:c>
      <x:c r="H33" s="28" t="s">
        <x:v>120</x:v>
      </x:c>
      <x:c r="I33" s="28" t="s">
        <x:v>312</x:v>
      </x:c>
    </x:row>
    <x:row r="34" ht="27.75" customHeight="1">
      <x:c r="A34" s="29" t="s">
        <x:v>313</x:v>
      </x:c>
      <x:c r="B34" s="29" t="s">
        <x:v>314</x:v>
      </x:c>
      <x:c r="C34" s="29" t="s">
        <x:v>315</x:v>
      </x:c>
      <x:c r="D34" s="29" t="s">
        <x:v>316</x:v>
      </x:c>
      <x:c r="E34" s="29" t="s">
        <x:v>317</x:v>
      </x:c>
      <x:c r="F34" s="26" t="s">
        <x:v>206</x:v>
      </x:c>
      <x:c r="G34" s="31" t="s">
        <x:v>87</x:v>
      </x:c>
      <x:c r="H34" s="29" t="s">
        <x:v>120</x:v>
      </x:c>
      <x:c r="I34" s="29" t="s">
        <x:v>318</x:v>
      </x:c>
    </x:row>
    <x:row r="35" ht="27.75" customHeight="1">
      <x:c r="A35" s="28" t="s">
        <x:v>319</x:v>
      </x:c>
      <x:c r="B35" s="28" t="s">
        <x:v>320</x:v>
      </x:c>
      <x:c r="C35" s="28" t="s">
        <x:v>321</x:v>
      </x:c>
      <x:c r="D35" s="28" t="s">
        <x:v>322</x:v>
      </x:c>
      <x:c r="E35" s="28" t="s">
        <x:v>227</x:v>
      </x:c>
      <x:c r="F35" s="31" t="s">
        <x:v>183</x:v>
      </x:c>
      <x:c r="G35" s="31" t="s">
        <x:v>87</x:v>
      </x:c>
      <x:c r="H35" s="28" t="s">
        <x:v>130</x:v>
      </x:c>
      <x:c r="I35" s="28" t="s">
        <x:v>323</x:v>
      </x:c>
    </x:row>
    <x:row r="36" ht="27.75" customHeight="1">
      <x:c r="A36" s="29" t="s">
        <x:v>324</x:v>
      </x:c>
      <x:c r="B36" s="29" t="s">
        <x:v>325</x:v>
      </x:c>
      <x:c r="C36" s="29" t="s">
        <x:v>326</x:v>
      </x:c>
      <x:c r="D36" s="29" t="s">
        <x:v>327</x:v>
      </x:c>
      <x:c r="E36" s="29" t="s">
        <x:v>98</x:v>
      </x:c>
      <x:c r="F36" s="26" t="s">
        <x:v>206</x:v>
      </x:c>
      <x:c r="G36" s="31" t="s">
        <x:v>87</x:v>
      </x:c>
      <x:c r="H36" s="29" t="s">
        <x:v>111</x:v>
      </x:c>
      <x:c r="I36" s="29" t="s">
        <x:v>328</x:v>
      </x:c>
    </x:row>
    <x:row r="37" ht="27.75" customHeight="1">
      <x:c r="A37" s="28" t="s">
        <x:v>329</x:v>
      </x:c>
      <x:c r="B37" s="28" t="s">
        <x:v>325</x:v>
      </x:c>
      <x:c r="C37" s="28" t="s">
        <x:v>330</x:v>
      </x:c>
      <x:c r="D37" s="28" t="s">
        <x:v>331</x:v>
      </x:c>
      <x:c r="E37" s="28" t="s">
        <x:v>252</x:v>
      </x:c>
      <x:c r="F37" s="30" t="s">
        <x:v>172</x:v>
      </x:c>
      <x:c r="G37" s="31" t="s">
        <x:v>87</x:v>
      </x:c>
      <x:c r="H37" s="28" t="s">
        <x:v>120</x:v>
      </x:c>
      <x:c r="I37" s="28" t="s">
        <x:v>332</x:v>
      </x:c>
    </x:row>
    <x:row r="38" ht="27.75" customHeight="1">
      <x:c r="A38" s="29" t="s">
        <x:v>333</x:v>
      </x:c>
      <x:c r="B38" s="29" t="s">
        <x:v>334</x:v>
      </x:c>
      <x:c r="C38" s="29" t="s">
        <x:v>335</x:v>
      </x:c>
      <x:c r="D38" s="29" t="s">
        <x:v>336</x:v>
      </x:c>
      <x:c r="E38" s="29" t="s">
        <x:v>337</x:v>
      </x:c>
      <x:c r="F38" s="30" t="s">
        <x:v>172</x:v>
      </x:c>
      <x:c r="G38" s="31" t="s">
        <x:v>87</x:v>
      </x:c>
      <x:c r="H38" s="29" t="s">
        <x:v>136</x:v>
      </x:c>
      <x:c r="I38" s="29" t="s">
        <x:v>338</x:v>
      </x:c>
    </x:row>
    <x:row r="39" ht="27.75" customHeight="1">
      <x:c r="A39" s="28" t="s">
        <x:v>339</x:v>
      </x:c>
      <x:c r="B39" s="28" t="s">
        <x:v>334</x:v>
      </x:c>
      <x:c r="C39" s="28" t="s">
        <x:v>340</x:v>
      </x:c>
      <x:c r="D39" s="28" t="s">
        <x:v>341</x:v>
      </x:c>
      <x:c r="E39" s="28" t="s">
        <x:v>98</x:v>
      </x:c>
      <x:c r="F39" s="26" t="s">
        <x:v>206</x:v>
      </x:c>
      <x:c r="G39" s="31" t="s">
        <x:v>87</x:v>
      </x:c>
      <x:c r="H39" s="28" t="s">
        <x:v>91</x:v>
      </x:c>
      <x:c r="I39" s="28" t="s">
        <x:v>342</x:v>
      </x:c>
    </x:row>
    <x:row r="40" ht="27.75" customHeight="1">
      <x:c r="A40" s="29" t="s">
        <x:v>343</x:v>
      </x:c>
      <x:c r="B40" s="29" t="s">
        <x:v>344</x:v>
      </x:c>
      <x:c r="C40" s="29" t="s">
        <x:v>345</x:v>
      </x:c>
      <x:c r="D40" s="29" t="s">
        <x:v>346</x:v>
      </x:c>
      <x:c r="E40" s="29" t="s">
        <x:v>80</x:v>
      </x:c>
      <x:c r="F40" s="30" t="s">
        <x:v>172</x:v>
      </x:c>
      <x:c r="G40" s="25" t="s">
        <x:v>347</x:v>
      </x:c>
      <x:c r="H40" s="29" t="s">
        <x:v>79</x:v>
      </x:c>
      <x:c r="I40" s="29" t="s">
        <x:v>348</x:v>
      </x:c>
    </x:row>
    <x:row r="41" ht="27.75" customHeight="1">
      <x:c r="A41" s="28" t="s">
        <x:v>349</x:v>
      </x:c>
      <x:c r="B41" s="28" t="s">
        <x:v>344</x:v>
      </x:c>
      <x:c r="C41" s="28" t="s">
        <x:v>350</x:v>
      </x:c>
      <x:c r="D41" s="28" t="s">
        <x:v>351</x:v>
      </x:c>
      <x:c r="E41" s="28" t="s">
        <x:v>126</x:v>
      </x:c>
      <x:c r="F41" s="30" t="s">
        <x:v>172</x:v>
      </x:c>
      <x:c r="G41" s="27" t="s">
        <x:v>352</x:v>
      </x:c>
      <x:c r="H41" s="28" t="s">
        <x:v>125</x:v>
      </x:c>
      <x:c r="I41" s="28" t="s">
        <x:v>353</x:v>
      </x:c>
    </x:row>
    <x:row r="42" ht="27.75" customHeight="1">
      <x:c r="A42" s="29" t="s">
        <x:v>354</x:v>
      </x:c>
      <x:c r="B42" s="29" t="s">
        <x:v>344</x:v>
      </x:c>
      <x:c r="C42" s="29" t="s">
        <x:v>355</x:v>
      </x:c>
      <x:c r="D42" s="29" t="s">
        <x:v>356</x:v>
      </x:c>
      <x:c r="E42" s="29" t="s">
        <x:v>131</x:v>
      </x:c>
      <x:c r="F42" s="30" t="s">
        <x:v>172</x:v>
      </x:c>
      <x:c r="G42" s="31" t="s">
        <x:v>87</x:v>
      </x:c>
      <x:c r="H42" s="29" t="s">
        <x:v>130</x:v>
      </x:c>
      <x:c r="I42" s="29" t="s">
        <x:v>357</x:v>
      </x:c>
    </x:row>
    <x:row r="43" ht="27.75" customHeight="1">
      <x:c r="A43" s="28" t="s">
        <x:v>358</x:v>
      </x:c>
      <x:c r="B43" s="28" t="s">
        <x:v>359</x:v>
      </x:c>
      <x:c r="C43" s="28" t="s">
        <x:v>360</x:v>
      </x:c>
      <x:c r="D43" s="28" t="s">
        <x:v>361</x:v>
      </x:c>
      <x:c r="E43" s="28" t="s">
        <x:v>362</x:v>
      </x:c>
      <x:c r="F43" s="26" t="s">
        <x:v>206</x:v>
      </x:c>
      <x:c r="G43" s="31" t="s">
        <x:v>87</x:v>
      </x:c>
      <x:c r="H43" s="28" t="s">
        <x:v>86</x:v>
      </x:c>
      <x:c r="I43" s="28" t="s">
        <x:v>363</x:v>
      </x:c>
    </x:row>
  </x:sheetData>
  <x:mergeCells>
    <x:mergeCell ref="A1:I2"/>
    <x:mergeCell ref="A3:I3"/>
    <x:mergeCell ref="A5:I5"/>
  </x:mergeCells>
  <x:dataValidations count="1">
    <x:dataValidation type="list" sqref="G7:G43">
      <x:formula1>"미확인,자료요청,수집중,파일 확인,일부 파일 확인,검토완료,해당없음"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0" customWidth="1"/>
    <x:col min="2" max="2" width="22" customWidth="1"/>
    <x:col min="3" max="3" width="43" customWidth="1"/>
    <x:col min="4" max="4" width="46" customWidth="1"/>
    <x:col min="5" max="5" width="21" customWidth="1"/>
    <x:col min="6" max="6" width="19" customWidth="1"/>
    <x:col min="7" max="7" width="16" customWidth="1"/>
    <x:col min="8" max="8" width="35" customWidth="1"/>
  </x:cols>
  <x:sheetData>
    <x:row r="1" ht="29.100000381469727" customHeight="1">
      <x:c r="A1" s="4" t="s">
        <x:v>364</x:v>
      </x:c>
      <x:c r="B1" s="4"/>
      <x:c r="C1" s="4"/>
      <x:c r="D1" s="4"/>
      <x:c r="E1" s="4"/>
      <x:c r="F1" s="4"/>
      <x:c r="G1" s="4"/>
      <x:c r="H1" s="4"/>
    </x:row>
    <x:row r="2" ht="15" customHeight="1">
      <x:c r="A2" s="4"/>
      <x:c r="B2" s="4"/>
      <x:c r="C2" s="4"/>
      <x:c r="D2" s="4"/>
      <x:c r="E2" s="4"/>
      <x:c r="F2" s="4"/>
      <x:c r="G2" s="4"/>
      <x:c r="H2" s="4"/>
    </x:row>
    <x:row r="3" ht="30.950000762939453" customHeight="1">
      <x:c r="A3" s="5" t="s">
        <x:v>365</x:v>
      </x:c>
      <x:c r="B3" s="5"/>
      <x:c r="C3" s="5"/>
      <x:c r="D3" s="5"/>
      <x:c r="E3" s="5"/>
      <x:c r="F3" s="5"/>
      <x:c r="G3" s="5"/>
      <x:c r="H3" s="5"/>
    </x:row>
    <x:row r="4" ht="12" customHeight="1"/>
    <x:row r="6" ht="33.95000076293945" customHeight="1">
      <x:c r="A6" s="24" t="s">
        <x:v>366</x:v>
      </x:c>
      <x:c r="B6" s="24" t="s">
        <x:v>367</x:v>
      </x:c>
      <x:c r="C6" s="24" t="s">
        <x:v>368</x:v>
      </x:c>
      <x:c r="D6" s="24" t="s">
        <x:v>369</x:v>
      </x:c>
      <x:c r="E6" s="24" t="s">
        <x:v>370</x:v>
      </x:c>
      <x:c r="F6" s="24" t="s">
        <x:v>371</x:v>
      </x:c>
      <x:c r="G6" s="24" t="s">
        <x:v>372</x:v>
      </x:c>
      <x:c r="H6" s="24" t="s">
        <x:v>373</x:v>
      </x:c>
    </x:row>
    <x:row r="7" ht="26.25" customHeight="1">
      <x:c r="A7" s="28" t="s">
        <x:v>374</x:v>
      </x:c>
      <x:c r="B7" s="28" t="s">
        <x:v>375</x:v>
      </x:c>
      <x:c r="C7" s="28" t="s">
        <x:v>376</x:v>
      </x:c>
      <x:c r="D7" s="28" t="s">
        <x:v>377</x:v>
      </x:c>
      <x:c r="E7" s="28" t="s">
        <x:v>80</x:v>
      </x:c>
      <x:c r="F7" s="28" t="s">
        <x:v>86</x:v>
      </x:c>
      <x:c r="G7" s="26" t="s">
        <x:v>87</x:v>
      </x:c>
      <x:c r="H7" s="28" t="s">
        <x:v>378</x:v>
      </x:c>
    </x:row>
    <x:row r="8" ht="26.25" customHeight="1">
      <x:c r="A8" s="29" t="s">
        <x:v>379</x:v>
      </x:c>
      <x:c r="B8" s="29" t="s">
        <x:v>380</x:v>
      </x:c>
      <x:c r="C8" s="29" t="s">
        <x:v>381</x:v>
      </x:c>
      <x:c r="D8" s="29" t="s">
        <x:v>382</x:v>
      </x:c>
      <x:c r="E8" s="29" t="s">
        <x:v>98</x:v>
      </x:c>
      <x:c r="F8" s="29" t="s">
        <x:v>91</x:v>
      </x:c>
      <x:c r="G8" s="26" t="s">
        <x:v>87</x:v>
      </x:c>
      <x:c r="H8" s="29" t="s">
        <x:v>383</x:v>
      </x:c>
    </x:row>
    <x:row r="9" ht="26.25" customHeight="1">
      <x:c r="A9" s="28" t="s">
        <x:v>384</x:v>
      </x:c>
      <x:c r="B9" s="28" t="s">
        <x:v>385</x:v>
      </x:c>
      <x:c r="C9" s="28" t="s">
        <x:v>386</x:v>
      </x:c>
      <x:c r="D9" s="28" t="s">
        <x:v>387</x:v>
      </x:c>
      <x:c r="E9" s="28" t="s">
        <x:v>388</x:v>
      </x:c>
      <x:c r="F9" s="28" t="s">
        <x:v>91</x:v>
      </x:c>
      <x:c r="G9" s="26" t="s">
        <x:v>87</x:v>
      </x:c>
      <x:c r="H9" s="28" t="s">
        <x:v>389</x:v>
      </x:c>
    </x:row>
    <x:row r="10" ht="26.25" customHeight="1">
      <x:c r="A10" s="29" t="s">
        <x:v>390</x:v>
      </x:c>
      <x:c r="B10" s="29" t="s">
        <x:v>28</x:v>
      </x:c>
      <x:c r="C10" s="29" t="s">
        <x:v>391</x:v>
      </x:c>
      <x:c r="D10" s="29" t="s">
        <x:v>392</x:v>
      </x:c>
      <x:c r="E10" s="29" t="s">
        <x:v>107</x:v>
      </x:c>
      <x:c r="F10" s="29" t="s">
        <x:v>97</x:v>
      </x:c>
      <x:c r="G10" s="26" t="s">
        <x:v>87</x:v>
      </x:c>
      <x:c r="H10" s="29" t="s">
        <x:v>393</x:v>
      </x:c>
    </x:row>
    <x:row r="11" ht="26.25" customHeight="1">
      <x:c r="A11" s="28" t="s">
        <x:v>394</x:v>
      </x:c>
      <x:c r="B11" s="28" t="s">
        <x:v>395</x:v>
      </x:c>
      <x:c r="C11" s="28" t="s">
        <x:v>396</x:v>
      </x:c>
      <x:c r="D11" s="28" t="s">
        <x:v>397</x:v>
      </x:c>
      <x:c r="E11" s="28" t="s">
        <x:v>98</x:v>
      </x:c>
      <x:c r="F11" s="28" t="s">
        <x:v>97</x:v>
      </x:c>
      <x:c r="G11" s="26" t="s">
        <x:v>87</x:v>
      </x:c>
      <x:c r="H11" s="28" t="s">
        <x:v>398</x:v>
      </x:c>
    </x:row>
    <x:row r="12" ht="26.25" customHeight="1">
      <x:c r="A12" s="29" t="s">
        <x:v>399</x:v>
      </x:c>
      <x:c r="B12" s="29" t="s">
        <x:v>400</x:v>
      </x:c>
      <x:c r="C12" s="29" t="s">
        <x:v>401</x:v>
      </x:c>
      <x:c r="D12" s="29" t="s">
        <x:v>402</x:v>
      </x:c>
      <x:c r="E12" s="29" t="s">
        <x:v>98</x:v>
      </x:c>
      <x:c r="F12" s="29" t="s">
        <x:v>102</x:v>
      </x:c>
      <x:c r="G12" s="26" t="s">
        <x:v>87</x:v>
      </x:c>
      <x:c r="H12" s="29" t="s">
        <x:v>403</x:v>
      </x:c>
    </x:row>
    <x:row r="13" ht="26.25" customHeight="1">
      <x:c r="A13" s="28" t="s">
        <x:v>404</x:v>
      </x:c>
      <x:c r="B13" s="28" t="s">
        <x:v>405</x:v>
      </x:c>
      <x:c r="C13" s="28" t="s">
        <x:v>406</x:v>
      </x:c>
      <x:c r="D13" s="28" t="s">
        <x:v>407</x:v>
      </x:c>
      <x:c r="E13" s="28" t="s">
        <x:v>107</x:v>
      </x:c>
      <x:c r="F13" s="28" t="s">
        <x:v>102</x:v>
      </x:c>
      <x:c r="G13" s="26" t="s">
        <x:v>87</x:v>
      </x:c>
      <x:c r="H13" s="28" t="s">
        <x:v>408</x:v>
      </x:c>
    </x:row>
    <x:row r="14" ht="26.25" customHeight="1">
      <x:c r="A14" s="29" t="s">
        <x:v>409</x:v>
      </x:c>
      <x:c r="B14" s="29" t="s">
        <x:v>410</x:v>
      </x:c>
      <x:c r="C14" s="29" t="s">
        <x:v>411</x:v>
      </x:c>
      <x:c r="D14" s="29" t="s">
        <x:v>412</x:v>
      </x:c>
      <x:c r="E14" s="29" t="s">
        <x:v>98</x:v>
      </x:c>
      <x:c r="F14" s="29" t="s">
        <x:v>111</x:v>
      </x:c>
      <x:c r="G14" s="26" t="s">
        <x:v>87</x:v>
      </x:c>
      <x:c r="H14" s="29" t="s">
        <x:v>413</x:v>
      </x:c>
    </x:row>
    <x:row r="15" ht="26.25" customHeight="1">
      <x:c r="A15" s="28" t="s">
        <x:v>414</x:v>
      </x:c>
      <x:c r="B15" s="28" t="s">
        <x:v>415</x:v>
      </x:c>
      <x:c r="C15" s="28" t="s">
        <x:v>416</x:v>
      </x:c>
      <x:c r="D15" s="28" t="s">
        <x:v>417</x:v>
      </x:c>
      <x:c r="E15" s="28" t="s">
        <x:v>418</x:v>
      </x:c>
      <x:c r="F15" s="28" t="s">
        <x:v>120</x:v>
      </x:c>
      <x:c r="G15" s="26" t="s">
        <x:v>87</x:v>
      </x:c>
      <x:c r="H15" s="28" t="s">
        <x:v>419</x:v>
      </x:c>
    </x:row>
    <x:row r="16" ht="26.25" customHeight="1">
      <x:c r="A16" s="29" t="s">
        <x:v>420</x:v>
      </x:c>
      <x:c r="B16" s="29" t="s">
        <x:v>421</x:v>
      </x:c>
      <x:c r="C16" s="29" t="s">
        <x:v>422</x:v>
      </x:c>
      <x:c r="D16" s="29" t="s">
        <x:v>423</x:v>
      </x:c>
      <x:c r="E16" s="29" t="s">
        <x:v>98</x:v>
      </x:c>
      <x:c r="F16" s="29" t="s">
        <x:v>116</x:v>
      </x:c>
      <x:c r="G16" s="26" t="s">
        <x:v>87</x:v>
      </x:c>
      <x:c r="H16" s="29" t="s">
        <x:v>424</x:v>
      </x:c>
    </x:row>
    <x:row r="17" ht="26.25" customHeight="1">
      <x:c r="A17" s="28" t="s">
        <x:v>425</x:v>
      </x:c>
      <x:c r="B17" s="28" t="s">
        <x:v>426</x:v>
      </x:c>
      <x:c r="C17" s="28" t="s">
        <x:v>427</x:v>
      </x:c>
      <x:c r="D17" s="28" t="s">
        <x:v>428</x:v>
      </x:c>
      <x:c r="E17" s="28" t="s">
        <x:v>126</x:v>
      </x:c>
      <x:c r="F17" s="28" t="s">
        <x:v>130</x:v>
      </x:c>
      <x:c r="G17" s="26" t="s">
        <x:v>87</x:v>
      </x:c>
      <x:c r="H17" s="28" t="s">
        <x:v>429</x:v>
      </x:c>
    </x:row>
    <x:row r="18" ht="26.25" customHeight="1">
      <x:c r="A18" s="29" t="s">
        <x:v>430</x:v>
      </x:c>
      <x:c r="B18" s="29" t="s">
        <x:v>334</x:v>
      </x:c>
      <x:c r="C18" s="29" t="s">
        <x:v>431</x:v>
      </x:c>
      <x:c r="D18" s="29" t="s">
        <x:v>432</x:v>
      </x:c>
      <x:c r="E18" s="29" t="s">
        <x:v>80</x:v>
      </x:c>
      <x:c r="F18" s="29" t="s">
        <x:v>246</x:v>
      </x:c>
      <x:c r="G18" s="26" t="s">
        <x:v>87</x:v>
      </x:c>
      <x:c r="H18" s="29" t="s">
        <x:v>433</x:v>
      </x:c>
    </x:row>
  </x:sheetData>
  <x:mergeCells>
    <x:mergeCell ref="A1:H2"/>
    <x:mergeCell ref="A3:H3"/>
  </x:mergeCells>
  <x:dataValidations count="1">
    <x:dataValidation type="list" sqref="G7:G18">
      <x:formula1>"미확인,진행중,결론확정,조치완료,해당없음"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9" customWidth="1"/>
    <x:col min="2" max="2" width="25" customWidth="1"/>
    <x:col min="3" max="3" width="55" customWidth="1"/>
    <x:col min="4" max="4" width="21" customWidth="1"/>
    <x:col min="5" max="5" width="18" customWidth="1"/>
    <x:col min="6" max="6" width="30" customWidth="1"/>
    <x:col min="7" max="7" width="25" customWidth="1"/>
    <x:col min="8" max="8" width="42" customWidth="1"/>
  </x:cols>
  <x:sheetData>
    <x:row r="1" ht="29.100000381469727" customHeight="1">
      <x:c r="A1" s="4" t="s">
        <x:v>434</x:v>
      </x:c>
      <x:c r="B1" s="4"/>
      <x:c r="C1" s="4"/>
      <x:c r="D1" s="4"/>
      <x:c r="E1" s="4"/>
      <x:c r="F1" s="4"/>
      <x:c r="G1" s="4"/>
      <x:c r="H1" s="4"/>
    </x:row>
    <x:row r="2" ht="15" customHeight="1">
      <x:c r="A2" s="4"/>
      <x:c r="B2" s="4"/>
      <x:c r="C2" s="4"/>
      <x:c r="D2" s="4"/>
      <x:c r="E2" s="4"/>
      <x:c r="F2" s="4"/>
      <x:c r="G2" s="4"/>
      <x:c r="H2" s="4"/>
    </x:row>
    <x:row r="3" ht="30.950000762939453" customHeight="1">
      <x:c r="A3" s="5" t="s">
        <x:v>435</x:v>
      </x:c>
      <x:c r="B3" s="5"/>
      <x:c r="C3" s="5"/>
      <x:c r="D3" s="5"/>
      <x:c r="E3" s="5"/>
      <x:c r="F3" s="5"/>
      <x:c r="G3" s="5"/>
      <x:c r="H3" s="5"/>
    </x:row>
    <x:row r="4" ht="12" customHeight="1"/>
    <x:row r="6" ht="33.95000076293945" customHeight="1">
      <x:c r="A6" s="24" t="s">
        <x:v>69</x:v>
      </x:c>
      <x:c r="B6" s="24" t="s">
        <x:v>70</x:v>
      </x:c>
      <x:c r="C6" s="24" t="s">
        <x:v>436</x:v>
      </x:c>
      <x:c r="D6" s="24" t="s">
        <x:v>437</x:v>
      </x:c>
      <x:c r="E6" s="24" t="s">
        <x:v>438</x:v>
      </x:c>
      <x:c r="F6" s="24" t="s">
        <x:v>439</x:v>
      </x:c>
      <x:c r="G6" s="24" t="s">
        <x:v>440</x:v>
      </x:c>
      <x:c r="H6" s="24" t="s">
        <x:v>441</x:v>
      </x:c>
    </x:row>
    <x:row r="7" ht="29.25" customHeight="1">
      <x:c r="A7" s="28">
        <x:v>1</x:v>
      </x:c>
      <x:c r="B7" s="28" t="s">
        <x:v>442</x:v>
      </x:c>
      <x:c r="C7" s="28" t="s">
        <x:v>443</x:v>
      </x:c>
      <x:c r="D7" s="28" t="s">
        <x:v>444</x:v>
      </x:c>
      <x:c r="E7" s="25" t="s">
        <x:v>445</x:v>
      </x:c>
      <x:c r="F7" s="28" t="s">
        <x:v>446</x:v>
      </x:c>
      <x:c r="G7" s="28" t="s">
        <x:v>447</x:v>
      </x:c>
      <x:c r="H7" s="28" t="s">
        <x:v>448</x:v>
      </x:c>
    </x:row>
    <x:row r="8" ht="29.25" customHeight="1">
      <x:c r="A8" s="29">
        <x:v>2</x:v>
      </x:c>
      <x:c r="B8" s="29" t="s">
        <x:v>449</x:v>
      </x:c>
      <x:c r="C8" s="29" t="s">
        <x:v>450</x:v>
      </x:c>
      <x:c r="D8" s="29" t="s">
        <x:v>444</x:v>
      </x:c>
      <x:c r="E8" s="25" t="s">
        <x:v>445</x:v>
      </x:c>
      <x:c r="F8" s="29" t="s">
        <x:v>451</x:v>
      </x:c>
      <x:c r="G8" s="29" t="s">
        <x:v>452</x:v>
      </x:c>
      <x:c r="H8" s="29" t="s">
        <x:v>453</x:v>
      </x:c>
    </x:row>
    <x:row r="9" ht="29.25" customHeight="1">
      <x:c r="A9" s="28">
        <x:v>3</x:v>
      </x:c>
      <x:c r="B9" s="28" t="s">
        <x:v>454</x:v>
      </x:c>
      <x:c r="C9" s="28" t="s">
        <x:v>455</x:v>
      </x:c>
      <x:c r="D9" s="28" t="s">
        <x:v>456</x:v>
      </x:c>
      <x:c r="E9" s="32" t="s">
        <x:v>457</x:v>
      </x:c>
      <x:c r="F9" s="28" t="s">
        <x:v>458</x:v>
      </x:c>
      <x:c r="G9" s="28" t="s">
        <x:v>459</x:v>
      </x:c>
      <x:c r="H9" s="28" t="s">
        <x:v>460</x:v>
      </x:c>
    </x:row>
    <x:row r="10" ht="29.25" customHeight="1">
      <x:c r="A10" s="29">
        <x:v>4</x:v>
      </x:c>
      <x:c r="B10" s="29" t="s">
        <x:v>461</x:v>
      </x:c>
      <x:c r="C10" s="29" t="s">
        <x:v>462</x:v>
      </x:c>
      <x:c r="D10" s="29" t="s">
        <x:v>456</x:v>
      </x:c>
      <x:c r="E10" s="32" t="s">
        <x:v>457</x:v>
      </x:c>
      <x:c r="F10" s="29" t="s">
        <x:v>463</x:v>
      </x:c>
      <x:c r="G10" s="29" t="s">
        <x:v>459</x:v>
      </x:c>
      <x:c r="H10" s="29" t="s">
        <x:v>464</x:v>
      </x:c>
    </x:row>
    <x:row r="11" ht="29.25" customHeight="1">
      <x:c r="A11" s="28">
        <x:v>5</x:v>
      </x:c>
      <x:c r="B11" s="28" t="s">
        <x:v>465</x:v>
      </x:c>
      <x:c r="C11" s="28" t="s">
        <x:v>466</x:v>
      </x:c>
      <x:c r="D11" s="28" t="s">
        <x:v>467</x:v>
      </x:c>
      <x:c r="E11" s="33" t="s">
        <x:v>468</x:v>
      </x:c>
      <x:c r="F11" s="28" t="s">
        <x:v>469</x:v>
      </x:c>
      <x:c r="G11" s="28" t="s">
        <x:v>470</x:v>
      </x:c>
      <x:c r="H11" s="28" t="s">
        <x:v>471</x:v>
      </x:c>
    </x:row>
    <x:row r="12" ht="29.25" customHeight="1">
      <x:c r="A12" s="29">
        <x:v>6</x:v>
      </x:c>
      <x:c r="B12" s="29" t="s">
        <x:v>472</x:v>
      </x:c>
      <x:c r="C12" s="29" t="s">
        <x:v>473</x:v>
      </x:c>
      <x:c r="D12" s="29" t="s">
        <x:v>474</x:v>
      </x:c>
      <x:c r="E12" s="33" t="s">
        <x:v>468</x:v>
      </x:c>
      <x:c r="F12" s="29" t="s">
        <x:v>475</x:v>
      </x:c>
      <x:c r="G12" s="29" t="s">
        <x:v>476</x:v>
      </x:c>
      <x:c r="H12" s="29" t="s">
        <x:v>477</x:v>
      </x:c>
    </x:row>
    <x:row r="13" ht="29.25" customHeight="1">
      <x:c r="A13" s="28">
        <x:v>7</x:v>
      </x:c>
      <x:c r="B13" s="28" t="s">
        <x:v>478</x:v>
      </x:c>
      <x:c r="C13" s="28" t="s">
        <x:v>479</x:v>
      </x:c>
      <x:c r="D13" s="28" t="s">
        <x:v>480</x:v>
      </x:c>
      <x:c r="E13" s="26" t="s">
        <x:v>481</x:v>
      </x:c>
      <x:c r="F13" s="28" t="s">
        <x:v>482</x:v>
      </x:c>
      <x:c r="G13" s="28" t="s">
        <x:v>483</x:v>
      </x:c>
      <x:c r="H13" s="28" t="s">
        <x:v>484</x:v>
      </x:c>
    </x:row>
    <x:row r="16" ht="42" customHeight="1">
      <x:c r="A16" s="8" t="s">
        <x:v>485</x:v>
      </x:c>
      <x:c r="B16" s="8"/>
      <x:c r="C16" s="8"/>
      <x:c r="D16" s="8"/>
      <x:c r="E16" s="8"/>
      <x:c r="F16" s="8"/>
      <x:c r="G16" s="8"/>
      <x:c r="H16" s="8"/>
    </x:row>
  </x:sheetData>
  <x:mergeCells>
    <x:mergeCell ref="A1:H2"/>
    <x:mergeCell ref="A3:H3"/>
    <x:mergeCell ref="A16:H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customWidth="1"/>
    <x:col min="2" max="2" width="33" customWidth="1"/>
    <x:col min="3" max="3" width="21" customWidth="1"/>
    <x:col min="4" max="4" width="40" customWidth="1"/>
    <x:col min="5" max="5" width="22" customWidth="1"/>
    <x:col min="6" max="6" width="19" customWidth="1"/>
  </x:cols>
  <x:sheetData>
    <x:row r="1" ht="24" customHeight="1">
      <x:c r="A1" s="9" t="s">
        <x:v>486</x:v>
      </x:c>
      <x:c r="B1" s="9"/>
      <x:c r="C1" s="9"/>
      <x:c r="D1" s="9"/>
      <x:c r="E1" s="9"/>
      <x:c r="F1" s="9"/>
    </x:row>
    <x:row r="2" ht="24" customHeight="1">
      <x:c r="A2" s="9"/>
      <x:c r="B2" s="9"/>
      <x:c r="C2" s="9"/>
      <x:c r="D2" s="9"/>
      <x:c r="E2" s="9"/>
      <x:c r="F2" s="9"/>
    </x:row>
    <x:row r="3" ht="36" customHeight="1">
      <x:c r="A3" s="10" t="s">
        <x:v>487</x:v>
      </x:c>
      <x:c r="B3" s="10"/>
      <x:c r="C3" s="10"/>
      <x:c r="D3" s="10"/>
      <x:c r="E3" s="10"/>
      <x:c r="F3" s="10"/>
    </x:row>
    <x:row r="5" ht="32.099998474121094" customHeight="1">
      <x:c r="A5" s="12" t="s">
        <x:v>70</x:v>
      </x:c>
      <x:c r="B5" s="12" t="s">
        <x:v>488</x:v>
      </x:c>
      <x:c r="C5" s="12" t="s">
        <x:v>489</x:v>
      </x:c>
      <x:c r="D5" s="12" t="s">
        <x:v>490</x:v>
      </x:c>
      <x:c r="E5" s="12" t="s">
        <x:v>491</x:v>
      </x:c>
      <x:c r="F5" s="12" t="s">
        <x:v>492</x:v>
      </x:c>
    </x:row>
    <x:row r="6" ht="45.95000076293945" customHeight="1">
      <x:c r="A6" s="13" t="s">
        <x:v>493</x:v>
      </x:c>
      <x:c r="B6" s="13" t="s">
        <x:v>494</x:v>
      </x:c>
      <x:c r="C6" s="13" t="s">
        <x:v>495</x:v>
      </x:c>
      <x:c r="D6" s="13" t="s">
        <x:v>496</x:v>
      </x:c>
      <x:c r="E6" s="13" t="s">
        <x:v>80</x:v>
      </x:c>
      <x:c r="F6" s="13" t="s">
        <x:v>97</x:v>
      </x:c>
    </x:row>
    <x:row r="7" ht="45.95000076293945" customHeight="1">
      <x:c r="A7" s="14" t="s">
        <x:v>497</x:v>
      </x:c>
      <x:c r="B7" s="14" t="s">
        <x:v>498</x:v>
      </x:c>
      <x:c r="C7" s="14" t="s">
        <x:v>499</x:v>
      </x:c>
      <x:c r="D7" s="14" t="s">
        <x:v>500</x:v>
      </x:c>
      <x:c r="E7" s="14" t="s">
        <x:v>80</x:v>
      </x:c>
      <x:c r="F7" s="14" t="s">
        <x:v>136</x:v>
      </x:c>
    </x:row>
    <x:row r="8" ht="24.75" customHeight="1">
      <x:c r="A8" s="13" t="s">
        <x:v>501</x:v>
      </x:c>
      <x:c r="B8" s="13" t="s">
        <x:v>502</x:v>
      </x:c>
      <x:c r="C8" s="13" t="s">
        <x:v>499</x:v>
      </x:c>
      <x:c r="D8" s="13" t="s">
        <x:v>503</x:v>
      </x:c>
      <x:c r="E8" s="13" t="s">
        <x:v>504</x:v>
      </x:c>
      <x:c r="F8" s="13" t="s">
        <x:v>505</x:v>
      </x:c>
    </x:row>
    <x:row r="9" ht="24.75" customHeight="1">
      <x:c r="A9" s="14" t="s">
        <x:v>506</x:v>
      </x:c>
      <x:c r="B9" s="14" t="s">
        <x:v>507</x:v>
      </x:c>
      <x:c r="C9" s="14" t="s">
        <x:v>508</x:v>
      </x:c>
      <x:c r="D9" s="14" t="s">
        <x:v>509</x:v>
      </x:c>
      <x:c r="E9" s="14" t="s">
        <x:v>510</x:v>
      </x:c>
      <x:c r="F9" s="14" t="s">
        <x:v>130</x:v>
      </x:c>
    </x:row>
    <x:row r="10" ht="24.75" customHeight="1">
      <x:c r="A10" s="13" t="s">
        <x:v>511</x:v>
      </x:c>
      <x:c r="B10" s="13" t="s">
        <x:v>512</x:v>
      </x:c>
      <x:c r="C10" s="13" t="s">
        <x:v>513</x:v>
      </x:c>
      <x:c r="D10" s="13" t="s">
        <x:v>514</x:v>
      </x:c>
      <x:c r="E10" s="13" t="s">
        <x:v>98</x:v>
      </x:c>
      <x:c r="F10" s="13" t="s">
        <x:v>111</x:v>
      </x:c>
    </x:row>
    <x:row r="11" ht="24.75" customHeight="1">
      <x:c r="A11" s="14" t="s">
        <x:v>515</x:v>
      </x:c>
      <x:c r="B11" s="14" t="s">
        <x:v>516</x:v>
      </x:c>
      <x:c r="C11" s="14" t="s">
        <x:v>517</x:v>
      </x:c>
      <x:c r="D11" s="14" t="s">
        <x:v>518</x:v>
      </x:c>
      <x:c r="E11" s="14" t="s">
        <x:v>519</x:v>
      </x:c>
      <x:c r="F11" s="14" t="s">
        <x:v>116</x:v>
      </x:c>
    </x:row>
    <x:row r="12" ht="24.75" customHeight="1">
      <x:c r="A12" s="13" t="s">
        <x:v>520</x:v>
      </x:c>
      <x:c r="B12" s="13" t="s">
        <x:v>521</x:v>
      </x:c>
      <x:c r="C12" s="13" t="s">
        <x:v>517</x:v>
      </x:c>
      <x:c r="D12" s="13" t="s">
        <x:v>522</x:v>
      </x:c>
      <x:c r="E12" s="13" t="s">
        <x:v>523</x:v>
      </x:c>
      <x:c r="F12" s="13" t="s">
        <x:v>116</x:v>
      </x:c>
    </x:row>
    <x:row r="13" ht="24.75" customHeight="1">
      <x:c r="A13" s="14" t="s">
        <x:v>493</x:v>
      </x:c>
      <x:c r="B13" s="14" t="s">
        <x:v>524</x:v>
      </x:c>
      <x:c r="C13" s="14" t="s">
        <x:v>517</x:v>
      </x:c>
      <x:c r="D13" s="14" t="s">
        <x:v>525</x:v>
      </x:c>
      <x:c r="E13" s="14" t="s">
        <x:v>526</x:v>
      </x:c>
      <x:c r="F13" s="14" t="s">
        <x:v>130</x:v>
      </x:c>
    </x:row>
    <x:row r="14" ht="24.75" customHeight="1">
      <x:c r="A14" s="13" t="s">
        <x:v>527</x:v>
      </x:c>
      <x:c r="B14" s="13" t="s">
        <x:v>528</x:v>
      </x:c>
      <x:c r="C14" s="13" t="s">
        <x:v>517</x:v>
      </x:c>
      <x:c r="D14" s="13" t="s">
        <x:v>529</x:v>
      </x:c>
      <x:c r="E14" s="13" t="s">
        <x:v>530</x:v>
      </x:c>
      <x:c r="F14" s="13" t="s">
        <x:v>136</x:v>
      </x:c>
    </x:row>
    <x:row r="15" ht="24.75" customHeight="1">
      <x:c r="A15" s="14" t="s">
        <x:v>531</x:v>
      </x:c>
      <x:c r="B15" s="14" t="s">
        <x:v>532</x:v>
      </x:c>
      <x:c r="C15" s="14" t="s">
        <x:v>533</x:v>
      </x:c>
      <x:c r="D15" s="14" t="s">
        <x:v>534</x:v>
      </x:c>
      <x:c r="E15" s="14" t="s">
        <x:v>98</x:v>
      </x:c>
      <x:c r="F15" s="14" t="s">
        <x:v>97</x:v>
      </x:c>
    </x:row>
    <x:row r="17" ht="30" customHeight="1">
      <x:c r="A17" s="34" t="s">
        <x:v>535</x:v>
      </x:c>
      <x:c r="B17" s="34"/>
      <x:c r="C17" s="34"/>
      <x:c r="D17" s="34"/>
      <x:c r="E17" s="34"/>
      <x:c r="F17" s="34"/>
    </x:row>
    <x:row r="18" ht="27" customHeight="1">
      <x:c r="A18" s="35" t="s">
        <x:v>347</x:v>
      </x:c>
      <x:c r="B18" s="35" t="n">
        <x:f>COUNTIF('03_준비자료'!G7:G43,"파일 확인")</x:f>
        <x:v>1</x:v>
      </x:c>
      <x:c r="C18" s="35"/>
      <x:c r="D18" s="35"/>
      <x:c r="E18" s="35"/>
      <x:c r="F18" s="35"/>
    </x:row>
    <x:row r="19" ht="27" customHeight="1">
      <x:c r="A19" s="35" t="s">
        <x:v>352</x:v>
      </x:c>
      <x:c r="B19" s="35" t="n">
        <x:f>COUNTIF('03_준비자료'!G7:G43,"일부 파일 확인")</x:f>
        <x:v>1</x:v>
      </x:c>
      <x:c r="C19" s="35"/>
      <x:c r="D19" s="35"/>
      <x:c r="E19" s="35"/>
      <x:c r="F19" s="35"/>
    </x:row>
    <x:row r="20" ht="27" customHeight="1">
      <x:c r="A20" s="35" t="s">
        <x:v>87</x:v>
      </x:c>
      <x:c r="B20" s="35" t="n">
        <x:f>COUNTIF('03_준비자료'!G7:G43,"미확인")</x:f>
        <x:v>35</x:v>
      </x:c>
      <x:c r="C20" s="35"/>
      <x:c r="D20" s="35"/>
      <x:c r="E20" s="35"/>
      <x:c r="F20" s="35"/>
    </x:row>
    <x:row r="21" ht="27" customHeight="1">
      <x:c r="A21" s="35" t="s">
        <x:v>536</x:v>
      </x:c>
      <x:c r="B21" s="35" t="n">
        <x:f>COUNTA('03_준비자료'!A7:A43)</x:f>
        <x:v>37</x:v>
      </x:c>
      <x:c r="C21" s="35"/>
      <x:c r="D21" s="35"/>
      <x:c r="E21" s="35"/>
      <x:c r="F21" s="35"/>
    </x:row>
    <x:row r="23" ht="30" customHeight="1">
      <x:c r="A23" s="36" t="s">
        <x:v>537</x:v>
      </x:c>
      <x:c r="B23" s="36"/>
      <x:c r="C23" s="36"/>
      <x:c r="D23" s="36"/>
      <x:c r="E23" s="36"/>
      <x:c r="F23" s="36"/>
    </x:row>
    <x:row r="24" ht="30" customHeight="1">
      <x:c r="A24" s="36"/>
      <x:c r="B24" s="36"/>
      <x:c r="C24" s="36"/>
      <x:c r="D24" s="36"/>
      <x:c r="E24" s="36"/>
      <x:c r="F24" s="36"/>
    </x:row>
  </x:sheetData>
  <x:mergeCells>
    <x:mergeCell ref="A1:F2"/>
    <x:mergeCell ref="A3:F3"/>
    <x:mergeCell ref="A17:F17"/>
    <x:mergeCell ref="A23:F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2" width="12" customWidth="1"/>
    <x:col min="3" max="3" width="55" customWidth="1"/>
    <x:col min="4" max="4" width="35" customWidth="1"/>
    <x:col min="5" max="5" width="22" customWidth="1"/>
    <x:col min="6" max="6" width="17" customWidth="1"/>
    <x:col min="7" max="7" width="18" customWidth="1"/>
    <x:col min="8" max="8" width="42" customWidth="1"/>
  </x:cols>
  <x:sheetData>
    <x:row r="1" ht="24" customHeight="1">
      <x:c r="A1" s="9" t="s">
        <x:v>538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6" customHeight="1">
      <x:c r="A3" s="10" t="s">
        <x:v>539</x:v>
      </x:c>
      <x:c r="B3" s="10"/>
      <x:c r="C3" s="10"/>
      <x:c r="D3" s="10"/>
      <x:c r="E3" s="10"/>
      <x:c r="F3" s="10"/>
      <x:c r="G3" s="10"/>
      <x:c r="H3" s="10"/>
    </x:row>
    <x:row r="5" ht="32.099998474121094" customHeight="1">
      <x:c r="A5" s="12" t="s">
        <x:v>540</x:v>
      </x:c>
      <x:c r="B5" s="12" t="s">
        <x:v>165</x:v>
      </x:c>
      <x:c r="C5" s="12" t="s">
        <x:v>541</x:v>
      </x:c>
      <x:c r="D5" s="12" t="s">
        <x:v>542</x:v>
      </x:c>
      <x:c r="E5" s="12" t="s">
        <x:v>73</x:v>
      </x:c>
      <x:c r="F5" s="12" t="s">
        <x:v>543</x:v>
      </x:c>
      <x:c r="G5" s="12" t="s">
        <x:v>74</x:v>
      </x:c>
      <x:c r="H5" s="12" t="s">
        <x:v>544</x:v>
      </x:c>
    </x:row>
    <x:row r="6" ht="24" customHeight="1">
      <x:c r="A6" s="13" t="s">
        <x:v>545</x:v>
      </x:c>
      <x:c r="B6" s="13" t="s">
        <x:v>546</x:v>
      </x:c>
      <x:c r="C6" s="13" t="s">
        <x:v>547</x:v>
      </x:c>
      <x:c r="D6" s="13" t="s">
        <x:v>548</x:v>
      </x:c>
      <x:c r="E6" s="13" t="s">
        <x:v>80</x:v>
      </x:c>
      <x:c r="F6" s="13" t="s">
        <x:v>97</x:v>
      </x:c>
      <x:c r="G6" s="13" t="s">
        <x:v>87</x:v>
      </x:c>
      <x:c r="H6" s="13" t="s">
        <x:v>549</x:v>
      </x:c>
    </x:row>
    <x:row r="7" ht="24" customHeight="1">
      <x:c r="A7" s="14" t="s">
        <x:v>550</x:v>
      </x:c>
      <x:c r="B7" s="14" t="s">
        <x:v>546</x:v>
      </x:c>
      <x:c r="C7" s="14" t="s">
        <x:v>551</x:v>
      </x:c>
      <x:c r="D7" s="14" t="s">
        <x:v>552</x:v>
      </x:c>
      <x:c r="E7" s="14" t="s">
        <x:v>98</x:v>
      </x:c>
      <x:c r="F7" s="14" t="s">
        <x:v>97</x:v>
      </x:c>
      <x:c r="G7" s="14" t="s">
        <x:v>87</x:v>
      </x:c>
      <x:c r="H7" s="14" t="s">
        <x:v>553</x:v>
      </x:c>
    </x:row>
    <x:row r="8" ht="24" customHeight="1">
      <x:c r="A8" s="13" t="s">
        <x:v>554</x:v>
      </x:c>
      <x:c r="B8" s="13" t="s">
        <x:v>546</x:v>
      </x:c>
      <x:c r="C8" s="13" t="s">
        <x:v>555</x:v>
      </x:c>
      <x:c r="D8" s="13" t="s">
        <x:v>556</x:v>
      </x:c>
      <x:c r="E8" s="13" t="s">
        <x:v>557</x:v>
      </x:c>
      <x:c r="F8" s="13" t="s">
        <x:v>505</x:v>
      </x:c>
      <x:c r="G8" s="13" t="s">
        <x:v>87</x:v>
      </x:c>
      <x:c r="H8" s="13" t="s">
        <x:v>558</x:v>
      </x:c>
    </x:row>
    <x:row r="9" ht="24" customHeight="1">
      <x:c r="A9" s="14" t="s">
        <x:v>559</x:v>
      </x:c>
      <x:c r="B9" s="14" t="s">
        <x:v>546</x:v>
      </x:c>
      <x:c r="C9" s="14" t="s">
        <x:v>560</x:v>
      </x:c>
      <x:c r="D9" s="14" t="s">
        <x:v>561</x:v>
      </x:c>
      <x:c r="E9" s="14" t="s">
        <x:v>98</x:v>
      </x:c>
      <x:c r="F9" s="14" t="s">
        <x:v>102</x:v>
      </x:c>
      <x:c r="G9" s="14" t="s">
        <x:v>87</x:v>
      </x:c>
      <x:c r="H9" s="14" t="s">
        <x:v>562</x:v>
      </x:c>
    </x:row>
    <x:row r="10" ht="24" customHeight="1">
      <x:c r="A10" s="13" t="s">
        <x:v>563</x:v>
      </x:c>
      <x:c r="B10" s="13" t="s">
        <x:v>546</x:v>
      </x:c>
      <x:c r="C10" s="13" t="s">
        <x:v>564</x:v>
      </x:c>
      <x:c r="D10" s="13" t="s">
        <x:v>565</x:v>
      </x:c>
      <x:c r="E10" s="13" t="s">
        <x:v>107</x:v>
      </x:c>
      <x:c r="F10" s="13" t="s">
        <x:v>106</x:v>
      </x:c>
      <x:c r="G10" s="13" t="s">
        <x:v>87</x:v>
      </x:c>
      <x:c r="H10" s="13" t="s">
        <x:v>566</x:v>
      </x:c>
    </x:row>
    <x:row r="11" ht="24" customHeight="1">
      <x:c r="A11" s="14" t="s">
        <x:v>567</x:v>
      </x:c>
      <x:c r="B11" s="14" t="s">
        <x:v>546</x:v>
      </x:c>
      <x:c r="C11" s="14" t="s">
        <x:v>568</x:v>
      </x:c>
      <x:c r="D11" s="14" t="s">
        <x:v>569</x:v>
      </x:c>
      <x:c r="E11" s="14" t="s">
        <x:v>276</x:v>
      </x:c>
      <x:c r="F11" s="14" t="s">
        <x:v>111</x:v>
      </x:c>
      <x:c r="G11" s="14" t="s">
        <x:v>87</x:v>
      </x:c>
      <x:c r="H11" s="14" t="s">
        <x:v>570</x:v>
      </x:c>
    </x:row>
    <x:row r="12" ht="24" customHeight="1">
      <x:c r="A12" s="13" t="s">
        <x:v>571</x:v>
      </x:c>
      <x:c r="B12" s="13" t="s">
        <x:v>546</x:v>
      </x:c>
      <x:c r="C12" s="13" t="s">
        <x:v>572</x:v>
      </x:c>
      <x:c r="D12" s="13" t="s">
        <x:v>573</x:v>
      </x:c>
      <x:c r="E12" s="13" t="s">
        <x:v>252</x:v>
      </x:c>
      <x:c r="F12" s="13" t="s">
        <x:v>111</x:v>
      </x:c>
      <x:c r="G12" s="13" t="s">
        <x:v>87</x:v>
      </x:c>
      <x:c r="H12" s="13" t="s">
        <x:v>574</x:v>
      </x:c>
    </x:row>
    <x:row r="13" ht="24" customHeight="1">
      <x:c r="A13" s="14" t="s">
        <x:v>575</x:v>
      </x:c>
      <x:c r="B13" s="14" t="s">
        <x:v>172</x:v>
      </x:c>
      <x:c r="C13" s="14" t="s">
        <x:v>576</x:v>
      </x:c>
      <x:c r="D13" s="14" t="s">
        <x:v>577</x:v>
      </x:c>
      <x:c r="E13" s="14" t="s">
        <x:v>107</x:v>
      </x:c>
      <x:c r="F13" s="14" t="s">
        <x:v>578</x:v>
      </x:c>
      <x:c r="G13" s="14" t="s">
        <x:v>87</x:v>
      </x:c>
      <x:c r="H13" s="14" t="s">
        <x:v>579</x:v>
      </x:c>
    </x:row>
    <x:row r="14" ht="24" customHeight="1">
      <x:c r="A14" s="13" t="s">
        <x:v>580</x:v>
      </x:c>
      <x:c r="B14" s="13" t="s">
        <x:v>546</x:v>
      </x:c>
      <x:c r="C14" s="13" t="s">
        <x:v>581</x:v>
      </x:c>
      <x:c r="D14" s="13" t="s">
        <x:v>582</x:v>
      </x:c>
      <x:c r="E14" s="13" t="s">
        <x:v>252</x:v>
      </x:c>
      <x:c r="F14" s="13" t="s">
        <x:v>116</x:v>
      </x:c>
      <x:c r="G14" s="13" t="s">
        <x:v>87</x:v>
      </x:c>
      <x:c r="H14" s="13" t="s">
        <x:v>583</x:v>
      </x:c>
    </x:row>
    <x:row r="15" ht="24" customHeight="1">
      <x:c r="A15" s="14" t="s">
        <x:v>584</x:v>
      </x:c>
      <x:c r="B15" s="14" t="s">
        <x:v>172</x:v>
      </x:c>
      <x:c r="C15" s="14" t="s">
        <x:v>585</x:v>
      </x:c>
      <x:c r="D15" s="14" t="s">
        <x:v>586</x:v>
      </x:c>
      <x:c r="E15" s="14" t="s">
        <x:v>287</x:v>
      </x:c>
      <x:c r="F15" s="14" t="s">
        <x:v>116</x:v>
      </x:c>
      <x:c r="G15" s="14" t="s">
        <x:v>87</x:v>
      </x:c>
      <x:c r="H15" s="14" t="s">
        <x:v>587</x:v>
      </x:c>
    </x:row>
    <x:row r="16" ht="24" customHeight="1">
      <x:c r="A16" s="13" t="s">
        <x:v>588</x:v>
      </x:c>
      <x:c r="B16" s="13" t="s">
        <x:v>546</x:v>
      </x:c>
      <x:c r="C16" s="13" t="s">
        <x:v>589</x:v>
      </x:c>
      <x:c r="D16" s="13" t="s">
        <x:v>590</x:v>
      </x:c>
      <x:c r="E16" s="13" t="s">
        <x:v>114</x:v>
      </x:c>
      <x:c r="F16" s="13" t="s">
        <x:v>125</x:v>
      </x:c>
      <x:c r="G16" s="13" t="s">
        <x:v>87</x:v>
      </x:c>
      <x:c r="H16" s="13" t="s">
        <x:v>591</x:v>
      </x:c>
    </x:row>
    <x:row r="17" ht="24" customHeight="1">
      <x:c r="A17" s="14" t="s">
        <x:v>592</x:v>
      </x:c>
      <x:c r="B17" s="14" t="s">
        <x:v>546</x:v>
      </x:c>
      <x:c r="C17" s="14" t="s">
        <x:v>593</x:v>
      </x:c>
      <x:c r="D17" s="14" t="s">
        <x:v>594</x:v>
      </x:c>
      <x:c r="E17" s="14" t="s">
        <x:v>189</x:v>
      </x:c>
      <x:c r="F17" s="14" t="s">
        <x:v>130</x:v>
      </x:c>
      <x:c r="G17" s="14" t="s">
        <x:v>87</x:v>
      </x:c>
      <x:c r="H17" s="14" t="s">
        <x:v>595</x:v>
      </x:c>
    </x:row>
    <x:row r="18" ht="24" customHeight="1">
      <x:c r="A18" s="13" t="s">
        <x:v>596</x:v>
      </x:c>
      <x:c r="B18" s="13" t="s">
        <x:v>546</x:v>
      </x:c>
      <x:c r="C18" s="13" t="s">
        <x:v>597</x:v>
      </x:c>
      <x:c r="D18" s="13" t="s">
        <x:v>598</x:v>
      </x:c>
      <x:c r="E18" s="13" t="s">
        <x:v>599</x:v>
      </x:c>
      <x:c r="F18" s="13" t="s">
        <x:v>130</x:v>
      </x:c>
      <x:c r="G18" s="13" t="s">
        <x:v>87</x:v>
      </x:c>
      <x:c r="H18" s="13" t="s">
        <x:v>600</x:v>
      </x:c>
    </x:row>
    <x:row r="19" ht="24" customHeight="1">
      <x:c r="A19" s="14" t="s">
        <x:v>601</x:v>
      </x:c>
      <x:c r="B19" s="14" t="s">
        <x:v>172</x:v>
      </x:c>
      <x:c r="C19" s="14" t="s">
        <x:v>602</x:v>
      </x:c>
      <x:c r="D19" s="14" t="s">
        <x:v>603</x:v>
      </x:c>
      <x:c r="E19" s="14" t="s">
        <x:v>98</x:v>
      </x:c>
      <x:c r="F19" s="14" t="s">
        <x:v>125</x:v>
      </x:c>
      <x:c r="G19" s="14" t="s">
        <x:v>87</x:v>
      </x:c>
      <x:c r="H19" s="14" t="s">
        <x:v>604</x:v>
      </x:c>
    </x:row>
    <x:row r="20" ht="24" customHeight="1">
      <x:c r="A20" s="13" t="s">
        <x:v>605</x:v>
      </x:c>
      <x:c r="B20" s="13" t="s">
        <x:v>172</x:v>
      </x:c>
      <x:c r="C20" s="13" t="s">
        <x:v>606</x:v>
      </x:c>
      <x:c r="D20" s="13" t="s">
        <x:v>607</x:v>
      </x:c>
      <x:c r="E20" s="13" t="s">
        <x:v>530</x:v>
      </x:c>
      <x:c r="F20" s="13" t="s">
        <x:v>136</x:v>
      </x:c>
      <x:c r="G20" s="13" t="s">
        <x:v>87</x:v>
      </x:c>
      <x:c r="H20" s="13" t="s">
        <x:v>608</x:v>
      </x:c>
    </x:row>
    <x:row r="21" ht="24" customHeight="1">
      <x:c r="A21" s="14" t="s">
        <x:v>609</x:v>
      </x:c>
      <x:c r="B21" s="14" t="s">
        <x:v>172</x:v>
      </x:c>
      <x:c r="C21" s="14" t="s">
        <x:v>610</x:v>
      </x:c>
      <x:c r="D21" s="14" t="s">
        <x:v>611</x:v>
      </x:c>
      <x:c r="E21" s="14" t="s">
        <x:v>80</x:v>
      </x:c>
      <x:c r="F21" s="14" t="s">
        <x:v>246</x:v>
      </x:c>
      <x:c r="G21" s="14" t="s">
        <x:v>87</x:v>
      </x:c>
      <x:c r="H21" s="14" t="s">
        <x:v>612</x:v>
      </x:c>
    </x:row>
  </x:sheetData>
  <x:mergeCells>
    <x:mergeCell ref="A1:H2"/>
    <x:mergeCell ref="A3:H3"/>
  </x:mergeCells>
  <x:dataValidations count="1">
    <x:dataValidation type="list" sqref="G6:G21">
      <x:formula1>"미확인,진행중,일부확인,완료,해당없음"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customWidth="1"/>
    <x:col min="2" max="2" width="13" customWidth="1"/>
    <x:col min="3" max="3" width="21" customWidth="1"/>
    <x:col min="4" max="4" width="39" customWidth="1"/>
    <x:col min="5" max="5" width="12" customWidth="1"/>
    <x:col min="6" max="6" width="31" customWidth="1"/>
    <x:col min="7" max="7" width="30" customWidth="1"/>
    <x:col min="8" max="8" width="20" customWidth="1"/>
    <x:col min="9" max="9" width="17" customWidth="1"/>
    <x:col min="10" max="10" width="14" customWidth="1"/>
  </x:cols>
  <x:sheetData>
    <x:row r="1" ht="24" customHeight="1">
      <x:c r="A1" s="9" t="s">
        <x:v>613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 ht="36" customHeight="1">
      <x:c r="A3" s="10" t="s">
        <x:v>614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32.099998474121094" customHeight="1">
      <x:c r="A5" s="12" t="s">
        <x:v>615</x:v>
      </x:c>
      <x:c r="B5" s="12" t="s">
        <x:v>616</x:v>
      </x:c>
      <x:c r="C5" s="12" t="s">
        <x:v>617</x:v>
      </x:c>
      <x:c r="D5" s="12" t="s">
        <x:v>618</x:v>
      </x:c>
      <x:c r="E5" s="12" t="s">
        <x:v>165</x:v>
      </x:c>
      <x:c r="F5" s="12" t="s">
        <x:v>619</x:v>
      </x:c>
      <x:c r="G5" s="12" t="s">
        <x:v>620</x:v>
      </x:c>
      <x:c r="H5" s="12" t="s">
        <x:v>621</x:v>
      </x:c>
      <x:c r="I5" s="12" t="s">
        <x:v>622</x:v>
      </x:c>
      <x:c r="J5" s="12" t="s">
        <x:v>372</x:v>
      </x:c>
    </x:row>
    <x:row r="6" ht="19.5" customHeight="1">
      <x:c r="A6" s="13" t="s">
        <x:v>623</x:v>
      </x:c>
      <x:c r="B6" s="13" t="s">
        <x:v>358</x:v>
      </x:c>
      <x:c r="C6" s="13" t="s">
        <x:v>624</x:v>
      </x:c>
      <x:c r="D6" s="13" t="s">
        <x:v>625</x:v>
      </x:c>
      <x:c r="E6" s="13" t="s">
        <x:v>206</x:v>
      </x:c>
      <x:c r="F6" s="13" t="s">
        <x:v>626</x:v>
      </x:c>
      <x:c r="G6" s="13" t="s">
        <x:v>627</x:v>
      </x:c>
      <x:c r="H6" s="13" t="s">
        <x:v>80</x:v>
      </x:c>
      <x:c r="I6" s="13" t="s">
        <x:v>97</x:v>
      </x:c>
      <x:c r="J6" s="13" t="s">
        <x:v>87</x:v>
      </x:c>
    </x:row>
    <x:row r="7" ht="19.5" customHeight="1">
      <x:c r="A7" s="14" t="s">
        <x:v>628</x:v>
      </x:c>
      <x:c r="B7" s="14" t="s">
        <x:v>339</x:v>
      </x:c>
      <x:c r="C7" s="14" t="s">
        <x:v>629</x:v>
      </x:c>
      <x:c r="D7" s="14" t="s">
        <x:v>630</x:v>
      </x:c>
      <x:c r="E7" s="14" t="s">
        <x:v>206</x:v>
      </x:c>
      <x:c r="F7" s="14" t="s">
        <x:v>631</x:v>
      </x:c>
      <x:c r="G7" s="14" t="s">
        <x:v>632</x:v>
      </x:c>
      <x:c r="H7" s="14" t="s">
        <x:v>98</x:v>
      </x:c>
      <x:c r="I7" s="14" t="s">
        <x:v>97</x:v>
      </x:c>
      <x:c r="J7" s="14" t="s">
        <x:v>87</x:v>
      </x:c>
    </x:row>
    <x:row r="8" ht="19.5" customHeight="1">
      <x:c r="A8" s="13" t="s">
        <x:v>633</x:v>
      </x:c>
      <x:c r="B8" s="13" t="s">
        <x:v>174</x:v>
      </x:c>
      <x:c r="C8" s="13" t="s">
        <x:v>634</x:v>
      </x:c>
      <x:c r="D8" s="13" t="s">
        <x:v>635</x:v>
      </x:c>
      <x:c r="E8" s="13" t="s">
        <x:v>172</x:v>
      </x:c>
      <x:c r="F8" s="13" t="s">
        <x:v>636</x:v>
      </x:c>
      <x:c r="G8" s="13" t="s">
        <x:v>637</x:v>
      </x:c>
      <x:c r="H8" s="13" t="s">
        <x:v>638</x:v>
      </x:c>
      <x:c r="I8" s="13" t="s">
        <x:v>505</x:v>
      </x:c>
      <x:c r="J8" s="13" t="s">
        <x:v>87</x:v>
      </x:c>
    </x:row>
    <x:row r="9" ht="19.5" customHeight="1">
      <x:c r="A9" s="14" t="s">
        <x:v>639</x:v>
      </x:c>
      <x:c r="B9" s="14" t="s">
        <x:v>202</x:v>
      </x:c>
      <x:c r="C9" s="14" t="s">
        <x:v>640</x:v>
      </x:c>
      <x:c r="D9" s="14" t="s">
        <x:v>641</x:v>
      </x:c>
      <x:c r="E9" s="14" t="s">
        <x:v>206</x:v>
      </x:c>
      <x:c r="F9" s="14" t="s">
        <x:v>642</x:v>
      </x:c>
      <x:c r="G9" s="14" t="s">
        <x:v>643</x:v>
      </x:c>
      <x:c r="H9" s="14" t="s">
        <x:v>107</x:v>
      </x:c>
      <x:c r="I9" s="14" t="s">
        <x:v>106</x:v>
      </x:c>
      <x:c r="J9" s="14" t="s">
        <x:v>87</x:v>
      </x:c>
    </x:row>
    <x:row r="10" ht="19.5" customHeight="1">
      <x:c r="A10" s="13" t="s">
        <x:v>644</x:v>
      </x:c>
      <x:c r="B10" s="13" t="s">
        <x:v>213</x:v>
      </x:c>
      <x:c r="C10" s="13" t="s">
        <x:v>645</x:v>
      </x:c>
      <x:c r="D10" s="13" t="s">
        <x:v>646</x:v>
      </x:c>
      <x:c r="E10" s="13" t="s">
        <x:v>206</x:v>
      </x:c>
      <x:c r="F10" s="13" t="s">
        <x:v>647</x:v>
      </x:c>
      <x:c r="G10" s="13" t="s">
        <x:v>648</x:v>
      </x:c>
      <x:c r="H10" s="13" t="s">
        <x:v>98</x:v>
      </x:c>
      <x:c r="I10" s="13" t="s">
        <x:v>111</x:v>
      </x:c>
      <x:c r="J10" s="13" t="s">
        <x:v>87</x:v>
      </x:c>
    </x:row>
    <x:row r="11" ht="19.5" customHeight="1">
      <x:c r="A11" s="14" t="s">
        <x:v>649</x:v>
      </x:c>
      <x:c r="B11" s="14" t="s">
        <x:v>298</x:v>
      </x:c>
      <x:c r="C11" s="14" t="s">
        <x:v>650</x:v>
      </x:c>
      <x:c r="D11" s="14" t="s">
        <x:v>651</x:v>
      </x:c>
      <x:c r="E11" s="14" t="s">
        <x:v>206</x:v>
      </x:c>
      <x:c r="F11" s="14" t="s">
        <x:v>652</x:v>
      </x:c>
      <x:c r="G11" s="14" t="s">
        <x:v>653</x:v>
      </x:c>
      <x:c r="H11" s="14" t="s">
        <x:v>98</x:v>
      </x:c>
      <x:c r="I11" s="14" t="s">
        <x:v>111</x:v>
      </x:c>
      <x:c r="J11" s="14" t="s">
        <x:v>87</x:v>
      </x:c>
    </x:row>
    <x:row r="12" ht="19.5" customHeight="1">
      <x:c r="A12" s="13" t="s">
        <x:v>654</x:v>
      </x:c>
      <x:c r="B12" s="13" t="s">
        <x:v>265</x:v>
      </x:c>
      <x:c r="C12" s="13" t="s">
        <x:v>655</x:v>
      </x:c>
      <x:c r="D12" s="13" t="s">
        <x:v>656</x:v>
      </x:c>
      <x:c r="E12" s="13" t="s">
        <x:v>206</x:v>
      </x:c>
      <x:c r="F12" s="13" t="s">
        <x:v>657</x:v>
      </x:c>
      <x:c r="G12" s="13" t="s">
        <x:v>658</x:v>
      </x:c>
      <x:c r="H12" s="13" t="s">
        <x:v>252</x:v>
      </x:c>
      <x:c r="I12" s="13" t="s">
        <x:v>111</x:v>
      </x:c>
      <x:c r="J12" s="13" t="s">
        <x:v>87</x:v>
      </x:c>
    </x:row>
    <x:row r="13" ht="19.5" customHeight="1">
      <x:c r="A13" s="14" t="s">
        <x:v>659</x:v>
      </x:c>
      <x:c r="B13" s="14" t="s">
        <x:v>273</x:v>
      </x:c>
      <x:c r="C13" s="14" t="s">
        <x:v>660</x:v>
      </x:c>
      <x:c r="D13" s="14" t="s">
        <x:v>661</x:v>
      </x:c>
      <x:c r="E13" s="14" t="s">
        <x:v>206</x:v>
      </x:c>
      <x:c r="F13" s="14" t="s">
        <x:v>662</x:v>
      </x:c>
      <x:c r="G13" s="14" t="s">
        <x:v>663</x:v>
      </x:c>
      <x:c r="H13" s="14" t="s">
        <x:v>276</x:v>
      </x:c>
      <x:c r="I13" s="14" t="s">
        <x:v>111</x:v>
      </x:c>
      <x:c r="J13" s="14" t="s">
        <x:v>87</x:v>
      </x:c>
    </x:row>
    <x:row r="14" ht="19.5" customHeight="1">
      <x:c r="A14" s="13" t="s">
        <x:v>664</x:v>
      </x:c>
      <x:c r="B14" s="13" t="s">
        <x:v>223</x:v>
      </x:c>
      <x:c r="C14" s="13" t="s">
        <x:v>665</x:v>
      </x:c>
      <x:c r="D14" s="13" t="s">
        <x:v>666</x:v>
      </x:c>
      <x:c r="E14" s="13" t="s">
        <x:v>206</x:v>
      </x:c>
      <x:c r="F14" s="13" t="s">
        <x:v>667</x:v>
      </x:c>
      <x:c r="G14" s="13" t="s">
        <x:v>668</x:v>
      </x:c>
      <x:c r="H14" s="13" t="s">
        <x:v>98</x:v>
      </x:c>
      <x:c r="I14" s="13" t="s">
        <x:v>116</x:v>
      </x:c>
      <x:c r="J14" s="13" t="s">
        <x:v>87</x:v>
      </x:c>
    </x:row>
    <x:row r="15" ht="19.5" customHeight="1">
      <x:c r="A15" s="14" t="s">
        <x:v>669</x:v>
      </x:c>
      <x:c r="B15" s="14" t="s">
        <x:v>283</x:v>
      </x:c>
      <x:c r="C15" s="14" t="s">
        <x:v>670</x:v>
      </x:c>
      <x:c r="D15" s="14" t="s">
        <x:v>671</x:v>
      </x:c>
      <x:c r="E15" s="14" t="s">
        <x:v>206</x:v>
      </x:c>
      <x:c r="F15" s="14" t="s">
        <x:v>672</x:v>
      </x:c>
      <x:c r="G15" s="14" t="s">
        <x:v>673</x:v>
      </x:c>
      <x:c r="H15" s="14" t="s">
        <x:v>287</x:v>
      </x:c>
      <x:c r="I15" s="14" t="s">
        <x:v>116</x:v>
      </x:c>
      <x:c r="J15" s="14" t="s">
        <x:v>87</x:v>
      </x:c>
    </x:row>
    <x:row r="16" ht="19.5" customHeight="1">
      <x:c r="A16" s="13" t="s">
        <x:v>674</x:v>
      </x:c>
      <x:c r="B16" s="13" t="s">
        <x:v>303</x:v>
      </x:c>
      <x:c r="C16" s="13" t="s">
        <x:v>114</x:v>
      </x:c>
      <x:c r="D16" s="13" t="s">
        <x:v>675</x:v>
      </x:c>
      <x:c r="E16" s="13" t="s">
        <x:v>206</x:v>
      </x:c>
      <x:c r="F16" s="13" t="s">
        <x:v>676</x:v>
      </x:c>
      <x:c r="G16" s="13" t="s">
        <x:v>677</x:v>
      </x:c>
      <x:c r="H16" s="13" t="s">
        <x:v>114</x:v>
      </x:c>
      <x:c r="I16" s="13" t="s">
        <x:v>125</x:v>
      </x:c>
      <x:c r="J16" s="13" t="s">
        <x:v>87</x:v>
      </x:c>
    </x:row>
    <x:row r="17" ht="19.5" customHeight="1">
      <x:c r="A17" s="14" t="s">
        <x:v>678</x:v>
      </x:c>
      <x:c r="B17" s="14" t="s">
        <x:v>308</x:v>
      </x:c>
      <x:c r="C17" s="14" t="s">
        <x:v>118</x:v>
      </x:c>
      <x:c r="D17" s="14" t="s">
        <x:v>679</x:v>
      </x:c>
      <x:c r="E17" s="14" t="s">
        <x:v>206</x:v>
      </x:c>
      <x:c r="F17" s="14" t="s">
        <x:v>680</x:v>
      </x:c>
      <x:c r="G17" s="14" t="s">
        <x:v>681</x:v>
      </x:c>
      <x:c r="H17" s="14" t="s">
        <x:v>682</x:v>
      </x:c>
      <x:c r="I17" s="14" t="s">
        <x:v>130</x:v>
      </x:c>
      <x:c r="J17" s="14" t="s">
        <x:v>87</x:v>
      </x:c>
    </x:row>
    <x:row r="18" ht="19.5" customHeight="1">
      <x:c r="A18" s="13" t="s">
        <x:v>683</x:v>
      </x:c>
      <x:c r="B18" s="13" t="s">
        <x:v>324</x:v>
      </x:c>
      <x:c r="C18" s="13" t="s">
        <x:v>421</x:v>
      </x:c>
      <x:c r="D18" s="13" t="s">
        <x:v>684</x:v>
      </x:c>
      <x:c r="E18" s="13" t="s">
        <x:v>172</x:v>
      </x:c>
      <x:c r="F18" s="13" t="s">
        <x:v>685</x:v>
      </x:c>
      <x:c r="G18" s="13" t="s">
        <x:v>686</x:v>
      </x:c>
      <x:c r="H18" s="13" t="s">
        <x:v>98</x:v>
      </x:c>
      <x:c r="I18" s="13" t="s">
        <x:v>125</x:v>
      </x:c>
      <x:c r="J18" s="13" t="s">
        <x:v>87</x:v>
      </x:c>
    </x:row>
    <x:row r="19" ht="19.5" customHeight="1">
      <x:c r="A19" s="14" t="s">
        <x:v>687</x:v>
      </x:c>
      <x:c r="B19" s="14" t="s">
        <x:v>349</x:v>
      </x:c>
      <x:c r="C19" s="14" t="s">
        <x:v>688</x:v>
      </x:c>
      <x:c r="D19" s="14" t="s">
        <x:v>689</x:v>
      </x:c>
      <x:c r="E19" s="14" t="s">
        <x:v>172</x:v>
      </x:c>
      <x:c r="F19" s="14" t="s">
        <x:v>690</x:v>
      </x:c>
      <x:c r="G19" s="14" t="s">
        <x:v>691</x:v>
      </x:c>
      <x:c r="H19" s="14" t="s">
        <x:v>126</x:v>
      </x:c>
      <x:c r="I19" s="14" t="s">
        <x:v>130</x:v>
      </x:c>
      <x:c r="J19" s="14" t="s">
        <x:v>87</x:v>
      </x:c>
    </x:row>
    <x:row r="20" ht="19.5" customHeight="1">
      <x:c r="A20" s="13" t="s">
        <x:v>692</x:v>
      </x:c>
      <x:c r="B20" s="13" t="s">
        <x:v>354</x:v>
      </x:c>
      <x:c r="C20" s="13" t="s">
        <x:v>693</x:v>
      </x:c>
      <x:c r="D20" s="13" t="s">
        <x:v>694</x:v>
      </x:c>
      <x:c r="E20" s="13" t="s">
        <x:v>172</x:v>
      </x:c>
      <x:c r="F20" s="13" t="s">
        <x:v>695</x:v>
      </x:c>
      <x:c r="G20" s="13" t="s">
        <x:v>696</x:v>
      </x:c>
      <x:c r="H20" s="13" t="s">
        <x:v>131</x:v>
      </x:c>
      <x:c r="I20" s="13" t="s">
        <x:v>130</x:v>
      </x:c>
      <x:c r="J20" s="13" t="s">
        <x:v>87</x:v>
      </x:c>
    </x:row>
    <x:row r="21" ht="19.5" customHeight="1">
      <x:c r="A21" s="14" t="s">
        <x:v>697</x:v>
      </x:c>
      <x:c r="B21" s="14" t="s">
        <x:v>260</x:v>
      </x:c>
      <x:c r="C21" s="14" t="s">
        <x:v>698</x:v>
      </x:c>
      <x:c r="D21" s="14" t="s">
        <x:v>699</x:v>
      </x:c>
      <x:c r="E21" s="14" t="s">
        <x:v>206</x:v>
      </x:c>
      <x:c r="F21" s="14" t="s">
        <x:v>700</x:v>
      </x:c>
      <x:c r="G21" s="14" t="s">
        <x:v>701</x:v>
      </x:c>
      <x:c r="H21" s="14" t="s">
        <x:v>107</x:v>
      </x:c>
      <x:c r="I21" s="14" t="s">
        <x:v>136</x:v>
      </x:c>
      <x:c r="J21" s="14" t="s">
        <x:v>87</x:v>
      </x:c>
    </x:row>
  </x:sheetData>
  <x:mergeCells>
    <x:mergeCell ref="A1:J2"/>
    <x:mergeCell ref="A3:J3"/>
  </x:mergeCells>
  <x:dataValidations count="1">
    <x:dataValidation type="list" sqref="J6:J21">
      <x:formula1>"미확인,진행중,일부확인,완료,해당없음"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customWidth="1"/>
    <x:col min="2" max="2" width="13" customWidth="1"/>
    <x:col min="3" max="3" width="38" customWidth="1"/>
    <x:col min="4" max="4" width="20" customWidth="1"/>
    <x:col min="5" max="5" width="12" customWidth="1"/>
    <x:col min="6" max="6" width="20" customWidth="1"/>
    <x:col min="7" max="7" width="18.5" customWidth="1"/>
    <x:col min="8" max="8" width="20.25" customWidth="1"/>
    <x:col min="9" max="9" width="17" customWidth="1"/>
    <x:col min="10" max="10" width="16" customWidth="1"/>
    <x:col min="11" max="11" width="44" customWidth="1"/>
  </x:cols>
  <x:sheetData>
    <x:row r="1" ht="24" customHeight="1">
      <x:c r="A1" s="9" t="s">
        <x:v>702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36" customHeight="1">
      <x:c r="A3" s="10" t="s">
        <x:v>703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2.099998474121094" customHeight="1">
      <x:c r="A5" s="12" t="s">
        <x:v>704</x:v>
      </x:c>
      <x:c r="B5" s="12" t="s">
        <x:v>705</x:v>
      </x:c>
      <x:c r="C5" s="12" t="s">
        <x:v>706</x:v>
      </x:c>
      <x:c r="D5" s="12" t="s">
        <x:v>707</x:v>
      </x:c>
      <x:c r="E5" s="12" t="s">
        <x:v>708</x:v>
      </x:c>
      <x:c r="F5" s="12" t="s">
        <x:v>709</x:v>
      </x:c>
      <x:c r="G5" s="12" t="s">
        <x:v>710</x:v>
      </x:c>
      <x:c r="H5" s="12" t="s">
        <x:v>711</x:v>
      </x:c>
      <x:c r="I5" s="12" t="s">
        <x:v>712</x:v>
      </x:c>
      <x:c r="J5" s="12" t="s">
        <x:v>713</x:v>
      </x:c>
      <x:c r="K5" s="12" t="s">
        <x:v>714</x:v>
      </x:c>
    </x:row>
    <x:row r="6" ht="24" customHeight="1">
      <x:c r="A6" s="13" t="s">
        <x:v>168</x:v>
      </x:c>
      <x:c r="B6" s="13" t="s">
        <x:v>169</x:v>
      </x:c>
      <x:c r="C6" s="13" t="s">
        <x:v>170</x:v>
      </x:c>
      <x:c r="D6" s="13" t="s">
        <x:v>98</x:v>
      </x:c>
      <x:c r="E6" s="13" t="s">
        <x:v>172</x:v>
      </x:c>
      <x:c r="F6" s="13" t="s">
        <x:v>87</x:v>
      </x:c>
      <x:c r="G6" s="13"/>
      <x:c r="H6" s="13"/>
      <x:c r="I6" s="13" t="s">
        <x:v>97</x:v>
      </x:c>
      <x:c r="J6" s="13"/>
      <x:c r="K6" s="13" t="s">
        <x:v>715</x:v>
      </x:c>
    </x:row>
    <x:row r="7" ht="24" customHeight="1">
      <x:c r="A7" s="14" t="s">
        <x:v>174</x:v>
      </x:c>
      <x:c r="B7" s="14" t="s">
        <x:v>175</x:v>
      </x:c>
      <x:c r="C7" s="14" t="s">
        <x:v>176</x:v>
      </x:c>
      <x:c r="D7" s="14" t="s">
        <x:v>98</x:v>
      </x:c>
      <x:c r="E7" s="14" t="s">
        <x:v>172</x:v>
      </x:c>
      <x:c r="F7" s="14" t="s">
        <x:v>87</x:v>
      </x:c>
      <x:c r="G7" s="14"/>
      <x:c r="H7" s="14"/>
      <x:c r="I7" s="14" t="s">
        <x:v>91</x:v>
      </x:c>
      <x:c r="J7" s="14"/>
      <x:c r="K7" s="14" t="s">
        <x:v>715</x:v>
      </x:c>
    </x:row>
    <x:row r="8" ht="24" customHeight="1">
      <x:c r="A8" s="13" t="s">
        <x:v>179</x:v>
      </x:c>
      <x:c r="B8" s="13" t="s">
        <x:v>180</x:v>
      </x:c>
      <x:c r="C8" s="13" t="s">
        <x:v>181</x:v>
      </x:c>
      <x:c r="D8" s="13" t="s">
        <x:v>98</x:v>
      </x:c>
      <x:c r="E8" s="13" t="s">
        <x:v>183</x:v>
      </x:c>
      <x:c r="F8" s="13" t="s">
        <x:v>87</x:v>
      </x:c>
      <x:c r="G8" s="13"/>
      <x:c r="H8" s="13"/>
      <x:c r="I8" s="13" t="s">
        <x:v>106</x:v>
      </x:c>
      <x:c r="J8" s="13"/>
      <x:c r="K8" s="13" t="s">
        <x:v>715</x:v>
      </x:c>
    </x:row>
    <x:row r="9" ht="24" customHeight="1">
      <x:c r="A9" s="14" t="s">
        <x:v>185</x:v>
      </x:c>
      <x:c r="B9" s="14" t="s">
        <x:v>186</x:v>
      </x:c>
      <x:c r="C9" s="14" t="s">
        <x:v>187</x:v>
      </x:c>
      <x:c r="D9" s="14" t="s">
        <x:v>189</x:v>
      </x:c>
      <x:c r="E9" s="14" t="s">
        <x:v>172</x:v>
      </x:c>
      <x:c r="F9" s="14" t="s">
        <x:v>87</x:v>
      </x:c>
      <x:c r="G9" s="14"/>
      <x:c r="H9" s="14"/>
      <x:c r="I9" s="14" t="s">
        <x:v>102</x:v>
      </x:c>
      <x:c r="J9" s="14"/>
      <x:c r="K9" s="14" t="s">
        <x:v>715</x:v>
      </x:c>
    </x:row>
    <x:row r="10" ht="24" customHeight="1">
      <x:c r="A10" s="13" t="s">
        <x:v>191</x:v>
      </x:c>
      <x:c r="B10" s="13" t="s">
        <x:v>192</x:v>
      </x:c>
      <x:c r="C10" s="13" t="s">
        <x:v>193</x:v>
      </x:c>
      <x:c r="D10" s="13" t="s">
        <x:v>195</x:v>
      </x:c>
      <x:c r="E10" s="13" t="s">
        <x:v>172</x:v>
      </x:c>
      <x:c r="F10" s="13" t="s">
        <x:v>87</x:v>
      </x:c>
      <x:c r="G10" s="13"/>
      <x:c r="H10" s="13"/>
      <x:c r="I10" s="13" t="s">
        <x:v>91</x:v>
      </x:c>
      <x:c r="J10" s="13"/>
      <x:c r="K10" s="13" t="s">
        <x:v>715</x:v>
      </x:c>
    </x:row>
    <x:row r="11" ht="24" customHeight="1">
      <x:c r="A11" s="14" t="s">
        <x:v>197</x:v>
      </x:c>
      <x:c r="B11" s="14" t="s">
        <x:v>198</x:v>
      </x:c>
      <x:c r="C11" s="14" t="s">
        <x:v>199</x:v>
      </x:c>
      <x:c r="D11" s="14" t="s">
        <x:v>98</x:v>
      </x:c>
      <x:c r="E11" s="14" t="s">
        <x:v>172</x:v>
      </x:c>
      <x:c r="F11" s="14" t="s">
        <x:v>87</x:v>
      </x:c>
      <x:c r="G11" s="14"/>
      <x:c r="H11" s="14"/>
      <x:c r="I11" s="14" t="s">
        <x:v>106</x:v>
      </x:c>
      <x:c r="J11" s="14"/>
      <x:c r="K11" s="14" t="s">
        <x:v>715</x:v>
      </x:c>
    </x:row>
    <x:row r="12" ht="24" customHeight="1">
      <x:c r="A12" s="13" t="s">
        <x:v>202</x:v>
      </x:c>
      <x:c r="B12" s="13" t="s">
        <x:v>203</x:v>
      </x:c>
      <x:c r="C12" s="13" t="s">
        <x:v>204</x:v>
      </x:c>
      <x:c r="D12" s="13" t="s">
        <x:v>107</x:v>
      </x:c>
      <x:c r="E12" s="13" t="s">
        <x:v>206</x:v>
      </x:c>
      <x:c r="F12" s="13" t="s">
        <x:v>87</x:v>
      </x:c>
      <x:c r="G12" s="13"/>
      <x:c r="H12" s="13"/>
      <x:c r="I12" s="13" t="s">
        <x:v>102</x:v>
      </x:c>
      <x:c r="J12" s="13"/>
      <x:c r="K12" s="13" t="s">
        <x:v>715</x:v>
      </x:c>
    </x:row>
    <x:row r="13" ht="24" customHeight="1">
      <x:c r="A13" s="14" t="s">
        <x:v>208</x:v>
      </x:c>
      <x:c r="B13" s="14" t="s">
        <x:v>203</x:v>
      </x:c>
      <x:c r="C13" s="14" t="s">
        <x:v>209</x:v>
      </x:c>
      <x:c r="D13" s="14" t="s">
        <x:v>211</x:v>
      </x:c>
      <x:c r="E13" s="14" t="s">
        <x:v>183</x:v>
      </x:c>
      <x:c r="F13" s="14" t="s">
        <x:v>87</x:v>
      </x:c>
      <x:c r="G13" s="14"/>
      <x:c r="H13" s="14"/>
      <x:c r="I13" s="14" t="s">
        <x:v>106</x:v>
      </x:c>
      <x:c r="J13" s="14"/>
      <x:c r="K13" s="14" t="s">
        <x:v>715</x:v>
      </x:c>
    </x:row>
    <x:row r="14" ht="24" customHeight="1">
      <x:c r="A14" s="13" t="s">
        <x:v>213</x:v>
      </x:c>
      <x:c r="B14" s="13" t="s">
        <x:v>214</x:v>
      </x:c>
      <x:c r="C14" s="13" t="s">
        <x:v>215</x:v>
      </x:c>
      <x:c r="D14" s="13" t="s">
        <x:v>98</x:v>
      </x:c>
      <x:c r="E14" s="13" t="s">
        <x:v>206</x:v>
      </x:c>
      <x:c r="F14" s="13" t="s">
        <x:v>87</x:v>
      </x:c>
      <x:c r="G14" s="13"/>
      <x:c r="H14" s="13"/>
      <x:c r="I14" s="13" t="s">
        <x:v>102</x:v>
      </x:c>
      <x:c r="J14" s="13"/>
      <x:c r="K14" s="13" t="s">
        <x:v>715</x:v>
      </x:c>
    </x:row>
    <x:row r="15" ht="24" customHeight="1">
      <x:c r="A15" s="14" t="s">
        <x:v>218</x:v>
      </x:c>
      <x:c r="B15" s="14" t="s">
        <x:v>219</x:v>
      </x:c>
      <x:c r="C15" s="14" t="s">
        <x:v>220</x:v>
      </x:c>
      <x:c r="D15" s="14" t="s">
        <x:v>98</x:v>
      </x:c>
      <x:c r="E15" s="14" t="s">
        <x:v>172</x:v>
      </x:c>
      <x:c r="F15" s="14" t="s">
        <x:v>87</x:v>
      </x:c>
      <x:c r="G15" s="14"/>
      <x:c r="H15" s="14"/>
      <x:c r="I15" s="14" t="s">
        <x:v>106</x:v>
      </x:c>
      <x:c r="J15" s="14"/>
      <x:c r="K15" s="14" t="s">
        <x:v>715</x:v>
      </x:c>
    </x:row>
    <x:row r="16" ht="24" customHeight="1">
      <x:c r="A16" s="13" t="s">
        <x:v>223</x:v>
      </x:c>
      <x:c r="B16" s="13" t="s">
        <x:v>224</x:v>
      </x:c>
      <x:c r="C16" s="13" t="s">
        <x:v>225</x:v>
      </x:c>
      <x:c r="D16" s="13" t="s">
        <x:v>227</x:v>
      </x:c>
      <x:c r="E16" s="13" t="s">
        <x:v>206</x:v>
      </x:c>
      <x:c r="F16" s="13" t="s">
        <x:v>87</x:v>
      </x:c>
      <x:c r="G16" s="13"/>
      <x:c r="H16" s="13"/>
      <x:c r="I16" s="13" t="s">
        <x:v>111</x:v>
      </x:c>
      <x:c r="J16" s="13"/>
      <x:c r="K16" s="13" t="s">
        <x:v>715</x:v>
      </x:c>
    </x:row>
    <x:row r="17" ht="24" customHeight="1">
      <x:c r="A17" s="14" t="s">
        <x:v>229</x:v>
      </x:c>
      <x:c r="B17" s="14" t="s">
        <x:v>230</x:v>
      </x:c>
      <x:c r="C17" s="14" t="s">
        <x:v>231</x:v>
      </x:c>
      <x:c r="D17" s="14" t="s">
        <x:v>233</x:v>
      </x:c>
      <x:c r="E17" s="14" t="s">
        <x:v>183</x:v>
      </x:c>
      <x:c r="F17" s="14" t="s">
        <x:v>87</x:v>
      </x:c>
      <x:c r="G17" s="14"/>
      <x:c r="H17" s="14"/>
      <x:c r="I17" s="14" t="s">
        <x:v>111</x:v>
      </x:c>
      <x:c r="J17" s="14"/>
      <x:c r="K17" s="14" t="s">
        <x:v>715</x:v>
      </x:c>
    </x:row>
    <x:row r="18" ht="24" customHeight="1">
      <x:c r="A18" s="13" t="s">
        <x:v>235</x:v>
      </x:c>
      <x:c r="B18" s="13" t="s">
        <x:v>236</x:v>
      </x:c>
      <x:c r="C18" s="13" t="s">
        <x:v>237</x:v>
      </x:c>
      <x:c r="D18" s="13" t="s">
        <x:v>239</x:v>
      </x:c>
      <x:c r="E18" s="13" t="s">
        <x:v>172</x:v>
      </x:c>
      <x:c r="F18" s="13" t="s">
        <x:v>87</x:v>
      </x:c>
      <x:c r="G18" s="13"/>
      <x:c r="H18" s="13"/>
      <x:c r="I18" s="13" t="s">
        <x:v>111</x:v>
      </x:c>
      <x:c r="J18" s="13"/>
      <x:c r="K18" s="13" t="s">
        <x:v>715</x:v>
      </x:c>
    </x:row>
    <x:row r="19" ht="24" customHeight="1">
      <x:c r="A19" s="14" t="s">
        <x:v>241</x:v>
      </x:c>
      <x:c r="B19" s="14" t="s">
        <x:v>242</x:v>
      </x:c>
      <x:c r="C19" s="14" t="s">
        <x:v>243</x:v>
      </x:c>
      <x:c r="D19" s="14" t="s">
        <x:v>245</x:v>
      </x:c>
      <x:c r="E19" s="14" t="s">
        <x:v>183</x:v>
      </x:c>
      <x:c r="F19" s="14" t="s">
        <x:v>87</x:v>
      </x:c>
      <x:c r="G19" s="14"/>
      <x:c r="H19" s="14"/>
      <x:c r="I19" s="14" t="s">
        <x:v>246</x:v>
      </x:c>
      <x:c r="J19" s="14"/>
      <x:c r="K19" s="14" t="s">
        <x:v>715</x:v>
      </x:c>
    </x:row>
    <x:row r="20" ht="24" customHeight="1">
      <x:c r="A20" s="13" t="s">
        <x:v>248</x:v>
      </x:c>
      <x:c r="B20" s="13" t="s">
        <x:v>249</x:v>
      </x:c>
      <x:c r="C20" s="13" t="s">
        <x:v>250</x:v>
      </x:c>
      <x:c r="D20" s="13" t="s">
        <x:v>252</x:v>
      </x:c>
      <x:c r="E20" s="13" t="s">
        <x:v>183</x:v>
      </x:c>
      <x:c r="F20" s="13" t="s">
        <x:v>87</x:v>
      </x:c>
      <x:c r="G20" s="13"/>
      <x:c r="H20" s="13"/>
      <x:c r="I20" s="13" t="s">
        <x:v>116</x:v>
      </x:c>
      <x:c r="J20" s="13"/>
      <x:c r="K20" s="13" t="s">
        <x:v>715</x:v>
      </x:c>
    </x:row>
    <x:row r="21" ht="24" customHeight="1">
      <x:c r="A21" s="14" t="s">
        <x:v>254</x:v>
      </x:c>
      <x:c r="B21" s="14" t="s">
        <x:v>255</x:v>
      </x:c>
      <x:c r="C21" s="14" t="s">
        <x:v>256</x:v>
      </x:c>
      <x:c r="D21" s="14" t="s">
        <x:v>258</x:v>
      </x:c>
      <x:c r="E21" s="14" t="s">
        <x:v>172</x:v>
      </x:c>
      <x:c r="F21" s="14" t="s">
        <x:v>87</x:v>
      </x:c>
      <x:c r="G21" s="14"/>
      <x:c r="H21" s="14"/>
      <x:c r="I21" s="14" t="s">
        <x:v>97</x:v>
      </x:c>
      <x:c r="J21" s="14"/>
      <x:c r="K21" s="14" t="s">
        <x:v>715</x:v>
      </x:c>
    </x:row>
    <x:row r="22" ht="24" customHeight="1">
      <x:c r="A22" s="13" t="s">
        <x:v>260</x:v>
      </x:c>
      <x:c r="B22" s="13" t="s">
        <x:v>261</x:v>
      </x:c>
      <x:c r="C22" s="13" t="s">
        <x:v>262</x:v>
      </x:c>
      <x:c r="D22" s="13" t="s">
        <x:v>107</x:v>
      </x:c>
      <x:c r="E22" s="13" t="s">
        <x:v>206</x:v>
      </x:c>
      <x:c r="F22" s="13" t="s">
        <x:v>87</x:v>
      </x:c>
      <x:c r="G22" s="13"/>
      <x:c r="H22" s="13"/>
      <x:c r="I22" s="13" t="s">
        <x:v>120</x:v>
      </x:c>
      <x:c r="J22" s="13"/>
      <x:c r="K22" s="13" t="s">
        <x:v>715</x:v>
      </x:c>
    </x:row>
    <x:row r="23" ht="24" customHeight="1">
      <x:c r="A23" s="14" t="s">
        <x:v>265</x:v>
      </x:c>
      <x:c r="B23" s="14" t="s">
        <x:v>261</x:v>
      </x:c>
      <x:c r="C23" s="14" t="s">
        <x:v>266</x:v>
      </x:c>
      <x:c r="D23" s="14" t="s">
        <x:v>252</x:v>
      </x:c>
      <x:c r="E23" s="14" t="s">
        <x:v>206</x:v>
      </x:c>
      <x:c r="F23" s="14" t="s">
        <x:v>87</x:v>
      </x:c>
      <x:c r="G23" s="14"/>
      <x:c r="H23" s="14"/>
      <x:c r="I23" s="14" t="s">
        <x:v>116</x:v>
      </x:c>
      <x:c r="J23" s="14"/>
      <x:c r="K23" s="14" t="s">
        <x:v>715</x:v>
      </x:c>
    </x:row>
    <x:row r="24" ht="24" customHeight="1">
      <x:c r="A24" s="13" t="s">
        <x:v>269</x:v>
      </x:c>
      <x:c r="B24" s="13" t="s">
        <x:v>261</x:v>
      </x:c>
      <x:c r="C24" s="13" t="s">
        <x:v>270</x:v>
      </x:c>
      <x:c r="D24" s="13" t="s">
        <x:v>107</x:v>
      </x:c>
      <x:c r="E24" s="13" t="s">
        <x:v>172</x:v>
      </x:c>
      <x:c r="F24" s="13" t="s">
        <x:v>87</x:v>
      </x:c>
      <x:c r="G24" s="13"/>
      <x:c r="H24" s="13"/>
      <x:c r="I24" s="13" t="s">
        <x:v>116</x:v>
      </x:c>
      <x:c r="J24" s="13"/>
      <x:c r="K24" s="13" t="s">
        <x:v>715</x:v>
      </x:c>
    </x:row>
    <x:row r="25" ht="24" customHeight="1">
      <x:c r="A25" s="14" t="s">
        <x:v>273</x:v>
      </x:c>
      <x:c r="B25" s="14" t="s">
        <x:v>261</x:v>
      </x:c>
      <x:c r="C25" s="14" t="s">
        <x:v>274</x:v>
      </x:c>
      <x:c r="D25" s="14" t="s">
        <x:v>276</x:v>
      </x:c>
      <x:c r="E25" s="14" t="s">
        <x:v>206</x:v>
      </x:c>
      <x:c r="F25" s="14" t="s">
        <x:v>87</x:v>
      </x:c>
      <x:c r="G25" s="14"/>
      <x:c r="H25" s="14"/>
      <x:c r="I25" s="14" t="s">
        <x:v>116</x:v>
      </x:c>
      <x:c r="J25" s="14"/>
      <x:c r="K25" s="14" t="s">
        <x:v>715</x:v>
      </x:c>
    </x:row>
    <x:row r="26" ht="24" customHeight="1">
      <x:c r="A26" s="13" t="s">
        <x:v>278</x:v>
      </x:c>
      <x:c r="B26" s="13" t="s">
        <x:v>261</x:v>
      </x:c>
      <x:c r="C26" s="13" t="s">
        <x:v>279</x:v>
      </x:c>
      <x:c r="D26" s="13" t="s">
        <x:v>281</x:v>
      </x:c>
      <x:c r="E26" s="13" t="s">
        <x:v>172</x:v>
      </x:c>
      <x:c r="F26" s="13" t="s">
        <x:v>87</x:v>
      </x:c>
      <x:c r="G26" s="13"/>
      <x:c r="H26" s="13"/>
      <x:c r="I26" s="13" t="s">
        <x:v>120</x:v>
      </x:c>
      <x:c r="J26" s="13"/>
      <x:c r="K26" s="13" t="s">
        <x:v>715</x:v>
      </x:c>
    </x:row>
    <x:row r="27" ht="24" customHeight="1">
      <x:c r="A27" s="14" t="s">
        <x:v>283</x:v>
      </x:c>
      <x:c r="B27" s="14" t="s">
        <x:v>284</x:v>
      </x:c>
      <x:c r="C27" s="14" t="s">
        <x:v>285</x:v>
      </x:c>
      <x:c r="D27" s="14" t="s">
        <x:v>287</x:v>
      </x:c>
      <x:c r="E27" s="14" t="s">
        <x:v>206</x:v>
      </x:c>
      <x:c r="F27" s="14" t="s">
        <x:v>87</x:v>
      </x:c>
      <x:c r="G27" s="14"/>
      <x:c r="H27" s="14"/>
      <x:c r="I27" s="14" t="s">
        <x:v>120</x:v>
      </x:c>
      <x:c r="J27" s="14"/>
      <x:c r="K27" s="14" t="s">
        <x:v>715</x:v>
      </x:c>
    </x:row>
    <x:row r="28" ht="24" customHeight="1">
      <x:c r="A28" s="13" t="s">
        <x:v>289</x:v>
      </x:c>
      <x:c r="B28" s="13" t="s">
        <x:v>290</x:v>
      </x:c>
      <x:c r="C28" s="13" t="s">
        <x:v>291</x:v>
      </x:c>
      <x:c r="D28" s="13" t="s">
        <x:v>252</x:v>
      </x:c>
      <x:c r="E28" s="13" t="s">
        <x:v>206</x:v>
      </x:c>
      <x:c r="F28" s="13" t="s">
        <x:v>87</x:v>
      </x:c>
      <x:c r="G28" s="13"/>
      <x:c r="H28" s="13"/>
      <x:c r="I28" s="13" t="s">
        <x:v>111</x:v>
      </x:c>
      <x:c r="J28" s="13"/>
      <x:c r="K28" s="13" t="s">
        <x:v>715</x:v>
      </x:c>
    </x:row>
    <x:row r="29" ht="24" customHeight="1">
      <x:c r="A29" s="14" t="s">
        <x:v>294</x:v>
      </x:c>
      <x:c r="B29" s="14" t="s">
        <x:v>290</x:v>
      </x:c>
      <x:c r="C29" s="14" t="s">
        <x:v>295</x:v>
      </x:c>
      <x:c r="D29" s="14" t="s">
        <x:v>276</x:v>
      </x:c>
      <x:c r="E29" s="14" t="s">
        <x:v>183</x:v>
      </x:c>
      <x:c r="F29" s="14" t="s">
        <x:v>87</x:v>
      </x:c>
      <x:c r="G29" s="14"/>
      <x:c r="H29" s="14"/>
      <x:c r="I29" s="14" t="s">
        <x:v>120</x:v>
      </x:c>
      <x:c r="J29" s="14"/>
      <x:c r="K29" s="14" t="s">
        <x:v>715</x:v>
      </x:c>
    </x:row>
    <x:row r="30" ht="24" customHeight="1">
      <x:c r="A30" s="13" t="s">
        <x:v>298</x:v>
      </x:c>
      <x:c r="B30" s="13" t="s">
        <x:v>299</x:v>
      </x:c>
      <x:c r="C30" s="13" t="s">
        <x:v>300</x:v>
      </x:c>
      <x:c r="D30" s="13" t="s">
        <x:v>98</x:v>
      </x:c>
      <x:c r="E30" s="13" t="s">
        <x:v>206</x:v>
      </x:c>
      <x:c r="F30" s="13" t="s">
        <x:v>87</x:v>
      </x:c>
      <x:c r="G30" s="13"/>
      <x:c r="H30" s="13"/>
      <x:c r="I30" s="13" t="s">
        <x:v>116</x:v>
      </x:c>
      <x:c r="J30" s="13"/>
      <x:c r="K30" s="13" t="s">
        <x:v>715</x:v>
      </x:c>
    </x:row>
    <x:row r="31" ht="24" customHeight="1">
      <x:c r="A31" s="14" t="s">
        <x:v>303</x:v>
      </x:c>
      <x:c r="B31" s="14" t="s">
        <x:v>304</x:v>
      </x:c>
      <x:c r="C31" s="14" t="s">
        <x:v>305</x:v>
      </x:c>
      <x:c r="D31" s="14" t="s">
        <x:v>114</x:v>
      </x:c>
      <x:c r="E31" s="14" t="s">
        <x:v>206</x:v>
      </x:c>
      <x:c r="F31" s="14" t="s">
        <x:v>87</x:v>
      </x:c>
      <x:c r="G31" s="14"/>
      <x:c r="H31" s="14"/>
      <x:c r="I31" s="14" t="s">
        <x:v>116</x:v>
      </x:c>
      <x:c r="J31" s="14"/>
      <x:c r="K31" s="14" t="s">
        <x:v>715</x:v>
      </x:c>
    </x:row>
    <x:row r="32" ht="24" customHeight="1">
      <x:c r="A32" s="13" t="s">
        <x:v>308</x:v>
      </x:c>
      <x:c r="B32" s="13" t="s">
        <x:v>309</x:v>
      </x:c>
      <x:c r="C32" s="13" t="s">
        <x:v>310</x:v>
      </x:c>
      <x:c r="D32" s="13" t="s">
        <x:v>189</x:v>
      </x:c>
      <x:c r="E32" s="13" t="s">
        <x:v>206</x:v>
      </x:c>
      <x:c r="F32" s="13" t="s">
        <x:v>87</x:v>
      </x:c>
      <x:c r="G32" s="13"/>
      <x:c r="H32" s="13"/>
      <x:c r="I32" s="13" t="s">
        <x:v>120</x:v>
      </x:c>
      <x:c r="J32" s="13"/>
      <x:c r="K32" s="13" t="s">
        <x:v>715</x:v>
      </x:c>
    </x:row>
    <x:row r="33" ht="24" customHeight="1">
      <x:c r="A33" s="14" t="s">
        <x:v>313</x:v>
      </x:c>
      <x:c r="B33" s="14" t="s">
        <x:v>314</x:v>
      </x:c>
      <x:c r="C33" s="14" t="s">
        <x:v>315</x:v>
      </x:c>
      <x:c r="D33" s="14" t="s">
        <x:v>317</x:v>
      </x:c>
      <x:c r="E33" s="14" t="s">
        <x:v>206</x:v>
      </x:c>
      <x:c r="F33" s="14" t="s">
        <x:v>87</x:v>
      </x:c>
      <x:c r="G33" s="14"/>
      <x:c r="H33" s="14"/>
      <x:c r="I33" s="14" t="s">
        <x:v>120</x:v>
      </x:c>
      <x:c r="J33" s="14"/>
      <x:c r="K33" s="14" t="s">
        <x:v>715</x:v>
      </x:c>
    </x:row>
    <x:row r="34" ht="24" customHeight="1">
      <x:c r="A34" s="13" t="s">
        <x:v>319</x:v>
      </x:c>
      <x:c r="B34" s="13" t="s">
        <x:v>320</x:v>
      </x:c>
      <x:c r="C34" s="13" t="s">
        <x:v>321</x:v>
      </x:c>
      <x:c r="D34" s="13" t="s">
        <x:v>227</x:v>
      </x:c>
      <x:c r="E34" s="13" t="s">
        <x:v>183</x:v>
      </x:c>
      <x:c r="F34" s="13" t="s">
        <x:v>87</x:v>
      </x:c>
      <x:c r="G34" s="13"/>
      <x:c r="H34" s="13"/>
      <x:c r="I34" s="13" t="s">
        <x:v>130</x:v>
      </x:c>
      <x:c r="J34" s="13"/>
      <x:c r="K34" s="13" t="s">
        <x:v>715</x:v>
      </x:c>
    </x:row>
    <x:row r="35" ht="24" customHeight="1">
      <x:c r="A35" s="14" t="s">
        <x:v>324</x:v>
      </x:c>
      <x:c r="B35" s="14" t="s">
        <x:v>325</x:v>
      </x:c>
      <x:c r="C35" s="14" t="s">
        <x:v>326</x:v>
      </x:c>
      <x:c r="D35" s="14" t="s">
        <x:v>98</x:v>
      </x:c>
      <x:c r="E35" s="14" t="s">
        <x:v>206</x:v>
      </x:c>
      <x:c r="F35" s="14" t="s">
        <x:v>87</x:v>
      </x:c>
      <x:c r="G35" s="14"/>
      <x:c r="H35" s="14"/>
      <x:c r="I35" s="14" t="s">
        <x:v>111</x:v>
      </x:c>
      <x:c r="J35" s="14"/>
      <x:c r="K35" s="14" t="s">
        <x:v>715</x:v>
      </x:c>
    </x:row>
    <x:row r="36" ht="24" customHeight="1">
      <x:c r="A36" s="13" t="s">
        <x:v>329</x:v>
      </x:c>
      <x:c r="B36" s="13" t="s">
        <x:v>325</x:v>
      </x:c>
      <x:c r="C36" s="13" t="s">
        <x:v>330</x:v>
      </x:c>
      <x:c r="D36" s="13" t="s">
        <x:v>252</x:v>
      </x:c>
      <x:c r="E36" s="13" t="s">
        <x:v>172</x:v>
      </x:c>
      <x:c r="F36" s="13" t="s">
        <x:v>87</x:v>
      </x:c>
      <x:c r="G36" s="13"/>
      <x:c r="H36" s="13"/>
      <x:c r="I36" s="13" t="s">
        <x:v>120</x:v>
      </x:c>
      <x:c r="J36" s="13"/>
      <x:c r="K36" s="13" t="s">
        <x:v>715</x:v>
      </x:c>
    </x:row>
    <x:row r="37" ht="24" customHeight="1">
      <x:c r="A37" s="14" t="s">
        <x:v>333</x:v>
      </x:c>
      <x:c r="B37" s="14" t="s">
        <x:v>334</x:v>
      </x:c>
      <x:c r="C37" s="14" t="s">
        <x:v>335</x:v>
      </x:c>
      <x:c r="D37" s="14" t="s">
        <x:v>337</x:v>
      </x:c>
      <x:c r="E37" s="14" t="s">
        <x:v>172</x:v>
      </x:c>
      <x:c r="F37" s="14" t="s">
        <x:v>87</x:v>
      </x:c>
      <x:c r="G37" s="14"/>
      <x:c r="H37" s="14"/>
      <x:c r="I37" s="14" t="s">
        <x:v>136</x:v>
      </x:c>
      <x:c r="J37" s="14"/>
      <x:c r="K37" s="14" t="s">
        <x:v>715</x:v>
      </x:c>
    </x:row>
    <x:row r="38" ht="24" customHeight="1">
      <x:c r="A38" s="13" t="s">
        <x:v>339</x:v>
      </x:c>
      <x:c r="B38" s="13" t="s">
        <x:v>334</x:v>
      </x:c>
      <x:c r="C38" s="13" t="s">
        <x:v>340</x:v>
      </x:c>
      <x:c r="D38" s="13" t="s">
        <x:v>98</x:v>
      </x:c>
      <x:c r="E38" s="13" t="s">
        <x:v>206</x:v>
      </x:c>
      <x:c r="F38" s="13" t="s">
        <x:v>87</x:v>
      </x:c>
      <x:c r="G38" s="13"/>
      <x:c r="H38" s="13"/>
      <x:c r="I38" s="13" t="s">
        <x:v>91</x:v>
      </x:c>
      <x:c r="J38" s="13"/>
      <x:c r="K38" s="13" t="s">
        <x:v>715</x:v>
      </x:c>
    </x:row>
    <x:row r="39" ht="24" customHeight="1">
      <x:c r="A39" s="14" t="s">
        <x:v>343</x:v>
      </x:c>
      <x:c r="B39" s="14" t="s">
        <x:v>344</x:v>
      </x:c>
      <x:c r="C39" s="14" t="s">
        <x:v>345</x:v>
      </x:c>
      <x:c r="D39" s="14" t="s">
        <x:v>80</x:v>
      </x:c>
      <x:c r="E39" s="14" t="s">
        <x:v>172</x:v>
      </x:c>
      <x:c r="F39" s="14" t="s">
        <x:v>347</x:v>
      </x:c>
      <x:c r="G39" s="14"/>
      <x:c r="H39" s="14"/>
      <x:c r="I39" s="14" t="s">
        <x:v>79</x:v>
      </x:c>
      <x:c r="J39" s="14"/>
      <x:c r="K39" s="14" t="s">
        <x:v>715</x:v>
      </x:c>
    </x:row>
    <x:row r="40" ht="24" customHeight="1">
      <x:c r="A40" s="13" t="s">
        <x:v>349</x:v>
      </x:c>
      <x:c r="B40" s="13" t="s">
        <x:v>344</x:v>
      </x:c>
      <x:c r="C40" s="13" t="s">
        <x:v>350</x:v>
      </x:c>
      <x:c r="D40" s="13" t="s">
        <x:v>126</x:v>
      </x:c>
      <x:c r="E40" s="13" t="s">
        <x:v>172</x:v>
      </x:c>
      <x:c r="F40" s="13" t="s">
        <x:v>352</x:v>
      </x:c>
      <x:c r="G40" s="13"/>
      <x:c r="H40" s="13"/>
      <x:c r="I40" s="13" t="s">
        <x:v>125</x:v>
      </x:c>
      <x:c r="J40" s="13"/>
      <x:c r="K40" s="13" t="s">
        <x:v>715</x:v>
      </x:c>
    </x:row>
    <x:row r="41" ht="24" customHeight="1">
      <x:c r="A41" s="14" t="s">
        <x:v>354</x:v>
      </x:c>
      <x:c r="B41" s="14" t="s">
        <x:v>344</x:v>
      </x:c>
      <x:c r="C41" s="14" t="s">
        <x:v>355</x:v>
      </x:c>
      <x:c r="D41" s="14" t="s">
        <x:v>131</x:v>
      </x:c>
      <x:c r="E41" s="14" t="s">
        <x:v>172</x:v>
      </x:c>
      <x:c r="F41" s="14" t="s">
        <x:v>87</x:v>
      </x:c>
      <x:c r="G41" s="14"/>
      <x:c r="H41" s="14"/>
      <x:c r="I41" s="14" t="s">
        <x:v>130</x:v>
      </x:c>
      <x:c r="J41" s="14"/>
      <x:c r="K41" s="14" t="s">
        <x:v>715</x:v>
      </x:c>
    </x:row>
    <x:row r="42" ht="24" customHeight="1">
      <x:c r="A42" s="13" t="s">
        <x:v>358</x:v>
      </x:c>
      <x:c r="B42" s="13" t="s">
        <x:v>359</x:v>
      </x:c>
      <x:c r="C42" s="13" t="s">
        <x:v>360</x:v>
      </x:c>
      <x:c r="D42" s="13" t="s">
        <x:v>362</x:v>
      </x:c>
      <x:c r="E42" s="13" t="s">
        <x:v>206</x:v>
      </x:c>
      <x:c r="F42" s="13" t="s">
        <x:v>87</x:v>
      </x:c>
      <x:c r="G42" s="13"/>
      <x:c r="H42" s="13"/>
      <x:c r="I42" s="13" t="s">
        <x:v>86</x:v>
      </x:c>
      <x:c r="J42" s="13"/>
      <x:c r="K42" s="13" t="s">
        <x:v>715</x:v>
      </x:c>
    </x:row>
  </x:sheetData>
  <x:mergeCells>
    <x:mergeCell ref="A1:K2"/>
    <x:mergeCell ref="A3:K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customWidth="1"/>
    <x:col min="2" max="2" width="22" customWidth="1"/>
    <x:col min="3" max="3" width="25" customWidth="1"/>
    <x:col min="4" max="4" width="29" customWidth="1"/>
    <x:col min="5" max="5" width="25" customWidth="1"/>
    <x:col min="6" max="6" width="23" customWidth="1"/>
    <x:col min="7" max="9" width="12" customWidth="1"/>
    <x:col min="10" max="10" width="15" customWidth="1"/>
    <x:col min="11" max="11" width="16" customWidth="1"/>
    <x:col min="12" max="12" width="30" customWidth="1"/>
    <x:col min="13" max="13" width="45" customWidth="1"/>
  </x:cols>
  <x:sheetData>
    <x:row r="1" ht="24" customHeight="1">
      <x:c r="A1" s="9" t="s">
        <x:v>716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36" customHeight="1">
      <x:c r="A3" s="10" t="s">
        <x:v>717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2.099998474121094" customHeight="1">
      <x:c r="A5" s="12" t="s">
        <x:v>69</x:v>
      </x:c>
      <x:c r="B5" s="12" t="s">
        <x:v>718</x:v>
      </x:c>
      <x:c r="C5" s="12" t="s">
        <x:v>719</x:v>
      </x:c>
      <x:c r="D5" s="12" t="s">
        <x:v>720</x:v>
      </x:c>
      <x:c r="E5" s="12" t="s">
        <x:v>721</x:v>
      </x:c>
      <x:c r="F5" s="12" t="s">
        <x:v>722</x:v>
      </x:c>
      <x:c r="G5" s="12" t="s">
        <x:v>723</x:v>
      </x:c>
      <x:c r="H5" s="12" t="s">
        <x:v>724</x:v>
      </x:c>
      <x:c r="I5" s="12" t="s">
        <x:v>725</x:v>
      </x:c>
      <x:c r="J5" s="12" t="s">
        <x:v>726</x:v>
      </x:c>
      <x:c r="K5" s="12" t="s">
        <x:v>727</x:v>
      </x:c>
      <x:c r="L5" s="12" t="s">
        <x:v>728</x:v>
      </x:c>
      <x:c r="M5" s="12" t="s">
        <x:v>729</x:v>
      </x:c>
    </x:row>
    <x:row r="6" ht="24.75" customHeight="1">
      <x:c r="A6" s="13">
        <x:v>1</x:v>
      </x:c>
      <x:c r="B6" s="13" t="s">
        <x:v>730</x:v>
      </x:c>
      <x:c r="C6" s="13" t="s">
        <x:v>731</x:v>
      </x:c>
      <x:c r="D6" s="13" t="s">
        <x:v>732</x:v>
      </x:c>
      <x:c r="E6" s="13" t="s">
        <x:v>733</x:v>
      </x:c>
      <x:c r="F6" s="13" t="s">
        <x:v>734</x:v>
      </x:c>
      <x:c r="G6" s="13"/>
      <x:c r="H6" s="13"/>
      <x:c r="I6" s="13"/>
      <x:c r="J6" s="13" t="str">
        <x:f t="shared" ref="J6:J15" si="0">IF(OR(G6="",H6="",I6=""),"",G6*H6*I6)</x:f>
      </x:c>
      <x:c r="K6" s="13"/>
      <x:c r="L6" s="13"/>
      <x:c r="M6" s="13" t="s">
        <x:v>735</x:v>
      </x:c>
    </x:row>
    <x:row r="7" ht="24.75" customHeight="1">
      <x:c r="A7" s="14">
        <x:v>2</x:v>
      </x:c>
      <x:c r="B7" s="14" t="s">
        <x:v>736</x:v>
      </x:c>
      <x:c r="C7" s="14" t="s">
        <x:v>737</x:v>
      </x:c>
      <x:c r="D7" s="14" t="s">
        <x:v>738</x:v>
      </x:c>
      <x:c r="E7" s="14" t="s">
        <x:v>739</x:v>
      </x:c>
      <x:c r="F7" s="14" t="s">
        <x:v>734</x:v>
      </x:c>
      <x:c r="G7" s="14"/>
      <x:c r="H7" s="14"/>
      <x:c r="I7" s="14"/>
      <x:c r="J7" s="14" t="str">
        <x:f t="shared" si="0"/>
      </x:c>
      <x:c r="K7" s="14"/>
      <x:c r="L7" s="14"/>
      <x:c r="M7" s="14" t="s">
        <x:v>735</x:v>
      </x:c>
    </x:row>
    <x:row r="8" ht="24.75" customHeight="1">
      <x:c r="A8" s="13">
        <x:v>3</x:v>
      </x:c>
      <x:c r="B8" s="13" t="s">
        <x:v>740</x:v>
      </x:c>
      <x:c r="C8" s="13" t="s">
        <x:v>741</x:v>
      </x:c>
      <x:c r="D8" s="13" t="s">
        <x:v>742</x:v>
      </x:c>
      <x:c r="E8" s="13" t="s">
        <x:v>743</x:v>
      </x:c>
      <x:c r="F8" s="13" t="s">
        <x:v>734</x:v>
      </x:c>
      <x:c r="G8" s="13"/>
      <x:c r="H8" s="13"/>
      <x:c r="I8" s="13"/>
      <x:c r="J8" s="13" t="str">
        <x:f t="shared" si="0"/>
      </x:c>
      <x:c r="K8" s="13"/>
      <x:c r="L8" s="13"/>
      <x:c r="M8" s="13" t="s">
        <x:v>735</x:v>
      </x:c>
    </x:row>
    <x:row r="9" ht="24.75" customHeight="1">
      <x:c r="A9" s="14">
        <x:v>4</x:v>
      </x:c>
      <x:c r="B9" s="14" t="s">
        <x:v>744</x:v>
      </x:c>
      <x:c r="C9" s="14" t="s">
        <x:v>745</x:v>
      </x:c>
      <x:c r="D9" s="14" t="s">
        <x:v>746</x:v>
      </x:c>
      <x:c r="E9" s="14" t="s">
        <x:v>747</x:v>
      </x:c>
      <x:c r="F9" s="14" t="s">
        <x:v>734</x:v>
      </x:c>
      <x:c r="G9" s="14"/>
      <x:c r="H9" s="14"/>
      <x:c r="I9" s="14"/>
      <x:c r="J9" s="14" t="str">
        <x:f t="shared" si="0"/>
      </x:c>
      <x:c r="K9" s="14"/>
      <x:c r="L9" s="14"/>
      <x:c r="M9" s="14" t="s">
        <x:v>735</x:v>
      </x:c>
    </x:row>
    <x:row r="10" ht="24.75" customHeight="1">
      <x:c r="A10" s="13">
        <x:v>5</x:v>
      </x:c>
      <x:c r="B10" s="13" t="s">
        <x:v>748</x:v>
      </x:c>
      <x:c r="C10" s="13" t="s">
        <x:v>749</x:v>
      </x:c>
      <x:c r="D10" s="13" t="s">
        <x:v>750</x:v>
      </x:c>
      <x:c r="E10" s="13" t="s">
        <x:v>751</x:v>
      </x:c>
      <x:c r="F10" s="13" t="s">
        <x:v>734</x:v>
      </x:c>
      <x:c r="G10" s="13"/>
      <x:c r="H10" s="13"/>
      <x:c r="I10" s="13"/>
      <x:c r="J10" s="13" t="str">
        <x:f t="shared" si="0"/>
      </x:c>
      <x:c r="K10" s="13"/>
      <x:c r="L10" s="13"/>
      <x:c r="M10" s="13" t="s">
        <x:v>735</x:v>
      </x:c>
    </x:row>
    <x:row r="11" ht="24.75" customHeight="1">
      <x:c r="A11" s="14">
        <x:v>6</x:v>
      </x:c>
      <x:c r="B11" s="14" t="s">
        <x:v>752</x:v>
      </x:c>
      <x:c r="C11" s="14" t="s">
        <x:v>753</x:v>
      </x:c>
      <x:c r="D11" s="14" t="s">
        <x:v>754</x:v>
      </x:c>
      <x:c r="E11" s="14" t="s">
        <x:v>755</x:v>
      </x:c>
      <x:c r="F11" s="14" t="s">
        <x:v>734</x:v>
      </x:c>
      <x:c r="G11" s="14"/>
      <x:c r="H11" s="14"/>
      <x:c r="I11" s="14"/>
      <x:c r="J11" s="14" t="str">
        <x:f t="shared" si="0"/>
      </x:c>
      <x:c r="K11" s="14"/>
      <x:c r="L11" s="14"/>
      <x:c r="M11" s="14" t="s">
        <x:v>735</x:v>
      </x:c>
    </x:row>
    <x:row r="12" ht="24.75" customHeight="1">
      <x:c r="A12" s="13">
        <x:v>7</x:v>
      </x:c>
      <x:c r="B12" s="13" t="s">
        <x:v>756</x:v>
      </x:c>
      <x:c r="C12" s="13" t="s">
        <x:v>757</x:v>
      </x:c>
      <x:c r="D12" s="13" t="s">
        <x:v>758</x:v>
      </x:c>
      <x:c r="E12" s="13" t="s">
        <x:v>759</x:v>
      </x:c>
      <x:c r="F12" s="13" t="s">
        <x:v>734</x:v>
      </x:c>
      <x:c r="G12" s="13"/>
      <x:c r="H12" s="13"/>
      <x:c r="I12" s="13"/>
      <x:c r="J12" s="13" t="str">
        <x:f t="shared" si="0"/>
      </x:c>
      <x:c r="K12" s="13"/>
      <x:c r="L12" s="13"/>
      <x:c r="M12" s="13" t="s">
        <x:v>735</x:v>
      </x:c>
    </x:row>
    <x:row r="13" ht="24.75" customHeight="1">
      <x:c r="A13" s="14">
        <x:v>8</x:v>
      </x:c>
      <x:c r="B13" s="14" t="s">
        <x:v>760</x:v>
      </x:c>
      <x:c r="C13" s="14" t="s">
        <x:v>761</x:v>
      </x:c>
      <x:c r="D13" s="14" t="s">
        <x:v>762</x:v>
      </x:c>
      <x:c r="E13" s="14" t="s">
        <x:v>763</x:v>
      </x:c>
      <x:c r="F13" s="14" t="s">
        <x:v>734</x:v>
      </x:c>
      <x:c r="G13" s="14"/>
      <x:c r="H13" s="14"/>
      <x:c r="I13" s="14"/>
      <x:c r="J13" s="14" t="str">
        <x:f t="shared" si="0"/>
      </x:c>
      <x:c r="K13" s="14"/>
      <x:c r="L13" s="14"/>
      <x:c r="M13" s="14" t="s">
        <x:v>735</x:v>
      </x:c>
    </x:row>
    <x:row r="14" ht="24.75" customHeight="1">
      <x:c r="A14" s="13">
        <x:v>9</x:v>
      </x:c>
      <x:c r="B14" s="13" t="s">
        <x:v>764</x:v>
      </x:c>
      <x:c r="C14" s="13" t="s">
        <x:v>765</x:v>
      </x:c>
      <x:c r="D14" s="13" t="s">
        <x:v>766</x:v>
      </x:c>
      <x:c r="E14" s="13" t="s">
        <x:v>767</x:v>
      </x:c>
      <x:c r="F14" s="13" t="s">
        <x:v>734</x:v>
      </x:c>
      <x:c r="G14" s="13"/>
      <x:c r="H14" s="13"/>
      <x:c r="I14" s="13"/>
      <x:c r="J14" s="13" t="str">
        <x:f t="shared" si="0"/>
      </x:c>
      <x:c r="K14" s="13"/>
      <x:c r="L14" s="13"/>
      <x:c r="M14" s="13" t="s">
        <x:v>735</x:v>
      </x:c>
    </x:row>
    <x:row r="15" ht="24.75" customHeight="1">
      <x:c r="A15" s="14">
        <x:v>10</x:v>
      </x:c>
      <x:c r="B15" s="14" t="s">
        <x:v>768</x:v>
      </x:c>
      <x:c r="C15" s="14" t="s">
        <x:v>769</x:v>
      </x:c>
      <x:c r="D15" s="14" t="s">
        <x:v>770</x:v>
      </x:c>
      <x:c r="E15" s="14" t="s">
        <x:v>771</x:v>
      </x:c>
      <x:c r="F15" s="14" t="s">
        <x:v>734</x:v>
      </x:c>
      <x:c r="G15" s="14"/>
      <x:c r="H15" s="14"/>
      <x:c r="I15" s="14"/>
      <x:c r="J15" s="14" t="str">
        <x:f t="shared" si="0"/>
      </x:c>
      <x:c r="K15" s="14"/>
      <x:c r="L15" s="14"/>
      <x:c r="M15" s="14" t="s">
        <x:v>735</x:v>
      </x:c>
    </x:row>
  </x:sheetData>
  <x:mergeCells>
    <x:mergeCell ref="A1:M2"/>
    <x:mergeCell ref="A3:M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customWidth="1"/>
    <x:col min="2" max="2" width="16" customWidth="1"/>
    <x:col min="3" max="3" width="30" customWidth="1"/>
    <x:col min="4" max="4" width="40" customWidth="1"/>
    <x:col min="5" max="5" width="18" customWidth="1"/>
    <x:col min="6" max="6" width="25" customWidth="1"/>
    <x:col min="7" max="7" width="23" customWidth="1"/>
    <x:col min="8" max="8" width="22" customWidth="1"/>
    <x:col min="9" max="9" width="15" customWidth="1"/>
    <x:col min="10" max="10" width="17" customWidth="1"/>
    <x:col min="11" max="11" width="16" customWidth="1"/>
    <x:col min="12" max="12" width="45" customWidth="1"/>
  </x:cols>
  <x:sheetData>
    <x:row r="1" ht="24" customHeight="1">
      <x:c r="A1" s="9" t="s">
        <x:v>772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36" customHeight="1">
      <x:c r="A3" s="10" t="s">
        <x:v>773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2.099998474121094" customHeight="1">
      <x:c r="A5" s="12" t="s">
        <x:v>69</x:v>
      </x:c>
      <x:c r="B5" s="12" t="s">
        <x:v>774</x:v>
      </x:c>
      <x:c r="C5" s="12" t="s">
        <x:v>775</x:v>
      </x:c>
      <x:c r="D5" s="12" t="s">
        <x:v>776</x:v>
      </x:c>
      <x:c r="E5" s="12" t="s">
        <x:v>777</x:v>
      </x:c>
      <x:c r="F5" s="12" t="s">
        <x:v>778</x:v>
      </x:c>
      <x:c r="G5" s="12" t="s">
        <x:v>779</x:v>
      </x:c>
      <x:c r="H5" s="12" t="s">
        <x:v>780</x:v>
      </x:c>
      <x:c r="I5" s="12" t="s">
        <x:v>781</x:v>
      </x:c>
      <x:c r="J5" s="12" t="s">
        <x:v>621</x:v>
      </x:c>
      <x:c r="K5" s="12" t="s">
        <x:v>782</x:v>
      </x:c>
      <x:c r="L5" s="12" t="s">
        <x:v>714</x:v>
      </x:c>
    </x:row>
    <x:row r="6" ht="27.75" customHeight="1">
      <x:c r="A6" s="13">
        <x:v>1</x:v>
      </x:c>
      <x:c r="B6" s="13" t="s">
        <x:v>755</x:v>
      </x:c>
      <x:c r="C6" s="13" t="s">
        <x:v>783</x:v>
      </x:c>
      <x:c r="D6" s="13" t="s">
        <x:v>784</x:v>
      </x:c>
      <x:c r="E6" s="13" t="s">
        <x:v>785</x:v>
      </x:c>
      <x:c r="F6" s="13"/>
      <x:c r="G6" s="13"/>
      <x:c r="H6" s="13"/>
      <x:c r="I6" s="13" t="s">
        <x:v>87</x:v>
      </x:c>
      <x:c r="J6" s="13" t="s">
        <x:v>98</x:v>
      </x:c>
      <x:c r="K6" s="13"/>
      <x:c r="L6" s="13" t="s">
        <x:v>786</x:v>
      </x:c>
    </x:row>
    <x:row r="7" ht="27.75" customHeight="1">
      <x:c r="A7" s="14">
        <x:v>2</x:v>
      </x:c>
      <x:c r="B7" s="14" t="s">
        <x:v>154</x:v>
      </x:c>
      <x:c r="C7" s="14" t="s">
        <x:v>787</x:v>
      </x:c>
      <x:c r="D7" s="14" t="s">
        <x:v>788</x:v>
      </x:c>
      <x:c r="E7" s="14" t="s">
        <x:v>785</x:v>
      </x:c>
      <x:c r="F7" s="14"/>
      <x:c r="G7" s="14"/>
      <x:c r="H7" s="14"/>
      <x:c r="I7" s="14" t="s">
        <x:v>87</x:v>
      </x:c>
      <x:c r="J7" s="14" t="s">
        <x:v>98</x:v>
      </x:c>
      <x:c r="K7" s="14"/>
      <x:c r="L7" s="14" t="s">
        <x:v>786</x:v>
      </x:c>
    </x:row>
    <x:row r="8" ht="27.75" customHeight="1">
      <x:c r="A8" s="13">
        <x:v>3</x:v>
      </x:c>
      <x:c r="B8" s="13" t="s">
        <x:v>789</x:v>
      </x:c>
      <x:c r="C8" s="13" t="s">
        <x:v>790</x:v>
      </x:c>
      <x:c r="D8" s="13" t="s">
        <x:v>791</x:v>
      </x:c>
      <x:c r="E8" s="13" t="s">
        <x:v>785</x:v>
      </x:c>
      <x:c r="F8" s="13"/>
      <x:c r="G8" s="13"/>
      <x:c r="H8" s="13"/>
      <x:c r="I8" s="13" t="s">
        <x:v>87</x:v>
      </x:c>
      <x:c r="J8" s="13" t="s">
        <x:v>98</x:v>
      </x:c>
      <x:c r="K8" s="13"/>
      <x:c r="L8" s="13" t="s">
        <x:v>786</x:v>
      </x:c>
    </x:row>
    <x:row r="9" ht="27.75" customHeight="1">
      <x:c r="A9" s="14">
        <x:v>4</x:v>
      </x:c>
      <x:c r="B9" s="14" t="s">
        <x:v>792</x:v>
      </x:c>
      <x:c r="C9" s="14" t="s">
        <x:v>793</x:v>
      </x:c>
      <x:c r="D9" s="14" t="s">
        <x:v>794</x:v>
      </x:c>
      <x:c r="E9" s="14" t="s">
        <x:v>785</x:v>
      </x:c>
      <x:c r="F9" s="14"/>
      <x:c r="G9" s="14"/>
      <x:c r="H9" s="14"/>
      <x:c r="I9" s="14" t="s">
        <x:v>87</x:v>
      </x:c>
      <x:c r="J9" s="14" t="s">
        <x:v>98</x:v>
      </x:c>
      <x:c r="K9" s="14"/>
      <x:c r="L9" s="14" t="s">
        <x:v>786</x:v>
      </x:c>
    </x:row>
    <x:row r="10" ht="27.75" customHeight="1">
      <x:c r="A10" s="13">
        <x:v>5</x:v>
      </x:c>
      <x:c r="B10" s="13" t="s">
        <x:v>795</x:v>
      </x:c>
      <x:c r="C10" s="13" t="s">
        <x:v>796</x:v>
      </x:c>
      <x:c r="D10" s="13" t="s">
        <x:v>797</x:v>
      </x:c>
      <x:c r="E10" s="13" t="s">
        <x:v>785</x:v>
      </x:c>
      <x:c r="F10" s="13"/>
      <x:c r="G10" s="13"/>
      <x:c r="H10" s="13"/>
      <x:c r="I10" s="13" t="s">
        <x:v>87</x:v>
      </x:c>
      <x:c r="J10" s="13" t="s">
        <x:v>98</x:v>
      </x:c>
      <x:c r="K10" s="13"/>
      <x:c r="L10" s="13" t="s">
        <x:v>786</x:v>
      </x:c>
    </x:row>
    <x:row r="11" ht="27.75" customHeight="1">
      <x:c r="A11" s="14">
        <x:v>6</x:v>
      </x:c>
      <x:c r="B11" s="14" t="s">
        <x:v>798</x:v>
      </x:c>
      <x:c r="C11" s="14" t="s">
        <x:v>799</x:v>
      </x:c>
      <x:c r="D11" s="14" t="s">
        <x:v>800</x:v>
      </x:c>
      <x:c r="E11" s="14" t="s">
        <x:v>785</x:v>
      </x:c>
      <x:c r="F11" s="14"/>
      <x:c r="G11" s="14"/>
      <x:c r="H11" s="14"/>
      <x:c r="I11" s="14" t="s">
        <x:v>87</x:v>
      </x:c>
      <x:c r="J11" s="14" t="s">
        <x:v>98</x:v>
      </x:c>
      <x:c r="K11" s="14"/>
      <x:c r="L11" s="14" t="s">
        <x:v>786</x:v>
      </x:c>
    </x:row>
    <x:row r="12" ht="27.75" customHeight="1">
      <x:c r="A12" s="13">
        <x:v>7</x:v>
      </x:c>
      <x:c r="B12" s="13" t="s">
        <x:v>801</x:v>
      </x:c>
      <x:c r="C12" s="13" t="s">
        <x:v>802</x:v>
      </x:c>
      <x:c r="D12" s="13" t="s">
        <x:v>803</x:v>
      </x:c>
      <x:c r="E12" s="13" t="s">
        <x:v>785</x:v>
      </x:c>
      <x:c r="F12" s="13"/>
      <x:c r="G12" s="13"/>
      <x:c r="H12" s="13"/>
      <x:c r="I12" s="13" t="s">
        <x:v>87</x:v>
      </x:c>
      <x:c r="J12" s="13" t="s">
        <x:v>98</x:v>
      </x:c>
      <x:c r="K12" s="13"/>
      <x:c r="L12" s="13" t="s">
        <x:v>786</x:v>
      </x:c>
    </x:row>
    <x:row r="13" ht="27.75" customHeight="1">
      <x:c r="A13" s="14">
        <x:v>8</x:v>
      </x:c>
      <x:c r="B13" s="14" t="s">
        <x:v>804</x:v>
      </x:c>
      <x:c r="C13" s="14" t="s">
        <x:v>805</x:v>
      </x:c>
      <x:c r="D13" s="14" t="s">
        <x:v>806</x:v>
      </x:c>
      <x:c r="E13" s="14" t="s">
        <x:v>785</x:v>
      </x:c>
      <x:c r="F13" s="14"/>
      <x:c r="G13" s="14"/>
      <x:c r="H13" s="14"/>
      <x:c r="I13" s="14" t="s">
        <x:v>87</x:v>
      </x:c>
      <x:c r="J13" s="14" t="s">
        <x:v>98</x:v>
      </x:c>
      <x:c r="K13" s="14"/>
      <x:c r="L13" s="14" t="s">
        <x:v>786</x:v>
      </x:c>
    </x:row>
    <x:row r="14" ht="27.75" customHeight="1">
      <x:c r="A14" s="13">
        <x:v>9</x:v>
      </x:c>
      <x:c r="B14" s="13" t="s">
        <x:v>807</x:v>
      </x:c>
      <x:c r="C14" s="13" t="s">
        <x:v>808</x:v>
      </x:c>
      <x:c r="D14" s="13" t="s">
        <x:v>809</x:v>
      </x:c>
      <x:c r="E14" s="13" t="s">
        <x:v>785</x:v>
      </x:c>
      <x:c r="F14" s="13"/>
      <x:c r="G14" s="13"/>
      <x:c r="H14" s="13"/>
      <x:c r="I14" s="13" t="s">
        <x:v>87</x:v>
      </x:c>
      <x:c r="J14" s="13" t="s">
        <x:v>98</x:v>
      </x:c>
      <x:c r="K14" s="13"/>
      <x:c r="L14" s="13" t="s">
        <x:v>786</x:v>
      </x:c>
    </x:row>
    <x:row r="15" ht="27.75" customHeight="1">
      <x:c r="A15" s="14">
        <x:v>10</x:v>
      </x:c>
      <x:c r="B15" s="14" t="s">
        <x:v>810</x:v>
      </x:c>
      <x:c r="C15" s="14" t="s">
        <x:v>811</x:v>
      </x:c>
      <x:c r="D15" s="14" t="s">
        <x:v>812</x:v>
      </x:c>
      <x:c r="E15" s="14" t="s">
        <x:v>785</x:v>
      </x:c>
      <x:c r="F15" s="14"/>
      <x:c r="G15" s="14"/>
      <x:c r="H15" s="14"/>
      <x:c r="I15" s="14" t="s">
        <x:v>87</x:v>
      </x:c>
      <x:c r="J15" s="14" t="s">
        <x:v>98</x:v>
      </x:c>
      <x:c r="K15" s="14"/>
      <x:c r="L15" s="14" t="s">
        <x:v>786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" customWidth="1"/>
    <x:col min="2" max="2" width="22" customWidth="1"/>
    <x:col min="3" max="3" width="42" customWidth="1"/>
    <x:col min="4" max="4" width="37" customWidth="1"/>
    <x:col min="5" max="5" width="17" customWidth="1"/>
    <x:col min="6" max="6" width="35" customWidth="1"/>
    <x:col min="7" max="7" width="18" customWidth="1"/>
    <x:col min="8" max="8" width="17" customWidth="1"/>
    <x:col min="9" max="9" width="40" customWidth="1"/>
  </x:cols>
  <x:sheetData>
    <x:row r="1" ht="24" customHeight="1">
      <x:c r="A1" s="9" t="s">
        <x:v>813</x:v>
      </x:c>
      <x:c r="B1" s="9"/>
      <x:c r="C1" s="9"/>
      <x:c r="D1" s="9"/>
      <x:c r="E1" s="9"/>
      <x:c r="F1" s="9"/>
      <x:c r="G1" s="9"/>
      <x:c r="H1" s="9"/>
      <x:c r="I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</x:row>
    <x:row r="3" ht="36" customHeight="1">
      <x:c r="A3" s="10" t="s">
        <x:v>814</x:v>
      </x:c>
      <x:c r="B3" s="10"/>
      <x:c r="C3" s="10"/>
      <x:c r="D3" s="10"/>
      <x:c r="E3" s="10"/>
      <x:c r="F3" s="10"/>
      <x:c r="G3" s="10"/>
      <x:c r="H3" s="10"/>
      <x:c r="I3" s="10"/>
    </x:row>
    <x:row r="5" ht="32.099998474121094" customHeight="1">
      <x:c r="A5" s="12" t="s">
        <x:v>69</x:v>
      </x:c>
      <x:c r="B5" s="12" t="s">
        <x:v>815</x:v>
      </x:c>
      <x:c r="C5" s="12" t="s">
        <x:v>816</x:v>
      </x:c>
      <x:c r="D5" s="12" t="s">
        <x:v>817</x:v>
      </x:c>
      <x:c r="E5" s="12" t="s">
        <x:v>818</x:v>
      </x:c>
      <x:c r="F5" s="12" t="s">
        <x:v>819</x:v>
      </x:c>
      <x:c r="G5" s="12" t="s">
        <x:v>820</x:v>
      </x:c>
      <x:c r="H5" s="12" t="s">
        <x:v>821</x:v>
      </x:c>
      <x:c r="I5" s="12" t="s">
        <x:v>441</x:v>
      </x:c>
    </x:row>
    <x:row r="6" ht="21.75" customHeight="1">
      <x:c r="A6" s="13">
        <x:v>1</x:v>
      </x:c>
      <x:c r="B6" s="13" t="s">
        <x:v>822</x:v>
      </x:c>
      <x:c r="C6" s="13" t="s">
        <x:v>823</x:v>
      </x:c>
      <x:c r="D6" s="13" t="s">
        <x:v>824</x:v>
      </x:c>
      <x:c r="E6" s="13" t="s">
        <x:v>87</x:v>
      </x:c>
      <x:c r="F6" s="13"/>
      <x:c r="G6" s="13"/>
      <x:c r="H6" s="13"/>
      <x:c r="I6" s="13" t="s">
        <x:v>825</x:v>
      </x:c>
    </x:row>
    <x:row r="7" ht="21.75" customHeight="1">
      <x:c r="A7" s="14">
        <x:v>2</x:v>
      </x:c>
      <x:c r="B7" s="14" t="s">
        <x:v>822</x:v>
      </x:c>
      <x:c r="C7" s="14" t="s">
        <x:v>826</x:v>
      </x:c>
      <x:c r="D7" s="14" t="s">
        <x:v>827</x:v>
      </x:c>
      <x:c r="E7" s="14" t="s">
        <x:v>87</x:v>
      </x:c>
      <x:c r="F7" s="14"/>
      <x:c r="G7" s="14"/>
      <x:c r="H7" s="14"/>
      <x:c r="I7" s="14" t="s">
        <x:v>825</x:v>
      </x:c>
    </x:row>
    <x:row r="8" ht="21.75" customHeight="1">
      <x:c r="A8" s="13">
        <x:v>3</x:v>
      </x:c>
      <x:c r="B8" s="13" t="s">
        <x:v>736</x:v>
      </x:c>
      <x:c r="C8" s="13" t="s">
        <x:v>828</x:v>
      </x:c>
      <x:c r="D8" s="13" t="s">
        <x:v>829</x:v>
      </x:c>
      <x:c r="E8" s="13" t="s">
        <x:v>87</x:v>
      </x:c>
      <x:c r="F8" s="13"/>
      <x:c r="G8" s="13"/>
      <x:c r="H8" s="13"/>
      <x:c r="I8" s="13" t="s">
        <x:v>825</x:v>
      </x:c>
    </x:row>
    <x:row r="9" ht="21.75" customHeight="1">
      <x:c r="A9" s="14">
        <x:v>4</x:v>
      </x:c>
      <x:c r="B9" s="14" t="s">
        <x:v>736</x:v>
      </x:c>
      <x:c r="C9" s="14" t="s">
        <x:v>830</x:v>
      </x:c>
      <x:c r="D9" s="14" t="s">
        <x:v>831</x:v>
      </x:c>
      <x:c r="E9" s="14" t="s">
        <x:v>87</x:v>
      </x:c>
      <x:c r="F9" s="14"/>
      <x:c r="G9" s="14"/>
      <x:c r="H9" s="14"/>
      <x:c r="I9" s="14" t="s">
        <x:v>825</x:v>
      </x:c>
    </x:row>
    <x:row r="10" ht="21.75" customHeight="1">
      <x:c r="A10" s="13">
        <x:v>5</x:v>
      </x:c>
      <x:c r="B10" s="13" t="s">
        <x:v>832</x:v>
      </x:c>
      <x:c r="C10" s="13" t="s">
        <x:v>833</x:v>
      </x:c>
      <x:c r="D10" s="13" t="s">
        <x:v>834</x:v>
      </x:c>
      <x:c r="E10" s="13" t="s">
        <x:v>87</x:v>
      </x:c>
      <x:c r="F10" s="13"/>
      <x:c r="G10" s="13"/>
      <x:c r="H10" s="13"/>
      <x:c r="I10" s="13" t="s">
        <x:v>825</x:v>
      </x:c>
    </x:row>
    <x:row r="11" ht="21.75" customHeight="1">
      <x:c r="A11" s="14">
        <x:v>6</x:v>
      </x:c>
      <x:c r="B11" s="14" t="s">
        <x:v>744</x:v>
      </x:c>
      <x:c r="C11" s="14" t="s">
        <x:v>835</x:v>
      </x:c>
      <x:c r="D11" s="14" t="s">
        <x:v>836</x:v>
      </x:c>
      <x:c r="E11" s="14" t="s">
        <x:v>87</x:v>
      </x:c>
      <x:c r="F11" s="14"/>
      <x:c r="G11" s="14"/>
      <x:c r="H11" s="14"/>
      <x:c r="I11" s="14" t="s">
        <x:v>825</x:v>
      </x:c>
    </x:row>
    <x:row r="12" ht="21.75" customHeight="1">
      <x:c r="A12" s="13">
        <x:v>7</x:v>
      </x:c>
      <x:c r="B12" s="13" t="s">
        <x:v>744</x:v>
      </x:c>
      <x:c r="C12" s="13" t="s">
        <x:v>837</x:v>
      </x:c>
      <x:c r="D12" s="13" t="s">
        <x:v>838</x:v>
      </x:c>
      <x:c r="E12" s="13" t="s">
        <x:v>87</x:v>
      </x:c>
      <x:c r="F12" s="13"/>
      <x:c r="G12" s="13"/>
      <x:c r="H12" s="13"/>
      <x:c r="I12" s="13" t="s">
        <x:v>825</x:v>
      </x:c>
    </x:row>
    <x:row r="13" ht="21.75" customHeight="1">
      <x:c r="A13" s="14">
        <x:v>8</x:v>
      </x:c>
      <x:c r="B13" s="14" t="s">
        <x:v>748</x:v>
      </x:c>
      <x:c r="C13" s="14" t="s">
        <x:v>839</x:v>
      </x:c>
      <x:c r="D13" s="14" t="s">
        <x:v>840</x:v>
      </x:c>
      <x:c r="E13" s="14" t="s">
        <x:v>87</x:v>
      </x:c>
      <x:c r="F13" s="14"/>
      <x:c r="G13" s="14"/>
      <x:c r="H13" s="14"/>
      <x:c r="I13" s="14" t="s">
        <x:v>825</x:v>
      </x:c>
    </x:row>
    <x:row r="14" ht="21.75" customHeight="1">
      <x:c r="A14" s="13">
        <x:v>9</x:v>
      </x:c>
      <x:c r="B14" s="13" t="s">
        <x:v>841</x:v>
      </x:c>
      <x:c r="C14" s="13" t="s">
        <x:v>842</x:v>
      </x:c>
      <x:c r="D14" s="13" t="s">
        <x:v>843</x:v>
      </x:c>
      <x:c r="E14" s="13" t="s">
        <x:v>87</x:v>
      </x:c>
      <x:c r="F14" s="13"/>
      <x:c r="G14" s="13"/>
      <x:c r="H14" s="13"/>
      <x:c r="I14" s="13" t="s">
        <x:v>825</x:v>
      </x:c>
    </x:row>
    <x:row r="15" ht="21.75" customHeight="1">
      <x:c r="A15" s="14">
        <x:v>10</x:v>
      </x:c>
      <x:c r="B15" s="14" t="s">
        <x:v>841</x:v>
      </x:c>
      <x:c r="C15" s="14" t="s">
        <x:v>844</x:v>
      </x:c>
      <x:c r="D15" s="14" t="s">
        <x:v>845</x:v>
      </x:c>
      <x:c r="E15" s="14" t="s">
        <x:v>87</x:v>
      </x:c>
      <x:c r="F15" s="14"/>
      <x:c r="G15" s="14"/>
      <x:c r="H15" s="14"/>
      <x:c r="I15" s="14" t="s">
        <x:v>825</x:v>
      </x:c>
    </x:row>
    <x:row r="16" ht="21.75" customHeight="1">
      <x:c r="A16" s="13">
        <x:v>11</x:v>
      </x:c>
      <x:c r="B16" s="13" t="s">
        <x:v>846</x:v>
      </x:c>
      <x:c r="C16" s="13" t="s">
        <x:v>847</x:v>
      </x:c>
      <x:c r="D16" s="13" t="s">
        <x:v>848</x:v>
      </x:c>
      <x:c r="E16" s="13" t="s">
        <x:v>87</x:v>
      </x:c>
      <x:c r="F16" s="13"/>
      <x:c r="G16" s="13"/>
      <x:c r="H16" s="13"/>
      <x:c r="I16" s="13" t="s">
        <x:v>825</x:v>
      </x:c>
    </x:row>
    <x:row r="17" ht="21.75" customHeight="1">
      <x:c r="A17" s="14">
        <x:v>12</x:v>
      </x:c>
      <x:c r="B17" s="14" t="s">
        <x:v>849</x:v>
      </x:c>
      <x:c r="C17" s="14" t="s">
        <x:v>850</x:v>
      </x:c>
      <x:c r="D17" s="14" t="s">
        <x:v>851</x:v>
      </x:c>
      <x:c r="E17" s="14" t="s">
        <x:v>87</x:v>
      </x:c>
      <x:c r="F17" s="14"/>
      <x:c r="G17" s="14"/>
      <x:c r="H17" s="14"/>
      <x:c r="I17" s="14" t="s">
        <x:v>825</x:v>
      </x:c>
    </x:row>
    <x:row r="18" ht="21.75" customHeight="1">
      <x:c r="A18" s="13">
        <x:v>13</x:v>
      </x:c>
      <x:c r="B18" s="13" t="s">
        <x:v>849</x:v>
      </x:c>
      <x:c r="C18" s="13" t="s">
        <x:v>852</x:v>
      </x:c>
      <x:c r="D18" s="13" t="s">
        <x:v>853</x:v>
      </x:c>
      <x:c r="E18" s="13" t="s">
        <x:v>87</x:v>
      </x:c>
      <x:c r="F18" s="13"/>
      <x:c r="G18" s="13"/>
      <x:c r="H18" s="13"/>
      <x:c r="I18" s="13" t="s">
        <x:v>825</x:v>
      </x:c>
    </x:row>
    <x:row r="19" ht="21.75" customHeight="1">
      <x:c r="A19" s="14">
        <x:v>14</x:v>
      </x:c>
      <x:c r="B19" s="14" t="s">
        <x:v>854</x:v>
      </x:c>
      <x:c r="C19" s="14" t="s">
        <x:v>855</x:v>
      </x:c>
      <x:c r="D19" s="14" t="s">
        <x:v>856</x:v>
      </x:c>
      <x:c r="E19" s="14" t="s">
        <x:v>87</x:v>
      </x:c>
      <x:c r="F19" s="14"/>
      <x:c r="G19" s="14"/>
      <x:c r="H19" s="14"/>
      <x:c r="I19" s="14" t="s">
        <x:v>825</x:v>
      </x:c>
    </x:row>
    <x:row r="20" ht="21.75" customHeight="1">
      <x:c r="A20" s="13">
        <x:v>15</x:v>
      </x:c>
      <x:c r="B20" s="13" t="s">
        <x:v>857</x:v>
      </x:c>
      <x:c r="C20" s="13" t="s">
        <x:v>858</x:v>
      </x:c>
      <x:c r="D20" s="13" t="s">
        <x:v>859</x:v>
      </x:c>
      <x:c r="E20" s="13" t="s">
        <x:v>87</x:v>
      </x:c>
      <x:c r="F20" s="13"/>
      <x:c r="G20" s="13"/>
      <x:c r="H20" s="13"/>
      <x:c r="I20" s="13" t="s">
        <x:v>825</x:v>
      </x:c>
    </x:row>
    <x:row r="21" ht="21.75" customHeight="1">
      <x:c r="A21" s="14">
        <x:v>16</x:v>
      </x:c>
      <x:c r="B21" s="14" t="s">
        <x:v>860</x:v>
      </x:c>
      <x:c r="C21" s="14" t="s">
        <x:v>861</x:v>
      </x:c>
      <x:c r="D21" s="14" t="s">
        <x:v>862</x:v>
      </x:c>
      <x:c r="E21" s="14" t="s">
        <x:v>87</x:v>
      </x:c>
      <x:c r="F21" s="14"/>
      <x:c r="G21" s="14"/>
      <x:c r="H21" s="14"/>
      <x:c r="I21" s="14" t="s">
        <x:v>825</x:v>
      </x:c>
    </x:row>
    <x:row r="22" ht="21.75" customHeight="1">
      <x:c r="A22" s="13">
        <x:v>17</x:v>
      </x:c>
      <x:c r="B22" s="13" t="s">
        <x:v>863</x:v>
      </x:c>
      <x:c r="C22" s="13" t="s">
        <x:v>864</x:v>
      </x:c>
      <x:c r="D22" s="13" t="s">
        <x:v>865</x:v>
      </x:c>
      <x:c r="E22" s="13" t="s">
        <x:v>87</x:v>
      </x:c>
      <x:c r="F22" s="13"/>
      <x:c r="G22" s="13"/>
      <x:c r="H22" s="13"/>
      <x:c r="I22" s="13" t="s">
        <x:v>825</x:v>
      </x:c>
    </x:row>
    <x:row r="23" ht="21.75" customHeight="1">
      <x:c r="A23" s="14">
        <x:v>18</x:v>
      </x:c>
      <x:c r="B23" s="14" t="s">
        <x:v>866</x:v>
      </x:c>
      <x:c r="C23" s="14" t="s">
        <x:v>867</x:v>
      </x:c>
      <x:c r="D23" s="14" t="s">
        <x:v>868</x:v>
      </x:c>
      <x:c r="E23" s="14" t="s">
        <x:v>87</x:v>
      </x:c>
      <x:c r="F23" s="14"/>
      <x:c r="G23" s="14"/>
      <x:c r="H23" s="14"/>
      <x:c r="I23" s="14" t="s">
        <x:v>825</x:v>
      </x:c>
    </x:row>
  </x:sheetData>
  <x:mergeCells>
    <x:mergeCell ref="A1:I2"/>
    <x:mergeCell ref="A3:I3"/>
  </x:mergeCells>
  <x:dataValidations count="1">
    <x:dataValidation type="list" sqref="E6:E23">
      <x:formula1>"미확인,진행중,일부확인,완료,해당없음"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customWidth="1"/>
    <x:col min="2" max="2" width="12" customWidth="1"/>
    <x:col min="3" max="3" width="51" customWidth="1"/>
    <x:col min="4" max="4" width="29" customWidth="1"/>
    <x:col min="5" max="5" width="18" customWidth="1"/>
    <x:col min="6" max="6" width="20" customWidth="1"/>
    <x:col min="7" max="7" width="35" customWidth="1"/>
    <x:col min="8" max="8" width="15" customWidth="1"/>
    <x:col min="9" max="9" width="42" customWidth="1"/>
  </x:cols>
  <x:sheetData>
    <x:row r="1" ht="24" customHeight="1">
      <x:c r="A1" s="9" t="s">
        <x:v>869</x:v>
      </x:c>
      <x:c r="B1" s="9"/>
      <x:c r="C1" s="9"/>
      <x:c r="D1" s="9"/>
      <x:c r="E1" s="9"/>
      <x:c r="F1" s="9"/>
      <x:c r="G1" s="9"/>
      <x:c r="H1" s="9"/>
      <x:c r="I1" s="9"/>
    </x:row>
    <x:row r="2" ht="24" customHeight="1">
      <x:c r="A2" s="9"/>
      <x:c r="B2" s="9"/>
      <x:c r="C2" s="9"/>
      <x:c r="D2" s="9"/>
      <x:c r="E2" s="9"/>
      <x:c r="F2" s="9"/>
      <x:c r="G2" s="9"/>
      <x:c r="H2" s="9"/>
      <x:c r="I2" s="9"/>
    </x:row>
    <x:row r="3" ht="36" customHeight="1">
      <x:c r="A3" s="10" t="s">
        <x:v>870</x:v>
      </x:c>
      <x:c r="B3" s="10"/>
      <x:c r="C3" s="10"/>
      <x:c r="D3" s="10"/>
      <x:c r="E3" s="10"/>
      <x:c r="F3" s="10"/>
      <x:c r="G3" s="10"/>
      <x:c r="H3" s="10"/>
      <x:c r="I3" s="10"/>
    </x:row>
    <x:row r="5" ht="32.099998474121094" customHeight="1">
      <x:c r="A5" s="1" t="s">
        <x:v>69</x:v>
      </x:c>
      <x:c r="B5" s="1" t="s">
        <x:v>705</x:v>
      </x:c>
      <x:c r="C5" s="1" t="s">
        <x:v>871</x:v>
      </x:c>
      <x:c r="D5" s="1" t="s">
        <x:v>872</x:v>
      </x:c>
      <x:c r="E5" s="1" t="s">
        <x:v>873</x:v>
      </x:c>
      <x:c r="F5" s="1" t="s">
        <x:v>874</x:v>
      </x:c>
      <x:c r="G5" s="1" t="s">
        <x:v>875</x:v>
      </x:c>
      <x:c r="H5" s="1" t="s">
        <x:v>876</x:v>
      </x:c>
      <x:c r="I5" s="1" t="s">
        <x:v>877</x:v>
      </x:c>
    </x:row>
    <x:row r="6" ht="45.95000076293945" customHeight="1">
      <x:c r="A6" s="2">
        <x:v>1</x:v>
      </x:c>
      <x:c r="B6" s="2" t="s">
        <x:v>878</x:v>
      </x:c>
      <x:c r="C6" s="2" t="s">
        <x:v>879</x:v>
      </x:c>
      <x:c r="D6" s="2" t="s">
        <x:v>880</x:v>
      </x:c>
      <x:c r="E6" s="2"/>
      <x:c r="F6" s="2"/>
      <x:c r="G6" s="2"/>
      <x:c r="H6" s="2" t="s">
        <x:v>87</x:v>
      </x:c>
      <x:c r="I6" s="2"/>
    </x:row>
    <x:row r="7" ht="45.95000076293945" customHeight="1">
      <x:c r="A7" s="3">
        <x:v>2</x:v>
      </x:c>
      <x:c r="B7" s="3" t="s">
        <x:v>881</x:v>
      </x:c>
      <x:c r="C7" s="3" t="s">
        <x:v>882</x:v>
      </x:c>
      <x:c r="D7" s="3" t="s">
        <x:v>883</x:v>
      </x:c>
      <x:c r="E7" s="3"/>
      <x:c r="F7" s="3"/>
      <x:c r="G7" s="3"/>
      <x:c r="H7" s="3" t="s">
        <x:v>87</x:v>
      </x:c>
      <x:c r="I7" s="3"/>
    </x:row>
    <x:row r="8" ht="45.95000076293945" customHeight="1">
      <x:c r="A8" s="2">
        <x:v>3</x:v>
      </x:c>
      <x:c r="B8" s="2" t="s">
        <x:v>175</x:v>
      </x:c>
      <x:c r="C8" s="2" t="s">
        <x:v>884</x:v>
      </x:c>
      <x:c r="D8" s="2" t="s">
        <x:v>885</x:v>
      </x:c>
      <x:c r="E8" s="2"/>
      <x:c r="F8" s="2"/>
      <x:c r="G8" s="2"/>
      <x:c r="H8" s="2" t="s">
        <x:v>87</x:v>
      </x:c>
      <x:c r="I8" s="2"/>
    </x:row>
    <x:row r="9" ht="45.95000076293945" customHeight="1">
      <x:c r="A9" s="3">
        <x:v>4</x:v>
      </x:c>
      <x:c r="B9" s="3" t="s">
        <x:v>886</x:v>
      </x:c>
      <x:c r="C9" s="3" t="s">
        <x:v>887</x:v>
      </x:c>
      <x:c r="D9" s="3" t="s">
        <x:v>888</x:v>
      </x:c>
      <x:c r="E9" s="3"/>
      <x:c r="F9" s="3"/>
      <x:c r="G9" s="3"/>
      <x:c r="H9" s="3" t="s">
        <x:v>87</x:v>
      </x:c>
      <x:c r="I9" s="3"/>
    </x:row>
    <x:row r="10" ht="45.95000076293945" customHeight="1">
      <x:c r="A10" s="2">
        <x:v>5</x:v>
      </x:c>
      <x:c r="B10" s="2" t="s">
        <x:v>889</x:v>
      </x:c>
      <x:c r="C10" s="2" t="s">
        <x:v>890</x:v>
      </x:c>
      <x:c r="D10" s="2" t="s">
        <x:v>891</x:v>
      </x:c>
      <x:c r="E10" s="2"/>
      <x:c r="F10" s="2"/>
      <x:c r="G10" s="2"/>
      <x:c r="H10" s="2" t="s">
        <x:v>87</x:v>
      </x:c>
      <x:c r="I10" s="2"/>
    </x:row>
    <x:row r="11" ht="45.95000076293945" customHeight="1">
      <x:c r="A11" s="3">
        <x:v>6</x:v>
      </x:c>
      <x:c r="B11" s="3" t="s">
        <x:v>192</x:v>
      </x:c>
      <x:c r="C11" s="3" t="s">
        <x:v>892</x:v>
      </x:c>
      <x:c r="D11" s="3" t="s">
        <x:v>893</x:v>
      </x:c>
      <x:c r="E11" s="3"/>
      <x:c r="F11" s="3"/>
      <x:c r="G11" s="3"/>
      <x:c r="H11" s="3" t="s">
        <x:v>87</x:v>
      </x:c>
      <x:c r="I11" s="3"/>
    </x:row>
    <x:row r="12" ht="45.95000076293945" customHeight="1">
      <x:c r="A12" s="2">
        <x:v>7</x:v>
      </x:c>
      <x:c r="B12" s="2" t="s">
        <x:v>198</x:v>
      </x:c>
      <x:c r="C12" s="2" t="s">
        <x:v>894</x:v>
      </x:c>
      <x:c r="D12" s="2" t="s">
        <x:v>895</x:v>
      </x:c>
      <x:c r="E12" s="2"/>
      <x:c r="F12" s="2"/>
      <x:c r="G12" s="2"/>
      <x:c r="H12" s="2" t="s">
        <x:v>87</x:v>
      </x:c>
      <x:c r="I12" s="2"/>
    </x:row>
    <x:row r="13" ht="45.95000076293945" customHeight="1">
      <x:c r="A13" s="3">
        <x:v>8</x:v>
      </x:c>
      <x:c r="B13" s="3" t="s">
        <x:v>203</x:v>
      </x:c>
      <x:c r="C13" s="3" t="s">
        <x:v>896</x:v>
      </x:c>
      <x:c r="D13" s="3" t="s">
        <x:v>897</x:v>
      </x:c>
      <x:c r="E13" s="3"/>
      <x:c r="F13" s="3"/>
      <x:c r="G13" s="3"/>
      <x:c r="H13" s="3" t="s">
        <x:v>87</x:v>
      </x:c>
      <x:c r="I13" s="3"/>
    </x:row>
    <x:row r="14" ht="45.95000076293945" customHeight="1">
      <x:c r="A14" s="2">
        <x:v>9</x:v>
      </x:c>
      <x:c r="B14" s="2" t="s">
        <x:v>214</x:v>
      </x:c>
      <x:c r="C14" s="2" t="s">
        <x:v>898</x:v>
      </x:c>
      <x:c r="D14" s="2" t="s">
        <x:v>899</x:v>
      </x:c>
      <x:c r="E14" s="2"/>
      <x:c r="F14" s="2"/>
      <x:c r="G14" s="2"/>
      <x:c r="H14" s="2" t="s">
        <x:v>87</x:v>
      </x:c>
      <x:c r="I14" s="2"/>
    </x:row>
    <x:row r="15" ht="45.95000076293945" customHeight="1">
      <x:c r="A15" s="3">
        <x:v>10</x:v>
      </x:c>
      <x:c r="B15" s="3" t="s">
        <x:v>219</x:v>
      </x:c>
      <x:c r="C15" s="3" t="s">
        <x:v>900</x:v>
      </x:c>
      <x:c r="D15" s="3" t="s">
        <x:v>901</x:v>
      </x:c>
      <x:c r="E15" s="3"/>
      <x:c r="F15" s="3"/>
      <x:c r="G15" s="3"/>
      <x:c r="H15" s="3" t="s">
        <x:v>87</x:v>
      </x:c>
      <x:c r="I15" s="3"/>
    </x:row>
    <x:row r="16" ht="45.95000076293945" customHeight="1">
      <x:c r="A16" s="2">
        <x:v>11</x:v>
      </x:c>
      <x:c r="B16" s="2" t="s">
        <x:v>224</x:v>
      </x:c>
      <x:c r="C16" s="2" t="s">
        <x:v>902</x:v>
      </x:c>
      <x:c r="D16" s="2" t="s">
        <x:v>903</x:v>
      </x:c>
      <x:c r="E16" s="2"/>
      <x:c r="F16" s="2"/>
      <x:c r="G16" s="2"/>
      <x:c r="H16" s="2" t="s">
        <x:v>87</x:v>
      </x:c>
      <x:c r="I16" s="2"/>
    </x:row>
    <x:row r="17" ht="45.95000076293945" customHeight="1">
      <x:c r="A17" s="3">
        <x:v>12</x:v>
      </x:c>
      <x:c r="B17" s="3" t="s">
        <x:v>230</x:v>
      </x:c>
      <x:c r="C17" s="3" t="s">
        <x:v>904</x:v>
      </x:c>
      <x:c r="D17" s="3" t="s">
        <x:v>905</x:v>
      </x:c>
      <x:c r="E17" s="3"/>
      <x:c r="F17" s="3"/>
      <x:c r="G17" s="3"/>
      <x:c r="H17" s="3" t="s">
        <x:v>87</x:v>
      </x:c>
      <x:c r="I17" s="3"/>
    </x:row>
    <x:row r="18" ht="45.95000076293945" customHeight="1">
      <x:c r="A18" s="2">
        <x:v>13</x:v>
      </x:c>
      <x:c r="B18" s="2" t="s">
        <x:v>236</x:v>
      </x:c>
      <x:c r="C18" s="2" t="s">
        <x:v>906</x:v>
      </x:c>
      <x:c r="D18" s="2" t="s">
        <x:v>907</x:v>
      </x:c>
      <x:c r="E18" s="2"/>
      <x:c r="F18" s="2"/>
      <x:c r="G18" s="2"/>
      <x:c r="H18" s="2" t="s">
        <x:v>87</x:v>
      </x:c>
      <x:c r="I18" s="2"/>
    </x:row>
    <x:row r="19" ht="45.95000076293945" customHeight="1">
      <x:c r="A19" s="3">
        <x:v>14</x:v>
      </x:c>
      <x:c r="B19" s="3" t="s">
        <x:v>242</x:v>
      </x:c>
      <x:c r="C19" s="3" t="s">
        <x:v>908</x:v>
      </x:c>
      <x:c r="D19" s="3" t="s">
        <x:v>909</x:v>
      </x:c>
      <x:c r="E19" s="3"/>
      <x:c r="F19" s="3"/>
      <x:c r="G19" s="3"/>
      <x:c r="H19" s="3" t="s">
        <x:v>87</x:v>
      </x:c>
      <x:c r="I19" s="3"/>
    </x:row>
    <x:row r="20" ht="45.95000076293945" customHeight="1">
      <x:c r="A20" s="2">
        <x:v>15</x:v>
      </x:c>
      <x:c r="B20" s="2" t="s">
        <x:v>249</x:v>
      </x:c>
      <x:c r="C20" s="2" t="s">
        <x:v>910</x:v>
      </x:c>
      <x:c r="D20" s="2" t="s">
        <x:v>911</x:v>
      </x:c>
      <x:c r="E20" s="2"/>
      <x:c r="F20" s="2"/>
      <x:c r="G20" s="2"/>
      <x:c r="H20" s="2" t="s">
        <x:v>87</x:v>
      </x:c>
      <x:c r="I20" s="2"/>
    </x:row>
    <x:row r="21" ht="45.95000076293945" customHeight="1">
      <x:c r="A21" s="3">
        <x:v>16</x:v>
      </x:c>
      <x:c r="B21" s="3" t="s">
        <x:v>255</x:v>
      </x:c>
      <x:c r="C21" s="3" t="s">
        <x:v>912</x:v>
      </x:c>
      <x:c r="D21" s="3" t="s">
        <x:v>913</x:v>
      </x:c>
      <x:c r="E21" s="3"/>
      <x:c r="F21" s="3"/>
      <x:c r="G21" s="3"/>
      <x:c r="H21" s="3" t="s">
        <x:v>87</x:v>
      </x:c>
      <x:c r="I21" s="3"/>
    </x:row>
    <x:row r="22" ht="45.95000076293945" customHeight="1">
      <x:c r="A22" s="2">
        <x:v>17</x:v>
      </x:c>
      <x:c r="B22" s="2" t="s">
        <x:v>261</x:v>
      </x:c>
      <x:c r="C22" s="2" t="s">
        <x:v>914</x:v>
      </x:c>
      <x:c r="D22" s="2" t="s">
        <x:v>915</x:v>
      </x:c>
      <x:c r="E22" s="2"/>
      <x:c r="F22" s="2"/>
      <x:c r="G22" s="2"/>
      <x:c r="H22" s="2" t="s">
        <x:v>87</x:v>
      </x:c>
      <x:c r="I22" s="2"/>
    </x:row>
    <x:row r="23" ht="45.95000076293945" customHeight="1">
      <x:c r="A23" s="3">
        <x:v>18</x:v>
      </x:c>
      <x:c r="B23" s="3" t="s">
        <x:v>284</x:v>
      </x:c>
      <x:c r="C23" s="3" t="s">
        <x:v>916</x:v>
      </x:c>
      <x:c r="D23" s="3" t="s">
        <x:v>917</x:v>
      </x:c>
      <x:c r="E23" s="3"/>
      <x:c r="F23" s="3"/>
      <x:c r="G23" s="3"/>
      <x:c r="H23" s="3" t="s">
        <x:v>87</x:v>
      </x:c>
      <x:c r="I23" s="3"/>
    </x:row>
    <x:row r="24" ht="45.95000076293945" customHeight="1">
      <x:c r="A24" s="2">
        <x:v>19</x:v>
      </x:c>
      <x:c r="B24" s="2" t="s">
        <x:v>290</x:v>
      </x:c>
      <x:c r="C24" s="2" t="s">
        <x:v>918</x:v>
      </x:c>
      <x:c r="D24" s="2" t="s">
        <x:v>919</x:v>
      </x:c>
      <x:c r="E24" s="2"/>
      <x:c r="F24" s="2"/>
      <x:c r="G24" s="2"/>
      <x:c r="H24" s="2" t="s">
        <x:v>87</x:v>
      </x:c>
      <x:c r="I24" s="2"/>
    </x:row>
    <x:row r="25" ht="45.95000076293945" customHeight="1">
      <x:c r="A25" s="3">
        <x:v>20</x:v>
      </x:c>
      <x:c r="B25" s="3" t="s">
        <x:v>299</x:v>
      </x:c>
      <x:c r="C25" s="3" t="s">
        <x:v>920</x:v>
      </x:c>
      <x:c r="D25" s="3" t="s">
        <x:v>921</x:v>
      </x:c>
      <x:c r="E25" s="3"/>
      <x:c r="F25" s="3"/>
      <x:c r="G25" s="3"/>
      <x:c r="H25" s="3" t="s">
        <x:v>87</x:v>
      </x:c>
      <x:c r="I25" s="3"/>
    </x:row>
    <x:row r="26" ht="45.95000076293945" customHeight="1">
      <x:c r="A26" s="2">
        <x:v>21</x:v>
      </x:c>
      <x:c r="B26" s="2" t="s">
        <x:v>304</x:v>
      </x:c>
      <x:c r="C26" s="2" t="s">
        <x:v>922</x:v>
      </x:c>
      <x:c r="D26" s="2" t="s">
        <x:v>923</x:v>
      </x:c>
      <x:c r="E26" s="2"/>
      <x:c r="F26" s="2"/>
      <x:c r="G26" s="2"/>
      <x:c r="H26" s="2" t="s">
        <x:v>87</x:v>
      </x:c>
      <x:c r="I26" s="2"/>
    </x:row>
    <x:row r="27" ht="45.95000076293945" customHeight="1">
      <x:c r="A27" s="3">
        <x:v>22</x:v>
      </x:c>
      <x:c r="B27" s="3" t="s">
        <x:v>309</x:v>
      </x:c>
      <x:c r="C27" s="3" t="s">
        <x:v>924</x:v>
      </x:c>
      <x:c r="D27" s="3" t="s">
        <x:v>925</x:v>
      </x:c>
      <x:c r="E27" s="3"/>
      <x:c r="F27" s="3"/>
      <x:c r="G27" s="3"/>
      <x:c r="H27" s="3" t="s">
        <x:v>87</x:v>
      </x:c>
      <x:c r="I27" s="3"/>
    </x:row>
    <x:row r="28" ht="45.95000076293945" customHeight="1">
      <x:c r="A28" s="2">
        <x:v>23</x:v>
      </x:c>
      <x:c r="B28" s="2" t="s">
        <x:v>314</x:v>
      </x:c>
      <x:c r="C28" s="2" t="s">
        <x:v>926</x:v>
      </x:c>
      <x:c r="D28" s="2" t="s">
        <x:v>927</x:v>
      </x:c>
      <x:c r="E28" s="2"/>
      <x:c r="F28" s="2"/>
      <x:c r="G28" s="2"/>
      <x:c r="H28" s="2" t="s">
        <x:v>87</x:v>
      </x:c>
      <x:c r="I28" s="2"/>
    </x:row>
    <x:row r="29" ht="45.95000076293945" customHeight="1">
      <x:c r="A29" s="3">
        <x:v>24</x:v>
      </x:c>
      <x:c r="B29" s="3" t="s">
        <x:v>320</x:v>
      </x:c>
      <x:c r="C29" s="3" t="s">
        <x:v>928</x:v>
      </x:c>
      <x:c r="D29" s="3" t="s">
        <x:v>929</x:v>
      </x:c>
      <x:c r="E29" s="3"/>
      <x:c r="F29" s="3"/>
      <x:c r="G29" s="3"/>
      <x:c r="H29" s="3" t="s">
        <x:v>87</x:v>
      </x:c>
      <x:c r="I29" s="3"/>
    </x:row>
  </x:sheetData>
  <x:mergeCells>
    <x:mergeCell ref="A1:I2"/>
    <x:mergeCell ref="A3:I3"/>
  </x:mergeCells>
  <x:dataValidations count="1">
    <x:dataValidation type="list" sqref="H6:H29">
      <x:formula1>"미확인,진행중,일부확인,완료,해당없음"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customWidth="1"/>
    <x:col min="2" max="2" width="31" customWidth="1"/>
    <x:col min="3" max="3" width="34" customWidth="1"/>
    <x:col min="4" max="4" width="33" customWidth="1"/>
    <x:col min="5" max="5" width="44" customWidth="1"/>
    <x:col min="6" max="6" width="18" customWidth="1"/>
    <x:col min="7" max="7" width="17" customWidth="1"/>
    <x:col min="8" max="8" width="38" customWidth="1"/>
  </x:cols>
  <x:sheetData>
    <x:row r="1" ht="24" customHeight="1">
      <x:c r="A1" s="9" t="s">
        <x:v>930</x:v>
      </x:c>
      <x:c r="B1" s="9"/>
      <x:c r="C1" s="9"/>
      <x:c r="D1" s="9"/>
      <x:c r="E1" s="9"/>
      <x:c r="F1" s="9"/>
      <x:c r="G1" s="9"/>
      <x:c r="H1" s="9"/>
    </x:row>
    <x:row r="2" ht="24" customHeight="1">
      <x:c r="A2" s="9"/>
      <x:c r="B2" s="9"/>
      <x:c r="C2" s="9"/>
      <x:c r="D2" s="9"/>
      <x:c r="E2" s="9"/>
      <x:c r="F2" s="9"/>
      <x:c r="G2" s="9"/>
      <x:c r="H2" s="9"/>
    </x:row>
    <x:row r="3" ht="36" customHeight="1">
      <x:c r="A3" s="10" t="s">
        <x:v>931</x:v>
      </x:c>
      <x:c r="B3" s="10"/>
      <x:c r="C3" s="10"/>
      <x:c r="D3" s="10"/>
      <x:c r="E3" s="10"/>
      <x:c r="F3" s="10"/>
      <x:c r="G3" s="10"/>
      <x:c r="H3" s="10"/>
    </x:row>
    <x:row r="5" ht="32.099998474121094" customHeight="1">
      <x:c r="A5" s="1" t="s">
        <x:v>69</x:v>
      </x:c>
      <x:c r="B5" s="1" t="s">
        <x:v>932</x:v>
      </x:c>
      <x:c r="C5" s="1" t="s">
        <x:v>933</x:v>
      </x:c>
      <x:c r="D5" s="1" t="s">
        <x:v>934</x:v>
      </x:c>
      <x:c r="E5" s="1" t="s">
        <x:v>935</x:v>
      </x:c>
      <x:c r="F5" s="1" t="s">
        <x:v>936</x:v>
      </x:c>
      <x:c r="G5" s="1" t="s">
        <x:v>622</x:v>
      </x:c>
      <x:c r="H5" s="1" t="s">
        <x:v>937</x:v>
      </x:c>
    </x:row>
    <x:row r="6" ht="45.95000076293945" customHeight="1">
      <x:c r="A6" s="2">
        <x:v>1</x:v>
      </x:c>
      <x:c r="B6" s="2" t="s">
        <x:v>938</x:v>
      </x:c>
      <x:c r="C6" s="2" t="s">
        <x:v>939</x:v>
      </x:c>
      <x:c r="D6" s="2"/>
      <x:c r="E6" s="2"/>
      <x:c r="F6" s="2"/>
      <x:c r="G6" s="2"/>
      <x:c r="H6" s="2"/>
    </x:row>
    <x:row r="7" ht="45.95000076293945" customHeight="1">
      <x:c r="A7" s="3">
        <x:v>2</x:v>
      </x:c>
      <x:c r="B7" s="3" t="s">
        <x:v>940</x:v>
      </x:c>
      <x:c r="C7" s="3" t="s">
        <x:v>941</x:v>
      </x:c>
      <x:c r="D7" s="3"/>
      <x:c r="E7" s="3"/>
      <x:c r="F7" s="3"/>
      <x:c r="G7" s="3"/>
      <x:c r="H7" s="3"/>
    </x:row>
    <x:row r="8" ht="45.95000076293945" customHeight="1">
      <x:c r="A8" s="2">
        <x:v>3</x:v>
      </x:c>
      <x:c r="B8" s="2" t="s">
        <x:v>942</x:v>
      </x:c>
      <x:c r="C8" s="2" t="s">
        <x:v>943</x:v>
      </x:c>
      <x:c r="D8" s="2"/>
      <x:c r="E8" s="2"/>
      <x:c r="F8" s="2"/>
      <x:c r="G8" s="2"/>
      <x:c r="H8" s="2"/>
    </x:row>
    <x:row r="9" ht="45.95000076293945" customHeight="1">
      <x:c r="A9" s="3">
        <x:v>4</x:v>
      </x:c>
      <x:c r="B9" s="3" t="s">
        <x:v>944</x:v>
      </x:c>
      <x:c r="C9" s="3" t="s">
        <x:v>945</x:v>
      </x:c>
      <x:c r="D9" s="3"/>
      <x:c r="E9" s="3"/>
      <x:c r="F9" s="3"/>
      <x:c r="G9" s="3"/>
      <x:c r="H9" s="3"/>
    </x:row>
    <x:row r="10" ht="45.95000076293945" customHeight="1">
      <x:c r="A10" s="2">
        <x:v>5</x:v>
      </x:c>
      <x:c r="B10" s="2" t="s">
        <x:v>946</x:v>
      </x:c>
      <x:c r="C10" s="2" t="s">
        <x:v>947</x:v>
      </x:c>
      <x:c r="D10" s="2"/>
      <x:c r="E10" s="2"/>
      <x:c r="F10" s="2"/>
      <x:c r="G10" s="2"/>
      <x:c r="H10" s="2"/>
    </x:row>
    <x:row r="11" ht="45.95000076293945" customHeight="1">
      <x:c r="A11" s="3">
        <x:v>6</x:v>
      </x:c>
      <x:c r="B11" s="3" t="s">
        <x:v>948</x:v>
      </x:c>
      <x:c r="C11" s="3" t="s">
        <x:v>949</x:v>
      </x:c>
      <x:c r="D11" s="3"/>
      <x:c r="E11" s="3"/>
      <x:c r="F11" s="3"/>
      <x:c r="G11" s="3"/>
      <x:c r="H11" s="3"/>
    </x:row>
    <x:row r="12" ht="45.95000076293945" customHeight="1">
      <x:c r="A12" s="2">
        <x:v>7</x:v>
      </x:c>
      <x:c r="B12" s="2" t="s">
        <x:v>950</x:v>
      </x:c>
      <x:c r="C12" s="2" t="s">
        <x:v>951</x:v>
      </x:c>
      <x:c r="D12" s="2"/>
      <x:c r="E12" s="2"/>
      <x:c r="F12" s="2"/>
      <x:c r="G12" s="2"/>
      <x:c r="H12" s="2"/>
    </x:row>
    <x:row r="13" ht="45.95000076293945" customHeight="1">
      <x:c r="A13" s="3">
        <x:v>8</x:v>
      </x:c>
      <x:c r="B13" s="3" t="s">
        <x:v>952</x:v>
      </x:c>
      <x:c r="C13" s="3" t="s">
        <x:v>953</x:v>
      </x:c>
      <x:c r="D13" s="3"/>
      <x:c r="E13" s="3"/>
      <x:c r="F13" s="3"/>
      <x:c r="G13" s="3"/>
      <x:c r="H13" s="3"/>
    </x:row>
    <x:row r="14" ht="45.95000076293945" customHeight="1">
      <x:c r="A14" s="2">
        <x:v>9</x:v>
      </x:c>
      <x:c r="B14" s="2" t="s">
        <x:v>954</x:v>
      </x:c>
      <x:c r="C14" s="2" t="s">
        <x:v>955</x:v>
      </x:c>
      <x:c r="D14" s="2"/>
      <x:c r="E14" s="2"/>
      <x:c r="F14" s="2"/>
      <x:c r="G14" s="2"/>
      <x:c r="H14" s="2"/>
    </x:row>
    <x:row r="15" ht="45.95000076293945" customHeight="1">
      <x:c r="A15" s="3">
        <x:v>10</x:v>
      </x:c>
      <x:c r="B15" s="3" t="s">
        <x:v>956</x:v>
      </x:c>
      <x:c r="C15" s="3" t="s">
        <x:v>957</x:v>
      </x:c>
      <x:c r="D15" s="3"/>
      <x:c r="E15" s="3"/>
      <x:c r="F15" s="3"/>
      <x:c r="G15" s="3"/>
      <x:c r="H15" s="3"/>
    </x:row>
    <x:row r="16" ht="45.95000076293945" customHeight="1">
      <x:c r="A16" s="2">
        <x:v>11</x:v>
      </x:c>
      <x:c r="B16" s="2" t="s">
        <x:v>958</x:v>
      </x:c>
      <x:c r="C16" s="2" t="s">
        <x:v>959</x:v>
      </x:c>
      <x:c r="D16" s="2"/>
      <x:c r="E16" s="2"/>
      <x:c r="F16" s="2"/>
      <x:c r="G16" s="2"/>
      <x:c r="H16" s="2"/>
    </x:row>
    <x:row r="17" ht="45.95000076293945" customHeight="1">
      <x:c r="A17" s="3">
        <x:v>12</x:v>
      </x:c>
      <x:c r="B17" s="3" t="s">
        <x:v>960</x:v>
      </x:c>
      <x:c r="C17" s="3" t="s">
        <x:v>961</x:v>
      </x:c>
      <x:c r="D17" s="3"/>
      <x:c r="E17" s="3"/>
      <x:c r="F17" s="3"/>
      <x:c r="G17" s="3"/>
      <x:c r="H17" s="3"/>
    </x:row>
  </x:sheetData>
  <x:mergeCells>
    <x:mergeCell ref="A1:H2"/>
    <x:mergeCell ref="A3:H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customWidth="1"/>
    <x:col min="2" max="2" width="19" customWidth="1"/>
    <x:col min="3" max="3" width="52" customWidth="1"/>
    <x:col min="4" max="4" width="39" customWidth="1"/>
    <x:col min="5" max="5" width="60" customWidth="1"/>
    <x:col min="6" max="6" width="17" customWidth="1"/>
  </x:cols>
  <x:sheetData>
    <x:row r="1" ht="24" customHeight="1">
      <x:c r="A1" s="9" t="s">
        <x:v>962</x:v>
      </x:c>
      <x:c r="B1" s="9"/>
      <x:c r="C1" s="9"/>
      <x:c r="D1" s="9"/>
      <x:c r="E1" s="9"/>
      <x:c r="F1" s="9"/>
    </x:row>
    <x:row r="2" ht="24" customHeight="1">
      <x:c r="A2" s="9"/>
      <x:c r="B2" s="9"/>
      <x:c r="C2" s="9"/>
      <x:c r="D2" s="9"/>
      <x:c r="E2" s="9"/>
      <x:c r="F2" s="9"/>
    </x:row>
    <x:row r="3" ht="36" customHeight="1">
      <x:c r="A3" s="10" t="s">
        <x:v>963</x:v>
      </x:c>
      <x:c r="B3" s="10"/>
      <x:c r="C3" s="10"/>
      <x:c r="D3" s="10"/>
      <x:c r="E3" s="10"/>
      <x:c r="F3" s="10"/>
    </x:row>
    <x:row r="5" ht="32.099998474121094" customHeight="1">
      <x:c r="A5" s="1" t="s">
        <x:v>69</x:v>
      </x:c>
      <x:c r="B5" s="1" t="s">
        <x:v>964</x:v>
      </x:c>
      <x:c r="C5" s="1" t="s">
        <x:v>965</x:v>
      </x:c>
      <x:c r="D5" s="1" t="s">
        <x:v>966</x:v>
      </x:c>
      <x:c r="E5" s="1" t="s">
        <x:v>967</x:v>
      </x:c>
      <x:c r="F5" s="1" t="s">
        <x:v>438</x:v>
      </x:c>
    </x:row>
    <x:row r="6" ht="45.95000076293945" customHeight="1">
      <x:c r="A6" s="2">
        <x:v>1</x:v>
      </x:c>
      <x:c r="B6" s="2" t="s">
        <x:v>80</x:v>
      </x:c>
      <x:c r="C6" s="2" t="s">
        <x:v>968</x:v>
      </x:c>
      <x:c r="D6" s="2" t="s">
        <x:v>969</x:v>
      </x:c>
      <x:c r="E6" s="2"/>
      <x:c r="F6" s="2" t="s">
        <x:v>87</x:v>
      </x:c>
    </x:row>
    <x:row r="7" ht="45.95000076293945" customHeight="1">
      <x:c r="A7" s="3">
        <x:v>2</x:v>
      </x:c>
      <x:c r="B7" s="3" t="s">
        <x:v>970</x:v>
      </x:c>
      <x:c r="C7" s="3" t="s">
        <x:v>971</x:v>
      </x:c>
      <x:c r="D7" s="3" t="s">
        <x:v>972</x:v>
      </x:c>
      <x:c r="E7" s="3"/>
      <x:c r="F7" s="3" t="s">
        <x:v>87</x:v>
      </x:c>
    </x:row>
    <x:row r="8" ht="45.95000076293945" customHeight="1">
      <x:c r="A8" s="2">
        <x:v>3</x:v>
      </x:c>
      <x:c r="B8" s="2" t="s">
        <x:v>973</x:v>
      </x:c>
      <x:c r="C8" s="2" t="s">
        <x:v>974</x:v>
      </x:c>
      <x:c r="D8" s="2" t="s">
        <x:v>975</x:v>
      </x:c>
      <x:c r="E8" s="2"/>
      <x:c r="F8" s="2" t="s">
        <x:v>87</x:v>
      </x:c>
    </x:row>
    <x:row r="9" ht="45.95000076293945" customHeight="1">
      <x:c r="A9" s="3">
        <x:v>4</x:v>
      </x:c>
      <x:c r="B9" s="3" t="s">
        <x:v>973</x:v>
      </x:c>
      <x:c r="C9" s="3" t="s">
        <x:v>976</x:v>
      </x:c>
      <x:c r="D9" s="3" t="s">
        <x:v>977</x:v>
      </x:c>
      <x:c r="E9" s="3"/>
      <x:c r="F9" s="3" t="s">
        <x:v>87</x:v>
      </x:c>
    </x:row>
    <x:row r="10" ht="45.95000076293945" customHeight="1">
      <x:c r="A10" s="2">
        <x:v>5</x:v>
      </x:c>
      <x:c r="B10" s="2" t="s">
        <x:v>973</x:v>
      </x:c>
      <x:c r="C10" s="2" t="s">
        <x:v>978</x:v>
      </x:c>
      <x:c r="D10" s="2" t="s">
        <x:v>979</x:v>
      </x:c>
      <x:c r="E10" s="2"/>
      <x:c r="F10" s="2" t="s">
        <x:v>87</x:v>
      </x:c>
    </x:row>
    <x:row r="11" ht="45.95000076293945" customHeight="1">
      <x:c r="A11" s="3">
        <x:v>6</x:v>
      </x:c>
      <x:c r="B11" s="3" t="s">
        <x:v>980</x:v>
      </x:c>
      <x:c r="C11" s="3" t="s">
        <x:v>981</x:v>
      </x:c>
      <x:c r="D11" s="3" t="s">
        <x:v>982</x:v>
      </x:c>
      <x:c r="E11" s="3"/>
      <x:c r="F11" s="3" t="s">
        <x:v>87</x:v>
      </x:c>
    </x:row>
    <x:row r="12" ht="45.95000076293945" customHeight="1">
      <x:c r="A12" s="2">
        <x:v>7</x:v>
      </x:c>
      <x:c r="B12" s="2" t="s">
        <x:v>983</x:v>
      </x:c>
      <x:c r="C12" s="2" t="s">
        <x:v>984</x:v>
      </x:c>
      <x:c r="D12" s="2" t="s">
        <x:v>985</x:v>
      </x:c>
      <x:c r="E12" s="2"/>
      <x:c r="F12" s="2" t="s">
        <x:v>87</x:v>
      </x:c>
    </x:row>
    <x:row r="13" ht="45.95000076293945" customHeight="1">
      <x:c r="A13" s="3">
        <x:v>8</x:v>
      </x:c>
      <x:c r="B13" s="3" t="s">
        <x:v>983</x:v>
      </x:c>
      <x:c r="C13" s="3" t="s">
        <x:v>986</x:v>
      </x:c>
      <x:c r="D13" s="3" t="s">
        <x:v>987</x:v>
      </x:c>
      <x:c r="E13" s="3"/>
      <x:c r="F13" s="3" t="s">
        <x:v>87</x:v>
      </x:c>
    </x:row>
    <x:row r="14" ht="45.95000076293945" customHeight="1">
      <x:c r="A14" s="2">
        <x:v>9</x:v>
      </x:c>
      <x:c r="B14" s="2" t="s">
        <x:v>988</x:v>
      </x:c>
      <x:c r="C14" s="2" t="s">
        <x:v>989</x:v>
      </x:c>
      <x:c r="D14" s="2" t="s">
        <x:v>990</x:v>
      </x:c>
      <x:c r="E14" s="2"/>
      <x:c r="F14" s="2" t="s">
        <x:v>87</x:v>
      </x:c>
    </x:row>
    <x:row r="15" ht="45.95000076293945" customHeight="1">
      <x:c r="A15" s="3">
        <x:v>10</x:v>
      </x:c>
      <x:c r="B15" s="3" t="s">
        <x:v>988</x:v>
      </x:c>
      <x:c r="C15" s="3" t="s">
        <x:v>991</x:v>
      </x:c>
      <x:c r="D15" s="3" t="s">
        <x:v>992</x:v>
      </x:c>
      <x:c r="E15" s="3"/>
      <x:c r="F15" s="3" t="s">
        <x:v>87</x:v>
      </x:c>
    </x:row>
    <x:row r="16" ht="45.95000076293945" customHeight="1">
      <x:c r="A16" s="2">
        <x:v>11</x:v>
      </x:c>
      <x:c r="B16" s="2" t="s">
        <x:v>993</x:v>
      </x:c>
      <x:c r="C16" s="2" t="s">
        <x:v>994</x:v>
      </x:c>
      <x:c r="D16" s="2" t="s">
        <x:v>995</x:v>
      </x:c>
      <x:c r="E16" s="2"/>
      <x:c r="F16" s="2" t="s">
        <x:v>87</x:v>
      </x:c>
    </x:row>
    <x:row r="17" ht="45.95000076293945" customHeight="1">
      <x:c r="A17" s="3">
        <x:v>12</x:v>
      </x:c>
      <x:c r="B17" s="3" t="s">
        <x:v>996</x:v>
      </x:c>
      <x:c r="C17" s="3" t="s">
        <x:v>997</x:v>
      </x:c>
      <x:c r="D17" s="3" t="s">
        <x:v>998</x:v>
      </x:c>
      <x:c r="E17" s="3"/>
      <x:c r="F17" s="3" t="s">
        <x:v>87</x:v>
      </x:c>
    </x:row>
    <x:row r="18" ht="45.95000076293945" customHeight="1">
      <x:c r="A18" s="2">
        <x:v>13</x:v>
      </x:c>
      <x:c r="B18" s="2" t="s">
        <x:v>258</x:v>
      </x:c>
      <x:c r="C18" s="2" t="s">
        <x:v>999</x:v>
      </x:c>
      <x:c r="D18" s="2" t="s">
        <x:v>1000</x:v>
      </x:c>
      <x:c r="E18" s="2"/>
      <x:c r="F18" s="2" t="s">
        <x:v>87</x:v>
      </x:c>
    </x:row>
    <x:row r="19" ht="45.95000076293945" customHeight="1">
      <x:c r="A19" s="3">
        <x:v>14</x:v>
      </x:c>
      <x:c r="B19" s="3" t="s">
        <x:v>114</x:v>
      </x:c>
      <x:c r="C19" s="3" t="s">
        <x:v>1001</x:v>
      </x:c>
      <x:c r="D19" s="3" t="s">
        <x:v>1002</x:v>
      </x:c>
      <x:c r="E19" s="3"/>
      <x:c r="F19" s="3" t="s">
        <x:v>87</x:v>
      </x:c>
    </x:row>
    <x:row r="20" ht="45.95000076293945" customHeight="1">
      <x:c r="A20" s="2">
        <x:v>15</x:v>
      </x:c>
      <x:c r="B20" s="2" t="s">
        <x:v>682</x:v>
      </x:c>
      <x:c r="C20" s="2" t="s">
        <x:v>1003</x:v>
      </x:c>
      <x:c r="D20" s="2" t="s">
        <x:v>1004</x:v>
      </x:c>
      <x:c r="E20" s="2"/>
      <x:c r="F20" s="2" t="s">
        <x:v>87</x:v>
      </x:c>
    </x:row>
    <x:row r="21" ht="45.95000076293945" customHeight="1">
      <x:c r="A21" s="3">
        <x:v>16</x:v>
      </x:c>
      <x:c r="B21" s="3" t="s">
        <x:v>80</x:v>
      </x:c>
      <x:c r="C21" s="3" t="s">
        <x:v>1005</x:v>
      </x:c>
      <x:c r="D21" s="3" t="s">
        <x:v>1006</x:v>
      </x:c>
      <x:c r="E21" s="3"/>
      <x:c r="F21" s="3" t="s">
        <x:v>87</x:v>
      </x:c>
    </x:row>
    <x:row r="22" ht="45.95000076293945" customHeight="1">
      <x:c r="A22" s="2">
        <x:v>17</x:v>
      </x:c>
      <x:c r="B22" s="2" t="s">
        <x:v>131</x:v>
      </x:c>
      <x:c r="C22" s="2" t="s">
        <x:v>1007</x:v>
      </x:c>
      <x:c r="D22" s="2" t="s">
        <x:v>1008</x:v>
      </x:c>
      <x:c r="E22" s="2"/>
      <x:c r="F22" s="2" t="s">
        <x:v>87</x:v>
      </x:c>
    </x:row>
    <x:row r="23" ht="45.95000076293945" customHeight="1">
      <x:c r="A23" s="3">
        <x:v>18</x:v>
      </x:c>
      <x:c r="B23" s="3" t="s">
        <x:v>973</x:v>
      </x:c>
      <x:c r="C23" s="3" t="s">
        <x:v>1009</x:v>
      </x:c>
      <x:c r="D23" s="3" t="s">
        <x:v>1010</x:v>
      </x:c>
      <x:c r="E23" s="3"/>
      <x:c r="F23" s="3" t="s">
        <x:v>87</x:v>
      </x:c>
    </x:row>
  </x:sheetData>
  <x:mergeCells>
    <x:mergeCell ref="A1:F2"/>
    <x:mergeCell ref="A3:F3"/>
  </x:mergeCells>
  <x:dataValidations count="1">
    <x:dataValidation type="list" sqref="F6:F23">
      <x:formula1>"미확인,진행중,일부확인,완료,해당없음"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" customWidth="1"/>
    <x:col min="2" max="2" width="18" customWidth="1"/>
    <x:col min="3" max="3" width="43" customWidth="1"/>
    <x:col min="4" max="4" width="49" customWidth="1"/>
    <x:col min="5" max="5" width="18" customWidth="1"/>
    <x:col min="6" max="6" width="17" customWidth="1"/>
    <x:col min="7" max="7" width="36" customWidth="1"/>
  </x:cols>
  <x:sheetData>
    <x:row r="1" ht="24" customHeight="1">
      <x:c r="A1" s="9" t="s">
        <x:v>1011</x:v>
      </x:c>
      <x:c r="B1" s="9"/>
      <x:c r="C1" s="9"/>
      <x:c r="D1" s="9"/>
      <x:c r="E1" s="9"/>
      <x:c r="F1" s="9"/>
      <x:c r="G1" s="9"/>
    </x:row>
    <x:row r="2" ht="24" customHeight="1">
      <x:c r="A2" s="9"/>
      <x:c r="B2" s="9"/>
      <x:c r="C2" s="9"/>
      <x:c r="D2" s="9"/>
      <x:c r="E2" s="9"/>
      <x:c r="F2" s="9"/>
      <x:c r="G2" s="9"/>
    </x:row>
    <x:row r="3" ht="36" customHeight="1">
      <x:c r="A3" s="10" t="s">
        <x:v>1012</x:v>
      </x:c>
      <x:c r="B3" s="10"/>
      <x:c r="C3" s="10"/>
      <x:c r="D3" s="10"/>
      <x:c r="E3" s="10"/>
      <x:c r="F3" s="10"/>
      <x:c r="G3" s="10"/>
    </x:row>
    <x:row r="5" ht="32.099998474121094" customHeight="1">
      <x:c r="A5" s="1" t="s">
        <x:v>69</x:v>
      </x:c>
      <x:c r="B5" s="1" t="s">
        <x:v>70</x:v>
      </x:c>
      <x:c r="C5" s="1" t="s">
        <x:v>1013</x:v>
      </x:c>
      <x:c r="D5" s="1" t="s">
        <x:v>1014</x:v>
      </x:c>
      <x:c r="E5" s="1" t="s">
        <x:v>1015</x:v>
      </x:c>
      <x:c r="F5" s="1" t="s">
        <x:v>372</x:v>
      </x:c>
      <x:c r="G5" s="1" t="s">
        <x:v>1016</x:v>
      </x:c>
    </x:row>
    <x:row r="6" ht="45.95000076293945" customHeight="1">
      <x:c r="A6" s="2">
        <x:v>1</x:v>
      </x:c>
      <x:c r="B6" s="2" t="s">
        <x:v>1017</x:v>
      </x:c>
      <x:c r="C6" s="2" t="s">
        <x:v>1018</x:v>
      </x:c>
      <x:c r="D6" s="2" t="s">
        <x:v>1019</x:v>
      </x:c>
      <x:c r="E6" s="2" t="s">
        <x:v>98</x:v>
      </x:c>
      <x:c r="F6" s="2" t="s">
        <x:v>87</x:v>
      </x:c>
      <x:c r="G6" s="2"/>
    </x:row>
    <x:row r="7" ht="45.95000076293945" customHeight="1">
      <x:c r="A7" s="3">
        <x:v>2</x:v>
      </x:c>
      <x:c r="B7" s="3" t="s">
        <x:v>1020</x:v>
      </x:c>
      <x:c r="C7" s="3" t="s">
        <x:v>1021</x:v>
      </x:c>
      <x:c r="D7" s="3" t="s">
        <x:v>1022</x:v>
      </x:c>
      <x:c r="E7" s="3" t="s">
        <x:v>98</x:v>
      </x:c>
      <x:c r="F7" s="3" t="s">
        <x:v>87</x:v>
      </x:c>
      <x:c r="G7" s="3"/>
    </x:row>
    <x:row r="8" ht="45.95000076293945" customHeight="1">
      <x:c r="A8" s="2">
        <x:v>3</x:v>
      </x:c>
      <x:c r="B8" s="2" t="s">
        <x:v>1023</x:v>
      </x:c>
      <x:c r="C8" s="2" t="s">
        <x:v>1024</x:v>
      </x:c>
      <x:c r="D8" s="2" t="s">
        <x:v>1025</x:v>
      </x:c>
      <x:c r="E8" s="2" t="s">
        <x:v>98</x:v>
      </x:c>
      <x:c r="F8" s="2" t="s">
        <x:v>87</x:v>
      </x:c>
      <x:c r="G8" s="2"/>
    </x:row>
    <x:row r="9" ht="45.95000076293945" customHeight="1">
      <x:c r="A9" s="3">
        <x:v>4</x:v>
      </x:c>
      <x:c r="B9" s="3" t="s">
        <x:v>1026</x:v>
      </x:c>
      <x:c r="C9" s="3" t="s">
        <x:v>1027</x:v>
      </x:c>
      <x:c r="D9" s="3" t="s">
        <x:v>1028</x:v>
      </x:c>
      <x:c r="E9" s="3" t="s">
        <x:v>98</x:v>
      </x:c>
      <x:c r="F9" s="3" t="s">
        <x:v>87</x:v>
      </x:c>
      <x:c r="G9" s="3"/>
    </x:row>
    <x:row r="10" ht="45.95000076293945" customHeight="1">
      <x:c r="A10" s="2">
        <x:v>5</x:v>
      </x:c>
      <x:c r="B10" s="2" t="s">
        <x:v>1029</x:v>
      </x:c>
      <x:c r="C10" s="2" t="s">
        <x:v>1030</x:v>
      </x:c>
      <x:c r="D10" s="2" t="s">
        <x:v>1031</x:v>
      </x:c>
      <x:c r="E10" s="2" t="s">
        <x:v>98</x:v>
      </x:c>
      <x:c r="F10" s="2" t="s">
        <x:v>87</x:v>
      </x:c>
      <x:c r="G10" s="2"/>
    </x:row>
    <x:row r="11" ht="45.95000076293945" customHeight="1">
      <x:c r="A11" s="3">
        <x:v>6</x:v>
      </x:c>
      <x:c r="B11" s="3" t="s">
        <x:v>1032</x:v>
      </x:c>
      <x:c r="C11" s="3" t="s">
        <x:v>1033</x:v>
      </x:c>
      <x:c r="D11" s="3" t="s">
        <x:v>1034</x:v>
      </x:c>
      <x:c r="E11" s="3" t="s">
        <x:v>98</x:v>
      </x:c>
      <x:c r="F11" s="3" t="s">
        <x:v>87</x:v>
      </x:c>
      <x:c r="G11" s="3"/>
    </x:row>
    <x:row r="12" ht="45.95000076293945" customHeight="1">
      <x:c r="A12" s="2">
        <x:v>7</x:v>
      </x:c>
      <x:c r="B12" s="2" t="s">
        <x:v>1035</x:v>
      </x:c>
      <x:c r="C12" s="2" t="s">
        <x:v>1036</x:v>
      </x:c>
      <x:c r="D12" s="2" t="s">
        <x:v>1037</x:v>
      </x:c>
      <x:c r="E12" s="2" t="s">
        <x:v>98</x:v>
      </x:c>
      <x:c r="F12" s="2" t="s">
        <x:v>87</x:v>
      </x:c>
      <x:c r="G12" s="2"/>
    </x:row>
    <x:row r="13" ht="45.95000076293945" customHeight="1">
      <x:c r="A13" s="3">
        <x:v>8</x:v>
      </x:c>
      <x:c r="B13" s="3" t="s">
        <x:v>1038</x:v>
      </x:c>
      <x:c r="C13" s="3" t="s">
        <x:v>1039</x:v>
      </x:c>
      <x:c r="D13" s="3" t="s">
        <x:v>1040</x:v>
      </x:c>
      <x:c r="E13" s="3" t="s">
        <x:v>98</x:v>
      </x:c>
      <x:c r="F13" s="3" t="s">
        <x:v>87</x:v>
      </x:c>
      <x:c r="G13" s="3"/>
    </x:row>
    <x:row r="14" ht="45.95000076293945" customHeight="1">
      <x:c r="A14" s="2">
        <x:v>9</x:v>
      </x:c>
      <x:c r="B14" s="2" t="s">
        <x:v>1041</x:v>
      </x:c>
      <x:c r="C14" s="2" t="s">
        <x:v>1042</x:v>
      </x:c>
      <x:c r="D14" s="2" t="s">
        <x:v>1043</x:v>
      </x:c>
      <x:c r="E14" s="2" t="s">
        <x:v>98</x:v>
      </x:c>
      <x:c r="F14" s="2" t="s">
        <x:v>87</x:v>
      </x:c>
      <x:c r="G14" s="2"/>
    </x:row>
    <x:row r="15" ht="45.95000076293945" customHeight="1">
      <x:c r="A15" s="3">
        <x:v>10</x:v>
      </x:c>
      <x:c r="B15" s="3" t="s">
        <x:v>1044</x:v>
      </x:c>
      <x:c r="C15" s="3" t="s">
        <x:v>1045</x:v>
      </x:c>
      <x:c r="D15" s="3" t="s">
        <x:v>1046</x:v>
      </x:c>
      <x:c r="E15" s="3" t="s">
        <x:v>98</x:v>
      </x:c>
      <x:c r="F15" s="3" t="s">
        <x:v>87</x:v>
      </x:c>
      <x:c r="G15" s="3"/>
    </x:row>
    <x:row r="18" ht="30.950000762939453" customHeight="1">
      <x:c r="A18" s="11" t="s">
        <x:v>1047</x:v>
      </x:c>
      <x:c r="B18" s="11"/>
      <x:c r="C18" s="11"/>
      <x:c r="D18" s="11"/>
      <x:c r="E18" s="11"/>
      <x:c r="F18" s="11"/>
      <x:c r="G18" s="11"/>
    </x:row>
    <x:row r="19" ht="30.950000762939453" customHeight="1">
      <x:c r="A19" s="11" t="s">
        <x:v>1048</x:v>
      </x:c>
      <x:c r="B19" s="11"/>
      <x:c r="C19" s="11"/>
      <x:c r="D19" s="11"/>
      <x:c r="E19" s="11"/>
      <x:c r="F19" s="11"/>
      <x:c r="G19" s="11"/>
    </x:row>
  </x:sheetData>
  <x:mergeCells>
    <x:mergeCell ref="A1:G2"/>
    <x:mergeCell ref="A3:G3"/>
    <x:mergeCell ref="A18:G18"/>
    <x:mergeCell ref="A19:G19"/>
  </x:mergeCells>
  <x:dataValidations count="1">
    <x:dataValidation type="list" sqref="F6:F15">
      <x:formula1>"미확인,진행중,일부확인,완료,해당없음"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customWidth="1"/>
    <x:col min="2" max="2" width="27" customWidth="1"/>
    <x:col min="3" max="3" width="38" customWidth="1"/>
    <x:col min="4" max="4" width="49" customWidth="1"/>
    <x:col min="5" max="5" width="40" customWidth="1"/>
    <x:col min="6" max="6" width="19" customWidth="1"/>
  </x:cols>
  <x:sheetData>
    <x:row r="1" ht="24" customHeight="1">
      <x:c r="A1" s="9" t="s">
        <x:v>1049</x:v>
      </x:c>
      <x:c r="B1" s="9"/>
      <x:c r="C1" s="9"/>
      <x:c r="D1" s="9"/>
      <x:c r="E1" s="9"/>
      <x:c r="F1" s="9"/>
    </x:row>
    <x:row r="2" ht="24" customHeight="1">
      <x:c r="A2" s="9"/>
      <x:c r="B2" s="9"/>
      <x:c r="C2" s="9"/>
      <x:c r="D2" s="9"/>
      <x:c r="E2" s="9"/>
      <x:c r="F2" s="9"/>
    </x:row>
    <x:row r="3" ht="36" customHeight="1">
      <x:c r="A3" s="10" t="s">
        <x:v>1050</x:v>
      </x:c>
      <x:c r="B3" s="10"/>
      <x:c r="C3" s="10"/>
      <x:c r="D3" s="10"/>
      <x:c r="E3" s="10"/>
      <x:c r="F3" s="10"/>
    </x:row>
    <x:row r="5" ht="32.099998474121094" customHeight="1">
      <x:c r="A5" s="1" t="s">
        <x:v>1051</x:v>
      </x:c>
      <x:c r="B5" s="1" t="s">
        <x:v>1052</x:v>
      </x:c>
      <x:c r="C5" s="1" t="s">
        <x:v>1053</x:v>
      </x:c>
      <x:c r="D5" s="1" t="s">
        <x:v>1054</x:v>
      </x:c>
      <x:c r="E5" s="1" t="s">
        <x:v>1055</x:v>
      </x:c>
      <x:c r="F5" s="1" t="s">
        <x:v>712</x:v>
      </x:c>
    </x:row>
    <x:row r="6" ht="45.95000076293945" customHeight="1">
      <x:c r="A6" s="2" t="s">
        <x:v>1056</x:v>
      </x:c>
      <x:c r="B6" s="2" t="s">
        <x:v>1057</x:v>
      </x:c>
      <x:c r="C6" s="2" t="s">
        <x:v>1058</x:v>
      </x:c>
      <x:c r="D6" s="2" t="s">
        <x:v>1059</x:v>
      </x:c>
      <x:c r="E6" s="2" t="s">
        <x:v>1060</x:v>
      </x:c>
      <x:c r="F6" s="2" t="s">
        <x:v>79</x:v>
      </x:c>
    </x:row>
    <x:row r="7" ht="45.95000076293945" customHeight="1">
      <x:c r="A7" s="3" t="s">
        <x:v>1061</x:v>
      </x:c>
      <x:c r="B7" s="3" t="s">
        <x:v>1062</x:v>
      </x:c>
      <x:c r="C7" s="3" t="s">
        <x:v>1063</x:v>
      </x:c>
      <x:c r="D7" s="3" t="s">
        <x:v>1064</x:v>
      </x:c>
      <x:c r="E7" s="3" t="s">
        <x:v>1065</x:v>
      </x:c>
      <x:c r="F7" s="3" t="s">
        <x:v>111</x:v>
      </x:c>
    </x:row>
    <x:row r="8" ht="45.95000076293945" customHeight="1">
      <x:c r="A8" s="2" t="s">
        <x:v>1066</x:v>
      </x:c>
      <x:c r="B8" s="2" t="s">
        <x:v>1067</x:v>
      </x:c>
      <x:c r="C8" s="2" t="s">
        <x:v>1063</x:v>
      </x:c>
      <x:c r="D8" s="2" t="s">
        <x:v>1068</x:v>
      </x:c>
      <x:c r="E8" s="2" t="s">
        <x:v>1069</x:v>
      </x:c>
      <x:c r="F8" s="2" t="s">
        <x:v>116</x:v>
      </x:c>
    </x:row>
    <x:row r="9" ht="45.95000076293945" customHeight="1">
      <x:c r="A9" s="3" t="s">
        <x:v>1070</x:v>
      </x:c>
      <x:c r="B9" s="3" t="s">
        <x:v>1071</x:v>
      </x:c>
      <x:c r="C9" s="3" t="s">
        <x:v>1072</x:v>
      </x:c>
      <x:c r="D9" s="3" t="s">
        <x:v>1073</x:v>
      </x:c>
      <x:c r="E9" s="3" t="s">
        <x:v>1074</x:v>
      </x:c>
      <x:c r="F9" s="3" t="s">
        <x:v>130</x:v>
      </x:c>
    </x:row>
    <x:row r="10" ht="45.95000076293945" customHeight="1">
      <x:c r="A10" s="2" t="s">
        <x:v>1075</x:v>
      </x:c>
      <x:c r="B10" s="2" t="s">
        <x:v>1076</x:v>
      </x:c>
      <x:c r="C10" s="2" t="s">
        <x:v>1072</x:v>
      </x:c>
      <x:c r="D10" s="2" t="s">
        <x:v>1077</x:v>
      </x:c>
      <x:c r="E10" s="2" t="s">
        <x:v>1078</x:v>
      </x:c>
      <x:c r="F10" s="2" t="s">
        <x:v>136</x:v>
      </x:c>
    </x:row>
    <x:row r="11" ht="45.95000076293945" customHeight="1">
      <x:c r="A11" s="3" t="s">
        <x:v>1079</x:v>
      </x:c>
      <x:c r="B11" s="3" t="s">
        <x:v>1080</x:v>
      </x:c>
      <x:c r="C11" s="3" t="s">
        <x:v>1081</x:v>
      </x:c>
      <x:c r="D11" s="3" t="s">
        <x:v>1082</x:v>
      </x:c>
      <x:c r="E11" s="3" t="s">
        <x:v>1083</x:v>
      </x:c>
      <x:c r="F11" s="3" t="s">
        <x:v>1084</x:v>
      </x:c>
    </x:row>
    <x:row r="12" ht="45.95000076293945" customHeight="1">
      <x:c r="A12" s="2" t="s">
        <x:v>1085</x:v>
      </x:c>
      <x:c r="B12" s="2" t="s">
        <x:v>1086</x:v>
      </x:c>
      <x:c r="C12" s="2" t="s">
        <x:v>1081</x:v>
      </x:c>
      <x:c r="D12" s="2" t="s">
        <x:v>1087</x:v>
      </x:c>
      <x:c r="E12" s="2" t="s">
        <x:v>1088</x:v>
      </x:c>
      <x:c r="F12" s="2" t="s">
        <x:v>1089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customWidth="1"/>
    <x:col min="2" max="2" width="40" customWidth="1"/>
    <x:col min="3" max="4" width="19" customWidth="1"/>
    <x:col min="5" max="5" width="43" customWidth="1"/>
    <x:col min="6" max="6" width="21" customWidth="1"/>
    <x:col min="7" max="7" width="75" customWidth="1"/>
  </x:cols>
  <x:sheetData>
    <x:row r="1" ht="24" customHeight="1">
      <x:c r="A1" s="9" t="s">
        <x:v>1090</x:v>
      </x:c>
      <x:c r="B1" s="9"/>
      <x:c r="C1" s="9"/>
      <x:c r="D1" s="9"/>
      <x:c r="E1" s="9"/>
      <x:c r="F1" s="9"/>
      <x:c r="G1" s="9"/>
    </x:row>
    <x:row r="2" ht="24" customHeight="1">
      <x:c r="A2" s="9"/>
      <x:c r="B2" s="9"/>
      <x:c r="C2" s="9"/>
      <x:c r="D2" s="9"/>
      <x:c r="E2" s="9"/>
      <x:c r="F2" s="9"/>
      <x:c r="G2" s="9"/>
    </x:row>
    <x:row r="3" ht="36" customHeight="1">
      <x:c r="A3" s="10" t="s">
        <x:v>1091</x:v>
      </x:c>
      <x:c r="B3" s="10"/>
      <x:c r="C3" s="10"/>
      <x:c r="D3" s="10"/>
      <x:c r="E3" s="10"/>
      <x:c r="F3" s="10"/>
      <x:c r="G3" s="10"/>
    </x:row>
    <x:row r="5" ht="32.099998474121094" customHeight="1">
      <x:c r="A5" s="1" t="s">
        <x:v>160</x:v>
      </x:c>
      <x:c r="B5" s="1" t="s">
        <x:v>1092</x:v>
      </x:c>
      <x:c r="C5" s="1" t="s">
        <x:v>1093</x:v>
      </x:c>
      <x:c r="D5" s="1" t="s">
        <x:v>1094</x:v>
      </x:c>
      <x:c r="E5" s="1" t="s">
        <x:v>1095</x:v>
      </x:c>
      <x:c r="F5" s="1" t="s">
        <x:v>1096</x:v>
      </x:c>
      <x:c r="G5" s="1" t="s">
        <x:v>1097</x:v>
      </x:c>
    </x:row>
    <x:row r="6" ht="45.95000076293945" customHeight="1">
      <x:c r="A6" s="2" t="s">
        <x:v>1098</x:v>
      </x:c>
      <x:c r="B6" s="2" t="s">
        <x:v>1099</x:v>
      </x:c>
      <x:c r="C6" s="2" t="s">
        <x:v>444</x:v>
      </x:c>
      <x:c r="D6" s="2" t="s">
        <x:v>448</x:v>
      </x:c>
      <x:c r="E6" s="2" t="s">
        <x:v>1100</x:v>
      </x:c>
      <x:c r="F6" s="2" t="s">
        <x:v>1101</x:v>
      </x:c>
      <x:c r="G6" s="2" t="s">
        <x:v>1102</x:v>
      </x:c>
    </x:row>
    <x:row r="7" ht="45.95000076293945" customHeight="1">
      <x:c r="A7" s="3" t="s">
        <x:v>1103</x:v>
      </x:c>
      <x:c r="B7" s="3" t="s">
        <x:v>1104</x:v>
      </x:c>
      <x:c r="C7" s="3" t="s">
        <x:v>444</x:v>
      </x:c>
      <x:c r="D7" s="3" t="s">
        <x:v>448</x:v>
      </x:c>
      <x:c r="E7" s="3" t="s">
        <x:v>1105</x:v>
      </x:c>
      <x:c r="F7" s="3" t="s">
        <x:v>1101</x:v>
      </x:c>
      <x:c r="G7" s="3" t="s">
        <x:v>1102</x:v>
      </x:c>
    </x:row>
    <x:row r="8" ht="45.95000076293945" customHeight="1">
      <x:c r="A8" s="2" t="s">
        <x:v>1106</x:v>
      </x:c>
      <x:c r="B8" s="2" t="s">
        <x:v>1107</x:v>
      </x:c>
      <x:c r="C8" s="2" t="s">
        <x:v>456</x:v>
      </x:c>
      <x:c r="D8" s="2" t="s">
        <x:v>1108</x:v>
      </x:c>
      <x:c r="E8" s="2" t="s">
        <x:v>1109</x:v>
      </x:c>
      <x:c r="F8" s="2" t="s">
        <x:v>347</x:v>
      </x:c>
      <x:c r="G8" s="2" t="s">
        <x:v>455</x:v>
      </x:c>
    </x:row>
    <x:row r="9" ht="45.95000076293945" customHeight="1">
      <x:c r="A9" s="3" t="s">
        <x:v>1110</x:v>
      </x:c>
      <x:c r="B9" s="3" t="s">
        <x:v>1111</x:v>
      </x:c>
      <x:c r="C9" s="3" t="s">
        <x:v>456</x:v>
      </x:c>
      <x:c r="D9" s="3" t="s">
        <x:v>1112</x:v>
      </x:c>
      <x:c r="E9" s="3" t="s">
        <x:v>1113</x:v>
      </x:c>
      <x:c r="F9" s="3" t="s">
        <x:v>347</x:v>
      </x:c>
      <x:c r="G9" s="3" t="s">
        <x:v>462</x:v>
      </x:c>
    </x:row>
    <x:row r="10" ht="45.95000076293945" customHeight="1">
      <x:c r="A10" s="2" t="s">
        <x:v>1114</x:v>
      </x:c>
      <x:c r="B10" s="2" t="s">
        <x:v>1115</x:v>
      </x:c>
      <x:c r="C10" s="2" t="s">
        <x:v>79</x:v>
      </x:c>
      <x:c r="D10" s="2" t="s">
        <x:v>1116</x:v>
      </x:c>
      <x:c r="E10" s="2" t="s">
        <x:v>1117</x:v>
      </x:c>
      <x:c r="F10" s="2" t="s">
        <x:v>1118</x:v>
      </x:c>
      <x:c r="G10" s="2" t="s">
        <x:v>1119</x:v>
      </x:c>
    </x:row>
    <x:row r="11" ht="45.95000076293945" customHeight="1">
      <x:c r="A11" s="3" t="s">
        <x:v>1120</x:v>
      </x:c>
      <x:c r="B11" s="3" t="s">
        <x:v>1121</x:v>
      </x:c>
      <x:c r="C11" s="3" t="s">
        <x:v>467</x:v>
      </x:c>
      <x:c r="D11" s="3" t="s">
        <x:v>1122</x:v>
      </x:c>
      <x:c r="E11" s="3" t="s">
        <x:v>1123</x:v>
      </x:c>
      <x:c r="F11" s="3" t="s">
        <x:v>1124</x:v>
      </x:c>
      <x:c r="G11" s="3" t="s">
        <x:v>471</x:v>
      </x:c>
    </x:row>
    <x:row r="12" ht="45.95000076293945" customHeight="1">
      <x:c r="A12" s="2" t="s">
        <x:v>1125</x:v>
      </x:c>
      <x:c r="B12" s="2" t="s">
        <x:v>1126</x:v>
      </x:c>
      <x:c r="C12" s="2" t="s">
        <x:v>474</x:v>
      </x:c>
      <x:c r="D12" s="2" t="s">
        <x:v>1127</x:v>
      </x:c>
      <x:c r="E12" s="2" t="s">
        <x:v>1128</x:v>
      </x:c>
      <x:c r="F12" s="2" t="s">
        <x:v>1124</x:v>
      </x:c>
      <x:c r="G12" s="2" t="s">
        <x:v>477</x:v>
      </x:c>
    </x:row>
    <x:row r="13" ht="45.95000076293945" customHeight="1">
      <x:c r="A13" s="3" t="s">
        <x:v>1129</x:v>
      </x:c>
      <x:c r="B13" s="3" t="s">
        <x:v>1130</x:v>
      </x:c>
      <x:c r="C13" s="3" t="s">
        <x:v>1124</x:v>
      </x:c>
      <x:c r="D13" s="3" t="s">
        <x:v>1131</x:v>
      </x:c>
      <x:c r="E13" s="3" t="s">
        <x:v>1132</x:v>
      </x:c>
      <x:c r="F13" s="3" t="s">
        <x:v>1133</x:v>
      </x:c>
      <x:c r="G13" s="3" t="s">
        <x:v>1134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3" hidden="0" customWidth="1"/>
    <x:col min="4" max="4" width="10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40" hidden="0" customWidth="1"/>
    <x:col min="12" max="12" width="14" hidden="0" customWidth="1"/>
    <x:col min="13" max="13" width="14" hidden="0" customWidth="1"/>
    <x:col min="14" max="14" width="26" hidden="0" customWidth="1"/>
    <x:col min="15" max="15" width="14" hidden="0" customWidth="1"/>
  </x:cols>
  <x:sheetData>
    <x:row r="1" ht="38" customHeight="1">
      <x:c r="A1" s="73" t="str">
        <x:v>STEP 2 | EMS 증빙 37건 실물검증 관리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</x:row>
    <x:row r="2" ht="33" customHeight="1">
      <x:c r="A2" s="80" t="str">
        <x:v>원본 03_준비자료와 자동 연결. 파일 확보 ≠ 인증 적합판정. 승인·운영·현장 검증과 실제 증빙경로/확인자를 기록해야 완료 처리.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</x:row>
    <x:row r="6" ht="30" customHeight="1">
      <x:c r="A6" s="103" t="str">
        <x:v>증빙 ID</x:v>
      </x:c>
      <x:c r="B6" s="103" t="str">
        <x:v>ISO 조항</x:v>
      </x:c>
      <x:c r="C6" s="103" t="str">
        <x:v>필요 문서·기록</x:v>
      </x:c>
      <x:c r="D6" s="103" t="str">
        <x:v>중요도</x:v>
      </x:c>
      <x:c r="E6" s="103" t="str">
        <x:v>담당 역할</x:v>
      </x:c>
      <x:c r="F6" s="103" t="str">
        <x:v>내부 권고일</x:v>
      </x:c>
      <x:c r="G6" s="103" t="str">
        <x:v>원본파일</x:v>
      </x:c>
      <x:c r="H6" s="103" t="str">
        <x:v>최신승인본</x:v>
      </x:c>
      <x:c r="I6" s="103" t="str">
        <x:v>운영기록</x:v>
      </x:c>
      <x:c r="J6" s="103" t="str">
        <x:v>현장 대조</x:v>
      </x:c>
      <x:c r="K6" s="103" t="str">
        <x:v>파일 경로·증빙</x:v>
      </x:c>
      <x:c r="L6" s="103" t="str">
        <x:v>확인자</x:v>
      </x:c>
      <x:c r="M6" s="103" t="str">
        <x:v>확인일</x:v>
      </x:c>
      <x:c r="N6" s="103" t="str">
        <x:v>비해당 사유</x:v>
      </x:c>
      <x:c r="O6" s="103" t="str">
        <x:v>검증상태</x:v>
      </x:c>
    </x:row>
    <x:row r="7" ht="35" customHeight="1">
      <x:c r="A7" s="115" t="str">
        <x:f>'03_준비자료'!A7</x:f>
        <x:v>EMS-001</x:v>
      </x:c>
      <x:c r="B7" s="115" t="str">
        <x:f>'03_준비자료'!B7</x:f>
        <x:v>4.1/4.2</x:v>
      </x:c>
      <x:c r="C7" s="101" t="str">
        <x:f>'03_준비자료'!C7</x:f>
        <x:v>조직 내·외부 이슈 및 이해관계자 요구사항 목록</x:v>
      </x:c>
      <x:c r="D7" s="115" t="str">
        <x:f>'03_준비자료'!F7</x:f>
        <x:v>상</x:v>
      </x:c>
      <x:c r="E7" s="115" t="str">
        <x:f>'03_준비자료'!E7</x:f>
        <x:v>환경관리</x:v>
      </x:c>
      <x:c r="F7" s="115" t="str">
        <x:f>'03_준비자료'!H7</x:f>
        <x:v>2026-10-28</x:v>
      </x:c>
      <x:c r="G7" s="109" t="str">
        <x:v>미확인</x:v>
      </x:c>
      <x:c r="H7" s="109" t="str">
        <x:v>미확인</x:v>
      </x:c>
      <x:c r="I7" s="109" t="str">
        <x:v>미확인</x:v>
      </x:c>
      <x:c r="J7" s="109" t="str">
        <x:v>미확인</x:v>
      </x:c>
      <x:c r="K7" s="113"/>
      <x:c r="L7" s="109"/>
      <x:c r="M7" s="117"/>
      <x:c r="N7" s="113"/>
      <x:c r="O7" s="110" t="str">
        <x:f>IF(AND(G7="확보",OR(H7="확인",AND(H7="비해당",N7&lt;&gt;"")),OR(I7="확인",AND(I7="비해당",N7&lt;&gt;"")),OR(J7="확인",AND(J7="비해당",N7&lt;&gt;"")),K7&lt;&gt;"",L7&lt;&gt;"",M7&lt;&gt;""),"검증완료","미검증")</x:f>
        <x:v>미검증</x:v>
      </x:c>
    </x:row>
    <x:row r="8" ht="35" customHeight="1">
      <x:c r="A8" s="115" t="str">
        <x:f>'03_준비자료'!A8</x:f>
        <x:v>EMS-002</x:v>
      </x:c>
      <x:c r="B8" s="115" t="str">
        <x:f>'03_준비자료'!B8</x:f>
        <x:v>4.3</x:v>
      </x:c>
      <x:c r="C8" s="101" t="str">
        <x:f>'03_준비자료'!C8</x:f>
        <x:v>환경경영시스템 적용범위/인증범위 문서</x:v>
      </x:c>
      <x:c r="D8" s="115" t="str">
        <x:f>'03_준비자료'!F8</x:f>
        <x:v>상</x:v>
      </x:c>
      <x:c r="E8" s="115" t="str">
        <x:f>'03_준비자료'!E8</x:f>
        <x:v>환경관리</x:v>
      </x:c>
      <x:c r="F8" s="115" t="str">
        <x:f>'03_준비자료'!H8</x:f>
        <x:v>2026-10-27</x:v>
      </x:c>
      <x:c r="G8" s="109" t="str">
        <x:v>미확인</x:v>
      </x:c>
      <x:c r="H8" s="109" t="str">
        <x:v>미확인</x:v>
      </x:c>
      <x:c r="I8" s="109" t="str">
        <x:v>미확인</x:v>
      </x:c>
      <x:c r="J8" s="109" t="str">
        <x:v>미확인</x:v>
      </x:c>
      <x:c r="K8" s="113"/>
      <x:c r="L8" s="109"/>
      <x:c r="M8" s="117"/>
      <x:c r="N8" s="113"/>
      <x:c r="O8" s="110" t="str">
        <x:f>IF(AND(G8="확보",OR(H8="확인",AND(H8="비해당",N8&lt;&gt;"")),OR(I8="확인",AND(I8="비해당",N8&lt;&gt;"")),OR(J8="확인",AND(J8="비해당",N8&lt;&gt;"")),K8&lt;&gt;"",L8&lt;&gt;"",M8&lt;&gt;""),"검증완료","미검증")</x:f>
        <x:v>미검증</x:v>
      </x:c>
    </x:row>
    <x:row r="9" ht="35" customHeight="1">
      <x:c r="A9" s="115" t="str">
        <x:f>'03_준비자료'!A9</x:f>
        <x:v>EMS-003</x:v>
      </x:c>
      <x:c r="B9" s="115" t="str">
        <x:f>'03_준비자료'!B9</x:f>
        <x:v>4.4</x:v>
      </x:c>
      <x:c r="C9" s="101" t="str">
        <x:f>'03_준비자료'!C9</x:f>
        <x:v>EMS 프로세스 및 상호작용 현황</x:v>
      </x:c>
      <x:c r="D9" s="115" t="str">
        <x:f>'03_준비자료'!F9</x:f>
        <x:v>중</x:v>
      </x:c>
      <x:c r="E9" s="115" t="str">
        <x:f>'03_준비자료'!E9</x:f>
        <x:v>환경관리</x:v>
      </x:c>
      <x:c r="F9" s="115" t="str">
        <x:f>'03_준비자료'!H9</x:f>
        <x:v>2026-11-02</x:v>
      </x:c>
      <x:c r="G9" s="109" t="str">
        <x:v>미확인</x:v>
      </x:c>
      <x:c r="H9" s="109" t="str">
        <x:v>미확인</x:v>
      </x:c>
      <x:c r="I9" s="109" t="str">
        <x:v>미확인</x:v>
      </x:c>
      <x:c r="J9" s="109" t="str">
        <x:v>미확인</x:v>
      </x:c>
      <x:c r="K9" s="113"/>
      <x:c r="L9" s="109"/>
      <x:c r="M9" s="117"/>
      <x:c r="N9" s="113"/>
      <x:c r="O9" s="110" t="str">
        <x:f>IF(AND(G9="확보",OR(H9="확인",AND(H9="비해당",N9&lt;&gt;"")),OR(I9="확인",AND(I9="비해당",N9&lt;&gt;"")),OR(J9="확인",AND(J9="비해당",N9&lt;&gt;"")),K9&lt;&gt;"",L9&lt;&gt;"",M9&lt;&gt;""),"검증완료","미검증")</x:f>
        <x:v>미검증</x:v>
      </x:c>
    </x:row>
    <x:row r="10" ht="35" customHeight="1">
      <x:c r="A10" s="115" t="str">
        <x:f>'03_준비자료'!A10</x:f>
        <x:v>EMS-004</x:v>
      </x:c>
      <x:c r="B10" s="115" t="str">
        <x:f>'03_준비자료'!B10</x:f>
        <x:v>5.1/5.2</x:v>
      </x:c>
      <x:c r="C10" s="101" t="str">
        <x:f>'03_준비자료'!C10</x:f>
        <x:v>환경방침(최신 승인본 및 게시·전파 증거)</x:v>
      </x:c>
      <x:c r="D10" s="115" t="str">
        <x:f>'03_준비자료'!F10</x:f>
        <x:v>상</x:v>
      </x:c>
      <x:c r="E10" s="115" t="str">
        <x:f>'03_준비자료'!E10</x:f>
        <x:v>경영진/환경</x:v>
      </x:c>
      <x:c r="F10" s="115" t="str">
        <x:f>'03_준비자료'!H10</x:f>
        <x:v>2026-10-30</x:v>
      </x:c>
      <x:c r="G10" s="109" t="str">
        <x:v>미확인</x:v>
      </x:c>
      <x:c r="H10" s="109" t="str">
        <x:v>미확인</x:v>
      </x:c>
      <x:c r="I10" s="109" t="str">
        <x:v>미확인</x:v>
      </x:c>
      <x:c r="J10" s="109" t="str">
        <x:v>미확인</x:v>
      </x:c>
      <x:c r="K10" s="113"/>
      <x:c r="L10" s="109"/>
      <x:c r="M10" s="117"/>
      <x:c r="N10" s="113"/>
      <x:c r="O10" s="110" t="str">
        <x:f>IF(AND(G10="확보",OR(H10="확인",AND(H10="비해당",N10&lt;&gt;"")),OR(I10="확인",AND(I10="비해당",N10&lt;&gt;"")),OR(J10="확인",AND(J10="비해당",N10&lt;&gt;"")),K10&lt;&gt;"",L10&lt;&gt;"",M10&lt;&gt;""),"검증완료","미검증")</x:f>
        <x:v>미검증</x:v>
      </x:c>
    </x:row>
    <x:row r="11" ht="35" customHeight="1">
      <x:c r="A11" s="115" t="str">
        <x:f>'03_준비자료'!A11</x:f>
        <x:v>EMS-005</x:v>
      </x:c>
      <x:c r="B11" s="115" t="str">
        <x:f>'03_준비자료'!B11</x:f>
        <x:v>5.3</x:v>
      </x:c>
      <x:c r="C11" s="101" t="str">
        <x:f>'03_준비자료'!C11</x:f>
        <x:v>환경조직도·책임과 권한·환경관리 담당자 지정</x:v>
      </x:c>
      <x:c r="D11" s="115" t="str">
        <x:f>'03_준비자료'!F11</x:f>
        <x:v>상</x:v>
      </x:c>
      <x:c r="E11" s="115" t="str">
        <x:f>'03_준비자료'!E11</x:f>
        <x:v>경영진/인사</x:v>
      </x:c>
      <x:c r="F11" s="115" t="str">
        <x:f>'03_준비자료'!H11</x:f>
        <x:v>2026-10-27</x:v>
      </x:c>
      <x:c r="G11" s="109" t="str">
        <x:v>미확인</x:v>
      </x:c>
      <x:c r="H11" s="109" t="str">
        <x:v>미확인</x:v>
      </x:c>
      <x:c r="I11" s="109" t="str">
        <x:v>미확인</x:v>
      </x:c>
      <x:c r="J11" s="109" t="str">
        <x:v>미확인</x:v>
      </x:c>
      <x:c r="K11" s="113"/>
      <x:c r="L11" s="109"/>
      <x:c r="M11" s="117"/>
      <x:c r="N11" s="113"/>
      <x:c r="O11" s="110" t="str">
        <x:f>IF(AND(G11="확보",OR(H11="확인",AND(H11="비해당",N11&lt;&gt;"")),OR(I11="확인",AND(I11="비해당",N11&lt;&gt;"")),OR(J11="확인",AND(J11="비해당",N11&lt;&gt;"")),K11&lt;&gt;"",L11&lt;&gt;"",M11&lt;&gt;""),"검증완료","미검증")</x:f>
        <x:v>미검증</x:v>
      </x:c>
    </x:row>
    <x:row r="12" ht="35" customHeight="1">
      <x:c r="A12" s="115" t="str">
        <x:f>'03_준비자료'!A12</x:f>
        <x:v>EMS-006</x:v>
      </x:c>
      <x:c r="B12" s="115" t="str">
        <x:f>'03_준비자료'!B12</x:f>
        <x:v>6.1.1</x:v>
      </x:c>
      <x:c r="C12" s="101" t="str">
        <x:f>'03_준비자료'!C12</x:f>
        <x:v>환경 리스크·기회 평가 및 조치계획</x:v>
      </x:c>
      <x:c r="D12" s="115" t="str">
        <x:f>'03_준비자료'!F12</x:f>
        <x:v>상</x:v>
      </x:c>
      <x:c r="E12" s="115" t="str">
        <x:f>'03_준비자료'!E12</x:f>
        <x:v>환경관리</x:v>
      </x:c>
      <x:c r="F12" s="115" t="str">
        <x:f>'03_준비자료'!H12</x:f>
        <x:v>2026-11-02</x:v>
      </x:c>
      <x:c r="G12" s="109" t="str">
        <x:v>미확인</x:v>
      </x:c>
      <x:c r="H12" s="109" t="str">
        <x:v>미확인</x:v>
      </x:c>
      <x:c r="I12" s="109" t="str">
        <x:v>미확인</x:v>
      </x:c>
      <x:c r="J12" s="109" t="str">
        <x:v>미확인</x:v>
      </x:c>
      <x:c r="K12" s="113"/>
      <x:c r="L12" s="109"/>
      <x:c r="M12" s="117"/>
      <x:c r="N12" s="113"/>
      <x:c r="O12" s="110" t="str">
        <x:f>IF(AND(G12="확보",OR(H12="확인",AND(H12="비해당",N12&lt;&gt;"")),OR(I12="확인",AND(I12="비해당",N12&lt;&gt;"")),OR(J12="확인",AND(J12="비해당",N12&lt;&gt;"")),K12&lt;&gt;"",L12&lt;&gt;"",M12&lt;&gt;""),"검증완료","미검증")</x:f>
        <x:v>미검증</x:v>
      </x:c>
    </x:row>
    <x:row r="13" ht="35" customHeight="1">
      <x:c r="A13" s="115" t="str">
        <x:f>'03_준비자료'!A13</x:f>
        <x:v>EMS-007</x:v>
      </x:c>
      <x:c r="B13" s="115" t="str">
        <x:f>'03_준비자료'!B13</x:f>
        <x:v>6.1.2</x:v>
      </x:c>
      <x:c r="C13" s="101" t="str">
        <x:f>'03_준비자료'!C13</x:f>
        <x:v>환경측면·환경영향 평가대장</x:v>
      </x:c>
      <x:c r="D13" s="115" t="str">
        <x:f>'03_준비자료'!F13</x:f>
        <x:v>최상</x:v>
      </x:c>
      <x:c r="E13" s="115" t="str">
        <x:f>'03_준비자료'!E13</x:f>
        <x:v>환경/생산</x:v>
      </x:c>
      <x:c r="F13" s="115" t="str">
        <x:f>'03_준비자료'!H13</x:f>
        <x:v>2026-10-30</x:v>
      </x:c>
      <x:c r="G13" s="109" t="str">
        <x:v>미확인</x:v>
      </x:c>
      <x:c r="H13" s="109" t="str">
        <x:v>미확인</x:v>
      </x:c>
      <x:c r="I13" s="109" t="str">
        <x:v>미확인</x:v>
      </x:c>
      <x:c r="J13" s="109" t="str">
        <x:v>미확인</x:v>
      </x:c>
      <x:c r="K13" s="113"/>
      <x:c r="L13" s="109"/>
      <x:c r="M13" s="117"/>
      <x:c r="N13" s="113"/>
      <x:c r="O13" s="110" t="str">
        <x:f>IF(AND(G13="확보",OR(H13="확인",AND(H13="비해당",N13&lt;&gt;"")),OR(I13="확인",AND(I13="비해당",N13&lt;&gt;"")),OR(J13="확인",AND(J13="비해당",N13&lt;&gt;"")),K13&lt;&gt;"",L13&lt;&gt;"",M13&lt;&gt;""),"검증완료","미검증")</x:f>
        <x:v>미검증</x:v>
      </x:c>
    </x:row>
    <x:row r="14" ht="35" customHeight="1">
      <x:c r="A14" s="115" t="str">
        <x:f>'03_준비자료'!A14</x:f>
        <x:v>EMS-008</x:v>
      </x:c>
      <x:c r="B14" s="115" t="str">
        <x:f>'03_준비자료'!B14</x:f>
        <x:v>6.1.2</x:v>
      </x:c>
      <x:c r="C14" s="101" t="str">
        <x:f>'03_준비자료'!C14</x:f>
        <x:v>전과정 관점 및 외주활동 평가자료</x:v>
      </x:c>
      <x:c r="D14" s="115" t="str">
        <x:f>'03_준비자료'!F14</x:f>
        <x:v>중</x:v>
      </x:c>
      <x:c r="E14" s="115" t="str">
        <x:f>'03_준비자료'!E14</x:f>
        <x:v>환경/구매</x:v>
      </x:c>
      <x:c r="F14" s="115" t="str">
        <x:f>'03_준비자료'!H14</x:f>
        <x:v>2026-11-02</x:v>
      </x:c>
      <x:c r="G14" s="109" t="str">
        <x:v>미확인</x:v>
      </x:c>
      <x:c r="H14" s="109" t="str">
        <x:v>미확인</x:v>
      </x:c>
      <x:c r="I14" s="109" t="str">
        <x:v>미확인</x:v>
      </x:c>
      <x:c r="J14" s="109" t="str">
        <x:v>미확인</x:v>
      </x:c>
      <x:c r="K14" s="113"/>
      <x:c r="L14" s="109"/>
      <x:c r="M14" s="117"/>
      <x:c r="N14" s="113"/>
      <x:c r="O14" s="110" t="str">
        <x:f>IF(AND(G14="확보",OR(H14="확인",AND(H14="비해당",N14&lt;&gt;"")),OR(I14="확인",AND(I14="비해당",N14&lt;&gt;"")),OR(J14="확인",AND(J14="비해당",N14&lt;&gt;"")),K14&lt;&gt;"",L14&lt;&gt;"",M14&lt;&gt;""),"검증완료","미검증")</x:f>
        <x:v>미검증</x:v>
      </x:c>
    </x:row>
    <x:row r="15" ht="35" customHeight="1">
      <x:c r="A15" s="115" t="str">
        <x:f>'03_준비자료'!A15</x:f>
        <x:v>EMS-009</x:v>
      </x:c>
      <x:c r="B15" s="115" t="str">
        <x:f>'03_준비자료'!B15</x:f>
        <x:v>6.1.3</x:v>
      </x:c>
      <x:c r="C15" s="101" t="str">
        <x:f>'03_준비자료'!C15</x:f>
        <x:v>환경 법규/허가 및 기타 준수의무 목록</x:v>
      </x:c>
      <x:c r="D15" s="115" t="str">
        <x:f>'03_준비자료'!F15</x:f>
        <x:v>최상</x:v>
      </x:c>
      <x:c r="E15" s="115" t="str">
        <x:f>'03_준비자료'!E15</x:f>
        <x:v>환경관리</x:v>
      </x:c>
      <x:c r="F15" s="115" t="str">
        <x:f>'03_준비자료'!H15</x:f>
        <x:v>2026-10-30</x:v>
      </x:c>
      <x:c r="G15" s="109" t="str">
        <x:v>미확인</x:v>
      </x:c>
      <x:c r="H15" s="109" t="str">
        <x:v>미확인</x:v>
      </x:c>
      <x:c r="I15" s="109" t="str">
        <x:v>미확인</x:v>
      </x:c>
      <x:c r="J15" s="109" t="str">
        <x:v>미확인</x:v>
      </x:c>
      <x:c r="K15" s="113"/>
      <x:c r="L15" s="109"/>
      <x:c r="M15" s="117"/>
      <x:c r="N15" s="113"/>
      <x:c r="O15" s="110" t="str">
        <x:f>IF(AND(G15="확보",OR(H15="확인",AND(H15="비해당",N15&lt;&gt;"")),OR(I15="확인",AND(I15="비해당",N15&lt;&gt;"")),OR(J15="확인",AND(J15="비해당",N15&lt;&gt;"")),K15&lt;&gt;"",L15&lt;&gt;"",M15&lt;&gt;""),"검증완료","미검증")</x:f>
        <x:v>미검증</x:v>
      </x:c>
    </x:row>
    <x:row r="16" ht="35" customHeight="1">
      <x:c r="A16" s="115" t="str">
        <x:f>'03_준비자료'!A16</x:f>
        <x:v>EMS-010</x:v>
      </x:c>
      <x:c r="B16" s="115" t="str">
        <x:f>'03_준비자료'!B16</x:f>
        <x:v>6.1.4</x:v>
      </x:c>
      <x:c r="C16" s="101" t="str">
        <x:f>'03_준비자료'!C16</x:f>
        <x:v>중대한 환경측면·준수의무 조치 실행계획</x:v>
      </x:c>
      <x:c r="D16" s="115" t="str">
        <x:f>'03_준비자료'!F16</x:f>
        <x:v>상</x:v>
      </x:c>
      <x:c r="E16" s="115" t="str">
        <x:f>'03_준비자료'!E16</x:f>
        <x:v>환경관리</x:v>
      </x:c>
      <x:c r="F16" s="115" t="str">
        <x:f>'03_준비자료'!H16</x:f>
        <x:v>2026-11-02</x:v>
      </x:c>
      <x:c r="G16" s="109" t="str">
        <x:v>미확인</x:v>
      </x:c>
      <x:c r="H16" s="109" t="str">
        <x:v>미확인</x:v>
      </x:c>
      <x:c r="I16" s="109" t="str">
        <x:v>미확인</x:v>
      </x:c>
      <x:c r="J16" s="109" t="str">
        <x:v>미확인</x:v>
      </x:c>
      <x:c r="K16" s="113"/>
      <x:c r="L16" s="109"/>
      <x:c r="M16" s="117"/>
      <x:c r="N16" s="113"/>
      <x:c r="O16" s="110" t="str">
        <x:f>IF(AND(G16="확보",OR(H16="확인",AND(H16="비해당",N16&lt;&gt;"")),OR(I16="확인",AND(I16="비해당",N16&lt;&gt;"")),OR(J16="확인",AND(J16="비해당",N16&lt;&gt;"")),K16&lt;&gt;"",L16&lt;&gt;"",M16&lt;&gt;""),"검증완료","미검증")</x:f>
        <x:v>미검증</x:v>
      </x:c>
    </x:row>
    <x:row r="17" ht="35" customHeight="1">
      <x:c r="A17" s="115" t="str">
        <x:f>'03_준비자료'!A17</x:f>
        <x:v>EMS-011</x:v>
      </x:c>
      <x:c r="B17" s="115" t="str">
        <x:f>'03_준비자료'!B17</x:f>
        <x:v>6.2</x:v>
      </x:c>
      <x:c r="C17" s="101" t="str">
        <x:f>'03_준비자료'!C17</x:f>
        <x:v>2026 환경목표·세부 추진계획 및 실적</x:v>
      </x:c>
      <x:c r="D17" s="115" t="str">
        <x:f>'03_준비자료'!F17</x:f>
        <x:v>최상</x:v>
      </x:c>
      <x:c r="E17" s="115" t="str">
        <x:f>'03_준비자료'!E17</x:f>
        <x:v>환경/경영진</x:v>
      </x:c>
      <x:c r="F17" s="115" t="str">
        <x:f>'03_준비자료'!H17</x:f>
        <x:v>2026-11-04</x:v>
      </x:c>
      <x:c r="G17" s="109" t="str">
        <x:v>미확인</x:v>
      </x:c>
      <x:c r="H17" s="109" t="str">
        <x:v>미확인</x:v>
      </x:c>
      <x:c r="I17" s="109" t="str">
        <x:v>미확인</x:v>
      </x:c>
      <x:c r="J17" s="109" t="str">
        <x:v>미확인</x:v>
      </x:c>
      <x:c r="K17" s="113"/>
      <x:c r="L17" s="109"/>
      <x:c r="M17" s="117"/>
      <x:c r="N17" s="113"/>
      <x:c r="O17" s="110" t="str">
        <x:f>IF(AND(G17="확보",OR(H17="확인",AND(H17="비해당",N17&lt;&gt;"")),OR(I17="확인",AND(I17="비해당",N17&lt;&gt;"")),OR(J17="확인",AND(J17="비해당",N17&lt;&gt;"")),K17&lt;&gt;"",L17&lt;&gt;"",M17&lt;&gt;""),"검증완료","미검증")</x:f>
        <x:v>미검증</x:v>
      </x:c>
    </x:row>
    <x:row r="18" ht="35" customHeight="1">
      <x:c r="A18" s="115" t="str">
        <x:f>'03_준비자료'!A18</x:f>
        <x:v>EMS-012</x:v>
      </x:c>
      <x:c r="B18" s="115" t="str">
        <x:f>'03_준비자료'!B18</x:f>
        <x:v>7.1</x:v>
      </x:c>
      <x:c r="C18" s="101" t="str">
        <x:f>'03_준비자료'!C18</x:f>
        <x:v>환경관리 자원·설비·인력 확보 근거</x:v>
      </x:c>
      <x:c r="D18" s="115" t="str">
        <x:f>'03_준비자료'!F18</x:f>
        <x:v>중</x:v>
      </x:c>
      <x:c r="E18" s="115" t="str">
        <x:f>'03_준비자료'!E18</x:f>
        <x:v>경영진/총무</x:v>
      </x:c>
      <x:c r="F18" s="115" t="str">
        <x:f>'03_준비자료'!H18</x:f>
        <x:v>2026-11-04</x:v>
      </x:c>
      <x:c r="G18" s="109" t="str">
        <x:v>미확인</x:v>
      </x:c>
      <x:c r="H18" s="109" t="str">
        <x:v>미확인</x:v>
      </x:c>
      <x:c r="I18" s="109" t="str">
        <x:v>미확인</x:v>
      </x:c>
      <x:c r="J18" s="109" t="str">
        <x:v>미확인</x:v>
      </x:c>
      <x:c r="K18" s="113"/>
      <x:c r="L18" s="109"/>
      <x:c r="M18" s="117"/>
      <x:c r="N18" s="113"/>
      <x:c r="O18" s="110" t="str">
        <x:f>IF(AND(G18="확보",OR(H18="확인",AND(H18="비해당",N18&lt;&gt;"")),OR(I18="확인",AND(I18="비해당",N18&lt;&gt;"")),OR(J18="확인",AND(J18="비해당",N18&lt;&gt;"")),K18&lt;&gt;"",L18&lt;&gt;"",M18&lt;&gt;""),"검증완료","미검증")</x:f>
        <x:v>미검증</x:v>
      </x:c>
    </x:row>
    <x:row r="19" ht="35" customHeight="1">
      <x:c r="A19" s="115" t="str">
        <x:f>'03_준비자료'!A19</x:f>
        <x:v>EMS-013</x:v>
      </x:c>
      <x:c r="B19" s="115" t="str">
        <x:f>'03_준비자료'!B19</x:f>
        <x:v>7.2</x:v>
      </x:c>
      <x:c r="C19" s="101" t="str">
        <x:f>'03_준비자료'!C19</x:f>
        <x:v>환경관련 교육훈련 계획·실시·평가 기록</x:v>
      </x:c>
      <x:c r="D19" s="115" t="str">
        <x:f>'03_준비자료'!F19</x:f>
        <x:v>상</x:v>
      </x:c>
      <x:c r="E19" s="115" t="str">
        <x:f>'03_준비자료'!E19</x:f>
        <x:v>인사/환경</x:v>
      </x:c>
      <x:c r="F19" s="115" t="str">
        <x:f>'03_준비자료'!H19</x:f>
        <x:v>2026-11-04</x:v>
      </x:c>
      <x:c r="G19" s="109" t="str">
        <x:v>미확인</x:v>
      </x:c>
      <x:c r="H19" s="109" t="str">
        <x:v>미확인</x:v>
      </x:c>
      <x:c r="I19" s="109" t="str">
        <x:v>미확인</x:v>
      </x:c>
      <x:c r="J19" s="109" t="str">
        <x:v>미확인</x:v>
      </x:c>
      <x:c r="K19" s="113"/>
      <x:c r="L19" s="109"/>
      <x:c r="M19" s="117"/>
      <x:c r="N19" s="113"/>
      <x:c r="O19" s="110" t="str">
        <x:f>IF(AND(G19="확보",OR(H19="확인",AND(H19="비해당",N19&lt;&gt;"")),OR(I19="확인",AND(I19="비해당",N19&lt;&gt;"")),OR(J19="확인",AND(J19="비해당",N19&lt;&gt;"")),K19&lt;&gt;"",L19&lt;&gt;"",M19&lt;&gt;""),"검증완료","미검증")</x:f>
        <x:v>미검증</x:v>
      </x:c>
    </x:row>
    <x:row r="20" ht="35" customHeight="1">
      <x:c r="A20" s="115" t="str">
        <x:f>'03_준비자료'!A20</x:f>
        <x:v>EMS-014</x:v>
      </x:c>
      <x:c r="B20" s="115" t="str">
        <x:f>'03_준비자료'!B20</x:f>
        <x:v>7.3</x:v>
      </x:c>
      <x:c r="C20" s="101" t="str">
        <x:f>'03_준비자료'!C20</x:f>
        <x:v>현장 작업자 인식·면담 준비</x:v>
      </x:c>
      <x:c r="D20" s="115" t="str">
        <x:f>'03_준비자료'!F20</x:f>
        <x:v>중</x:v>
      </x:c>
      <x:c r="E20" s="115" t="str">
        <x:f>'03_준비자료'!E20</x:f>
        <x:v>생산/환경</x:v>
      </x:c>
      <x:c r="F20" s="115" t="str">
        <x:f>'03_준비자료'!H20</x:f>
        <x:v>2026-11-17</x:v>
      </x:c>
      <x:c r="G20" s="109" t="str">
        <x:v>미확인</x:v>
      </x:c>
      <x:c r="H20" s="109" t="str">
        <x:v>미확인</x:v>
      </x:c>
      <x:c r="I20" s="109" t="str">
        <x:v>미확인</x:v>
      </x:c>
      <x:c r="J20" s="109" t="str">
        <x:v>미확인</x:v>
      </x:c>
      <x:c r="K20" s="113"/>
      <x:c r="L20" s="109"/>
      <x:c r="M20" s="117"/>
      <x:c r="N20" s="113"/>
      <x:c r="O20" s="110" t="str">
        <x:f>IF(AND(G20="확보",OR(H20="확인",AND(H20="비해당",N20&lt;&gt;"")),OR(I20="확인",AND(I20="비해당",N20&lt;&gt;"")),OR(J20="확인",AND(J20="비해당",N20&lt;&gt;"")),K20&lt;&gt;"",L20&lt;&gt;"",M20&lt;&gt;""),"검증완료","미검증")</x:f>
        <x:v>미검증</x:v>
      </x:c>
    </x:row>
    <x:row r="21" ht="35" customHeight="1">
      <x:c r="A21" s="115" t="str">
        <x:f>'03_준비자료'!A21</x:f>
        <x:v>EMS-015</x:v>
      </x:c>
      <x:c r="B21" s="115" t="str">
        <x:f>'03_준비자료'!B21</x:f>
        <x:v>7.4</x:v>
      </x:c>
      <x:c r="C21" s="101" t="str">
        <x:f>'03_준비자료'!C21</x:f>
        <x:v>환경 내·외부 의사소통·민원 접수기록</x:v>
      </x:c>
      <x:c r="D21" s="115" t="str">
        <x:f>'03_준비자료'!F21</x:f>
        <x:v>중</x:v>
      </x:c>
      <x:c r="E21" s="115" t="str">
        <x:f>'03_준비자료'!E21</x:f>
        <x:v>환경/총무</x:v>
      </x:c>
      <x:c r="F21" s="115" t="str">
        <x:f>'03_준비자료'!H21</x:f>
        <x:v>2026-11-06</x:v>
      </x:c>
      <x:c r="G21" s="109" t="str">
        <x:v>미확인</x:v>
      </x:c>
      <x:c r="H21" s="109" t="str">
        <x:v>미확인</x:v>
      </x:c>
      <x:c r="I21" s="109" t="str">
        <x:v>미확인</x:v>
      </x:c>
      <x:c r="J21" s="109" t="str">
        <x:v>미확인</x:v>
      </x:c>
      <x:c r="K21" s="113"/>
      <x:c r="L21" s="109"/>
      <x:c r="M21" s="117"/>
      <x:c r="N21" s="113"/>
      <x:c r="O21" s="110" t="str">
        <x:f>IF(AND(G21="확보",OR(H21="확인",AND(H21="비해당",N21&lt;&gt;"")),OR(I21="확인",AND(I21="비해당",N21&lt;&gt;"")),OR(J21="확인",AND(J21="비해당",N21&lt;&gt;"")),K21&lt;&gt;"",L21&lt;&gt;"",M21&lt;&gt;""),"검증완료","미검증")</x:f>
        <x:v>미검증</x:v>
      </x:c>
    </x:row>
    <x:row r="22" ht="35" customHeight="1">
      <x:c r="A22" s="115" t="str">
        <x:f>'03_준비자료'!A22</x:f>
        <x:v>EMS-016</x:v>
      </x:c>
      <x:c r="B22" s="115" t="str">
        <x:f>'03_준비자료'!B22</x:f>
        <x:v>7.5</x:v>
      </x:c>
      <x:c r="C22" s="101" t="str">
        <x:f>'03_준비자료'!C22</x:f>
        <x:v>EMS 문서목록·개정관리·기록보존 관리대장</x:v>
      </x:c>
      <x:c r="D22" s="115" t="str">
        <x:f>'03_준비자료'!F22</x:f>
        <x:v>상</x:v>
      </x:c>
      <x:c r="E22" s="115" t="str">
        <x:f>'03_준비자료'!E22</x:f>
        <x:v>문서관리</x:v>
      </x:c>
      <x:c r="F22" s="115" t="str">
        <x:f>'03_준비자료'!H22</x:f>
        <x:v>2026-10-28</x:v>
      </x:c>
      <x:c r="G22" s="109" t="str">
        <x:v>미확인</x:v>
      </x:c>
      <x:c r="H22" s="109" t="str">
        <x:v>미확인</x:v>
      </x:c>
      <x:c r="I22" s="109" t="str">
        <x:v>미확인</x:v>
      </x:c>
      <x:c r="J22" s="109" t="str">
        <x:v>미확인</x:v>
      </x:c>
      <x:c r="K22" s="113"/>
      <x:c r="L22" s="109"/>
      <x:c r="M22" s="117"/>
      <x:c r="N22" s="113"/>
      <x:c r="O22" s="110" t="str">
        <x:f>IF(AND(G22="확보",OR(H22="확인",AND(H22="비해당",N22&lt;&gt;"")),OR(I22="확인",AND(I22="비해당",N22&lt;&gt;"")),OR(J22="확인",AND(J22="비해당",N22&lt;&gt;"")),K22&lt;&gt;"",L22&lt;&gt;"",M22&lt;&gt;""),"검증완료","미검증")</x:f>
        <x:v>미검증</x:v>
      </x:c>
    </x:row>
    <x:row r="23" ht="35" customHeight="1">
      <x:c r="A23" s="115" t="str">
        <x:f>'03_준비자료'!A23</x:f>
        <x:v>EMS-017</x:v>
      </x:c>
      <x:c r="B23" s="115" t="str">
        <x:f>'03_준비자료'!B23</x:f>
        <x:v>8.1</x:v>
      </x:c>
      <x:c r="C23" s="101" t="str">
        <x:f>'03_준비자료'!C23</x:f>
        <x:v>현장 환경관리 작업표준·일상점검 기록</x:v>
      </x:c>
      <x:c r="D23" s="115" t="str">
        <x:f>'03_준비자료'!F23</x:f>
        <x:v>최상</x:v>
      </x:c>
      <x:c r="E23" s="115" t="str">
        <x:f>'03_준비자료'!E23</x:f>
        <x:v>환경/생산</x:v>
      </x:c>
      <x:c r="F23" s="115" t="str">
        <x:f>'03_준비자료'!H23</x:f>
        <x:v>2026-11-09</x:v>
      </x:c>
      <x:c r="G23" s="109" t="str">
        <x:v>미확인</x:v>
      </x:c>
      <x:c r="H23" s="109" t="str">
        <x:v>미확인</x:v>
      </x:c>
      <x:c r="I23" s="109" t="str">
        <x:v>미확인</x:v>
      </x:c>
      <x:c r="J23" s="109" t="str">
        <x:v>미확인</x:v>
      </x:c>
      <x:c r="K23" s="113"/>
      <x:c r="L23" s="109"/>
      <x:c r="M23" s="117"/>
      <x:c r="N23" s="113"/>
      <x:c r="O23" s="110" t="str">
        <x:f>IF(AND(G23="확보",OR(H23="확인",AND(H23="비해당",N23&lt;&gt;"")),OR(I23="확인",AND(I23="비해당",N23&lt;&gt;"")),OR(J23="확인",AND(J23="비해당",N23&lt;&gt;"")),K23&lt;&gt;"",L23&lt;&gt;"",M23&lt;&gt;""),"검증완료","미검증")</x:f>
        <x:v>미검증</x:v>
      </x:c>
    </x:row>
    <x:row r="24" ht="35" customHeight="1">
      <x:c r="A24" s="115" t="str">
        <x:f>'03_준비자료'!A24</x:f>
        <x:v>EMS-018</x:v>
      </x:c>
      <x:c r="B24" s="115" t="str">
        <x:f>'03_준비자료'!B24</x:f>
        <x:v>8.1</x:v>
      </x:c>
      <x:c r="C24" s="101" t="str">
        <x:f>'03_준비자료'!C24</x:f>
        <x:v>폐기물 분리보관·위탁처리 계약·인계내역</x:v>
      </x:c>
      <x:c r="D24" s="115" t="str">
        <x:f>'03_준비자료'!F24</x:f>
        <x:v>최상</x:v>
      </x:c>
      <x:c r="E24" s="115" t="str">
        <x:f>'03_준비자료'!E24</x:f>
        <x:v>환경/총무</x:v>
      </x:c>
      <x:c r="F24" s="115" t="str">
        <x:f>'03_준비자료'!H24</x:f>
        <x:v>2026-11-06</x:v>
      </x:c>
      <x:c r="G24" s="109" t="str">
        <x:v>미확인</x:v>
      </x:c>
      <x:c r="H24" s="109" t="str">
        <x:v>미확인</x:v>
      </x:c>
      <x:c r="I24" s="109" t="str">
        <x:v>미확인</x:v>
      </x:c>
      <x:c r="J24" s="109" t="str">
        <x:v>미확인</x:v>
      </x:c>
      <x:c r="K24" s="113"/>
      <x:c r="L24" s="109"/>
      <x:c r="M24" s="117"/>
      <x:c r="N24" s="113"/>
      <x:c r="O24" s="110" t="str">
        <x:f>IF(AND(G24="확보",OR(H24="확인",AND(H24="비해당",N24&lt;&gt;"")),OR(I24="확인",AND(I24="비해당",N24&lt;&gt;"")),OR(J24="확인",AND(J24="비해당",N24&lt;&gt;"")),K24&lt;&gt;"",L24&lt;&gt;"",M24&lt;&gt;""),"검증완료","미검증")</x:f>
        <x:v>미검증</x:v>
      </x:c>
    </x:row>
    <x:row r="25" ht="35" customHeight="1">
      <x:c r="A25" s="115" t="str">
        <x:f>'03_준비자료'!A25</x:f>
        <x:v>EMS-019</x:v>
      </x:c>
      <x:c r="B25" s="115" t="str">
        <x:f>'03_준비자료'!B25</x:f>
        <x:v>8.1</x:v>
      </x:c>
      <x:c r="C25" s="101" t="str">
        <x:f>'03_준비자료'!C25</x:f>
        <x:v>유해화학물질/MSDS 및 용기·보관기준</x:v>
      </x:c>
      <x:c r="D25" s="115" t="str">
        <x:f>'03_준비자료'!F25</x:f>
        <x:v>상</x:v>
      </x:c>
      <x:c r="E25" s="115" t="str">
        <x:f>'03_준비자료'!E25</x:f>
        <x:v>환경/생산</x:v>
      </x:c>
      <x:c r="F25" s="115" t="str">
        <x:f>'03_준비자료'!H25</x:f>
        <x:v>2026-11-06</x:v>
      </x:c>
      <x:c r="G25" s="109" t="str">
        <x:v>미확인</x:v>
      </x:c>
      <x:c r="H25" s="109" t="str">
        <x:v>미확인</x:v>
      </x:c>
      <x:c r="I25" s="109" t="str">
        <x:v>미확인</x:v>
      </x:c>
      <x:c r="J25" s="109" t="str">
        <x:v>미확인</x:v>
      </x:c>
      <x:c r="K25" s="113"/>
      <x:c r="L25" s="109"/>
      <x:c r="M25" s="117"/>
      <x:c r="N25" s="113"/>
      <x:c r="O25" s="110" t="str">
        <x:f>IF(AND(G25="확보",OR(H25="확인",AND(H25="비해당",N25&lt;&gt;"")),OR(I25="확인",AND(I25="비해당",N25&lt;&gt;"")),OR(J25="확인",AND(J25="비해당",N25&lt;&gt;"")),K25&lt;&gt;"",L25&lt;&gt;"",M25&lt;&gt;""),"검증완료","미검증")</x:f>
        <x:v>미검증</x:v>
      </x:c>
    </x:row>
    <x:row r="26" ht="35" customHeight="1">
      <x:c r="A26" s="115" t="str">
        <x:f>'03_준비자료'!A26</x:f>
        <x:v>EMS-020</x:v>
      </x:c>
      <x:c r="B26" s="115" t="str">
        <x:f>'03_준비자료'!B26</x:f>
        <x:v>8.1</x:v>
      </x:c>
      <x:c r="C26" s="101" t="str">
        <x:f>'03_준비자료'!C26</x:f>
        <x:v>대기·수질 배출시설 허가 및 운영기록</x:v>
      </x:c>
      <x:c r="D26" s="115" t="str">
        <x:f>'03_준비자료'!F26</x:f>
        <x:v>최상</x:v>
      </x:c>
      <x:c r="E26" s="115" t="str">
        <x:f>'03_준비자료'!E26</x:f>
        <x:v>환경/설비</x:v>
      </x:c>
      <x:c r="F26" s="115" t="str">
        <x:f>'03_준비자료'!H26</x:f>
        <x:v>2026-11-06</x:v>
      </x:c>
      <x:c r="G26" s="109" t="str">
        <x:v>미확인</x:v>
      </x:c>
      <x:c r="H26" s="109" t="str">
        <x:v>미확인</x:v>
      </x:c>
      <x:c r="I26" s="109" t="str">
        <x:v>미확인</x:v>
      </x:c>
      <x:c r="J26" s="109" t="str">
        <x:v>미확인</x:v>
      </x:c>
      <x:c r="K26" s="113"/>
      <x:c r="L26" s="109"/>
      <x:c r="M26" s="117"/>
      <x:c r="N26" s="113"/>
      <x:c r="O26" s="110" t="str">
        <x:f>IF(AND(G26="확보",OR(H26="확인",AND(H26="비해당",N26&lt;&gt;"")),OR(I26="확인",AND(I26="비해당",N26&lt;&gt;"")),OR(J26="확인",AND(J26="비해당",N26&lt;&gt;"")),K26&lt;&gt;"",L26&lt;&gt;"",M26&lt;&gt;""),"검증완료","미검증")</x:f>
        <x:v>미검증</x:v>
      </x:c>
    </x:row>
    <x:row r="27" ht="35" customHeight="1">
      <x:c r="A27" s="115" t="str">
        <x:f>'03_준비자료'!A27</x:f>
        <x:v>EMS-021</x:v>
      </x:c>
      <x:c r="B27" s="115" t="str">
        <x:f>'03_준비자료'!B27</x:f>
        <x:v>8.1</x:v>
      </x:c>
      <x:c r="C27" s="101" t="str">
        <x:f>'03_준비자료'!C27</x:f>
        <x:v>설비 정기점검·누유/누출 예방 기록</x:v>
      </x:c>
      <x:c r="D27" s="115" t="str">
        <x:f>'03_준비자료'!F27</x:f>
        <x:v>상</x:v>
      </x:c>
      <x:c r="E27" s="115" t="str">
        <x:f>'03_준비자료'!E27</x:f>
        <x:v>설비/환경</x:v>
      </x:c>
      <x:c r="F27" s="115" t="str">
        <x:f>'03_준비자료'!H27</x:f>
        <x:v>2026-11-09</x:v>
      </x:c>
      <x:c r="G27" s="109" t="str">
        <x:v>미확인</x:v>
      </x:c>
      <x:c r="H27" s="109" t="str">
        <x:v>미확인</x:v>
      </x:c>
      <x:c r="I27" s="109" t="str">
        <x:v>미확인</x:v>
      </x:c>
      <x:c r="J27" s="109" t="str">
        <x:v>미확인</x:v>
      </x:c>
      <x:c r="K27" s="113"/>
      <x:c r="L27" s="109"/>
      <x:c r="M27" s="117"/>
      <x:c r="N27" s="113"/>
      <x:c r="O27" s="110" t="str">
        <x:f>IF(AND(G27="확보",OR(H27="확인",AND(H27="비해당",N27&lt;&gt;"")),OR(I27="확인",AND(I27="비해당",N27&lt;&gt;"")),OR(J27="확인",AND(J27="비해당",N27&lt;&gt;"")),K27&lt;&gt;"",L27&lt;&gt;"",M27&lt;&gt;""),"검증완료","미검증")</x:f>
        <x:v>미검증</x:v>
      </x:c>
    </x:row>
    <x:row r="28" ht="35" customHeight="1">
      <x:c r="A28" s="115" t="str">
        <x:f>'03_준비자료'!A28</x:f>
        <x:v>EMS-022</x:v>
      </x:c>
      <x:c r="B28" s="115" t="str">
        <x:f>'03_준비자료'!B28</x:f>
        <x:v>8.2</x:v>
      </x:c>
      <x:c r="C28" s="101" t="str">
        <x:f>'03_준비자료'!C28</x:f>
        <x:v>환경비상사태 대응계획·연락망·훈련 기록</x:v>
      </x:c>
      <x:c r="D28" s="115" t="str">
        <x:f>'03_준비자료'!F28</x:f>
        <x:v>최상</x:v>
      </x:c>
      <x:c r="E28" s="115" t="str">
        <x:f>'03_준비자료'!E28</x:f>
        <x:v>환경/안전</x:v>
      </x:c>
      <x:c r="F28" s="115" t="str">
        <x:f>'03_준비자료'!H28</x:f>
        <x:v>2026-11-09</x:v>
      </x:c>
      <x:c r="G28" s="109" t="str">
        <x:v>미확인</x:v>
      </x:c>
      <x:c r="H28" s="109" t="str">
        <x:v>미확인</x:v>
      </x:c>
      <x:c r="I28" s="109" t="str">
        <x:v>미확인</x:v>
      </x:c>
      <x:c r="J28" s="109" t="str">
        <x:v>미확인</x:v>
      </x:c>
      <x:c r="K28" s="113"/>
      <x:c r="L28" s="109"/>
      <x:c r="M28" s="117"/>
      <x:c r="N28" s="113"/>
      <x:c r="O28" s="110" t="str">
        <x:f>IF(AND(G28="확보",OR(H28="확인",AND(H28="비해당",N28&lt;&gt;"")),OR(I28="확인",AND(I28="비해당",N28&lt;&gt;"")),OR(J28="확인",AND(J28="비해당",N28&lt;&gt;"")),K28&lt;&gt;"",L28&lt;&gt;"",M28&lt;&gt;""),"검증완료","미검증")</x:f>
        <x:v>미검증</x:v>
      </x:c>
    </x:row>
    <x:row r="29" ht="35" customHeight="1">
      <x:c r="A29" s="115" t="str">
        <x:f>'03_준비자료'!A29</x:f>
        <x:v>EMS-023</x:v>
      </x:c>
      <x:c r="B29" s="115" t="str">
        <x:f>'03_준비자료'!B29</x:f>
        <x:v>9.1.1</x:v>
      </x:c>
      <x:c r="C29" s="101" t="str">
        <x:f>'03_준비자료'!C29</x:f>
        <x:v>환경성과 모니터링/계측 기록</x:v>
      </x:c>
      <x:c r="D29" s="115" t="str">
        <x:f>'03_준비자료'!F29</x:f>
        <x:v>최상</x:v>
      </x:c>
      <x:c r="E29" s="115" t="str">
        <x:f>'03_준비자료'!E29</x:f>
        <x:v>환경/총무</x:v>
      </x:c>
      <x:c r="F29" s="115" t="str">
        <x:f>'03_준비자료'!H29</x:f>
        <x:v>2026-11-04</x:v>
      </x:c>
      <x:c r="G29" s="109" t="str">
        <x:v>미확인</x:v>
      </x:c>
      <x:c r="H29" s="109" t="str">
        <x:v>미확인</x:v>
      </x:c>
      <x:c r="I29" s="109" t="str">
        <x:v>미확인</x:v>
      </x:c>
      <x:c r="J29" s="109" t="str">
        <x:v>미확인</x:v>
      </x:c>
      <x:c r="K29" s="113"/>
      <x:c r="L29" s="109"/>
      <x:c r="M29" s="117"/>
      <x:c r="N29" s="113"/>
      <x:c r="O29" s="110" t="str">
        <x:f>IF(AND(G29="확보",OR(H29="확인",AND(H29="비해당",N29&lt;&gt;"")),OR(I29="확인",AND(I29="비해당",N29&lt;&gt;"")),OR(J29="확인",AND(J29="비해당",N29&lt;&gt;"")),K29&lt;&gt;"",L29&lt;&gt;"",M29&lt;&gt;""),"검증완료","미검증")</x:f>
        <x:v>미검증</x:v>
      </x:c>
    </x:row>
    <x:row r="30" ht="35" customHeight="1">
      <x:c r="A30" s="115" t="str">
        <x:f>'03_준비자료'!A30</x:f>
        <x:v>EMS-024</x:v>
      </x:c>
      <x:c r="B30" s="115" t="str">
        <x:f>'03_준비자료'!B30</x:f>
        <x:v>9.1.1</x:v>
      </x:c>
      <x:c r="C30" s="101" t="str">
        <x:f>'03_준비자료'!C30</x:f>
        <x:v>측정기기 교정·관리기록(해당 시)</x:v>
      </x:c>
      <x:c r="D30" s="115" t="str">
        <x:f>'03_준비자료'!F30</x:f>
        <x:v>중</x:v>
      </x:c>
      <x:c r="E30" s="115" t="str">
        <x:f>'03_준비자료'!E30</x:f>
        <x:v>환경/설비</x:v>
      </x:c>
      <x:c r="F30" s="115" t="str">
        <x:f>'03_준비자료'!H30</x:f>
        <x:v>2026-11-09</x:v>
      </x:c>
      <x:c r="G30" s="109" t="str">
        <x:v>미확인</x:v>
      </x:c>
      <x:c r="H30" s="109" t="str">
        <x:v>미확인</x:v>
      </x:c>
      <x:c r="I30" s="109" t="str">
        <x:v>미확인</x:v>
      </x:c>
      <x:c r="J30" s="109" t="str">
        <x:v>미확인</x:v>
      </x:c>
      <x:c r="K30" s="113"/>
      <x:c r="L30" s="109"/>
      <x:c r="M30" s="117"/>
      <x:c r="N30" s="113"/>
      <x:c r="O30" s="110" t="str">
        <x:f>IF(AND(G30="확보",OR(H30="확인",AND(H30="비해당",N30&lt;&gt;"")),OR(I30="확인",AND(I30="비해당",N30&lt;&gt;"")),OR(J30="확인",AND(J30="비해당",N30&lt;&gt;"")),K30&lt;&gt;"",L30&lt;&gt;"",M30&lt;&gt;""),"검증완료","미검증")</x:f>
        <x:v>미검증</x:v>
      </x:c>
    </x:row>
    <x:row r="31" ht="35" customHeight="1">
      <x:c r="A31" s="115" t="str">
        <x:f>'03_준비자료'!A31</x:f>
        <x:v>EMS-025</x:v>
      </x:c>
      <x:c r="B31" s="115" t="str">
        <x:f>'03_준비자료'!B31</x:f>
        <x:v>9.1.2</x:v>
      </x:c>
      <x:c r="C31" s="101" t="str">
        <x:f>'03_준비자료'!C31</x:f>
        <x:v>법규 준수평가표/결과/개선조치</x:v>
      </x:c>
      <x:c r="D31" s="115" t="str">
        <x:f>'03_준비자료'!F31</x:f>
        <x:v>최상</x:v>
      </x:c>
      <x:c r="E31" s="115" t="str">
        <x:f>'03_준비자료'!E31</x:f>
        <x:v>환경관리</x:v>
      </x:c>
      <x:c r="F31" s="115" t="str">
        <x:f>'03_준비자료'!H31</x:f>
        <x:v>2026-11-06</x:v>
      </x:c>
      <x:c r="G31" s="109" t="str">
        <x:v>미확인</x:v>
      </x:c>
      <x:c r="H31" s="109" t="str">
        <x:v>미확인</x:v>
      </x:c>
      <x:c r="I31" s="109" t="str">
        <x:v>미확인</x:v>
      </x:c>
      <x:c r="J31" s="109" t="str">
        <x:v>미확인</x:v>
      </x:c>
      <x:c r="K31" s="113"/>
      <x:c r="L31" s="109"/>
      <x:c r="M31" s="117"/>
      <x:c r="N31" s="113"/>
      <x:c r="O31" s="110" t="str">
        <x:f>IF(AND(G31="확보",OR(H31="확인",AND(H31="비해당",N31&lt;&gt;"")),OR(I31="확인",AND(I31="비해당",N31&lt;&gt;"")),OR(J31="확인",AND(J31="비해당",N31&lt;&gt;"")),K31&lt;&gt;"",L31&lt;&gt;"",M31&lt;&gt;""),"검증완료","미검증")</x:f>
        <x:v>미검증</x:v>
      </x:c>
    </x:row>
    <x:row r="32" ht="35" customHeight="1">
      <x:c r="A32" s="115" t="str">
        <x:f>'03_준비자료'!A32</x:f>
        <x:v>EMS-026</x:v>
      </x:c>
      <x:c r="B32" s="115" t="str">
        <x:f>'03_준비자료'!B32</x:f>
        <x:v>9.2</x:v>
      </x:c>
      <x:c r="C32" s="101" t="str">
        <x:f>'03_준비자료'!C32</x:f>
        <x:v>2026 내부심사 계획·보고서·체크리스트</x:v>
      </x:c>
      <x:c r="D32" s="115" t="str">
        <x:f>'03_준비자료'!F32</x:f>
        <x:v>최상</x:v>
      </x:c>
      <x:c r="E32" s="115" t="str">
        <x:f>'03_준비자료'!E32</x:f>
        <x:v>내부심사</x:v>
      </x:c>
      <x:c r="F32" s="115" t="str">
        <x:f>'03_준비자료'!H32</x:f>
        <x:v>2026-11-06</x:v>
      </x:c>
      <x:c r="G32" s="109" t="str">
        <x:v>미확인</x:v>
      </x:c>
      <x:c r="H32" s="109" t="str">
        <x:v>미확인</x:v>
      </x:c>
      <x:c r="I32" s="109" t="str">
        <x:v>미확인</x:v>
      </x:c>
      <x:c r="J32" s="109" t="str">
        <x:v>미확인</x:v>
      </x:c>
      <x:c r="K32" s="113"/>
      <x:c r="L32" s="109"/>
      <x:c r="M32" s="117"/>
      <x:c r="N32" s="113"/>
      <x:c r="O32" s="110" t="str">
        <x:f>IF(AND(G32="확보",OR(H32="확인",AND(H32="비해당",N32&lt;&gt;"")),OR(I32="확인",AND(I32="비해당",N32&lt;&gt;"")),OR(J32="확인",AND(J32="비해당",N32&lt;&gt;"")),K32&lt;&gt;"",L32&lt;&gt;"",M32&lt;&gt;""),"검증완료","미검증")</x:f>
        <x:v>미검증</x:v>
      </x:c>
    </x:row>
    <x:row r="33" ht="35" customHeight="1">
      <x:c r="A33" s="115" t="str">
        <x:f>'03_준비자료'!A33</x:f>
        <x:v>EMS-027</x:v>
      </x:c>
      <x:c r="B33" s="115" t="str">
        <x:f>'03_준비자료'!B33</x:f>
        <x:v>9.3</x:v>
      </x:c>
      <x:c r="C33" s="101" t="str">
        <x:f>'03_준비자료'!C33</x:f>
        <x:v>경영검토 회의록·입력·출력 및 후속조치</x:v>
      </x:c>
      <x:c r="D33" s="115" t="str">
        <x:f>'03_준비자료'!F33</x:f>
        <x:v>최상</x:v>
      </x:c>
      <x:c r="E33" s="115" t="str">
        <x:f>'03_준비자료'!E33</x:f>
        <x:v>경영진/환경</x:v>
      </x:c>
      <x:c r="F33" s="115" t="str">
        <x:f>'03_준비자료'!H33</x:f>
        <x:v>2026-11-09</x:v>
      </x:c>
      <x:c r="G33" s="109" t="str">
        <x:v>미확인</x:v>
      </x:c>
      <x:c r="H33" s="109" t="str">
        <x:v>미확인</x:v>
      </x:c>
      <x:c r="I33" s="109" t="str">
        <x:v>미확인</x:v>
      </x:c>
      <x:c r="J33" s="109" t="str">
        <x:v>미확인</x:v>
      </x:c>
      <x:c r="K33" s="113"/>
      <x:c r="L33" s="109"/>
      <x:c r="M33" s="117"/>
      <x:c r="N33" s="113"/>
      <x:c r="O33" s="110" t="str">
        <x:f>IF(AND(G33="확보",OR(H33="확인",AND(H33="비해당",N33&lt;&gt;"")),OR(I33="확인",AND(I33="비해당",N33&lt;&gt;"")),OR(J33="확인",AND(J33="비해당",N33&lt;&gt;"")),K33&lt;&gt;"",L33&lt;&gt;"",M33&lt;&gt;""),"검증완료","미검증")</x:f>
        <x:v>미검증</x:v>
      </x:c>
    </x:row>
    <x:row r="34" ht="35" customHeight="1">
      <x:c r="A34" s="115" t="str">
        <x:f>'03_준비자료'!A34</x:f>
        <x:v>EMS-028</x:v>
      </x:c>
      <x:c r="B34" s="115" t="str">
        <x:f>'03_준비자료'!B34</x:f>
        <x:v>10.2</x:v>
      </x:c>
      <x:c r="C34" s="101" t="str">
        <x:f>'03_준비자료'!C34</x:f>
        <x:v>환경 부적합·시정조치·유효성 검증 기록</x:v>
      </x:c>
      <x:c r="D34" s="115" t="str">
        <x:f>'03_준비자료'!F34</x:f>
        <x:v>최상</x:v>
      </x:c>
      <x:c r="E34" s="115" t="str">
        <x:f>'03_준비자료'!E34</x:f>
        <x:v>환경/관련부서</x:v>
      </x:c>
      <x:c r="F34" s="115" t="str">
        <x:f>'03_준비자료'!H34</x:f>
        <x:v>2026-11-09</x:v>
      </x:c>
      <x:c r="G34" s="109" t="str">
        <x:v>미확인</x:v>
      </x:c>
      <x:c r="H34" s="109" t="str">
        <x:v>미확인</x:v>
      </x:c>
      <x:c r="I34" s="109" t="str">
        <x:v>미확인</x:v>
      </x:c>
      <x:c r="J34" s="109" t="str">
        <x:v>미확인</x:v>
      </x:c>
      <x:c r="K34" s="113"/>
      <x:c r="L34" s="109"/>
      <x:c r="M34" s="117"/>
      <x:c r="N34" s="113"/>
      <x:c r="O34" s="110" t="str">
        <x:f>IF(AND(G34="확보",OR(H34="확인",AND(H34="비해당",N34&lt;&gt;"")),OR(I34="확인",AND(I34="비해당",N34&lt;&gt;"")),OR(J34="확인",AND(J34="비해당",N34&lt;&gt;"")),K34&lt;&gt;"",L34&lt;&gt;"",M34&lt;&gt;""),"검증완료","미검증")</x:f>
        <x:v>미검증</x:v>
      </x:c>
    </x:row>
    <x:row r="35" ht="35" customHeight="1">
      <x:c r="A35" s="115" t="str">
        <x:f>'03_준비자료'!A35</x:f>
        <x:v>EMS-029</x:v>
      </x:c>
      <x:c r="B35" s="115" t="str">
        <x:f>'03_준비자료'!B35</x:f>
        <x:v>10.3</x:v>
      </x:c>
      <x:c r="C35" s="101" t="str">
        <x:f>'03_준비자료'!C35</x:f>
        <x:v>환경 개선활동 성과/추진 현황</x:v>
      </x:c>
      <x:c r="D35" s="115" t="str">
        <x:f>'03_준비자료'!F35</x:f>
        <x:v>중</x:v>
      </x:c>
      <x:c r="E35" s="115" t="str">
        <x:f>'03_준비자료'!E35</x:f>
        <x:v>환경/경영진</x:v>
      </x:c>
      <x:c r="F35" s="115" t="str">
        <x:f>'03_준비자료'!H35</x:f>
        <x:v>2026-11-12</x:v>
      </x:c>
      <x:c r="G35" s="109" t="str">
        <x:v>미확인</x:v>
      </x:c>
      <x:c r="H35" s="109" t="str">
        <x:v>미확인</x:v>
      </x:c>
      <x:c r="I35" s="109" t="str">
        <x:v>미확인</x:v>
      </x:c>
      <x:c r="J35" s="109" t="str">
        <x:v>미확인</x:v>
      </x:c>
      <x:c r="K35" s="113"/>
      <x:c r="L35" s="109"/>
      <x:c r="M35" s="117"/>
      <x:c r="N35" s="113"/>
      <x:c r="O35" s="110" t="str">
        <x:f>IF(AND(G35="확보",OR(H35="확인",AND(H35="비해당",N35&lt;&gt;"")),OR(I35="확인",AND(I35="비해당",N35&lt;&gt;"")),OR(J35="확인",AND(J35="비해당",N35&lt;&gt;"")),K35&lt;&gt;"",L35&lt;&gt;"",M35&lt;&gt;""),"검증완료","미검증")</x:f>
        <x:v>미검증</x:v>
      </x:c>
    </x:row>
    <x:row r="36" ht="35" customHeight="1">
      <x:c r="A36" s="115" t="str">
        <x:f>'03_준비자료'!A36</x:f>
        <x:v>EMS-030</x:v>
      </x:c>
      <x:c r="B36" s="115" t="str">
        <x:f>'03_준비자료'!B36</x:f>
        <x:v>심사 이력</x:v>
      </x:c>
      <x:c r="C36" s="101" t="str">
        <x:f>'03_준비자료'!C36</x:f>
        <x:v>2023 갱신 및 최근 사후심사 결과·지적 대응</x:v>
      </x:c>
      <x:c r="D36" s="115" t="str">
        <x:f>'03_준비자료'!F36</x:f>
        <x:v>최상</x:v>
      </x:c>
      <x:c r="E36" s="115" t="str">
        <x:f>'03_준비자료'!E36</x:f>
        <x:v>환경관리</x:v>
      </x:c>
      <x:c r="F36" s="115" t="str">
        <x:f>'03_준비자료'!H36</x:f>
        <x:v>2026-11-04</x:v>
      </x:c>
      <x:c r="G36" s="109" t="str">
        <x:v>미확인</x:v>
      </x:c>
      <x:c r="H36" s="109" t="str">
        <x:v>미확인</x:v>
      </x:c>
      <x:c r="I36" s="109" t="str">
        <x:v>미확인</x:v>
      </x:c>
      <x:c r="J36" s="109" t="str">
        <x:v>미확인</x:v>
      </x:c>
      <x:c r="K36" s="113"/>
      <x:c r="L36" s="109"/>
      <x:c r="M36" s="117"/>
      <x:c r="N36" s="113"/>
      <x:c r="O36" s="110" t="str">
        <x:f>IF(AND(G36="확보",OR(H36="확인",AND(H36="비해당",N36&lt;&gt;"")),OR(I36="확인",AND(I36="비해당",N36&lt;&gt;"")),OR(J36="확인",AND(J36="비해당",N36&lt;&gt;"")),K36&lt;&gt;"",L36&lt;&gt;"",M36&lt;&gt;""),"검증완료","미검증")</x:f>
        <x:v>미검증</x:v>
      </x:c>
    </x:row>
    <x:row r="37" ht="35" customHeight="1">
      <x:c r="A37" s="115" t="str">
        <x:f>'03_준비자료'!A37</x:f>
        <x:v>EMS-031</x:v>
      </x:c>
      <x:c r="B37" s="115" t="str">
        <x:f>'03_준비자료'!B37</x:f>
        <x:v>심사 이력</x:v>
      </x:c>
      <x:c r="C37" s="101" t="str">
        <x:f>'03_준비자료'!C37</x:f>
        <x:v>환경사고·민원·대외기관 지적 처리 기록</x:v>
      </x:c>
      <x:c r="D37" s="115" t="str">
        <x:f>'03_준비자료'!F37</x:f>
        <x:v>상</x:v>
      </x:c>
      <x:c r="E37" s="115" t="str">
        <x:f>'03_준비자료'!E37</x:f>
        <x:v>환경/총무</x:v>
      </x:c>
      <x:c r="F37" s="115" t="str">
        <x:f>'03_준비자료'!H37</x:f>
        <x:v>2026-11-09</x:v>
      </x:c>
      <x:c r="G37" s="109" t="str">
        <x:v>미확인</x:v>
      </x:c>
      <x:c r="H37" s="109" t="str">
        <x:v>미확인</x:v>
      </x:c>
      <x:c r="I37" s="109" t="str">
        <x:v>미확인</x:v>
      </x:c>
      <x:c r="J37" s="109" t="str">
        <x:v>미확인</x:v>
      </x:c>
      <x:c r="K37" s="113"/>
      <x:c r="L37" s="109"/>
      <x:c r="M37" s="117"/>
      <x:c r="N37" s="113"/>
      <x:c r="O37" s="110" t="str">
        <x:f>IF(AND(G37="확보",OR(H37="확인",AND(H37="비해당",N37&lt;&gt;"")),OR(I37="확인",AND(I37="비해당",N37&lt;&gt;"")),OR(J37="확인",AND(J37="비해당",N37&lt;&gt;"")),K37&lt;&gt;"",L37&lt;&gt;"",M37&lt;&gt;""),"검증완료","미검증")</x:f>
        <x:v>미검증</x:v>
      </x:c>
    </x:row>
    <x:row r="38" ht="35" customHeight="1">
      <x:c r="A38" s="115" t="str">
        <x:f>'03_준비자료'!A38</x:f>
        <x:v>EMS-032</x:v>
      </x:c>
      <x:c r="B38" s="115" t="str">
        <x:f>'03_준비자료'!B38</x:f>
        <x:v>심사 운영</x:v>
      </x:c>
      <x:c r="C38" s="101" t="str">
        <x:f>'03_준비자료'!C38</x:f>
        <x:v>공정도·현장 동선·담당자 인터뷰 명단</x:v>
      </x:c>
      <x:c r="D38" s="115" t="str">
        <x:f>'03_준비자료'!F38</x:f>
        <x:v>상</x:v>
      </x:c>
      <x:c r="E38" s="115" t="str">
        <x:f>'03_준비자료'!E38</x:f>
        <x:v>생산/심사총괄</x:v>
      </x:c>
      <x:c r="F38" s="115" t="str">
        <x:f>'03_준비자료'!H38</x:f>
        <x:v>2026-11-16</x:v>
      </x:c>
      <x:c r="G38" s="109" t="str">
        <x:v>미확인</x:v>
      </x:c>
      <x:c r="H38" s="109" t="str">
        <x:v>미확인</x:v>
      </x:c>
      <x:c r="I38" s="109" t="str">
        <x:v>미확인</x:v>
      </x:c>
      <x:c r="J38" s="109" t="str">
        <x:v>미확인</x:v>
      </x:c>
      <x:c r="K38" s="113"/>
      <x:c r="L38" s="109"/>
      <x:c r="M38" s="117"/>
      <x:c r="N38" s="113"/>
      <x:c r="O38" s="110" t="str">
        <x:f>IF(AND(G38="확보",OR(H38="확인",AND(H38="비해당",N38&lt;&gt;"")),OR(I38="확인",AND(I38="비해당",N38&lt;&gt;"")),OR(J38="확인",AND(J38="비해당",N38&lt;&gt;"")),K38&lt;&gt;"",L38&lt;&gt;"",M38&lt;&gt;""),"검증완료","미검증")</x:f>
        <x:v>미검증</x:v>
      </x:c>
    </x:row>
    <x:row r="39" ht="35" customHeight="1">
      <x:c r="A39" s="115" t="str">
        <x:f>'03_준비자료'!A39</x:f>
        <x:v>EMS-033</x:v>
      </x:c>
      <x:c r="B39" s="115" t="str">
        <x:f>'03_준비자료'!B39</x:f>
        <x:v>심사 운영</x:v>
      </x:c>
      <x:c r="C39" s="101" t="str">
        <x:f>'03_준비자료'!C39</x:f>
        <x:v>현재 인증서 원본·유효기간·표기 사업장</x:v>
      </x:c>
      <x:c r="D39" s="115" t="str">
        <x:f>'03_준비자료'!F39</x:f>
        <x:v>최상</x:v>
      </x:c>
      <x:c r="E39" s="115" t="str">
        <x:f>'03_준비자료'!E39</x:f>
        <x:v>환경관리</x:v>
      </x:c>
      <x:c r="F39" s="115" t="str">
        <x:f>'03_준비자료'!H39</x:f>
        <x:v>2026-10-27</x:v>
      </x:c>
      <x:c r="G39" s="109" t="str">
        <x:v>미확인</x:v>
      </x:c>
      <x:c r="H39" s="109" t="str">
        <x:v>미확인</x:v>
      </x:c>
      <x:c r="I39" s="109" t="str">
        <x:v>미확인</x:v>
      </x:c>
      <x:c r="J39" s="109" t="str">
        <x:v>미확인</x:v>
      </x:c>
      <x:c r="K39" s="113"/>
      <x:c r="L39" s="109"/>
      <x:c r="M39" s="117"/>
      <x:c r="N39" s="113"/>
      <x:c r="O39" s="110" t="str">
        <x:f>IF(AND(G39="확보",OR(H39="확인",AND(H39="비해당",N39&lt;&gt;"")),OR(I39="확인",AND(I39="비해당",N39&lt;&gt;"")),OR(J39="확인",AND(J39="비해당",N39&lt;&gt;"")),K39&lt;&gt;"",L39&lt;&gt;"",M39&lt;&gt;""),"검증완료","미검증")</x:f>
        <x:v>미검증</x:v>
      </x:c>
    </x:row>
    <x:row r="40" ht="35" customHeight="1">
      <x:c r="A40" s="115" t="str">
        <x:f>'03_준비자료'!A40</x:f>
        <x:v>EMS-034</x:v>
      </x:c>
      <x:c r="B40" s="115" t="str">
        <x:f>'03_준비자료'!B40</x:f>
        <x:v>심사 행정</x:v>
      </x:c>
      <x:c r="C40" s="101" t="str">
        <x:f>'03_준비자료'!C40</x:f>
        <x:v>갱신심사 공문 및 비용 청구서</x:v>
      </x:c>
      <x:c r="D40" s="115" t="str">
        <x:f>'03_준비자료'!F40</x:f>
        <x:v>상</x:v>
      </x:c>
      <x:c r="E40" s="115" t="str">
        <x:f>'03_준비자료'!E40</x:f>
        <x:v>심사총괄</x:v>
      </x:c>
      <x:c r="F40" s="115" t="str">
        <x:f>'03_준비자료'!H40</x:f>
        <x:v>2026-10-23</x:v>
      </x:c>
      <x:c r="G40" s="109" t="str">
        <x:v>미확인</x:v>
      </x:c>
      <x:c r="H40" s="109" t="str">
        <x:v>미확인</x:v>
      </x:c>
      <x:c r="I40" s="109" t="str">
        <x:v>미확인</x:v>
      </x:c>
      <x:c r="J40" s="109" t="str">
        <x:v>미확인</x:v>
      </x:c>
      <x:c r="K40" s="113"/>
      <x:c r="L40" s="109"/>
      <x:c r="M40" s="117"/>
      <x:c r="N40" s="113"/>
      <x:c r="O40" s="110" t="str">
        <x:f>IF(AND(G40="확보",OR(H40="확인",AND(H40="비해당",N40&lt;&gt;"")),OR(I40="확인",AND(I40="비해당",N40&lt;&gt;"")),OR(J40="확인",AND(J40="비해당",N40&lt;&gt;"")),K40&lt;&gt;"",L40&lt;&gt;"",M40&lt;&gt;""),"검증완료","미검증")</x:f>
        <x:v>미검증</x:v>
      </x:c>
    </x:row>
    <x:row r="41" ht="35" customHeight="1">
      <x:c r="A41" s="115" t="str">
        <x:f>'03_준비자료'!A41</x:f>
        <x:v>EMS-035</x:v>
      </x:c>
      <x:c r="B41" s="115" t="str">
        <x:f>'03_준비자료'!B41</x:f>
        <x:v>심사 행정</x:v>
      </x:c>
      <x:c r="C41" s="101" t="str">
        <x:f>'03_준비자료'!C41</x:f>
        <x:v>기안서·품의서 및 비용 지급결재 증빙</x:v>
      </x:c>
      <x:c r="D41" s="115" t="str">
        <x:f>'03_준비자료'!F41</x:f>
        <x:v>상</x:v>
      </x:c>
      <x:c r="E41" s="115" t="str">
        <x:f>'03_준비자료'!E41</x:f>
        <x:v>기안/회계</x:v>
      </x:c>
      <x:c r="F41" s="115" t="str">
        <x:f>'03_준비자료'!H41</x:f>
        <x:v>2026-11-10</x:v>
      </x:c>
      <x:c r="G41" s="109" t="str">
        <x:v>미확인</x:v>
      </x:c>
      <x:c r="H41" s="109" t="str">
        <x:v>미확인</x:v>
      </x:c>
      <x:c r="I41" s="109" t="str">
        <x:v>미확인</x:v>
      </x:c>
      <x:c r="J41" s="109" t="str">
        <x:v>미확인</x:v>
      </x:c>
      <x:c r="K41" s="113"/>
      <x:c r="L41" s="109"/>
      <x:c r="M41" s="117"/>
      <x:c r="N41" s="113"/>
      <x:c r="O41" s="110" t="str">
        <x:f>IF(AND(G41="확보",OR(H41="확인",AND(H41="비해당",N41&lt;&gt;"")),OR(I41="확인",AND(I41="비해당",N41&lt;&gt;"")),OR(J41="확인",AND(J41="비해당",N41&lt;&gt;"")),K41&lt;&gt;"",L41&lt;&gt;"",M41&lt;&gt;""),"검증완료","미검증")</x:f>
        <x:v>미검증</x:v>
      </x:c>
    </x:row>
    <x:row r="42" ht="35" customHeight="1">
      <x:c r="A42" s="115" t="str">
        <x:f>'03_준비자료'!A42</x:f>
        <x:v>EMS-036</x:v>
      </x:c>
      <x:c r="B42" s="115" t="str">
        <x:f>'03_준비자료'!B42</x:f>
        <x:v>심사 행정</x:v>
      </x:c>
      <x:c r="C42" s="101" t="str">
        <x:f>'03_준비자료'!C42</x:f>
        <x:v>입금증 및 전자세금계산서</x:v>
      </x:c>
      <x:c r="D42" s="115" t="str">
        <x:f>'03_준비자료'!F42</x:f>
        <x:v>상</x:v>
      </x:c>
      <x:c r="E42" s="115" t="str">
        <x:f>'03_준비자료'!E42</x:f>
        <x:v>회계</x:v>
      </x:c>
      <x:c r="F42" s="115" t="str">
        <x:f>'03_준비자료'!H42</x:f>
        <x:v>2026-11-12</x:v>
      </x:c>
      <x:c r="G42" s="109" t="str">
        <x:v>미확인</x:v>
      </x:c>
      <x:c r="H42" s="109" t="str">
        <x:v>미확인</x:v>
      </x:c>
      <x:c r="I42" s="109" t="str">
        <x:v>미확인</x:v>
      </x:c>
      <x:c r="J42" s="109" t="str">
        <x:v>미확인</x:v>
      </x:c>
      <x:c r="K42" s="113"/>
      <x:c r="L42" s="109"/>
      <x:c r="M42" s="117"/>
      <x:c r="N42" s="113"/>
      <x:c r="O42" s="110" t="str">
        <x:f>IF(AND(G42="확보",OR(H42="확인",AND(H42="비해당",N42&lt;&gt;"")),OR(I42="확인",AND(I42="비해당",N42&lt;&gt;"")),OR(J42="확인",AND(J42="비해당",N42&lt;&gt;"")),K42&lt;&gt;"",L42&lt;&gt;"",M42&lt;&gt;""),"검증완료","미검증")</x:f>
        <x:v>미검증</x:v>
      </x:c>
    </x:row>
    <x:row r="43" ht="35" customHeight="1">
      <x:c r="A43" s="115" t="str">
        <x:f>'03_준비자료'!A43</x:f>
        <x:v>EMS-037</x:v>
      </x:c>
      <x:c r="B43" s="115" t="str">
        <x:f>'03_준비자료'!B43</x:f>
        <x:v>규격 전환</x:v>
      </x:c>
      <x:c r="C43" s="101" t="str">
        <x:f>'03_준비자료'!C43</x:f>
        <x:v>ISO 14001:2026 전환심사 여부 NQA 회신</x:v>
      </x:c>
      <x:c r="D43" s="115" t="str">
        <x:f>'03_준비자료'!F43</x:f>
        <x:v>최상</x:v>
      </x:c>
      <x:c r="E43" s="115" t="str">
        <x:f>'03_준비자료'!E43</x:f>
        <x:v>심사총괄/환경</x:v>
      </x:c>
      <x:c r="F43" s="115" t="str">
        <x:f>'03_준비자료'!H43</x:f>
        <x:v>2026-10-26</x:v>
      </x:c>
      <x:c r="G43" s="109" t="str">
        <x:v>미확인</x:v>
      </x:c>
      <x:c r="H43" s="109" t="str">
        <x:v>미확인</x:v>
      </x:c>
      <x:c r="I43" s="109" t="str">
        <x:v>미확인</x:v>
      </x:c>
      <x:c r="J43" s="109" t="str">
        <x:v>미확인</x:v>
      </x:c>
      <x:c r="K43" s="113"/>
      <x:c r="L43" s="109"/>
      <x:c r="M43" s="117"/>
      <x:c r="N43" s="113"/>
      <x:c r="O43" s="110" t="str">
        <x:f>IF(AND(G43="확보",OR(H43="확인",AND(H43="비해당",N43&lt;&gt;"")),OR(I43="확인",AND(I43="비해당",N43&lt;&gt;"")),OR(J43="확인",AND(J43="비해당",N43&lt;&gt;"")),K43&lt;&gt;"",L43&lt;&gt;"",M43&lt;&gt;""),"검증완료","미검증")</x:f>
        <x:v>미검증</x:v>
      </x:c>
    </x:row>
    <x:row r="45" ht="32" customHeight="1">
      <x:c r="A45" s="121" t="str">
        <x:v>※ 비해당으로 판단한 부분은 N열에 근거를 기입합니다. 주요 ISO 필수요구사항 자체는 임의로 비해당 처리하지 않습니다.</x:v>
      </x:c>
      <x:c r="B45" s="121"/>
      <x:c r="C45" s="121"/>
      <x:c r="D45" s="121"/>
      <x:c r="E45" s="121"/>
      <x:c r="F45" s="121"/>
      <x:c r="G45" s="121"/>
      <x:c r="H45" s="121"/>
      <x:c r="I45" s="121"/>
      <x:c r="J45" s="121"/>
      <x:c r="K45" s="121"/>
      <x:c r="L45" s="121"/>
      <x:c r="M45" s="121"/>
      <x:c r="N45" s="121"/>
      <x:c r="O45" s="121"/>
    </x:row>
  </x:sheetData>
  <x:mergeCells>
    <x:mergeCell ref="A1:O1"/>
    <x:mergeCell ref="A2:O2"/>
    <x:mergeCell ref="A45:O45"/>
  </x:mergeCells>
  <x:conditionalFormatting sqref="O7:O43">
    <x:cfRule type="expression" dxfId="0" priority="1">
      <x:formula>$O7="검증완료"</x:formula>
    </x:cfRule>
  </x:conditionalFormatting>
  <x:dataValidations count="2">
    <x:dataValidation type="list" sqref="G7:G43">
      <x:formula1>"미확인,수집중,확보"</x:formula1>
    </x:dataValidation>
    <x:dataValidation type="list" sqref="H7:J43">
      <x:formula1>"미확인,확인,비해당"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0" hidden="0" customWidth="1"/>
    <x:col min="5" max="5" width="14" hidden="0" customWidth="1"/>
    <x:col min="6" max="6" width="15" hidden="0" customWidth="1"/>
    <x:col min="7" max="7" width="35" hidden="0" customWidth="1"/>
    <x:col min="8" max="8" width="37" hidden="0" customWidth="1"/>
    <x:col min="9" max="9" width="37" hidden="0" customWidth="1"/>
    <x:col min="10" max="10" width="34" hidden="0" customWidth="1"/>
    <x:col min="11" max="11" width="14" hidden="0" customWidth="1"/>
    <x:col min="12" max="12" width="14" hidden="0" customWidth="1"/>
    <x:col min="13" max="13" width="15" hidden="0" customWidth="1"/>
    <x:col min="14" max="14" width="15" hidden="0" customWidth="1"/>
  </x:cols>
  <x:sheetData>
    <x:row r="1" ht="38" customHeight="1">
      <x:c r="A1" s="73" t="str">
        <x:v>STEP 3 | 핵심 GAP 16건 후속조치 및 폐쇄 검증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</x:row>
    <x:row r="2" ht="33" customHeight="1">
      <x:c r="A2" s="80" t="str">
        <x:v>원본 08_GAP_조치관리의 상태를 참조합니다. '미확인'은 부적합 확정이 아니며, 08시트 조치상태 + 증빙 + 독립 확인을 거쳐 폐쇄합니다.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</x:row>
    <x:row r="6" ht="30" customHeight="1">
      <x:c r="A6" s="103" t="str">
        <x:v>GAP ID</x:v>
      </x:c>
      <x:c r="B6" s="103" t="str">
        <x:v>증빙 ID</x:v>
      </x:c>
      <x:c r="C6" s="103" t="str">
        <x:v>미확인 영역</x:v>
      </x:c>
      <x:c r="D6" s="103" t="str">
        <x:v>중요도</x:v>
      </x:c>
      <x:c r="E6" s="103" t="str">
        <x:v>권고기한</x:v>
      </x:c>
      <x:c r="F6" s="103" t="str">
        <x:v>08시트 상태</x:v>
      </x:c>
      <x:c r="G6" s="103" t="str">
        <x:v>확인·발견 사실</x:v>
      </x:c>
      <x:c r="H6" s="103" t="str">
        <x:v>원인분석 / 자료 미확보 사유</x:v>
      </x:c>
      <x:c r="I6" s="103" t="str">
        <x:v>개선·조치 내용</x:v>
      </x:c>
      <x:c r="J6" s="103" t="str">
        <x:v>조치 증빙경로</x:v>
      </x:c>
      <x:c r="K6" s="103" t="str">
        <x:v>완료일</x:v>
      </x:c>
      <x:c r="L6" s="103" t="str">
        <x:v>검증자</x:v>
      </x:c>
      <x:c r="M6" s="103" t="str">
        <x:v>유효성 판정</x:v>
      </x:c>
      <x:c r="N6" s="103" t="str">
        <x:v>폐쇄 상태</x:v>
      </x:c>
    </x:row>
    <x:row r="7" ht="35" customHeight="1">
      <x:c r="A7" s="101" t="str">
        <x:f>'08_GAP_조치관리'!A6</x:f>
        <x:v>G01</x:v>
      </x:c>
      <x:c r="B7" s="101" t="str">
        <x:f>'08_GAP_조치관리'!B6</x:f>
        <x:v>EMS-037</x:v>
      </x:c>
      <x:c r="C7" s="101" t="str">
        <x:f>'08_GAP_조치관리'!C6</x:f>
        <x:v>규격 전환 해석</x:v>
      </x:c>
      <x:c r="D7" s="101" t="str">
        <x:f>'08_GAP_조치관리'!E6</x:f>
        <x:v>최상</x:v>
      </x:c>
      <x:c r="E7" s="101" t="str">
        <x:f>'08_GAP_조치관리'!I6</x:f>
        <x:v>2026-10-28</x:v>
      </x:c>
      <x:c r="F7" s="101" t="str">
        <x:f>'08_GAP_조치관리'!J6</x:f>
        <x:v>미확인</x:v>
      </x:c>
      <x:c r="G7" s="105"/>
      <x:c r="H7" s="105"/>
      <x:c r="I7" s="105"/>
      <x:c r="J7" s="105"/>
      <x:c r="K7" s="125"/>
      <x:c r="L7" s="105"/>
      <x:c r="M7" s="105" t="str">
        <x:v>미검증</x:v>
      </x:c>
      <x:c r="N7" s="107" t="str">
        <x:f>IF(AND(F7="완료",G7&lt;&gt;"",H7&lt;&gt;"",I7&lt;&gt;"",J7&lt;&gt;"",K7&lt;&gt;"",L7&lt;&gt;"",M7="적합"),"폐쇄","미종결")</x:f>
        <x:v>미종결</x:v>
      </x:c>
    </x:row>
    <x:row r="8" ht="35" customHeight="1">
      <x:c r="A8" s="101" t="str">
        <x:f>'08_GAP_조치관리'!A7</x:f>
        <x:v>G02</x:v>
      </x:c>
      <x:c r="B8" s="101" t="str">
        <x:f>'08_GAP_조치관리'!B7</x:f>
        <x:v>EMS-033</x:v>
      </x:c>
      <x:c r="C8" s="101" t="str">
        <x:f>'08_GAP_조치관리'!C7</x:f>
        <x:v>인증서 현행성</x:v>
      </x:c>
      <x:c r="D8" s="101" t="str">
        <x:f>'08_GAP_조치관리'!E7</x:f>
        <x:v>최상</x:v>
      </x:c>
      <x:c r="E8" s="101" t="str">
        <x:f>'08_GAP_조치관리'!I7</x:f>
        <x:v>2026-10-28</x:v>
      </x:c>
      <x:c r="F8" s="101" t="str">
        <x:f>'08_GAP_조치관리'!J7</x:f>
        <x:v>미확인</x:v>
      </x:c>
      <x:c r="G8" s="105"/>
      <x:c r="H8" s="105"/>
      <x:c r="I8" s="105"/>
      <x:c r="J8" s="105"/>
      <x:c r="K8" s="125"/>
      <x:c r="L8" s="105"/>
      <x:c r="M8" s="105" t="str">
        <x:v>미검증</x:v>
      </x:c>
      <x:c r="N8" s="107" t="str">
        <x:f>IF(AND(F8="완료",G8&lt;&gt;"",H8&lt;&gt;"",I8&lt;&gt;"",J8&lt;&gt;"",K8&lt;&gt;"",L8&lt;&gt;"",M8="적합"),"폐쇄","미종결")</x:f>
        <x:v>미종결</x:v>
      </x:c>
    </x:row>
    <x:row r="9" ht="35" customHeight="1">
      <x:c r="A9" s="101" t="str">
        <x:f>'08_GAP_조치관리'!A8</x:f>
        <x:v>G03</x:v>
      </x:c>
      <x:c r="B9" s="101" t="str">
        <x:f>'08_GAP_조치관리'!B8</x:f>
        <x:v>EMS-002</x:v>
      </x:c>
      <x:c r="C9" s="101" t="str">
        <x:f>'08_GAP_조치관리'!C8</x:f>
        <x:v>인원·공정·범위</x:v>
      </x:c>
      <x:c r="D9" s="101" t="str">
        <x:f>'08_GAP_조치관리'!E8</x:f>
        <x:v>상</x:v>
      </x:c>
      <x:c r="E9" s="101" t="str">
        <x:f>'08_GAP_조치관리'!I8</x:f>
        <x:v>2026-10-29</x:v>
      </x:c>
      <x:c r="F9" s="101" t="str">
        <x:f>'08_GAP_조치관리'!J8</x:f>
        <x:v>미확인</x:v>
      </x:c>
      <x:c r="G9" s="105"/>
      <x:c r="H9" s="105"/>
      <x:c r="I9" s="105"/>
      <x:c r="J9" s="105"/>
      <x:c r="K9" s="125"/>
      <x:c r="L9" s="105"/>
      <x:c r="M9" s="105" t="str">
        <x:v>미검증</x:v>
      </x:c>
      <x:c r="N9" s="107" t="str">
        <x:f>IF(AND(F9="완료",G9&lt;&gt;"",H9&lt;&gt;"",I9&lt;&gt;"",J9&lt;&gt;"",K9&lt;&gt;"",L9&lt;&gt;"",M9="적합"),"폐쇄","미종결")</x:f>
        <x:v>미종결</x:v>
      </x:c>
    </x:row>
    <x:row r="10" ht="35" customHeight="1">
      <x:c r="A10" s="101" t="str">
        <x:f>'08_GAP_조치관리'!A9</x:f>
        <x:v>G04</x:v>
      </x:c>
      <x:c r="B10" s="101" t="str">
        <x:f>'08_GAP_조치관리'!B9</x:f>
        <x:v>EMS-007</x:v>
      </x:c>
      <x:c r="C10" s="101" t="str">
        <x:f>'08_GAP_조치관리'!C9</x:f>
        <x:v>환경측면 평가</x:v>
      </x:c>
      <x:c r="D10" s="101" t="str">
        <x:f>'08_GAP_조치관리'!E9</x:f>
        <x:v>최상</x:v>
      </x:c>
      <x:c r="E10" s="101" t="str">
        <x:f>'08_GAP_조치관리'!I9</x:f>
        <x:v>2026-11-02</x:v>
      </x:c>
      <x:c r="F10" s="101" t="str">
        <x:f>'08_GAP_조치관리'!J9</x:f>
        <x:v>미확인</x:v>
      </x:c>
      <x:c r="G10" s="105"/>
      <x:c r="H10" s="105"/>
      <x:c r="I10" s="105"/>
      <x:c r="J10" s="105"/>
      <x:c r="K10" s="125"/>
      <x:c r="L10" s="105"/>
      <x:c r="M10" s="105" t="str">
        <x:v>미검증</x:v>
      </x:c>
      <x:c r="N10" s="107" t="str">
        <x:f>IF(AND(F10="완료",G10&lt;&gt;"",H10&lt;&gt;"",I10&lt;&gt;"",J10&lt;&gt;"",K10&lt;&gt;"",L10&lt;&gt;"",M10="적합"),"폐쇄","미종결")</x:f>
        <x:v>미종결</x:v>
      </x:c>
    </x:row>
    <x:row r="11" ht="35" customHeight="1">
      <x:c r="A11" s="101" t="str">
        <x:f>'08_GAP_조치관리'!A10</x:f>
        <x:v>G05</x:v>
      </x:c>
      <x:c r="B11" s="101" t="str">
        <x:f>'08_GAP_조치관리'!B10</x:f>
        <x:v>EMS-009</x:v>
      </x:c>
      <x:c r="C11" s="101" t="str">
        <x:f>'08_GAP_조치관리'!C10</x:f>
        <x:v>적용법규·인허가</x:v>
      </x:c>
      <x:c r="D11" s="101" t="str">
        <x:f>'08_GAP_조치관리'!E10</x:f>
        <x:v>최상</x:v>
      </x:c>
      <x:c r="E11" s="101" t="str">
        <x:f>'08_GAP_조치관리'!I10</x:f>
        <x:v>2026-11-04</x:v>
      </x:c>
      <x:c r="F11" s="101" t="str">
        <x:f>'08_GAP_조치관리'!J10</x:f>
        <x:v>미확인</x:v>
      </x:c>
      <x:c r="G11" s="105"/>
      <x:c r="H11" s="105"/>
      <x:c r="I11" s="105"/>
      <x:c r="J11" s="105"/>
      <x:c r="K11" s="125"/>
      <x:c r="L11" s="105"/>
      <x:c r="M11" s="105" t="str">
        <x:v>미검증</x:v>
      </x:c>
      <x:c r="N11" s="107" t="str">
        <x:f>IF(AND(F11="완료",G11&lt;&gt;"",H11&lt;&gt;"",I11&lt;&gt;"",J11&lt;&gt;"",K11&lt;&gt;"",L11&lt;&gt;"",M11="적합"),"폐쇄","미종결")</x:f>
        <x:v>미종결</x:v>
      </x:c>
    </x:row>
    <x:row r="12" ht="35" customHeight="1">
      <x:c r="A12" s="101" t="str">
        <x:f>'08_GAP_조치관리'!A11</x:f>
        <x:v>G06</x:v>
      </x:c>
      <x:c r="B12" s="101" t="str">
        <x:f>'08_GAP_조치관리'!B11</x:f>
        <x:v>EMS-025</x:v>
      </x:c>
      <x:c r="C12" s="101" t="str">
        <x:f>'08_GAP_조치관리'!C11</x:f>
        <x:v>준수평가</x:v>
      </x:c>
      <x:c r="D12" s="101" t="str">
        <x:f>'08_GAP_조치관리'!E11</x:f>
        <x:v>최상</x:v>
      </x:c>
      <x:c r="E12" s="101" t="str">
        <x:f>'08_GAP_조치관리'!I11</x:f>
        <x:v>2026-11-04</x:v>
      </x:c>
      <x:c r="F12" s="101" t="str">
        <x:f>'08_GAP_조치관리'!J11</x:f>
        <x:v>미확인</x:v>
      </x:c>
      <x:c r="G12" s="105"/>
      <x:c r="H12" s="105"/>
      <x:c r="I12" s="105"/>
      <x:c r="J12" s="105"/>
      <x:c r="K12" s="125"/>
      <x:c r="L12" s="105"/>
      <x:c r="M12" s="105" t="str">
        <x:v>미검증</x:v>
      </x:c>
      <x:c r="N12" s="107" t="str">
        <x:f>IF(AND(F12="완료",G12&lt;&gt;"",H12&lt;&gt;"",I12&lt;&gt;"",J12&lt;&gt;"",K12&lt;&gt;"",L12&lt;&gt;"",M12="적합"),"폐쇄","미종결")</x:f>
        <x:v>미종결</x:v>
      </x:c>
    </x:row>
    <x:row r="13" ht="35" customHeight="1">
      <x:c r="A13" s="101" t="str">
        <x:f>'08_GAP_조치관리'!A12</x:f>
        <x:v>G07</x:v>
      </x:c>
      <x:c r="B13" s="101" t="str">
        <x:f>'08_GAP_조치관리'!B12</x:f>
        <x:v>EMS-018</x:v>
      </x:c>
      <x:c r="C13" s="101" t="str">
        <x:f>'08_GAP_조치관리'!C12</x:f>
        <x:v>폐기물 기록</x:v>
      </x:c>
      <x:c r="D13" s="101" t="str">
        <x:f>'08_GAP_조치관리'!E12</x:f>
        <x:v>최상</x:v>
      </x:c>
      <x:c r="E13" s="101" t="str">
        <x:f>'08_GAP_조치관리'!I12</x:f>
        <x:v>2026-11-04</x:v>
      </x:c>
      <x:c r="F13" s="101" t="str">
        <x:f>'08_GAP_조치관리'!J12</x:f>
        <x:v>미확인</x:v>
      </x:c>
      <x:c r="G13" s="105"/>
      <x:c r="H13" s="105"/>
      <x:c r="I13" s="105"/>
      <x:c r="J13" s="105"/>
      <x:c r="K13" s="125"/>
      <x:c r="L13" s="105"/>
      <x:c r="M13" s="105" t="str">
        <x:v>미검증</x:v>
      </x:c>
      <x:c r="N13" s="107" t="str">
        <x:f>IF(AND(F13="완료",G13&lt;&gt;"",H13&lt;&gt;"",I13&lt;&gt;"",J13&lt;&gt;"",K13&lt;&gt;"",L13&lt;&gt;"",M13="적합"),"폐쇄","미종결")</x:f>
        <x:v>미종결</x:v>
      </x:c>
    </x:row>
    <x:row r="14" ht="35" customHeight="1">
      <x:c r="A14" s="101" t="str">
        <x:f>'08_GAP_조치관리'!A13</x:f>
        <x:v>G08</x:v>
      </x:c>
      <x:c r="B14" s="101" t="str">
        <x:f>'08_GAP_조치관리'!B13</x:f>
        <x:v>EMS-020</x:v>
      </x:c>
      <x:c r="C14" s="101" t="str">
        <x:f>'08_GAP_조치관리'!C13</x:f>
        <x:v>시설 신고/허가</x:v>
      </x:c>
      <x:c r="D14" s="101" t="str">
        <x:f>'08_GAP_조치관리'!E13</x:f>
        <x:v>최상</x:v>
      </x:c>
      <x:c r="E14" s="101" t="str">
        <x:f>'08_GAP_조치관리'!I13</x:f>
        <x:v>2026-11-04</x:v>
      </x:c>
      <x:c r="F14" s="101" t="str">
        <x:f>'08_GAP_조치관리'!J13</x:f>
        <x:v>미확인</x:v>
      </x:c>
      <x:c r="G14" s="105"/>
      <x:c r="H14" s="105"/>
      <x:c r="I14" s="105"/>
      <x:c r="J14" s="105"/>
      <x:c r="K14" s="125"/>
      <x:c r="L14" s="105"/>
      <x:c r="M14" s="105" t="str">
        <x:v>미검증</x:v>
      </x:c>
      <x:c r="N14" s="107" t="str">
        <x:f>IF(AND(F14="완료",G14&lt;&gt;"",H14&lt;&gt;"",I14&lt;&gt;"",J14&lt;&gt;"",K14&lt;&gt;"",L14&lt;&gt;"",M14="적합"),"폐쇄","미종결")</x:f>
        <x:v>미종결</x:v>
      </x:c>
    </x:row>
    <x:row r="15" ht="35" customHeight="1">
      <x:c r="A15" s="101" t="str">
        <x:f>'08_GAP_조치관리'!A14</x:f>
        <x:v>G09</x:v>
      </x:c>
      <x:c r="B15" s="101" t="str">
        <x:f>'08_GAP_조치관리'!B14</x:f>
        <x:v>EMS-011</x:v>
      </x:c>
      <x:c r="C15" s="101" t="str">
        <x:f>'08_GAP_조치관리'!C14</x:f>
        <x:v>목표 및 성과</x:v>
      </x:c>
      <x:c r="D15" s="101" t="str">
        <x:f>'08_GAP_조치관리'!E14</x:f>
        <x:v>최상</x:v>
      </x:c>
      <x:c r="E15" s="101" t="str">
        <x:f>'08_GAP_조치관리'!I14</x:f>
        <x:v>2026-11-06</x:v>
      </x:c>
      <x:c r="F15" s="101" t="str">
        <x:f>'08_GAP_조치관리'!J14</x:f>
        <x:v>미확인</x:v>
      </x:c>
      <x:c r="G15" s="105"/>
      <x:c r="H15" s="105"/>
      <x:c r="I15" s="105"/>
      <x:c r="J15" s="105"/>
      <x:c r="K15" s="125"/>
      <x:c r="L15" s="105"/>
      <x:c r="M15" s="105" t="str">
        <x:v>미검증</x:v>
      </x:c>
      <x:c r="N15" s="107" t="str">
        <x:f>IF(AND(F15="완료",G15&lt;&gt;"",H15&lt;&gt;"",I15&lt;&gt;"",J15&lt;&gt;"",K15&lt;&gt;"",L15&lt;&gt;"",M15="적합"),"폐쇄","미종결")</x:f>
        <x:v>미종결</x:v>
      </x:c>
    </x:row>
    <x:row r="16" ht="35" customHeight="1">
      <x:c r="A16" s="101" t="str">
        <x:f>'08_GAP_조치관리'!A15</x:f>
        <x:v>G10</x:v>
      </x:c>
      <x:c r="B16" s="101" t="str">
        <x:f>'08_GAP_조치관리'!B15</x:f>
        <x:v>EMS-022</x:v>
      </x:c>
      <x:c r="C16" s="101" t="str">
        <x:f>'08_GAP_조치관리'!C15</x:f>
        <x:v>환경 비상대응</x:v>
      </x:c>
      <x:c r="D16" s="101" t="str">
        <x:f>'08_GAP_조치관리'!E15</x:f>
        <x:v>최상</x:v>
      </x:c>
      <x:c r="E16" s="101" t="str">
        <x:f>'08_GAP_조치관리'!I15</x:f>
        <x:v>2026-11-06</x:v>
      </x:c>
      <x:c r="F16" s="101" t="str">
        <x:f>'08_GAP_조치관리'!J15</x:f>
        <x:v>미확인</x:v>
      </x:c>
      <x:c r="G16" s="105"/>
      <x:c r="H16" s="105"/>
      <x:c r="I16" s="105"/>
      <x:c r="J16" s="105"/>
      <x:c r="K16" s="125"/>
      <x:c r="L16" s="105"/>
      <x:c r="M16" s="105" t="str">
        <x:v>미검증</x:v>
      </x:c>
      <x:c r="N16" s="107" t="str">
        <x:f>IF(AND(F16="완료",G16&lt;&gt;"",H16&lt;&gt;"",I16&lt;&gt;"",J16&lt;&gt;"",K16&lt;&gt;"",L16&lt;&gt;"",M16="적합"),"폐쇄","미종결")</x:f>
        <x:v>미종결</x:v>
      </x:c>
    </x:row>
    <x:row r="17" ht="35" customHeight="1">
      <x:c r="A17" s="101" t="str">
        <x:f>'08_GAP_조치관리'!A16</x:f>
        <x:v>G11</x:v>
      </x:c>
      <x:c r="B17" s="101" t="str">
        <x:f>'08_GAP_조치관리'!B16</x:f>
        <x:v>EMS-026</x:v>
      </x:c>
      <x:c r="C17" s="101" t="str">
        <x:f>'08_GAP_조치관리'!C16</x:f>
        <x:v>내부심사</x:v>
      </x:c>
      <x:c r="D17" s="101" t="str">
        <x:f>'08_GAP_조치관리'!E16</x:f>
        <x:v>최상</x:v>
      </x:c>
      <x:c r="E17" s="101" t="str">
        <x:f>'08_GAP_조치관리'!I16</x:f>
        <x:v>2026-11-10</x:v>
      </x:c>
      <x:c r="F17" s="101" t="str">
        <x:f>'08_GAP_조치관리'!J16</x:f>
        <x:v>미확인</x:v>
      </x:c>
      <x:c r="G17" s="105"/>
      <x:c r="H17" s="105"/>
      <x:c r="I17" s="105"/>
      <x:c r="J17" s="105"/>
      <x:c r="K17" s="125"/>
      <x:c r="L17" s="105"/>
      <x:c r="M17" s="105" t="str">
        <x:v>미검증</x:v>
      </x:c>
      <x:c r="N17" s="107" t="str">
        <x:f>IF(AND(F17="완료",G17&lt;&gt;"",H17&lt;&gt;"",I17&lt;&gt;"",J17&lt;&gt;"",K17&lt;&gt;"",L17&lt;&gt;"",M17="적합"),"폐쇄","미종결")</x:f>
        <x:v>미종결</x:v>
      </x:c>
    </x:row>
    <x:row r="18" ht="35" customHeight="1">
      <x:c r="A18" s="101" t="str">
        <x:f>'08_GAP_조치관리'!A17</x:f>
        <x:v>G12</x:v>
      </x:c>
      <x:c r="B18" s="101" t="str">
        <x:f>'08_GAP_조치관리'!B17</x:f>
        <x:v>EMS-027</x:v>
      </x:c>
      <x:c r="C18" s="101" t="str">
        <x:f>'08_GAP_조치관리'!C17</x:f>
        <x:v>경영검토</x:v>
      </x:c>
      <x:c r="D18" s="101" t="str">
        <x:f>'08_GAP_조치관리'!E17</x:f>
        <x:v>최상</x:v>
      </x:c>
      <x:c r="E18" s="101" t="str">
        <x:f>'08_GAP_조치관리'!I17</x:f>
        <x:v>2026-11-12</x:v>
      </x:c>
      <x:c r="F18" s="101" t="str">
        <x:f>'08_GAP_조치관리'!J17</x:f>
        <x:v>미확인</x:v>
      </x:c>
      <x:c r="G18" s="105"/>
      <x:c r="H18" s="105"/>
      <x:c r="I18" s="105"/>
      <x:c r="J18" s="105"/>
      <x:c r="K18" s="125"/>
      <x:c r="L18" s="105"/>
      <x:c r="M18" s="105" t="str">
        <x:v>미검증</x:v>
      </x:c>
      <x:c r="N18" s="107" t="str">
        <x:f>IF(AND(F18="완료",G18&lt;&gt;"",H18&lt;&gt;"",I18&lt;&gt;"",J18&lt;&gt;"",K18&lt;&gt;"",L18&lt;&gt;"",M18="적합"),"폐쇄","미종결")</x:f>
        <x:v>미종결</x:v>
      </x:c>
    </x:row>
    <x:row r="19" ht="35" customHeight="1">
      <x:c r="A19" s="101" t="str">
        <x:f>'08_GAP_조치관리'!A18</x:f>
        <x:v>G13</x:v>
      </x:c>
      <x:c r="B19" s="101" t="str">
        <x:f>'08_GAP_조치관리'!B18</x:f>
        <x:v>EMS-030</x:v>
      </x:c>
      <x:c r="C19" s="101" t="str">
        <x:f>'08_GAP_조치관리'!C18</x:f>
        <x:v>이전 지적</x:v>
      </x:c>
      <x:c r="D19" s="101" t="str">
        <x:f>'08_GAP_조치관리'!E18</x:f>
        <x:v>상</x:v>
      </x:c>
      <x:c r="E19" s="101" t="str">
        <x:f>'08_GAP_조치관리'!I18</x:f>
        <x:v>2026-11-10</x:v>
      </x:c>
      <x:c r="F19" s="101" t="str">
        <x:f>'08_GAP_조치관리'!J18</x:f>
        <x:v>미확인</x:v>
      </x:c>
      <x:c r="G19" s="105"/>
      <x:c r="H19" s="105"/>
      <x:c r="I19" s="105"/>
      <x:c r="J19" s="105"/>
      <x:c r="K19" s="125"/>
      <x:c r="L19" s="105"/>
      <x:c r="M19" s="105" t="str">
        <x:v>미검증</x:v>
      </x:c>
      <x:c r="N19" s="107" t="str">
        <x:f>IF(AND(F19="완료",G19&lt;&gt;"",H19&lt;&gt;"",I19&lt;&gt;"",J19&lt;&gt;"",K19&lt;&gt;"",L19&lt;&gt;"",M19="적합"),"폐쇄","미종결")</x:f>
        <x:v>미종결</x:v>
      </x:c>
    </x:row>
    <x:row r="20" ht="35" customHeight="1">
      <x:c r="A20" s="101" t="str">
        <x:f>'08_GAP_조치관리'!A19</x:f>
        <x:v>G14</x:v>
      </x:c>
      <x:c r="B20" s="101" t="str">
        <x:f>'08_GAP_조치관리'!B19</x:f>
        <x:v>EMS-035</x:v>
      </x:c>
      <x:c r="C20" s="101" t="str">
        <x:f>'08_GAP_조치관리'!C19</x:f>
        <x:v>비용결재</x:v>
      </x:c>
      <x:c r="D20" s="101" t="str">
        <x:f>'08_GAP_조치관리'!E19</x:f>
        <x:v>상</x:v>
      </x:c>
      <x:c r="E20" s="101" t="str">
        <x:f>'08_GAP_조치관리'!I19</x:f>
        <x:v>2026-11-12</x:v>
      </x:c>
      <x:c r="F20" s="101" t="str">
        <x:f>'08_GAP_조치관리'!J19</x:f>
        <x:v>미확인</x:v>
      </x:c>
      <x:c r="G20" s="105"/>
      <x:c r="H20" s="105"/>
      <x:c r="I20" s="105"/>
      <x:c r="J20" s="105"/>
      <x:c r="K20" s="125"/>
      <x:c r="L20" s="105"/>
      <x:c r="M20" s="105" t="str">
        <x:v>미검증</x:v>
      </x:c>
      <x:c r="N20" s="107" t="str">
        <x:f>IF(AND(F20="완료",G20&lt;&gt;"",H20&lt;&gt;"",I20&lt;&gt;"",J20&lt;&gt;"",K20&lt;&gt;"",L20&lt;&gt;"",M20="적합"),"폐쇄","미종결")</x:f>
        <x:v>미종결</x:v>
      </x:c>
    </x:row>
    <x:row r="21" ht="35" customHeight="1">
      <x:c r="A21" s="101" t="str">
        <x:f>'08_GAP_조치관리'!A20</x:f>
        <x:v>G15</x:v>
      </x:c>
      <x:c r="B21" s="101" t="str">
        <x:f>'08_GAP_조치관리'!B20</x:f>
        <x:v>EMS-036</x:v>
      </x:c>
      <x:c r="C21" s="101" t="str">
        <x:f>'08_GAP_조치관리'!C20</x:f>
        <x:v>비용송금</x:v>
      </x:c>
      <x:c r="D21" s="101" t="str">
        <x:f>'08_GAP_조치관리'!E20</x:f>
        <x:v>상</x:v>
      </x:c>
      <x:c r="E21" s="101" t="str">
        <x:f>'08_GAP_조치관리'!I20</x:f>
        <x:v>2026-11-12</x:v>
      </x:c>
      <x:c r="F21" s="101" t="str">
        <x:f>'08_GAP_조치관리'!J20</x:f>
        <x:v>미확인</x:v>
      </x:c>
      <x:c r="G21" s="105"/>
      <x:c r="H21" s="105"/>
      <x:c r="I21" s="105"/>
      <x:c r="J21" s="105"/>
      <x:c r="K21" s="125"/>
      <x:c r="L21" s="105"/>
      <x:c r="M21" s="105" t="str">
        <x:v>미검증</x:v>
      </x:c>
      <x:c r="N21" s="107" t="str">
        <x:f>IF(AND(F21="완료",G21&lt;&gt;"",H21&lt;&gt;"",I21&lt;&gt;"",J21&lt;&gt;"",K21&lt;&gt;"",L21&lt;&gt;"",M21="적합"),"폐쇄","미종결")</x:f>
        <x:v>미종결</x:v>
      </x:c>
    </x:row>
    <x:row r="22" ht="35" customHeight="1">
      <x:c r="A22" s="101" t="str">
        <x:f>'08_GAP_조치관리'!A21</x:f>
        <x:v>G16</x:v>
      </x:c>
      <x:c r="B22" s="101" t="str">
        <x:f>'08_GAP_조치관리'!B21</x:f>
        <x:v>EMS-017</x:v>
      </x:c>
      <x:c r="C22" s="101" t="str">
        <x:f>'08_GAP_조치관리'!C21</x:f>
        <x:v>현장 통제</x:v>
      </x:c>
      <x:c r="D22" s="101" t="str">
        <x:f>'08_GAP_조치관리'!E21</x:f>
        <x:v>최상</x:v>
      </x:c>
      <x:c r="E22" s="101" t="str">
        <x:f>'08_GAP_조치관리'!I21</x:f>
        <x:v>2026-11-16</x:v>
      </x:c>
      <x:c r="F22" s="101" t="str">
        <x:f>'08_GAP_조치관리'!J21</x:f>
        <x:v>미확인</x:v>
      </x:c>
      <x:c r="G22" s="105"/>
      <x:c r="H22" s="105"/>
      <x:c r="I22" s="105"/>
      <x:c r="J22" s="105"/>
      <x:c r="K22" s="125"/>
      <x:c r="L22" s="105"/>
      <x:c r="M22" s="105" t="str">
        <x:v>미검증</x:v>
      </x:c>
      <x:c r="N22" s="107" t="str">
        <x:f>IF(AND(F22="완료",G22&lt;&gt;"",H22&lt;&gt;"",I22&lt;&gt;"",J22&lt;&gt;"",K22&lt;&gt;"",L22&lt;&gt;"",M22="적합"),"폐쇄","미종결")</x:f>
        <x:v>미종결</x:v>
      </x:c>
    </x:row>
    <x:row r="24" ht="32" customHeight="1">
      <x:c r="A24" s="121" t="str">
        <x:v>※ '08_GAP_조치관리' J열에 완료를 기재해도 증빙·검증 내역을 입력하지 않으면 이 시트의 폐쇄 상태는 미종결로 유지됩니다.</x:v>
      </x:c>
      <x:c r="B24" s="121"/>
      <x:c r="C24" s="121"/>
      <x:c r="D24" s="121"/>
      <x:c r="E24" s="121"/>
      <x:c r="F24" s="121"/>
      <x:c r="G24" s="121"/>
      <x:c r="H24" s="121"/>
      <x:c r="I24" s="121"/>
      <x:c r="J24" s="121"/>
      <x:c r="K24" s="121"/>
      <x:c r="L24" s="121"/>
      <x:c r="M24" s="121"/>
      <x:c r="N24" s="121"/>
    </x:row>
  </x:sheetData>
  <x:mergeCells>
    <x:mergeCell ref="A1:N1"/>
    <x:mergeCell ref="A2:N2"/>
    <x:mergeCell ref="A24:N24"/>
  </x:mergeCells>
  <x:conditionalFormatting sqref="N7:N22">
    <x:cfRule type="expression" dxfId="1" priority="1">
      <x:formula>$N7="폐쇄"</x:formula>
    </x:cfRule>
  </x:conditionalFormatting>
  <x:dataValidations count="1">
    <x:dataValidation type="list" sqref="M7:M22">
      <x:formula1>"미검증,적합,재검증필요"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49" hidden="0" customWidth="1"/>
    <x:col min="4" max="4" width="18" hidden="0" customWidth="1"/>
    <x:col min="5" max="5" width="14" hidden="0" customWidth="1"/>
    <x:col min="6" max="6" width="28" hidden="0" customWidth="1"/>
    <x:col min="7" max="7" width="16" hidden="0" customWidth="1"/>
    <x:col min="8" max="8" width="44" hidden="0" customWidth="1"/>
    <x:col min="9" max="9" width="14" hidden="0" customWidth="1"/>
    <x:col min="10" max="10" width="16" hidden="0" customWidth="1"/>
  </x:cols>
  <x:sheetData>
    <x:row r="1" ht="38" customHeight="1">
      <x:c r="A1" s="73" t="str">
        <x:v>STEP 4 | 인증심사 사전 준비 승인 게이트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 ht="33" customHeight="1">
      <x:c r="A2" s="80" t="str">
        <x:v>실제 현장실행·서명·기록·인증원 회신 없이 게이트를 승인하지 않습니다. 이 표의 완료는 사내 준비 점검으로, 인증기관의 적합 판정이 아닙니다.</x:v>
      </x:c>
      <x:c r="B2" s="80"/>
      <x:c r="C2" s="80"/>
      <x:c r="D2" s="80"/>
      <x:c r="E2" s="80"/>
      <x:c r="F2" s="80"/>
      <x:c r="G2" s="80"/>
      <x:c r="H2" s="80"/>
      <x:c r="I2" s="80"/>
      <x:c r="J2" s="80"/>
    </x:row>
    <x:row r="6" ht="30" customHeight="1">
      <x:c r="A6" s="103" t="str">
        <x:v>NO</x:v>
      </x:c>
      <x:c r="B6" s="103" t="str">
        <x:v>필수 승인 조건</x:v>
      </x:c>
      <x:c r="C6" s="103" t="str">
        <x:v>객관적 완료기준</x:v>
      </x:c>
      <x:c r="D6" s="103" t="str">
        <x:v>담당 역할(안)</x:v>
      </x:c>
      <x:c r="E6" s="103" t="str">
        <x:v>권고기한</x:v>
      </x:c>
      <x:c r="F6" s="103" t="str">
        <x:v>연계 시트</x:v>
      </x:c>
      <x:c r="G6" s="103" t="str">
        <x:v>확인 결과</x:v>
      </x:c>
      <x:c r="H6" s="103" t="str">
        <x:v>증빙경로 / 첨부명</x:v>
      </x:c>
      <x:c r="I6" s="103" t="str">
        <x:v>확인일</x:v>
      </x:c>
      <x:c r="J6" s="103" t="str">
        <x:v>게이트 판정</x:v>
      </x:c>
    </x:row>
    <x:row r="7" ht="35" customHeight="1">
      <x:c r="A7" s="101" t="n">
        <x:v>1</x:v>
      </x:c>
      <x:c r="B7" s="101" t="str">
        <x:v>현재 인증서·범위·인원 정합</x:v>
      </x:c>
      <x:c r="C7" s="101" t="str">
        <x:v>최신 인증서·공문·공정/인원 비교표를 결재 담당이 확인</x:v>
      </x:c>
      <x:c r="D7" s="101" t="str">
        <x:v>심사총괄/인사</x:v>
      </x:c>
      <x:c r="E7" s="101" t="str">
        <x:v>2026-10-29</x:v>
      </x:c>
      <x:c r="F7" s="101" t="str">
        <x:v>01_심사개요 / 03_준비자료</x:v>
      </x:c>
      <x:c r="G7" s="105" t="str">
        <x:v>미확인</x:v>
      </x:c>
      <x:c r="H7" s="105"/>
      <x:c r="I7" s="125"/>
      <x:c r="J7" s="107" t="str">
        <x:f>IF(AND(G7="확인",H7&lt;&gt;"",I7&lt;&gt;""),"검증완료","미검증")</x:f>
        <x:v>미검증</x:v>
      </x:c>
    </x:row>
    <x:row r="8" ht="35" customHeight="1">
      <x:c r="A8" s="101" t="n">
        <x:v>2</x:v>
      </x:c>
      <x:c r="B8" s="101" t="str">
        <x:v>2026 전환 병행 여부</x:v>
      </x:c>
      <x:c r="C8" s="101" t="str">
        <x:v>NQA 한국 담당 서면 회신 확보(2015 갱신과 별도 관리)</x:v>
      </x:c>
      <x:c r="D8" s="101" t="str">
        <x:v>심사총괄</x:v>
      </x:c>
      <x:c r="E8" s="101" t="str">
        <x:v>2026-10-28</x:v>
      </x:c>
      <x:c r="F8" s="101" t="str">
        <x:v>16_2026전환_계획</x:v>
      </x:c>
      <x:c r="G8" s="105" t="str">
        <x:v>미확인</x:v>
      </x:c>
      <x:c r="H8" s="105"/>
      <x:c r="I8" s="125"/>
      <x:c r="J8" s="107" t="str">
        <x:f>IF(AND(G8="확인",H8&lt;&gt;"",I8&lt;&gt;""),"검증완료","미검증")</x:f>
        <x:v>미검증</x:v>
      </x:c>
    </x:row>
    <x:row r="9" ht="35" customHeight="1">
      <x:c r="A9" s="101" t="n">
        <x:v>3</x:v>
      </x:c>
      <x:c r="B9" s="101" t="str">
        <x:v>환경매뉴얼/유효본</x:v>
      </x:c>
      <x:c r="C9" s="101" t="str">
        <x:v>EMS 최신 승인문서·개정대장·현장 배포 확인</x:v>
      </x:c>
      <x:c r="D9" s="101" t="str">
        <x:v>환경관리</x:v>
      </x:c>
      <x:c r="E9" s="101" t="str">
        <x:v>2026-11-04</x:v>
      </x:c>
      <x:c r="F9" s="101" t="str">
        <x:v>03_준비자료</x:v>
      </x:c>
      <x:c r="G9" s="105" t="str">
        <x:v>미확인</x:v>
      </x:c>
      <x:c r="H9" s="105"/>
      <x:c r="I9" s="125"/>
      <x:c r="J9" s="107" t="str">
        <x:f>IF(AND(G9="확인",H9&lt;&gt;"",I9&lt;&gt;""),"검증완료","미검증")</x:f>
        <x:v>미검증</x:v>
      </x:c>
    </x:row>
    <x:row r="10" ht="35" customHeight="1">
      <x:c r="A10" s="101" t="n">
        <x:v>4</x:v>
      </x:c>
      <x:c r="B10" s="101" t="str">
        <x:v>37종 자료 실물검증</x:v>
      </x:c>
      <x:c r="C10" s="101" t="str">
        <x:v>20번 시트 검증완료 37건 + 결재 담당 확인</x:v>
      </x:c>
      <x:c r="D10" s="101" t="str">
        <x:v>환경관리</x:v>
      </x:c>
      <x:c r="E10" s="101" t="str">
        <x:v>2026-11-12</x:v>
      </x:c>
      <x:c r="F10" s="101" t="str">
        <x:v>20_증빙검증_37</x:v>
      </x:c>
      <x:c r="G10" s="105" t="str">
        <x:v>미확인</x:v>
      </x:c>
      <x:c r="H10" s="105"/>
      <x:c r="I10" s="125"/>
      <x:c r="J10" s="107" t="str">
        <x:f>IF(AND(G10="확인",H10&lt;&gt;"",I10&lt;&gt;"",COUNTIF('20_증빙검증_37'!$O$7:$O$43,"검증완료")=37),"검증완료","미검증")</x:f>
        <x:v>미검증</x:v>
      </x:c>
    </x:row>
    <x:row r="11" ht="35" customHeight="1">
      <x:c r="A11" s="101" t="n">
        <x:v>5</x:v>
      </x:c>
      <x:c r="B11" s="101" t="str">
        <x:v>환경측면 평가 확정</x:v>
      </x:c>
      <x:c r="C11" s="101" t="str">
        <x:v>실제 공정·정상/비정상/비상·중대성 평가 승인</x:v>
      </x:c>
      <x:c r="D11" s="101" t="str">
        <x:v>환경/생산</x:v>
      </x:c>
      <x:c r="E11" s="101" t="str">
        <x:v>2026-11-06</x:v>
      </x:c>
      <x:c r="F11" s="101" t="str">
        <x:v>10_환경측면_평가</x:v>
      </x:c>
      <x:c r="G11" s="105" t="str">
        <x:v>미확인</x:v>
      </x:c>
      <x:c r="H11" s="105"/>
      <x:c r="I11" s="125"/>
      <x:c r="J11" s="107" t="str">
        <x:f>IF(AND(G11="확인",H11&lt;&gt;"",I11&lt;&gt;""),"검증완료","미검증")</x:f>
        <x:v>미검증</x:v>
      </x:c>
    </x:row>
    <x:row r="12" ht="35" customHeight="1">
      <x:c r="A12" s="101" t="n">
        <x:v>6</x:v>
      </x:c>
      <x:c r="B12" s="101" t="str">
        <x:v>법규 준수평가 확정</x:v>
      </x:c>
      <x:c r="C12" s="101" t="str">
        <x:v>적용성·시설 허가/신고 해당성 및 평가 근거 승인</x:v>
      </x:c>
      <x:c r="D12" s="101" t="str">
        <x:v>환경관리/설비</x:v>
      </x:c>
      <x:c r="E12" s="101" t="str">
        <x:v>2026-11-09</x:v>
      </x:c>
      <x:c r="F12" s="101" t="str">
        <x:v>11_법규_준수평가</x:v>
      </x:c>
      <x:c r="G12" s="105" t="str">
        <x:v>미확인</x:v>
      </x:c>
      <x:c r="H12" s="105"/>
      <x:c r="I12" s="125"/>
      <x:c r="J12" s="107" t="str">
        <x:f>IF(AND(G12="확인",H12&lt;&gt;"",I12&lt;&gt;""),"검증완료","미검증")</x:f>
        <x:v>미검증</x:v>
      </x:c>
    </x:row>
    <x:row r="13" ht="35" customHeight="1">
      <x:c r="A13" s="101" t="n">
        <x:v>7</x:v>
      </x:c>
      <x:c r="B13" s="101" t="str">
        <x:v>내부심사·기존지적</x:v>
      </x:c>
      <x:c r="C13" s="101" t="str">
        <x:v>심사실행 기록 및 이전 지적 후속조치 확인</x:v>
      </x:c>
      <x:c r="D13" s="101" t="str">
        <x:v>내부심사</x:v>
      </x:c>
      <x:c r="E13" s="101" t="str">
        <x:v>2026-11-12</x:v>
      </x:c>
      <x:c r="F13" s="101" t="str">
        <x:v>13_내부심사_점검</x:v>
      </x:c>
      <x:c r="G13" s="105" t="str">
        <x:v>미확인</x:v>
      </x:c>
      <x:c r="H13" s="105"/>
      <x:c r="I13" s="125"/>
      <x:c r="J13" s="107" t="str">
        <x:f>IF(AND(G13="확인",H13&lt;&gt;"",I13&lt;&gt;""),"검증완료","미검증")</x:f>
        <x:v>미검증</x:v>
      </x:c>
    </x:row>
    <x:row r="14" ht="35" customHeight="1">
      <x:c r="A14" s="101" t="n">
        <x:v>8</x:v>
      </x:c>
      <x:c r="B14" s="101" t="str">
        <x:v>경영검토 승인</x:v>
      </x:c>
      <x:c r="C14" s="101" t="str">
        <x:v>경영검토 결과·결정사항·조치책임 승인</x:v>
      </x:c>
      <x:c r="D14" s="101" t="str">
        <x:v>경영진/환경</x:v>
      </x:c>
      <x:c r="E14" s="101" t="str">
        <x:v>2026-11-12</x:v>
      </x:c>
      <x:c r="F14" s="101" t="str">
        <x:v>14_경영검토_입출력</x:v>
      </x:c>
      <x:c r="G14" s="105" t="str">
        <x:v>미확인</x:v>
      </x:c>
      <x:c r="H14" s="105"/>
      <x:c r="I14" s="125"/>
      <x:c r="J14" s="107" t="str">
        <x:f>IF(AND(G14="확인",H14&lt;&gt;"",I14&lt;&gt;""),"검증완료","미검증")</x:f>
        <x:v>미검증</x:v>
      </x:c>
    </x:row>
    <x:row r="15" ht="35" customHeight="1">
      <x:c r="A15" s="101" t="n">
        <x:v>9</x:v>
      </x:c>
      <x:c r="B15" s="101" t="str">
        <x:v>현장점검·조치완료</x:v>
      </x:c>
      <x:c r="C15" s="101" t="str">
        <x:v>현장 18개 항목 평가와 미흡 개선·면담 확인</x:v>
      </x:c>
      <x:c r="D15" s="101" t="str">
        <x:v>환경/생산/설비</x:v>
      </x:c>
      <x:c r="E15" s="101" t="str">
        <x:v>2026-11-16</x:v>
      </x:c>
      <x:c r="F15" s="101" t="str">
        <x:v>12_현장_실사표</x:v>
      </x:c>
      <x:c r="G15" s="105" t="str">
        <x:v>미확인</x:v>
      </x:c>
      <x:c r="H15" s="105"/>
      <x:c r="I15" s="125"/>
      <x:c r="J15" s="107" t="str">
        <x:f>IF(AND(G15="확인",H15&lt;&gt;"",I15&lt;&gt;""),"검증완료","미검증")</x:f>
        <x:v>미검증</x:v>
      </x:c>
    </x:row>
    <x:row r="16" ht="35" customHeight="1">
      <x:c r="A16" s="101" t="n">
        <x:v>10</x:v>
      </x:c>
      <x:c r="B16" s="101" t="str">
        <x:v>심사비용 지급완료</x:v>
      </x:c>
      <x:c r="C16" s="101" t="str">
        <x:v>2,673,000원 송금확인/전자세금계산서 증빙 확인</x:v>
      </x:c>
      <x:c r="D16" s="101" t="str">
        <x:v>회계/총무</x:v>
      </x:c>
      <x:c r="E16" s="101" t="str">
        <x:v>2026-11-12</x:v>
      </x:c>
      <x:c r="F16" s="101" t="str">
        <x:v>01_심사개요 / 03_준비자료</x:v>
      </x:c>
      <x:c r="G16" s="105" t="str">
        <x:v>미확인</x:v>
      </x:c>
      <x:c r="H16" s="105"/>
      <x:c r="I16" s="125"/>
      <x:c r="J16" s="107" t="str">
        <x:f>IF(AND(G16="확인",H16&lt;&gt;"",I16&lt;&gt;""),"검증완료","미검증")</x:f>
        <x:v>미검증</x:v>
      </x:c>
    </x:row>
    <x:row r="17" ht="35" customHeight="1">
      <x:c r="A17" s="101" t="n">
        <x:v>11</x:v>
      </x:c>
      <x:c r="B17" s="101" t="str">
        <x:v>본심사 동선/회의/응답</x:v>
      </x:c>
      <x:c r="C17" s="101" t="str">
        <x:v>NQA 최종시간표, 담당자, 회의실, 인터뷰 운영 확정</x:v>
      </x:c>
      <x:c r="D17" s="101" t="str">
        <x:v>심사총괄</x:v>
      </x:c>
      <x:c r="E17" s="101" t="str">
        <x:v>2026-11-18</x:v>
      </x:c>
      <x:c r="F17" s="101" t="str">
        <x:v>02_일정_담당 / 15_심사QnA_18</x:v>
      </x:c>
      <x:c r="G17" s="105" t="str">
        <x:v>미확인</x:v>
      </x:c>
      <x:c r="H17" s="105"/>
      <x:c r="I17" s="125"/>
      <x:c r="J17" s="107" t="str">
        <x:f>IF(AND(G17="확인",H17&lt;&gt;"",I17&lt;&gt;""),"검증완료","미검증")</x:f>
        <x:v>미검증</x:v>
      </x:c>
    </x:row>
    <x:row r="19" ht="34" customHeight="1">
      <x:c r="A19" s="121" t="str">
        <x:v>판정기준: 원본 문서, 시행기록, 담당 확인자, 실물·현장 일치 확인 후 결과 기입. 지급·NQA 본심사·인증서 발급은 담당자/인증원 실행 사항.</x:v>
      </x:c>
      <x:c r="B19" s="121"/>
      <x:c r="C19" s="121"/>
      <x:c r="D19" s="121"/>
      <x:c r="E19" s="121"/>
      <x:c r="F19" s="121"/>
      <x:c r="G19" s="121"/>
      <x:c r="H19" s="121"/>
      <x:c r="I19" s="121"/>
      <x:c r="J19" s="121"/>
    </x:row>
  </x:sheetData>
  <x:mergeCells>
    <x:mergeCell ref="A1:J1"/>
    <x:mergeCell ref="A2:J2"/>
    <x:mergeCell ref="A19:J19"/>
  </x:mergeCells>
  <x:conditionalFormatting sqref="J7:J17">
    <x:cfRule type="expression" dxfId="2" priority="1">
      <x:formula>$J7="검증완료"</x:formula>
    </x:cfRule>
  </x:conditionalFormatting>
  <x:dataValidations count="1">
    <x:dataValidation type="list" sqref="G7:G17">
      <x:formula1>"미확인,진행중,확인"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42" customHeight="1">
      <x:c r="A1" s="73" t="str">
        <x:v>ISO 14001 | STEP 2~4 현장 실행 대시보드</x:v>
      </x:c>
      <x:c r="B1" s="73"/>
      <x:c r="C1" s="73"/>
      <x:c r="D1" s="73"/>
      <x:c r="E1" s="73"/>
      <x:c r="F1" s="73"/>
      <x:c r="G1" s="73"/>
      <x:c r="H1" s="73"/>
    </x:row>
    <x:row r="2" ht="33" customHeight="1">
      <x:c r="A2" s="79" t="str">
        <x:v>업로드한 정렬·실선 적용 Rev.00의 18개 시트를 유지 | 기준 2026-10-27 | 11/19~20 NQA 갱신심사 앞두고 실제자료 검증을 진행</x:v>
      </x:c>
      <x:c r="B2" s="79"/>
      <x:c r="C2" s="79"/>
      <x:c r="D2" s="79"/>
      <x:c r="E2" s="79"/>
      <x:c r="F2" s="79"/>
      <x:c r="G2" s="79"/>
      <x:c r="H2" s="79"/>
    </x:row>
    <x:row r="4" ht="26" customHeight="1">
      <x:c r="A4" s="137" t="str">
        <x:v>원본파일 확인</x:v>
      </x:c>
      <x:c r="B4" s="137"/>
      <x:c r="C4" s="137" t="str">
        <x:v>실물검증 완료</x:v>
      </x:c>
      <x:c r="D4" s="137"/>
      <x:c r="E4" s="137" t="str">
        <x:v>GAP 폐쇄</x:v>
      </x:c>
      <x:c r="F4" s="137"/>
      <x:c r="G4" s="137" t="str">
        <x:v>심사준비 게이트</x:v>
      </x:c>
      <x:c r="H4" s="137"/>
    </x:row>
    <x:row r="5" ht="28" customHeight="1">
      <x:c r="A5" s="138" t="n">
        <x:f>COUNTIF('03_준비자료'!G7:G43,"파일 확인")</x:f>
        <x:v>1</x:v>
      </x:c>
      <x:c r="B5" s="138"/>
      <x:c r="C5" s="138" t="n">
        <x:f>COUNTIF('20_증빙검증_37'!O7:O43,"검증완료")</x:f>
        <x:v>0</x:v>
      </x:c>
      <x:c r="D5" s="138"/>
      <x:c r="E5" s="138" t="n">
        <x:f>COUNTIF('21_GAP폐쇄_16'!N7:N22,"폐쇄")</x:f>
        <x:v>0</x:v>
      </x:c>
      <x:c r="F5" s="138"/>
      <x:c r="G5" s="138" t="n">
        <x:f>COUNTIF('22_최종판정_게이트'!J7:J17,"검증완료")</x:f>
        <x:v>0</x:v>
      </x:c>
      <x:c r="H5" s="138"/>
    </x:row>
    <x:row r="6" ht="28" customHeight="1">
      <x:c r="A6" s="138"/>
      <x:c r="B6" s="138"/>
      <x:c r="C6" s="138"/>
      <x:c r="D6" s="138"/>
      <x:c r="E6" s="138"/>
      <x:c r="F6" s="138"/>
      <x:c r="G6" s="138"/>
      <x:c r="H6" s="138"/>
    </x:row>
    <x:row r="8" ht="36" customHeight="1">
      <x:c r="A8" s="143" t="str">
        <x:v>※ ‘파일 확인’은 존재 확인 건수입니다. 현장 승인본·운영실적·개정·보관경로 검증을 통과해야 ‘실물검증 완료’에 반영됩니다.</x:v>
      </x:c>
      <x:c r="B8" s="143"/>
      <x:c r="C8" s="143"/>
      <x:c r="D8" s="143"/>
      <x:c r="E8" s="143"/>
      <x:c r="F8" s="143"/>
      <x:c r="G8" s="143"/>
      <x:c r="H8" s="143"/>
    </x:row>
    <x:row r="10" ht="30" customHeight="1">
      <x:c r="A10" s="147" t="str">
        <x:v>사전 승인 게이트 11건 (22번 시트에서 실물 증빙 입력 후 자동 반영)</x:v>
      </x:c>
      <x:c r="B10" s="147"/>
      <x:c r="C10" s="147"/>
      <x:c r="D10" s="147"/>
      <x:c r="E10" s="147"/>
      <x:c r="F10" s="147"/>
      <x:c r="G10" s="147"/>
      <x:c r="H10" s="147"/>
    </x:row>
    <x:row r="11" ht="27" customHeight="1">
      <x:c r="A11" s="137" t="str">
        <x:v>NO</x:v>
      </x:c>
      <x:c r="B11" s="137" t="str">
        <x:v>확인 항목</x:v>
      </x:c>
      <x:c r="C11" s="137"/>
      <x:c r="D11" s="137"/>
      <x:c r="E11" s="137" t="str">
        <x:v>게이트 결과</x:v>
      </x:c>
      <x:c r="F11" s="137"/>
      <x:c r="G11" s="137" t="str">
        <x:v>연계 증빙</x:v>
      </x:c>
      <x:c r="H11" s="137"/>
    </x:row>
    <x:row r="12" ht="29" customHeight="1">
      <x:c r="A12" s="159" t="n">
        <x:f>'22_최종판정_게이트'!A7</x:f>
        <x:v>1</x:v>
      </x:c>
      <x:c r="B12" s="159" t="str">
        <x:f>'22_최종판정_게이트'!B7</x:f>
        <x:v>현재 인증서·범위·인원 정합</x:v>
      </x:c>
      <x:c r="C12" s="159"/>
      <x:c r="D12" s="159"/>
      <x:c r="E12" s="159" t="str">
        <x:f>'22_최종판정_게이트'!J7</x:f>
        <x:v>미검증</x:v>
      </x:c>
      <x:c r="F12" s="159"/>
      <x:c r="G12" s="159" t="str">
        <x:f>'22_최종판정_게이트'!F7</x:f>
        <x:v>01_심사개요 / 03_준비자료</x:v>
      </x:c>
      <x:c r="H12" s="159"/>
    </x:row>
    <x:row r="13" ht="29" customHeight="1">
      <x:c r="A13" s="160" t="n">
        <x:f>'22_최종판정_게이트'!A8</x:f>
        <x:v>2</x:v>
      </x:c>
      <x:c r="B13" s="160" t="str">
        <x:f>'22_최종판정_게이트'!B8</x:f>
        <x:v>2026 전환 병행 여부</x:v>
      </x:c>
      <x:c r="C13" s="160"/>
      <x:c r="D13" s="160"/>
      <x:c r="E13" s="160" t="str">
        <x:f>'22_최종판정_게이트'!J8</x:f>
        <x:v>미검증</x:v>
      </x:c>
      <x:c r="F13" s="160"/>
      <x:c r="G13" s="160" t="str">
        <x:f>'22_최종판정_게이트'!F8</x:f>
        <x:v>16_2026전환_계획</x:v>
      </x:c>
      <x:c r="H13" s="160"/>
    </x:row>
    <x:row r="14" ht="29" customHeight="1">
      <x:c r="A14" s="159" t="n">
        <x:f>'22_최종판정_게이트'!A9</x:f>
        <x:v>3</x:v>
      </x:c>
      <x:c r="B14" s="159" t="str">
        <x:f>'22_최종판정_게이트'!B9</x:f>
        <x:v>환경매뉴얼/유효본</x:v>
      </x:c>
      <x:c r="C14" s="159"/>
      <x:c r="D14" s="159"/>
      <x:c r="E14" s="159" t="str">
        <x:f>'22_최종판정_게이트'!J9</x:f>
        <x:v>미검증</x:v>
      </x:c>
      <x:c r="F14" s="159"/>
      <x:c r="G14" s="159" t="str">
        <x:f>'22_최종판정_게이트'!F9</x:f>
        <x:v>03_준비자료</x:v>
      </x:c>
      <x:c r="H14" s="159"/>
    </x:row>
    <x:row r="15" ht="29" customHeight="1">
      <x:c r="A15" s="160" t="n">
        <x:f>'22_최종판정_게이트'!A10</x:f>
        <x:v>4</x:v>
      </x:c>
      <x:c r="B15" s="160" t="str">
        <x:f>'22_최종판정_게이트'!B10</x:f>
        <x:v>37종 자료 실물검증</x:v>
      </x:c>
      <x:c r="C15" s="160"/>
      <x:c r="D15" s="160"/>
      <x:c r="E15" s="160" t="str">
        <x:f>'22_최종판정_게이트'!J10</x:f>
        <x:v>미검증</x:v>
      </x:c>
      <x:c r="F15" s="160"/>
      <x:c r="G15" s="160" t="str">
        <x:f>'22_최종판정_게이트'!F10</x:f>
        <x:v>20_증빙검증_37</x:v>
      </x:c>
      <x:c r="H15" s="160"/>
    </x:row>
    <x:row r="16" ht="29" customHeight="1">
      <x:c r="A16" s="159" t="n">
        <x:f>'22_최종판정_게이트'!A11</x:f>
        <x:v>5</x:v>
      </x:c>
      <x:c r="B16" s="159" t="str">
        <x:f>'22_최종판정_게이트'!B11</x:f>
        <x:v>환경측면 평가 확정</x:v>
      </x:c>
      <x:c r="C16" s="159"/>
      <x:c r="D16" s="159"/>
      <x:c r="E16" s="159" t="str">
        <x:f>'22_최종판정_게이트'!J11</x:f>
        <x:v>미검증</x:v>
      </x:c>
      <x:c r="F16" s="159"/>
      <x:c r="G16" s="159" t="str">
        <x:f>'22_최종판정_게이트'!F11</x:f>
        <x:v>10_환경측면_평가</x:v>
      </x:c>
      <x:c r="H16" s="159"/>
    </x:row>
    <x:row r="17" ht="29" customHeight="1">
      <x:c r="A17" s="160" t="n">
        <x:f>'22_최종판정_게이트'!A12</x:f>
        <x:v>6</x:v>
      </x:c>
      <x:c r="B17" s="160" t="str">
        <x:f>'22_최종판정_게이트'!B12</x:f>
        <x:v>법규 준수평가 확정</x:v>
      </x:c>
      <x:c r="C17" s="160"/>
      <x:c r="D17" s="160"/>
      <x:c r="E17" s="160" t="str">
        <x:f>'22_최종판정_게이트'!J12</x:f>
        <x:v>미검증</x:v>
      </x:c>
      <x:c r="F17" s="160"/>
      <x:c r="G17" s="160" t="str">
        <x:f>'22_최종판정_게이트'!F12</x:f>
        <x:v>11_법규_준수평가</x:v>
      </x:c>
      <x:c r="H17" s="160"/>
    </x:row>
    <x:row r="18" ht="29" customHeight="1">
      <x:c r="A18" s="159" t="n">
        <x:f>'22_최종판정_게이트'!A13</x:f>
        <x:v>7</x:v>
      </x:c>
      <x:c r="B18" s="159" t="str">
        <x:f>'22_최종판정_게이트'!B13</x:f>
        <x:v>내부심사·기존지적</x:v>
      </x:c>
      <x:c r="C18" s="159"/>
      <x:c r="D18" s="159"/>
      <x:c r="E18" s="159" t="str">
        <x:f>'22_최종판정_게이트'!J13</x:f>
        <x:v>미검증</x:v>
      </x:c>
      <x:c r="F18" s="159"/>
      <x:c r="G18" s="159" t="str">
        <x:f>'22_최종판정_게이트'!F13</x:f>
        <x:v>13_내부심사_점검</x:v>
      </x:c>
      <x:c r="H18" s="159"/>
    </x:row>
    <x:row r="19" ht="29" customHeight="1">
      <x:c r="A19" s="160" t="n">
        <x:f>'22_최종판정_게이트'!A14</x:f>
        <x:v>8</x:v>
      </x:c>
      <x:c r="B19" s="160" t="str">
        <x:f>'22_최종판정_게이트'!B14</x:f>
        <x:v>경영검토 승인</x:v>
      </x:c>
      <x:c r="C19" s="160"/>
      <x:c r="D19" s="160"/>
      <x:c r="E19" s="160" t="str">
        <x:f>'22_최종판정_게이트'!J14</x:f>
        <x:v>미검증</x:v>
      </x:c>
      <x:c r="F19" s="160"/>
      <x:c r="G19" s="160" t="str">
        <x:f>'22_최종판정_게이트'!F14</x:f>
        <x:v>14_경영검토_입출력</x:v>
      </x:c>
      <x:c r="H19" s="160"/>
    </x:row>
    <x:row r="20" ht="29" customHeight="1">
      <x:c r="A20" s="159" t="n">
        <x:f>'22_최종판정_게이트'!A15</x:f>
        <x:v>9</x:v>
      </x:c>
      <x:c r="B20" s="159" t="str">
        <x:f>'22_최종판정_게이트'!B15</x:f>
        <x:v>현장점검·조치완료</x:v>
      </x:c>
      <x:c r="C20" s="159"/>
      <x:c r="D20" s="159"/>
      <x:c r="E20" s="159" t="str">
        <x:f>'22_최종판정_게이트'!J15</x:f>
        <x:v>미검증</x:v>
      </x:c>
      <x:c r="F20" s="159"/>
      <x:c r="G20" s="159" t="str">
        <x:f>'22_최종판정_게이트'!F15</x:f>
        <x:v>12_현장_실사표</x:v>
      </x:c>
      <x:c r="H20" s="159"/>
    </x:row>
    <x:row r="21" ht="29" customHeight="1">
      <x:c r="A21" s="160" t="n">
        <x:f>'22_최종판정_게이트'!A16</x:f>
        <x:v>10</x:v>
      </x:c>
      <x:c r="B21" s="160" t="str">
        <x:f>'22_최종판정_게이트'!B16</x:f>
        <x:v>심사비용 지급완료</x:v>
      </x:c>
      <x:c r="C21" s="160"/>
      <x:c r="D21" s="160"/>
      <x:c r="E21" s="160" t="str">
        <x:f>'22_최종판정_게이트'!J16</x:f>
        <x:v>미검증</x:v>
      </x:c>
      <x:c r="F21" s="160"/>
      <x:c r="G21" s="160" t="str">
        <x:f>'22_최종판정_게이트'!F16</x:f>
        <x:v>01_심사개요 / 03_준비자료</x:v>
      </x:c>
      <x:c r="H21" s="160"/>
    </x:row>
    <x:row r="22" ht="29" customHeight="1">
      <x:c r="A22" s="159" t="n">
        <x:f>'22_최종판정_게이트'!A17</x:f>
        <x:v>11</x:v>
      </x:c>
      <x:c r="B22" s="159" t="str">
        <x:f>'22_최종판정_게이트'!B17</x:f>
        <x:v>본심사 동선/회의/응답</x:v>
      </x:c>
      <x:c r="C22" s="159"/>
      <x:c r="D22" s="159"/>
      <x:c r="E22" s="159" t="str">
        <x:f>'22_최종판정_게이트'!J17</x:f>
        <x:v>미검증</x:v>
      </x:c>
      <x:c r="F22" s="159"/>
      <x:c r="G22" s="159" t="str">
        <x:f>'22_최종판정_게이트'!F17</x:f>
        <x:v>02_일정_담당 / 15_심사QnA_18</x:v>
      </x:c>
      <x:c r="H22" s="159"/>
    </x:row>
    <x:row r="24" ht="30" customHeight="1">
      <x:c r="A24" s="147" t="str">
        <x:v>사용자 우선 조치 — 기존 07_직접정리_16 항목과 실시간 연동</x:v>
      </x:c>
      <x:c r="B24" s="147"/>
      <x:c r="C24" s="147"/>
      <x:c r="D24" s="147"/>
      <x:c r="E24" s="147"/>
      <x:c r="F24" s="147"/>
      <x:c r="G24" s="147"/>
      <x:c r="H24" s="147"/>
    </x:row>
    <x:row r="25" ht="27" customHeight="1">
      <x:c r="A25" s="137" t="str">
        <x:v>ID</x:v>
      </x:c>
      <x:c r="B25" s="137" t="str">
        <x:v>직접 정리할 작업</x:v>
      </x:c>
      <x:c r="C25" s="137"/>
      <x:c r="D25" s="137"/>
      <x:c r="E25" s="137"/>
      <x:c r="F25" s="137" t="str">
        <x:v>기한</x:v>
      </x:c>
      <x:c r="G25" s="137" t="str">
        <x:v>입력 상태</x:v>
      </x:c>
      <x:c r="H25" s="137"/>
    </x:row>
    <x:row r="26" ht="42" customHeight="1">
      <x:c r="A26" s="171" t="str">
        <x:f>'07_직접정리_16'!A6</x:f>
        <x:v>A-01</x:v>
      </x:c>
      <x:c r="B26" s="171" t="str">
        <x:f>'07_직접정리_16'!C6</x:f>
        <x:v>NQA에 2015 갱신/2026 전환 병행 여부 및 전환 최종기한 서면 확인</x:v>
      </x:c>
      <x:c r="C26" s="171"/>
      <x:c r="D26" s="171"/>
      <x:c r="E26" s="171"/>
      <x:c r="F26" s="171" t="str">
        <x:f>'07_직접정리_16'!F6</x:f>
        <x:v>2026-10-28</x:v>
      </x:c>
      <x:c r="G26" s="171" t="str">
        <x:f>'07_직접정리_16'!G6</x:f>
        <x:v>미확인</x:v>
      </x:c>
      <x:c r="H26" s="171"/>
    </x:row>
    <x:row r="27" ht="42" customHeight="1">
      <x:c r="A27" s="172" t="str">
        <x:f>'07_직접정리_16'!A7</x:f>
        <x:v>A-02</x:v>
      </x:c>
      <x:c r="B27" s="172" t="str">
        <x:f>'07_직접정리_16'!C7</x:f>
        <x:v>현행 ISO 14001 인증서 스캔본 제공</x:v>
      </x:c>
      <x:c r="C27" s="172"/>
      <x:c r="D27" s="172"/>
      <x:c r="E27" s="172"/>
      <x:c r="F27" s="172" t="str">
        <x:f>'07_직접정리_16'!F7</x:f>
        <x:v>2026-10-28</x:v>
      </x:c>
      <x:c r="G27" s="172" t="str">
        <x:f>'07_직접정리_16'!G7</x:f>
        <x:v>미확인</x:v>
      </x:c>
      <x:c r="H27" s="172"/>
    </x:row>
    <x:row r="28" ht="42" customHeight="1">
      <x:c r="A28" s="171" t="str">
        <x:f>'07_직접정리_16'!A8</x:f>
        <x:v>A-03</x:v>
      </x:c>
      <x:c r="B28" s="171" t="str">
        <x:f>'07_직접정리_16'!C8</x:f>
        <x:v>최신 인원/조직도·교대현황 확정</x:v>
      </x:c>
      <x:c r="C28" s="171"/>
      <x:c r="D28" s="171"/>
      <x:c r="E28" s="171"/>
      <x:c r="F28" s="171" t="str">
        <x:f>'07_직접정리_16'!F8</x:f>
        <x:v>2026-10-29</x:v>
      </x:c>
      <x:c r="G28" s="171" t="str">
        <x:f>'07_직접정리_16'!G8</x:f>
        <x:v>미확인</x:v>
      </x:c>
      <x:c r="H28" s="171"/>
    </x:row>
    <x:row r="29" ht="42" customHeight="1">
      <x:c r="A29" s="172" t="str">
        <x:f>'07_직접정리_16'!A9</x:f>
        <x:v>A-04</x:v>
      </x:c>
      <x:c r="B29" s="172" t="str">
        <x:f>'07_직접정리_16'!C9</x:f>
        <x:v>현행 EMS 환경매뉴얼/절차서/양식 및 개정목록 제출</x:v>
      </x:c>
      <x:c r="C29" s="172"/>
      <x:c r="D29" s="172"/>
      <x:c r="E29" s="172"/>
      <x:c r="F29" s="172" t="str">
        <x:f>'07_직접정리_16'!F9</x:f>
        <x:v>2026-10-30</x:v>
      </x:c>
      <x:c r="G29" s="172" t="str">
        <x:f>'07_직접정리_16'!G9</x:f>
        <x:v>미확인</x:v>
      </x:c>
      <x:c r="H29" s="172"/>
    </x:row>
    <x:row r="30" ht="42" customHeight="1">
      <x:c r="A30" s="171" t="str">
        <x:f>'07_직접정리_16'!A10</x:f>
        <x:v>A-05</x:v>
      </x:c>
      <x:c r="B30" s="171" t="str">
        <x:f>'07_직접정리_16'!C10</x:f>
        <x:v>공정별 환경측면/중대한 측면평가 실제 기록 제출</x:v>
      </x:c>
      <x:c r="C30" s="171"/>
      <x:c r="D30" s="171"/>
      <x:c r="E30" s="171"/>
      <x:c r="F30" s="171" t="str">
        <x:f>'07_직접정리_16'!F10</x:f>
        <x:v>2026-11-02</x:v>
      </x:c>
      <x:c r="G30" s="171" t="str">
        <x:f>'07_직접정리_16'!G10</x:f>
        <x:v>미확인</x:v>
      </x:c>
      <x:c r="H30" s="171"/>
    </x:row>
    <x:row r="31" ht="42" customHeight="1">
      <x:c r="A31" s="172" t="str">
        <x:f>'07_직접정리_16'!A11</x:f>
        <x:v>A-06</x:v>
      </x:c>
      <x:c r="B31" s="172" t="str">
        <x:f>'07_직접정리_16'!C11</x:f>
        <x:v>적용법규/인허가/신고/준수평가 최신 기록</x:v>
      </x:c>
      <x:c r="C31" s="172"/>
      <x:c r="D31" s="172"/>
      <x:c r="E31" s="172"/>
      <x:c r="F31" s="172" t="str">
        <x:f>'07_직접정리_16'!F11</x:f>
        <x:v>2026-11-04</x:v>
      </x:c>
      <x:c r="G31" s="172" t="str">
        <x:f>'07_직접정리_16'!G11</x:f>
        <x:v>미확인</x:v>
      </x:c>
      <x:c r="H31" s="172"/>
    </x:row>
    <x:row r="32" ht="42" customHeight="1">
      <x:c r="A32" s="171" t="str">
        <x:f>'07_직접정리_16'!A16</x:f>
        <x:v>A-11</x:v>
      </x:c>
      <x:c r="B32" s="171" t="str">
        <x:f>'07_직접정리_16'!C16</x:f>
        <x:v>2026 내부심사 시행 및 부적합 종결여부 확인</x:v>
      </x:c>
      <x:c r="C32" s="171"/>
      <x:c r="D32" s="171"/>
      <x:c r="E32" s="171"/>
      <x:c r="F32" s="171" t="str">
        <x:f>'07_직접정리_16'!F16</x:f>
        <x:v>2026-11-10</x:v>
      </x:c>
      <x:c r="G32" s="171" t="str">
        <x:f>'07_직접정리_16'!G16</x:f>
        <x:v>미확인</x:v>
      </x:c>
      <x:c r="H32" s="171"/>
    </x:row>
    <x:row r="33" ht="42" customHeight="1">
      <x:c r="A33" s="172" t="str">
        <x:f>'07_직접정리_16'!A17</x:f>
        <x:v>A-12</x:v>
      </x:c>
      <x:c r="B33" s="172" t="str">
        <x:f>'07_직접정리_16'!C17</x:f>
        <x:v>경영검토 실적 및 경영진 승인 확보</x:v>
      </x:c>
      <x:c r="C33" s="172"/>
      <x:c r="D33" s="172"/>
      <x:c r="E33" s="172"/>
      <x:c r="F33" s="172" t="str">
        <x:f>'07_직접정리_16'!F17</x:f>
        <x:v>2026-11-12</x:v>
      </x:c>
      <x:c r="G33" s="172" t="str">
        <x:f>'07_직접정리_16'!G17</x:f>
        <x:v>미확인</x:v>
      </x:c>
      <x:c r="H33" s="172"/>
    </x:row>
    <x:row r="36" ht="28" customHeight="1">
      <x:c r="A36" s="175" t="str">
        <x:v>관리순서 · 담당자가 실제 증빙을 입력해야 진행률이 변경됩니다.</x:v>
      </x:c>
      <x:c r="B36" s="175"/>
      <x:c r="C36" s="175"/>
      <x:c r="D36" s="175"/>
      <x:c r="E36" s="175"/>
      <x:c r="F36" s="175"/>
      <x:c r="G36" s="175"/>
      <x:c r="H36" s="175"/>
    </x:row>
    <x:row r="37" ht="32" customHeight="1">
      <x:c r="A37" s="171" t="str">
        <x:v>① 03_준비자료 G열의 파일 확보 상태를 수정하고, 09_증빙자료_색인에 원본 파일명·경로를 기록</x:v>
      </x:c>
      <x:c r="B37" s="171"/>
      <x:c r="C37" s="171"/>
      <x:c r="D37" s="171"/>
      <x:c r="E37" s="171"/>
      <x:c r="F37" s="171"/>
      <x:c r="G37" s="171"/>
      <x:c r="H37" s="171"/>
    </x:row>
    <x:row r="38" ht="32" customHeight="1">
      <x:c r="A38" s="172" t="str">
        <x:v>② 20_증빙검증_37에 승인본·운영실적·현장 일치 여부 및 검토자/일자를 기록</x:v>
      </x:c>
      <x:c r="B38" s="172"/>
      <x:c r="C38" s="172"/>
      <x:c r="D38" s="172"/>
      <x:c r="E38" s="172"/>
      <x:c r="F38" s="172"/>
      <x:c r="G38" s="172"/>
      <x:c r="H38" s="172"/>
    </x:row>
    <x:row r="39" ht="32" customHeight="1">
      <x:c r="A39" s="171" t="str">
        <x:v>③ 08_GAP_조치관리 상태와 21_GAP폐쇄_16의 원인·조치·검증 근거를 일치시켜 미결 건 폐쇄</x:v>
      </x:c>
      <x:c r="B39" s="171"/>
      <x:c r="C39" s="171"/>
      <x:c r="D39" s="171"/>
      <x:c r="E39" s="171"/>
      <x:c r="F39" s="171"/>
      <x:c r="G39" s="171"/>
      <x:c r="H39" s="171"/>
    </x:row>
    <x:row r="40" ht="32" customHeight="1">
      <x:c r="A40" s="172" t="str">
        <x:v>④ 10~14번 시트의 실제 실사·법규·내부심사·경영검토 결과를 사업장 담당자가 작성</x:v>
      </x:c>
      <x:c r="B40" s="172"/>
      <x:c r="C40" s="172"/>
      <x:c r="D40" s="172"/>
      <x:c r="E40" s="172"/>
      <x:c r="F40" s="172"/>
      <x:c r="G40" s="172"/>
      <x:c r="H40" s="172"/>
    </x:row>
    <x:row r="41" ht="32" customHeight="1">
      <x:c r="A41" s="171" t="str">
        <x:v>⑤ 22_최종판정_게이트에서 회신·승인·송금·현장·시간표를 마지막으로 검증</x:v>
      </x:c>
      <x:c r="B41" s="171"/>
      <x:c r="C41" s="171"/>
      <x:c r="D41" s="171"/>
      <x:c r="E41" s="171"/>
      <x:c r="F41" s="171"/>
      <x:c r="G41" s="171"/>
      <x:c r="H41" s="171"/>
    </x:row>
    <x:row r="42" ht="32" customHeight="1">
      <x:c r="A42" s="172" t="str">
        <x:v>⑥ 미확인/미검증이 남은 경우 인증기관 심사 준비 완료로 선언하지 않음</x:v>
      </x:c>
      <x:c r="B42" s="172"/>
      <x:c r="C42" s="172"/>
      <x:c r="D42" s="172"/>
      <x:c r="E42" s="172"/>
      <x:c r="F42" s="172"/>
      <x:c r="G42" s="172"/>
      <x:c r="H42" s="172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10:H10"/>
    <x:mergeCell ref="B11:D11"/>
    <x:mergeCell ref="E11:F11"/>
    <x:mergeCell ref="G11:H11"/>
    <x:mergeCell ref="B12:D12"/>
    <x:mergeCell ref="E12:F12"/>
    <x:mergeCell ref="G12:H12"/>
    <x:mergeCell ref="B13:D13"/>
    <x:mergeCell ref="E13:F13"/>
    <x:mergeCell ref="G13:H13"/>
    <x:mergeCell ref="B14:D14"/>
    <x:mergeCell ref="E14:F14"/>
    <x:mergeCell ref="G14:H14"/>
    <x:mergeCell ref="B15:D15"/>
    <x:mergeCell ref="E15:F15"/>
    <x:mergeCell ref="G15:H15"/>
    <x:mergeCell ref="B16:D16"/>
    <x:mergeCell ref="E16:F16"/>
    <x:mergeCell ref="G16:H16"/>
    <x:mergeCell ref="B17:D17"/>
    <x:mergeCell ref="E17:F17"/>
    <x:mergeCell ref="G17:H17"/>
    <x:mergeCell ref="B18:D18"/>
    <x:mergeCell ref="E18:F18"/>
    <x:mergeCell ref="G18:H18"/>
    <x:mergeCell ref="B19:D19"/>
    <x:mergeCell ref="E19:F19"/>
    <x:mergeCell ref="G19:H19"/>
    <x:mergeCell ref="B20:D20"/>
    <x:mergeCell ref="E20:F20"/>
    <x:mergeCell ref="G20:H20"/>
    <x:mergeCell ref="B21:D21"/>
    <x:mergeCell ref="E21:F21"/>
    <x:mergeCell ref="G21:H21"/>
    <x:mergeCell ref="B22:D22"/>
    <x:mergeCell ref="E22:F22"/>
    <x:mergeCell ref="G22:H22"/>
    <x:mergeCell ref="A24:H24"/>
    <x:mergeCell ref="B25:E25"/>
    <x:mergeCell ref="G25:H25"/>
    <x:mergeCell ref="B26:E26"/>
    <x:mergeCell ref="G26:H26"/>
    <x:mergeCell ref="B27:E27"/>
    <x:mergeCell ref="G27:H27"/>
    <x:mergeCell ref="B28:E28"/>
    <x:mergeCell ref="G28:H28"/>
    <x:mergeCell ref="B29:E29"/>
    <x:mergeCell ref="G29:H29"/>
    <x:mergeCell ref="B30:E30"/>
    <x:mergeCell ref="G30:H30"/>
    <x:mergeCell ref="B31:E31"/>
    <x:mergeCell ref="G31:H31"/>
    <x:mergeCell ref="B32:E32"/>
    <x:mergeCell ref="G32:H32"/>
    <x:mergeCell ref="B33:E33"/>
    <x:mergeCell ref="G33:H33"/>
    <x:mergeCell ref="A36:H36"/>
    <x:mergeCell ref="A37:H37"/>
    <x:mergeCell ref="A38:H38"/>
    <x:mergeCell ref="A39:H39"/>
    <x:mergeCell ref="A40:H40"/>
    <x:mergeCell ref="A41:H41"/>
    <x:mergeCell ref="A42:H42"/>
  </x:mergeCells>
  <x:conditionalFormatting sqref="E12:F22">
    <x:cfRule type="expression" dxfId="3" priority="1">
      <x:formula>$E12="검증완료"</x:formula>
    </x:cfRule>
  </x:conditionalFormatting>
  <x:pageMargins left="0.7" right="0.7" top="0.75" bottom="0.75" header="0.3" footer="0.3"/>
</x:worksheet>
</file>