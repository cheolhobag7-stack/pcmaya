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b19e06efa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최종안내" sheetId="1" r:id="R0435970b6e484abe"/>
    <x:sheet xmlns:r="http://schemas.openxmlformats.org/officeDocument/2006/relationships" name="01_사용자정리" sheetId="2" r:id="Rdaa9d05b6b144bb2"/>
    <x:sheet xmlns:r="http://schemas.openxmlformats.org/officeDocument/2006/relationships" name="02_운영증빙" sheetId="3" r:id="Rc92075375177433b"/>
    <x:sheet xmlns:r="http://schemas.openxmlformats.org/officeDocument/2006/relationships" name="03_모의심사" sheetId="4" r:id="R4ed503492d5e4881"/>
    <x:sheet xmlns:r="http://schemas.openxmlformats.org/officeDocument/2006/relationships" name="04_요청기록" sheetId="5" r:id="R3fa04403e4bd47bc"/>
    <x:sheet xmlns:r="http://schemas.openxmlformats.org/officeDocument/2006/relationships" name="05_시정조치" sheetId="6" r:id="R1f0299da3a334be9"/>
    <x:sheet xmlns:r="http://schemas.openxmlformats.org/officeDocument/2006/relationships" name="06_최종판정" sheetId="7" r:id="R1a857218fa23427d"/>
    <x:sheet xmlns:r="http://schemas.openxmlformats.org/officeDocument/2006/relationships" name="07_변경내역" sheetId="8" r:id="R5aea5d1614794283"/>
    <x:sheet xmlns:r="http://schemas.openxmlformats.org/officeDocument/2006/relationships" name="08_제출목록" sheetId="9" r:id="Rab68fc2755034b0e"/>
    <x:sheet xmlns:r="http://schemas.openxmlformats.org/officeDocument/2006/relationships" name="09_FM연결확인" sheetId="10" r:id="R8efcfb82bf88462d"/>
    <x:sheet xmlns:r="http://schemas.openxmlformats.org/officeDocument/2006/relationships" name="10_비용일정" sheetId="11" r:id="R92d5b08021dd4b22"/>
  </x:sheets>
</x:workbook>
</file>

<file path=xl/sharedStrings.xml><?xml version="1.0" encoding="utf-8"?>
<x:sst xmlns:x="http://schemas.openxmlformats.org/spreadsheetml/2006/main">
  <x:si>
    <x:t xml:space="preserve">IATF 16949 심사 준비 실행관리</x:t>
  </x:si>
  <x:si>
    <x:t xml:space="preserve">구분</x:t>
  </x:si>
  <x:si>
    <x:t xml:space="preserve">준비한 내용</x:t>
  </x:si>
  <x:si>
    <x:t xml:space="preserve">사용자가 확인할 내용</x:t>
  </x:si>
  <x:si>
    <x:t xml:space="preserve">자료 준비 범위</x:t>
  </x:si>
  <x:si>
    <x:t xml:space="preserve">1~2단계 대조를 반영하고 3단계 수정본·4단계 대응자료·5단계 최종점검 묶음 작성 완료</x:t>
  </x:si>
  <x:si>
    <x:t xml:space="preserve">실제 심사준비 완료는 운영기록·결재·현장검증 후 판정</x:t>
  </x:si>
  <x:si>
    <x:t xml:space="preserve">먼저 할 일</x:t>
  </x:si>
  <x:si>
    <x:t xml:space="preserve">01_사용자정리 U01~U06 일정·인증서·기안·지급·담당자 확인</x:t>
  </x:si>
  <x:si>
    <x:t xml:space="preserve">실제 개인 담당자·근거 경로·확인일·확인자를 노란색 칸에 입력</x:t>
  </x:si>
  <x:si>
    <x:t xml:space="preserve">그다음 할 일</x:t>
  </x:si>
  <x:si>
    <x:t xml:space="preserve">U07~U11 변경문서 검토·기준 확정·실제 기록·직전 지적·CSR 정리</x:t>
  </x:si>
  <x:si>
    <x:t xml:space="preserve">수정본 4개는 변경내용 승인대기. 원본 승인정보는 과거 이력으로 보존</x:t>
  </x:si>
  <x:si>
    <x:t xml:space="preserve">마지막 할 일</x:t>
  </x:si>
  <x:si>
    <x:t xml:space="preserve">U12~U14 모의심사 실시·시정조치·승인본 배포·제출 판정</x:t>
  </x:si>
  <x:si>
    <x:t xml:space="preserve">미실시·미확인 결과는 완료로 집계하지 않음</x:t>
  </x:si>
  <x:si>
    <x:t xml:space="preserve">문서 수정</x:t>
  </x:si>
  <x:si>
    <x:t xml:space="preserve">통합본·QP002·FM122·FM101~121에 확인된 불일치를 반영</x:t>
  </x:si>
  <x:si>
    <x:t xml:space="preserve">07_변경내역에서 변경파일·남은 승인 확인</x:t>
  </x:si>
  <x:si>
    <x:t xml:space="preserve">심사 대응</x:t>
  </x:si>
  <x:si>
    <x:t xml:space="preserve">20개 운영증빙 영역 / 모의심사 질문 20개 / 요청기록 / 시정조치 관리</x:t>
  </x:si>
  <x:si>
    <x:t xml:space="preserve">실제 결과·서명·일자·승인은 사용자 확인 후 입력</x:t>
  </x:si>
  <x:si>
    <x:t xml:space="preserve">기존 문서</x:t>
  </x:si>
  <x:si>
    <x:t xml:space="preserve">원본 전체 ZIP을 03_Reference_Original에 보존</x:t>
  </x:si>
  <x:si>
    <x:t xml:space="preserve">변경 승인 후 해당 4개만 대체. 관련 PDF는 승인된 편집본에서 재출력</x:t>
  </x:si>
  <x:si>
    <x:t xml:space="preserve">인증심사 비용</x:t>
  </x:si>
  <x:si>
    <x:t xml:space="preserve">사후심사 청구 총액 3,190,000원(VAT 포함)</x:t>
  </x:si>
  <x:si>
    <x:t xml:space="preserve">숙박비·이체수수료 별도. 지급기한은 심사 시작일 7일 전</x:t>
  </x:si>
  <x:si>
    <x:t xml:space="preserve">실제 준비상태</x:t>
  </x:si>
  <x:si>
    <x:t xml:space="preserve">확인 완료</x:t>
  </x:si>
  <x:si>
    <x:t xml:space="preserve">전체</x:t>
  </x:si>
  <x:si>
    <x:t xml:space="preserve">사용자 정리항목</x:t>
  </x:si>
  <x:si>
    <x:t xml:space="preserve">운영증빙 영역</x:t>
  </x:si>
  <x:si>
    <x:t xml:space="preserve">모의심사 항목</x:t>
  </x:si>
  <x:si>
    <x:t xml:space="preserve">자료 작성은 완료했습니다. 실제 증빙을 확인하기 전의 준비상태는 미확인으로 유지합니다.</x:t>
  </x:si>
  <x:si>
    <x:t xml:space="preserve">진행 순서: 01 담당·목표일 → 02 실제 증빙 → 03 모의심사·선행증빙 → 05 시정조치 → 06 최종판정</x:t>
  </x:si>
  <x:si>
    <x:t xml:space="preserve">점검 기준일</x:t>
  </x:si>
  <x:si>
    <x:t xml:space="preserve">기한판정 기준일입니다. 실제 결재·완료일과 구분합니다.</x:t>
  </x:si>
  <x:si>
    <x:t xml:space="preserve">미확인 실행항목</x:t>
  </x:si>
  <x:si>
    <x:t xml:space="preserve">01 시트 최종상태 기준</x:t>
  </x:si>
  <x:si>
    <x:t xml:space="preserve">목표일 지난 항목</x:t>
  </x:si>
  <x:si>
    <x:t xml:space="preserve">01 시트 기한판정 기준</x:t>
  </x:si>
  <x:si>
    <x:t xml:space="preserve">현재 우선작업</x:t>
  </x:si>
  <x:si>
    <x:t xml:space="preserve">사용자가 직접 정리할 항목</x:t>
  </x:si>
  <x:si>
    <x:t xml:space="preserve">ID</x:t>
  </x:si>
  <x:si>
    <x:t xml:space="preserve">우선순위</x:t>
  </x:si>
  <x:si>
    <x:t xml:space="preserve">직접 정리할 일</x:t>
  </x:si>
  <x:si>
    <x:t xml:space="preserve">주관·문서상 담당</x:t>
  </x:si>
  <x:si>
    <x:t xml:space="preserve">완료기준</x:t>
  </x:si>
  <x:si>
    <x:t xml:space="preserve">준비할 증빙</x:t>
  </x:si>
  <x:si>
    <x:t xml:space="preserve">목표 시점</x:t>
  </x:si>
  <x:si>
    <x:t xml:space="preserve">실제 담당자</x:t>
  </x:si>
  <x:si>
    <x:t xml:space="preserve">증빙 경로</x:t>
  </x:si>
  <x:si>
    <x:t xml:space="preserve">확인일</x:t>
  </x:si>
  <x:si>
    <x:t xml:space="preserve">입력 상태</x:t>
  </x:si>
  <x:si>
    <x:t xml:space="preserve">확인자</x:t>
  </x:si>
  <x:si>
    <x:t xml:space="preserve">최종 상태</x:t>
  </x:si>
  <x:si>
    <x:t xml:space="preserve">완료목표일</x:t>
  </x:si>
  <x:si>
    <x:t xml:space="preserve">기한판정</x:t>
  </x:si>
  <x:si>
    <x:t xml:space="preserve">다음 확인사항</x:t>
  </x:si>
  <x:si>
    <x:t xml:space="preserve">U01</x:t>
  </x:si>
  <x:si>
    <x:t xml:space="preserve">최우선</x:t>
  </x:si>
  <x:si>
    <x:t xml:space="preserve">심사일정통보서·심사계획 확보</x:t>
  </x:si>
  <x:si>
    <x:t xml:space="preserve">이광재 부장 / 인증기관</x:t>
  </x:si>
  <x:si>
    <x:t xml:space="preserve">심사 시작·종료일, 심사원, 교대별 일정 확인</x:t>
  </x:si>
  <x:si>
    <x:t xml:space="preserve">일정통보서·계획서</x:t>
  </x:si>
  <x:si>
    <x:t xml:space="preserve">지급기한 확정 전</x:t>
  </x:si>
  <x:si>
    <x:t xml:space="preserve">박철호</x:t>
  </x:si>
  <x:si>
    <x:t xml:space="preserve">미확인</x:t>
  </x:si>
  <x:si>
    <x:t xml:space="preserve">U02</x:t>
  </x:si>
  <x:si>
    <x:t xml:space="preserve">기존 인증서·계약·범위 확인</x:t>
  </x:si>
  <x:si>
    <x:t xml:space="preserve">품질 / 이광재 부장</x:t>
  </x:si>
  <x:si>
    <x:t xml:space="preserve">인증번호·유효기간·사업장·지원기능·사후심사 계약 대조</x:t>
  </x:si>
  <x:si>
    <x:t xml:space="preserve">인증서·계약·기관 접수회신</x:t>
  </x:si>
  <x:si>
    <x:t xml:space="preserve">심사계획 확정 전</x:t>
  </x:si>
  <x:si>
    <x:t xml:space="preserve">U03</x:t>
  </x:si>
  <x:si>
    <x:t xml:space="preserve">기안 채번·부서·기안자·결재</x:t>
  </x:si>
  <x:si>
    <x:t xml:space="preserve">기안 담당 / 사내 승인권자</x:t>
  </x:si>
  <x:si>
    <x:t xml:space="preserve">실제 채번 및 작성·검토·승인 이력 확인</x:t>
  </x:si>
  <x:si>
    <x:t xml:space="preserve">기안번호대장·결재 완료본</x:t>
  </x:si>
  <x:si>
    <x:t xml:space="preserve">비용 지급 전</x:t>
  </x:si>
  <x:si>
    <x:t xml:space="preserve">U04</x:t>
  </x:si>
  <x:si>
    <x:t xml:space="preserve">청구금액 319만원 지급 증빙</x:t>
  </x:si>
  <x:si>
    <x:t xml:space="preserve">회계 담당</x:t>
  </x:si>
  <x:si>
    <x:t xml:space="preserve">세금계산서·실제 지급일·송금증·전표 대조</x:t>
  </x:si>
  <x:si>
    <x:t xml:space="preserve">세금계산서·지급전표·송금확인</x:t>
  </x:si>
  <x:si>
    <x:t xml:space="preserve">심사 시작일 7일 전</x:t>
  </x:si>
  <x:si>
    <x:t xml:space="preserve">안혜정</x:t>
  </x:si>
  <x:si>
    <x:t xml:space="preserve">U05</x:t>
  </x:si>
  <x:si>
    <x:t xml:space="preserve">우선</x:t>
  </x:si>
  <x:si>
    <x:t xml:space="preserve">숙박비·이체수수료 확정</x:t>
  </x:si>
  <x:si>
    <x:t xml:space="preserve">총무 / 회계</x:t>
  </x:si>
  <x:si>
    <x:t xml:space="preserve">숙박 필요·박수·견적과 이체수수료 확인 후 추가예산 반영</x:t>
  </x:si>
  <x:si>
    <x:t xml:space="preserve">숙박견적·추가예산 승인</x:t>
  </x:si>
  <x:si>
    <x:t xml:space="preserve">추가 비용 집행 전</x:t>
  </x:si>
  <x:si>
    <x:t xml:space="preserve">U06</x:t>
  </x:si>
  <x:si>
    <x:t xml:space="preserve">책임자·대체자·부서 담당 확정</x:t>
  </x:si>
  <x:si>
    <x:t xml:space="preserve">경영지원 / 김주태 이사</x:t>
  </x:si>
  <x:si>
    <x:t xml:space="preserve">문서상 품질 김주태·생산 김흥수·양산품질 이광재를 현행 임명장·조직도와 대조</x:t>
  </x:si>
  <x:si>
    <x:t xml:space="preserve">현행 조직도·임명·업무분장</x:t>
  </x:si>
  <x:si>
    <x:t xml:space="preserve">변경문서 승인 전</x:t>
  </x:si>
  <x:si>
    <x:t xml:space="preserve">U07</x:t>
  </x:si>
  <x:si>
    <x:t xml:space="preserve">검토수정본 4개 검토·결재</x:t>
  </x:si>
  <x:si>
    <x:t xml:space="preserve">문서관리 / 김주태 이사 / 승인권자</x:t>
  </x:si>
  <x:si>
    <x:t xml:space="preserve">통합본·QP002·FM122·FM101~121 변경내역 검토. 실제 승인·시행일 기록</x:t>
  </x:si>
  <x:si>
    <x:t xml:space="preserve">변경문서 결재·등록 근거</x:t>
  </x:si>
  <x:si>
    <x:t xml:space="preserve">현장 배포 전</x:t>
  </x:si>
  <x:si>
    <x:t xml:space="preserve">U08</x:t>
  </x:si>
  <x:si>
    <x:t xml:space="preserve">양식별 담당·보존기준 확정</x:t>
  </x:si>
  <x:si>
    <x:t xml:space="preserve">각 부서 / 품질</x:t>
  </x:si>
  <x:si>
    <x:t xml:space="preserve">FM122 02 작성계획 H·I·J열 입력. 고객·법규의 기록별 특정기간 대조</x:t>
  </x:si>
  <x:si>
    <x:t xml:space="preserve">작성계획·보존기간표·고객 근거</x:t>
  </x:si>
  <x:si>
    <x:t xml:space="preserve">실제 양식 운영 전</x:t>
  </x:si>
  <x:si>
    <x:t xml:space="preserve">U09</x:t>
  </x:si>
  <x:si>
    <x:t xml:space="preserve">측정·검사·공급자 평가기준 입력</x:t>
  </x:si>
  <x:si>
    <x:t xml:space="preserve">개발 / 품질 / 구매</x:t>
  </x:si>
  <x:si>
    <x:t xml:space="preserve">해당 품번 도면·CP·고객요구에 따른 항목·규격·샘플링·평가기준 확정</x:t>
  </x:si>
  <x:si>
    <x:t xml:space="preserve">승인 도면·CP·평가기준</x:t>
  </x:si>
  <x:si>
    <x:t xml:space="preserve">검사·평가 실시 전</x:t>
  </x:si>
  <x:si>
    <x:t xml:space="preserve">U10</x:t>
  </x:si>
  <x:si>
    <x:t xml:space="preserve">실제 운영증빙 20개 영역 확보</x:t>
  </x:si>
  <x:si>
    <x:t xml:space="preserve">각 부서 / 품질 취합</x:t>
  </x:si>
  <x:si>
    <x:t xml:space="preserve">02_운영증빙에 원본 경로·대상기간·기록번호·확인자 입력</x:t>
  </x:si>
  <x:si>
    <x:t xml:space="preserve">실제 원본 및 승인 이력</x:t>
  </x:si>
  <x:si>
    <x:t xml:space="preserve">모의심사 전</x:t>
  </x:si>
  <x:si>
    <x:t xml:space="preserve">U11</x:t>
  </x:si>
  <x:si>
    <x:t xml:space="preserve">직전 심사 지적·고객 CSR 확인</x:t>
  </x:si>
  <x:si>
    <x:t xml:space="preserve">품질 / 영업</x:t>
  </x:si>
  <x:si>
    <x:t xml:space="preserve">직전 NC 종결회신·재발방지, 고객 최신요구·특별상태 대조</x:t>
  </x:si>
  <x:si>
    <x:t xml:space="preserve">외부심사 보고서·종결·CSR 원본</x:t>
  </x:si>
  <x:si>
    <x:t xml:space="preserve">U12</x:t>
  </x:si>
  <x:si>
    <x:t xml:space="preserve">모의심사·LOT 정역추적 실행</x:t>
  </x:si>
  <x:si>
    <x:t xml:space="preserve">품질 / 생산 / 자재</x:t>
  </x:si>
  <x:si>
    <x:t xml:space="preserve">03_모의심사 20항목 실시. 대표 LOT 정·역추적과 실제 소요시간 확인</x:t>
  </x:si>
  <x:si>
    <x:t xml:space="preserve">실시기록·표본 LOT·실측 결과</x:t>
  </x:si>
  <x:si>
    <x:t xml:space="preserve">본심사 전</x:t>
  </x:si>
  <x:si>
    <x:t xml:space="preserve">U13</x:t>
  </x:si>
  <x:si>
    <x:t xml:space="preserve">발견사항 시정·효과검증</x:t>
  </x:si>
  <x:si>
    <x:t xml:space="preserve">해당 부서 / 품질</x:t>
  </x:si>
  <x:si>
    <x:t xml:space="preserve">05_시정조치에 봉쇄·원인·조치·효과·종결 기록</x:t>
  </x:si>
  <x:si>
    <x:t xml:space="preserve">조치 전후 원본·효과 검증</x:t>
  </x:si>
  <x:si>
    <x:t xml:space="preserve">합의 완료기한 내</x:t>
  </x:si>
  <x:si>
    <x:t xml:space="preserve">U14</x:t>
  </x:si>
  <x:si>
    <x:t xml:space="preserve">최종</x:t>
  </x:si>
  <x:si>
    <x:t xml:space="preserve">승인본 배포·구본회수·제출</x:t>
  </x:si>
  <x:si>
    <x:t xml:space="preserve">문서관리 / 승인권자</x:t>
  </x:si>
  <x:si>
    <x:t xml:space="preserve">검토수정본 승인 후 배포본 지정. 06_최종판정 및 제출목록 확인</x:t>
  </x:si>
  <x:si>
    <x:t xml:space="preserve">승인·배포·수령·회수·제출 이력</x:t>
  </x:si>
  <x:si>
    <x:t xml:space="preserve">본심사 자료제출 전</x:t>
  </x:si>
  <x:si>
    <x:t xml:space="preserve">실제 운영증빙 20개 영역</x:t>
  </x:si>
  <x:si>
    <x:t xml:space="preserve">영역</x:t>
  </x:si>
  <x:si>
    <x:t xml:space="preserve">연계 문서</x:t>
  </x:si>
  <x:si>
    <x:t xml:space="preserve">확보할 실제 증거</x:t>
  </x:si>
  <x:si>
    <x:t xml:space="preserve">주관(안)</x:t>
  </x:si>
  <x:si>
    <x:t xml:space="preserve">확인 작업</x:t>
  </x:si>
  <x:si>
    <x:t xml:space="preserve">원본 경로</x:t>
  </x:si>
  <x:si>
    <x:t xml:space="preserve">대상기간</x:t>
  </x:si>
  <x:si>
    <x:t xml:space="preserve">기록번호·비적용 근거</x:t>
  </x:si>
  <x:si>
    <x:t xml:space="preserve">검토자</x:t>
  </x:si>
  <x:si>
    <x:t xml:space="preserve">연계 모의심사</x:t>
  </x:si>
  <x:si>
    <x:t xml:space="preserve">E01</x:t>
  </x:si>
  <x:si>
    <x:t xml:space="preserve">매뉴얼</x:t>
  </x:si>
  <x:si>
    <x:t xml:space="preserve">SH-QM-001 Rev.03</x:t>
  </x:si>
  <x:si>
    <x:t xml:space="preserve">승인근거·실제 배포 이력</x:t>
  </x:si>
  <x:si>
    <x:t xml:space="preserve">품질 / 문서관리(안)</x:t>
  </x:si>
  <x:si>
    <x:t xml:space="preserve">서명 또는 전자결재와 배포기록 대조</x:t>
  </x:si>
  <x:si>
    <x:t xml:space="preserve">M01</x:t>
  </x:si>
  <x:si>
    <x:t xml:space="preserve">E02</x:t>
  </x:si>
  <x:si>
    <x:t xml:space="preserve">절차서</x:t>
  </x:si>
  <x:si>
    <x:t xml:space="preserve">SH-QP-001~025 Rev.03</x:t>
  </x:si>
  <x:si>
    <x:t xml:space="preserve">최신 승인본·현장 적용 일치</x:t>
  </x:si>
  <x:si>
    <x:t xml:space="preserve">품질 / 각 부서(안)</x:t>
  </x:si>
  <x:si>
    <x:t xml:space="preserve">현행 목록과 제출본 버전 확정</x:t>
  </x:si>
  <x:si>
    <x:t xml:space="preserve">E03</x:t>
  </x:si>
  <x:si>
    <x:t xml:space="preserve">작업표준</x:t>
  </x:si>
  <x:si>
    <x:t xml:space="preserve">SH-WI-001~030 Rev.03</x:t>
  </x:si>
  <x:si>
    <x:t xml:space="preserve">현장 비치·교육·배포기록</x:t>
  </x:si>
  <x:si>
    <x:t xml:space="preserve">생산 / 품질(안)</x:t>
  </x:si>
  <x:si>
    <x:t xml:space="preserve">대표 공정의 현장 사용본 대조</x:t>
  </x:si>
  <x:si>
    <x:t xml:space="preserve">E04</x:t>
  </x:si>
  <x:si>
    <x:t xml:space="preserve">FM 목록·승인</x:t>
  </x:si>
  <x:si>
    <x:t xml:space="preserve">SH-FM-122 Rev.00 수정본5</x:t>
  </x:si>
  <x:si>
    <x:t xml:space="preserve">승인·등록일·실제 담당자·보존기준</x:t>
  </x:si>
  <x:si>
    <x:t xml:space="preserve">문서관리(안)</x:t>
  </x:si>
  <x:si>
    <x:t xml:space="preserve">현행 승인근거로 상태와 연결파일 갱신</x:t>
  </x:si>
  <x:si>
    <x:t xml:space="preserve">E05</x:t>
  </x:si>
  <x:si>
    <x:t xml:space="preserve">현장 기록</x:t>
  </x:si>
  <x:si>
    <x:t xml:space="preserve">SH-FM-101~121 Rev.03 수정본11</x:t>
  </x:si>
  <x:si>
    <x:t xml:space="preserve">최근 실제 기록과 작성·확인 이력</x:t>
  </x:si>
  <x:si>
    <x:t xml:space="preserve">각 주관부서(안)</x:t>
  </x:si>
  <x:si>
    <x:t xml:space="preserve">실제 기록철과 전산원본 경로 연결</x:t>
  </x:si>
  <x:si>
    <x:t xml:space="preserve">E06</x:t>
  </x:si>
  <x:si>
    <x:t xml:space="preserve">제품안전</x:t>
  </x:si>
  <x:si>
    <x:t xml:space="preserve">SH-FM-066~069 Rev.00</x:t>
  </x:si>
  <x:si>
    <x:t xml:space="preserve">제품안전 요구·책임·특성·점검 기록</x:t>
  </x:si>
  <x:si>
    <x:t xml:space="preserve">품질 / 제품안전(안)</x:t>
  </x:si>
  <x:si>
    <x:t xml:space="preserve">적용품목과 승인·운영 근거 확보</x:t>
  </x:si>
  <x:si>
    <x:t xml:space="preserve">M08</x:t>
  </x:si>
  <x:si>
    <x:t xml:space="preserve">E07</x:t>
  </x:si>
  <x:si>
    <x:t xml:space="preserve">SPC</x:t>
  </x:si>
  <x:si>
    <x:t xml:space="preserve">SH-FM-078~080 Rev.00</x:t>
  </x:si>
  <x:si>
    <x:t xml:space="preserve">실측값·분석·이상조치 기록</x:t>
  </x:si>
  <x:si>
    <x:t xml:space="preserve">품질 / 생산(안)</x:t>
  </x:si>
  <x:si>
    <x:t xml:space="preserve">대표 특성의 원자료와 분석결과 확보</x:t>
  </x:si>
  <x:si>
    <x:t xml:space="preserve">M09</x:t>
  </x:si>
  <x:si>
    <x:t xml:space="preserve">E08</x:t>
  </x:si>
  <x:si>
    <x:t xml:space="preserve">품질비용·개선</x:t>
  </x:si>
  <x:si>
    <x:t xml:space="preserve">SH-FM-096 / SH-FM-094</x:t>
  </x:si>
  <x:si>
    <x:t xml:space="preserve">월별 실제 비용·개선효과·승인</x:t>
  </x:si>
  <x:si>
    <x:t xml:space="preserve">품질 / 회계(안)</x:t>
  </x:si>
  <x:si>
    <x:t xml:space="preserve">월별 집계와 비용 원장·과제결과 연결</x:t>
  </x:si>
  <x:si>
    <x:t xml:space="preserve">M10</x:t>
  </x:si>
  <x:si>
    <x:t xml:space="preserve">E09</x:t>
  </x:si>
  <x:si>
    <x:t xml:space="preserve">내부심사</x:t>
  </x:si>
  <x:si>
    <x:t xml:space="preserve">연간 프로그램·QMS/공정/제품심사</x:t>
  </x:si>
  <x:si>
    <x:t xml:space="preserve">실시일·심사원 역량·3종 결과·종결</x:t>
  </x:si>
  <x:si>
    <x:t xml:space="preserve">품질부서(안)</x:t>
  </x:si>
  <x:si>
    <x:t xml:space="preserve">이번 심사 대상기간의 실제 결과 확보</x:t>
  </x:si>
  <x:si>
    <x:t xml:space="preserve">M03</x:t>
  </x:si>
  <x:si>
    <x:t xml:space="preserve">E10</x:t>
  </x:si>
  <x:si>
    <x:t xml:space="preserve">경영검토</x:t>
  </x:si>
  <x:si>
    <x:t xml:space="preserve">입력·회의록·출력·후속조치</x:t>
  </x:si>
  <x:si>
    <x:t xml:space="preserve">최근 실제 회의자료·결정·후속완료</x:t>
  </x:si>
  <x:si>
    <x:t xml:space="preserve">경영층 / 품질(안)</x:t>
  </x:si>
  <x:si>
    <x:t xml:space="preserve">회의록과 입력자료·완료증거 연결</x:t>
  </x:si>
  <x:si>
    <x:t xml:space="preserve">M04</x:t>
  </x:si>
  <x:si>
    <x:t xml:space="preserve">E11</x:t>
  </x:si>
  <x:si>
    <x:t xml:space="preserve">고객성과·CSR</x:t>
  </x:si>
  <x:si>
    <x:t xml:space="preserve">한온 등 적용 고객별 자료</x:t>
  </x:si>
  <x:si>
    <x:t xml:space="preserve">최신 CSR·스코어카드·PPM·납기·불만</x:t>
  </x:si>
  <x:si>
    <x:t xml:space="preserve">영업 / 품질(안)</x:t>
  </x:si>
  <x:si>
    <x:t xml:space="preserve">심사 대상기간과 적용 고객을 확정해 수집</x:t>
  </x:si>
  <x:si>
    <x:t xml:space="preserve">M05</x:t>
  </x:si>
  <x:si>
    <x:t xml:space="preserve">E12</x:t>
  </x:si>
  <x:si>
    <x:t xml:space="preserve">개발·변경</x:t>
  </x:si>
  <x:si>
    <x:t xml:space="preserve">APQP·PPAP·PFD·PFMEA·CP</x:t>
  </x:si>
  <x:si>
    <x:t xml:space="preserve">실제 제품 세트·고객승인·변경근거</x:t>
  </x:si>
  <x:si>
    <x:t xml:space="preserve">개발 / 품질(안)</x:t>
  </x:si>
  <x:si>
    <x:t xml:space="preserve">동일 품번·공정·특별특성 상호대조</x:t>
  </x:si>
  <x:si>
    <x:t xml:space="preserve">M06·M20</x:t>
  </x:si>
  <x:si>
    <x:t xml:space="preserve">E13</x:t>
  </x:si>
  <x:si>
    <x:t xml:space="preserve">식별·추적</x:t>
  </x:si>
  <x:si>
    <x:t xml:space="preserve">SH-QP-018 / SH-FM-102</x:t>
  </x:si>
  <x:si>
    <x:t xml:space="preserve">입고부터 출하까지 실제 LOT 연결</x:t>
  </x:si>
  <x:si>
    <x:t xml:space="preserve">생산관리 / 자재 / 품질(안)</x:t>
  </x:si>
  <x:si>
    <x:t xml:space="preserve">대표 출하 LOT 정·역추적 및 수량 대조</x:t>
  </x:si>
  <x:si>
    <x:t xml:space="preserve">M07·M17</x:t>
  </x:si>
  <x:si>
    <x:t xml:space="preserve">E14</x:t>
  </x:si>
  <x:si>
    <x:t xml:space="preserve">측정자원</x:t>
  </x:si>
  <x:si>
    <x:t xml:space="preserve">교정·MSA·이탈영향 평가</x:t>
  </x:si>
  <x:si>
    <x:t xml:space="preserve">교정성적서·유효기간·GRR·조치</x:t>
  </x:si>
  <x:si>
    <x:t xml:space="preserve">관리계획 지정 측정기별 결과 확보</x:t>
  </x:si>
  <x:si>
    <x:t xml:space="preserve">M11</x:t>
  </x:si>
  <x:si>
    <x:t xml:space="preserve">E15</x:t>
  </x:si>
  <x:si>
    <x:t xml:space="preserve">설비·금형</x:t>
  </x:si>
  <x:si>
    <x:t xml:space="preserve">예방보전·일상점검·고장이력</x:t>
  </x:si>
  <x:si>
    <x:t xml:space="preserve">실제 계획 대비 실적·고장·복구 결과</x:t>
  </x:si>
  <x:si>
    <x:t xml:space="preserve">설비 / 생산(안)</x:t>
  </x:si>
  <x:si>
    <x:t xml:space="preserve">대표 중요설비의 실적·지연조치 확보</x:t>
  </x:si>
  <x:si>
    <x:t xml:space="preserve">M12</x:t>
  </x:si>
  <x:si>
    <x:t xml:space="preserve">E16</x:t>
  </x:si>
  <x:si>
    <x:t xml:space="preserve">교육·역량</x:t>
  </x:si>
  <x:si>
    <x:t xml:space="preserve">SH-FM-121 / 자격관리</x:t>
  </x:si>
  <x:si>
    <x:t xml:space="preserve">실제 교육일지·참석·평가·자격</x:t>
  </x:si>
  <x:si>
    <x:t xml:space="preserve">교육 주관 / 각 부서(안)</x:t>
  </x:si>
  <x:si>
    <x:t xml:space="preserve">주요 직무·작업자의 실제 평가기록 수집</x:t>
  </x:si>
  <x:si>
    <x:t xml:space="preserve">M13</x:t>
  </x:si>
  <x:si>
    <x:t xml:space="preserve">E17</x:t>
  </x:si>
  <x:si>
    <x:t xml:space="preserve">공급자</x:t>
  </x:si>
  <x:si>
    <x:t xml:space="preserve">선정·평가·개발·입고이상</x:t>
  </x:si>
  <x:si>
    <x:t xml:space="preserve">승인 평가기준·실적·협력사 조치</x:t>
  </x:si>
  <x:si>
    <x:t xml:space="preserve">구매 / 품질(안)</x:t>
  </x:si>
  <x:si>
    <x:t xml:space="preserve">기준 승인 후 실제 평가·후속조치 제시</x:t>
  </x:si>
  <x:si>
    <x:t xml:space="preserve">M14</x:t>
  </x:si>
  <x:si>
    <x:t xml:space="preserve">E18</x:t>
  </x:si>
  <x:si>
    <x:t xml:space="preserve">부적합·고객불만</x:t>
  </x:si>
  <x:si>
    <x:t xml:space="preserve">8D·재작업·효과확인</x:t>
  </x:si>
  <x:si>
    <x:t xml:space="preserve">실제 발생·봉쇄·원인·효과·종결</x:t>
  </x:si>
  <x:si>
    <x:t xml:space="preserve">최근 건과 직전 심사 지적의 재발 여부 검증</x:t>
  </x:si>
  <x:si>
    <x:t xml:space="preserve">M15·M16</x:t>
  </x:si>
  <x:si>
    <x:t xml:space="preserve">E19</x:t>
  </x:si>
  <x:si>
    <x:t xml:space="preserve">비상·복구</x:t>
  </x:si>
  <x:si>
    <x:t xml:space="preserve">SH-FM-112 / SH-FM-364</x:t>
  </x:si>
  <x:si>
    <x:t xml:space="preserve">실제 훈련·고객통보 판단·재개검증</x:t>
  </x:si>
  <x:si>
    <x:t xml:space="preserve">생산 / 관리 / 품질(안)</x:t>
  </x:si>
  <x:si>
    <x:t xml:space="preserve">실제 시험일·결과·승인 및 개선근거 확보</x:t>
  </x:si>
  <x:si>
    <x:t xml:space="preserve">M17·M18·M19</x:t>
  </x:si>
  <x:si>
    <x:t xml:space="preserve">E20</x:t>
  </x:si>
  <x:si>
    <x:t xml:space="preserve">직전 외부심사</x:t>
  </x:si>
  <x:si>
    <x:t xml:space="preserve">보고서·NC·종결회신</x:t>
  </x:si>
  <x:si>
    <x:t xml:space="preserve">직전 심사결과·시정조치·기관 종결</x:t>
  </x:si>
  <x:si>
    <x:t xml:space="preserve">기관 보고서와 종결 증빙을 우선 확보</x:t>
  </x:si>
  <x:si>
    <x:t xml:space="preserve">M16·M20</x:t>
  </x:si>
  <x:si>
    <x:t xml:space="preserve">모의심사와 인터뷰 실행</x:t>
  </x:si>
  <x:si>
    <x:t xml:space="preserve">심사 질문</x:t>
  </x:si>
  <x:si>
    <x:t xml:space="preserve">답변·현장 확인기준</x:t>
  </x:si>
  <x:si>
    <x:t xml:space="preserve">대응부서(안)</x:t>
  </x:si>
  <x:si>
    <x:t xml:space="preserve">연계항목</x:t>
  </x:si>
  <x:si>
    <x:t xml:space="preserve">실제 결과</x:t>
  </x:si>
  <x:si>
    <x:t xml:space="preserve">실시일</x:t>
  </x:si>
  <x:si>
    <x:t xml:space="preserve">응답자</x:t>
  </x:si>
  <x:si>
    <x:t xml:space="preserve">객관적 증거</x:t>
  </x:si>
  <x:si>
    <x:t xml:space="preserve">연계 시정조치</x:t>
  </x:si>
  <x:si>
    <x:t xml:space="preserve">선행 증빙 상태</x:t>
  </x:si>
  <x:si>
    <x:t xml:space="preserve">최신 문서는 어디서 확인하고 구본 사용은 어떻게 막습니까?</x:t>
  </x:si>
  <x:si>
    <x:t xml:space="preserve">최신본 조회와 실제 배포·회수 사례를 제시</x:t>
  </x:si>
  <x:si>
    <x:t xml:space="preserve">문서관리</x:t>
  </x:si>
  <x:si>
    <x:t xml:space="preserve">E01~E05</x:t>
  </x:si>
  <x:si>
    <x:t xml:space="preserve">미실시</x:t>
  </x:si>
  <x:si>
    <x:t xml:space="preserve">M02</x:t>
  </x:si>
  <x:si>
    <x:t xml:space="preserve">심사범위와 사업장·지원기능·교대는 실제 운영과 같습니까?</x:t>
  </x:si>
  <x:si>
    <x:t xml:space="preserve">인증서·계획·현행 조직 및 교대정보 대조</x:t>
  </x:si>
  <x:si>
    <x:t xml:space="preserve">품질 / 인사</x:t>
  </x:si>
  <x:si>
    <x:t xml:space="preserve">U01·U02</x:t>
  </x:si>
  <x:si>
    <x:t xml:space="preserve">최근 내부심사에서 무엇을 발견했고 어떻게 종결했습니까?</x:t>
  </x:si>
  <x:si>
    <x:t xml:space="preserve">QMS·공정·제품심사 실제 결과와 시정·효과 증빙</x:t>
  </x:si>
  <x:si>
    <x:t xml:space="preserve">품질</x:t>
  </x:si>
  <x:si>
    <x:t xml:space="preserve">경영검토에서 무엇을 결정했고 이행되었습니까?</x:t>
  </x:si>
  <x:si>
    <x:t xml:space="preserve">입력자료·회의록·결정·책임·완료근거 연결</x:t>
  </x:si>
  <x:si>
    <x:t xml:space="preserve">경영 / 품질</x:t>
  </x:si>
  <x:si>
    <x:t xml:space="preserve">고객의 최신 요구와 품질성과는 어떻게 관리합니까?</x:t>
  </x:si>
  <x:si>
    <x:t xml:space="preserve">적용 CSR·스코어카드·실적·미달조치 제시</x:t>
  </x:si>
  <x:si>
    <x:t xml:space="preserve">영업 / 품질</x:t>
  </x:si>
  <x:si>
    <x:t xml:space="preserve">M06</x:t>
  </x:si>
  <x:si>
    <x:t xml:space="preserve">이 품번의 공정흐름·PFMEA·CP·WI는 일치합니까?</x:t>
  </x:si>
  <x:si>
    <x:t xml:space="preserve">동일 품번·공정번호·특별특성·반응계획 연결</x:t>
  </x:si>
  <x:si>
    <x:t xml:space="preserve">개발 / 품질</x:t>
  </x:si>
  <x:si>
    <x:t xml:space="preserve">M07</x:t>
  </x:si>
  <x:si>
    <x:t xml:space="preserve">이 출하 LOT의 원자재·설비·검사·납품처를 추적해 주세요.</x:t>
  </x:si>
  <x:si>
    <x:t xml:space="preserve">대표 LOT의 정·역추적과 수량 대조. 내부 WI005 목표 1시간은 실제 시간으로 검증</x:t>
  </x:si>
  <x:si>
    <x:t xml:space="preserve">생산관리 / 자재</x:t>
  </x:si>
  <x:si>
    <x:t xml:space="preserve">제품안전 특성과 이상보고 책임은 누구입니까?</x:t>
  </x:si>
  <x:si>
    <x:t xml:space="preserve">적용요구·책임·교육·에스컬레이션 실제 근거</x:t>
  </x:si>
  <x:si>
    <x:t xml:space="preserve">제품안전 / 품질</x:t>
  </x:si>
  <x:si>
    <x:t xml:space="preserve">SPC 특성에서 이상이 발생하면 어떻게 조치합니까?</x:t>
  </x:si>
  <x:si>
    <x:t xml:space="preserve">실측 원자료·관리기준·판정·제품 봉쇄·효과 제시</x:t>
  </x:si>
  <x:si>
    <x:t xml:space="preserve">생산 / 품질</x:t>
  </x:si>
  <x:si>
    <x:t xml:space="preserve">품질비용과 개선과제는 실제 금액·효과로 확인됩니까?</x:t>
  </x:si>
  <x:si>
    <x:t xml:space="preserve">비용 원장·COPQ·과제 전후 실적 연결</x:t>
  </x:si>
  <x:si>
    <x:t xml:space="preserve">품질 / 회계</x:t>
  </x:si>
  <x:si>
    <x:t xml:space="preserve">이 측정기는 유효하고 이 특성 측정에 적합합니까?</x:t>
  </x:si>
  <x:si>
    <x:t xml:space="preserve">교정·MSA·이탈영향 평가와 CP 적용 확인</x:t>
  </x:si>
  <x:si>
    <x:t xml:space="preserve">설비보전 계획 대비 미실시·고장은 어떻게 처리합니까?</x:t>
  </x:si>
  <x:si>
    <x:t xml:space="preserve">중요설비 점검·보전·고장·복구·지연조치 기록</x:t>
  </x:si>
  <x:si>
    <x:t xml:space="preserve">설비 / 생산</x:t>
  </x:si>
  <x:si>
    <x:t xml:space="preserve">이 작업자는 작업·특별특성·이상조치를 설명할 수 있습니까?</x:t>
  </x:si>
  <x:si>
    <x:t xml:space="preserve">실제 작업 관찰·교육·역량평가·자격 대조</x:t>
  </x:si>
  <x:si>
    <x:t xml:space="preserve">생산 / 교육</x:t>
  </x:si>
  <x:si>
    <x:t xml:space="preserve">공급자 평가는 어떤 기준과 실제 성과로 결정합니까?</x:t>
  </x:si>
  <x:si>
    <x:t xml:space="preserve">승인 평가기준·품질·납기·후속조치 제시</x:t>
  </x:si>
  <x:si>
    <x:t xml:space="preserve">구매 / 품질</x:t>
  </x:si>
  <x:si>
    <x:t xml:space="preserve">M15</x:t>
  </x:si>
  <x:si>
    <x:t xml:space="preserve">부적합품과 재작업품의 혼입을 어떻게 막습니까?</x:t>
  </x:si>
  <x:si>
    <x:t xml:space="preserve">격리·처분·재검사·원 LOT·승인 이력</x:t>
  </x:si>
  <x:si>
    <x:t xml:space="preserve">M16</x:t>
  </x:si>
  <x:si>
    <x:t xml:space="preserve">최근 고객불만은 재발하지 않는다고 어떻게 확인했습니까?</x:t>
  </x:si>
  <x:si>
    <x:t xml:space="preserve">실제 8D·수평전개·효과 기준·관찰결과 제시</x:t>
  </x:si>
  <x:si>
    <x:t xml:space="preserve">E18·E20</x:t>
  </x:si>
  <x:si>
    <x:t xml:space="preserve">M17</x:t>
  </x:si>
  <x:si>
    <x:t xml:space="preserve">스캔본과 종이 원본이 다르면 어떻게 처리합니까?</x:t>
  </x:si>
  <x:si>
    <x:t xml:space="preserve">QP018의 보류·원본대조·재스캔·긴급추적 승인과 FM363 실제 기록</x:t>
  </x:si>
  <x:si>
    <x:t xml:space="preserve">품질 / 자재출하</x:t>
  </x:si>
  <x:si>
    <x:t xml:space="preserve">E13·E19</x:t>
  </x:si>
  <x:si>
    <x:t xml:space="preserve">M18</x:t>
  </x:si>
  <x:si>
    <x:t xml:space="preserve">백업 파일을 실제로 복구해 본 결과를 보여주세요.</x:t>
  </x:si>
  <x:si>
    <x:t xml:space="preserve">QP018 내부 기준 월 1회·무작위 3건과 FM364 실제 결과 대조</x:t>
  </x:si>
  <x:si>
    <x:t xml:space="preserve">품질 / 관리</x:t>
  </x:si>
  <x:si>
    <x:t xml:space="preserve">M19</x:t>
  </x:si>
  <x:si>
    <x:t xml:space="preserve">비상상황 후 고객 공급과 제품 적합성을 어떻게 확인합니까?</x:t>
  </x:si>
  <x:si>
    <x:t xml:space="preserve">실제 훈련·고객통보 판단·복구·재개검증·개선</x:t>
  </x:si>
  <x:si>
    <x:t xml:space="preserve">M20</x:t>
  </x:si>
  <x:si>
    <x:t xml:space="preserve">직전 심사 지적과 주요 변경은 현재도 관리됩니까?</x:t>
  </x:si>
  <x:si>
    <x:t xml:space="preserve">기관 종결·현장 재발 여부·변경승인·고객승인 근거</x:t>
  </x:si>
  <x:si>
    <x:t xml:space="preserve">품질 / 개발</x:t>
  </x:si>
  <x:si>
    <x:t xml:space="preserve">E20·E12</x:t>
  </x:si>
  <x:si>
    <x:t xml:space="preserve">심사 요청자료 기록</x:t>
  </x:si>
  <x:si>
    <x:t xml:space="preserve">실제 요청이 발생하면 요청·담당·제시자료·제시시각을 기록합니다. 고객·개인정보가 포함된 제출본은 권한자의 확인을 받습니다.</x:t>
  </x:si>
  <x:si>
    <x:t xml:space="preserve">번호</x:t>
  </x:si>
  <x:si>
    <x:t xml:space="preserve">요청시각</x:t>
  </x:si>
  <x:si>
    <x:t xml:space="preserve">심사원·요청자</x:t>
  </x:si>
  <x:si>
    <x:t xml:space="preserve">요청 내용</x:t>
  </x:si>
  <x:si>
    <x:t xml:space="preserve">담당자</x:t>
  </x:si>
  <x:si>
    <x:t xml:space="preserve">제시 자료·버전</x:t>
  </x:si>
  <x:si>
    <x:t xml:space="preserve">제시시각</x:t>
  </x:si>
  <x:si>
    <x:t xml:space="preserve">상태</x:t>
  </x:si>
  <x:si>
    <x:t xml:space="preserve">후속조치</x:t>
  </x:si>
  <x:si>
    <x:t xml:space="preserve">발견사항과 시정조치</x:t>
  </x:si>
  <x:si>
    <x:t xml:space="preserve">실제 발견사항만 등록합니다. 조치 완료와 효과검증·종결은 구분합니다. 기한은 기관 또는 사내 합의기한을 실제로 입력합니다.</x:t>
  </x:si>
  <x:si>
    <x:t xml:space="preserve">관리번호</x:t>
  </x:si>
  <x:si>
    <x:t xml:space="preserve">출처·일자</x:t>
  </x:si>
  <x:si>
    <x:t xml:space="preserve">발견사항·객관적 증거</x:t>
  </x:si>
  <x:si>
    <x:t xml:space="preserve">요구기준</x:t>
  </x:si>
  <x:si>
    <x:t xml:space="preserve">즉시 봉쇄</x:t>
  </x:si>
  <x:si>
    <x:t xml:space="preserve">근본원인</x:t>
  </x:si>
  <x:si>
    <x:t xml:space="preserve">영구조치</x:t>
  </x:si>
  <x:si>
    <x:t xml:space="preserve">담당</x:t>
  </x:si>
  <x:si>
    <x:t xml:space="preserve">기한</x:t>
  </x:si>
  <x:si>
    <x:t xml:space="preserve">완료일</x:t>
  </x:si>
  <x:si>
    <x:t xml:space="preserve">효과기준·관찰기간</x:t>
  </x:si>
  <x:si>
    <x:t xml:space="preserve">효과 결과·증빙</x:t>
  </x:si>
  <x:si>
    <x:t xml:space="preserve">검증자</x:t>
  </x:si>
  <x:si>
    <x:t xml:space="preserve">종결일</x:t>
  </x:si>
  <x:si>
    <x:t xml:space="preserve">NC01</x:t>
  </x:si>
  <x:si>
    <x:t xml:space="preserve">미등록</x:t>
  </x:si>
  <x:si>
    <x:t xml:space="preserve">NC02</x:t>
  </x:si>
  <x:si>
    <x:t xml:space="preserve">NC03</x:t>
  </x:si>
  <x:si>
    <x:t xml:space="preserve">NC04</x:t>
  </x:si>
  <x:si>
    <x:t xml:space="preserve">NC05</x:t>
  </x:si>
  <x:si>
    <x:t xml:space="preserve">NC06</x:t>
  </x:si>
  <x:si>
    <x:t xml:space="preserve">NC07</x:t>
  </x:si>
  <x:si>
    <x:t xml:space="preserve">NC08</x:t>
  </x:si>
  <x:si>
    <x:t xml:space="preserve">NC09</x:t>
  </x:si>
  <x:si>
    <x:t xml:space="preserve">NC10</x:t>
  </x:si>
  <x:si>
    <x:t xml:space="preserve">NC11</x:t>
  </x:si>
  <x:si>
    <x:t xml:space="preserve">NC12</x:t>
  </x:si>
  <x:si>
    <x:t xml:space="preserve">NC13</x:t>
  </x:si>
  <x:si>
    <x:t xml:space="preserve">NC14</x:t>
  </x:si>
  <x:si>
    <x:t xml:space="preserve">NC15</x:t>
  </x:si>
  <x:si>
    <x:t xml:space="preserve">최종 준비조건과 제출 판정</x:t>
  </x:si>
  <x:si>
    <x:t xml:space="preserve">계산 결과는 점검 누락을 찾는 용도입니다. 실제 제출·배포는 승인권자가 근거를 검토한 후 판정합니다.</x:t>
  </x:si>
  <x:si>
    <x:t xml:space="preserve">완료 조건</x:t>
  </x:si>
  <x:si>
    <x:t xml:space="preserve">현재 값</x:t>
  </x:si>
  <x:si>
    <x:t xml:space="preserve">판정</x:t>
  </x:si>
  <x:si>
    <x:t xml:space="preserve">사용자 정리</x:t>
  </x:si>
  <x:si>
    <x:t xml:space="preserve">14개 항목 모두 근거·담당·확인일·확인자 확인</x:t>
  </x:si>
  <x:si>
    <x:t xml:space="preserve">운영증빙</x:t>
  </x:si>
  <x:si>
    <x:t xml:space="preserve">20개 영역 실제 증빙 또는 비적용 근거 확인</x:t>
  </x:si>
  <x:si>
    <x:t xml:space="preserve">모의심사</x:t>
  </x:si>
  <x:si>
    <x:t xml:space="preserve">20개 항목 실시·증빙·확인자 확인</x:t>
  </x:si>
  <x:si>
    <x:t xml:space="preserve">미종결 조치</x:t>
  </x:si>
  <x:si>
    <x:t xml:space="preserve">등록된 실제 발견사항 중 미종결 0건</x:t>
  </x:si>
  <x:si>
    <x:t xml:space="preserve">종합 확인</x:t>
  </x:si>
  <x:si>
    <x:t xml:space="preserve">상기 네 조건과 모의심사 선행증빙 20항목 확인 후 승인권자 검토</x:t>
  </x:si>
  <x:si>
    <x:t xml:space="preserve">최종 실제 판정</x:t>
  </x:si>
  <x:si>
    <x:t xml:space="preserve">판정일</x:t>
  </x:si>
  <x:si>
    <x:t xml:space="preserve">판정자</x:t>
  </x:si>
  <x:si>
    <x:t xml:space="preserve">근거·남은 조건</x:t>
  </x:si>
  <x:si>
    <x:t xml:space="preserve">배포본 경로</x:t>
  </x:si>
  <x:si>
    <x:t xml:space="preserve">배포일</x:t>
  </x:si>
  <x:si>
    <x:t xml:space="preserve">배포 담당</x:t>
  </x:si>
  <x:si>
    <x:t xml:space="preserve">구본회수 근거</x:t>
  </x:si>
  <x:si>
    <x:t xml:space="preserve">제출대상·자료목록</x:t>
  </x:si>
  <x:si>
    <x:t xml:space="preserve">제출일</x:t>
  </x:si>
  <x:si>
    <x:t xml:space="preserve">제출 담당</x:t>
  </x:si>
  <x:si>
    <x:t xml:space="preserve">기관 수령확인</x:t>
  </x:si>
  <x:si>
    <x:t xml:space="preserve">변경 반영내역</x:t>
  </x:si>
  <x:si>
    <x:t xml:space="preserve">이번 수정본 4개만 변경내역을 검토합니다. 개정번호 Rev.03·Rev.00은 원본 기준 식별이며 새로운 공식 개정을 임의 부여하지 않았습니다.</x:t>
  </x:si>
  <x:si>
    <x:t xml:space="preserve">수정본</x:t>
  </x:si>
  <x:si>
    <x:t xml:space="preserve">이번 반영내용</x:t>
  </x:si>
  <x:si>
    <x:t xml:space="preserve">작성 상태</x:t>
  </x:si>
  <x:si>
    <x:t xml:space="preserve">사용자 확인·승인</x:t>
  </x:si>
  <x:si>
    <x:t xml:space="preserve">파일명</x:t>
  </x:si>
  <x:si>
    <x:t xml:space="preserve">C01</x:t>
  </x:si>
  <x:si>
    <x:t xml:space="preserve">통합본 Rev.03 검토수정본</x:t>
  </x:si>
  <x:si>
    <x:t xml:space="preserve">QP002 관련기록 표현 / QP018 7.4.3·7.4.9 / 목차 24항목 페이지 중복 해소</x:t>
  </x:si>
  <x:si>
    <x:t xml:space="preserve">내용 반영 완료</x:t>
  </x:si>
  <x:si>
    <x:t xml:space="preserve">실제 변경 승인·시행·배포</x:t>
  </x:si>
  <x:si>
    <x:t xml:space="preserve">SH_QMS_Integrated_Rev03_REVIEW_20261026.docx</x:t>
  </x:si>
  <x:si>
    <x:t xml:space="preserve">C02</x:t>
  </x:si>
  <x:si>
    <x:t xml:space="preserve">QP002 Rev.03 검토수정본</x:t>
  </x:si>
  <x:si>
    <x:t xml:space="preserve">8절 문서관리 기록과 도면일치성 기준문서 참조 구분</x:t>
  </x:si>
  <x:si>
    <x:t xml:space="preserve">SH_QP002_Rev03_REVIEW_20261026.docx</x:t>
  </x:si>
  <x:si>
    <x:t xml:space="preserve">C03</x:t>
  </x:si>
  <x:si>
    <x:t xml:space="preserve">FM122 Rev.00 검토수정본</x:t>
  </x:si>
  <x:si>
    <x:t xml:space="preserve">FM101~121 Rev.03 대조 / 파일연결 / 승인상태 / 기록 보존기준 안내</x:t>
  </x:si>
  <x:si>
    <x:t xml:space="preserve">실제 담당·운영일·개별 보존기준·결재 근거</x:t>
  </x:si>
  <x:si>
    <x:t xml:space="preserve">SH_FM122_Rev00_REVIEW_20261026.xlsx</x:t>
  </x:si>
  <x:si>
    <x:t xml:space="preserve">C04</x:t>
  </x:si>
  <x:si>
    <x:t xml:space="preserve">FM101~121 Rev.03 검토수정본</x:t>
  </x:si>
  <x:si>
    <x:t xml:space="preserve">안내 시트의 보존기준·연계목록·검토수정본 상태 정리. 21개 개별 양식 데이터·서식 보존</x:t>
  </x:si>
  <x:si>
    <x:t xml:space="preserve">실제 검사기준·담당자·운영기록·승인</x:t>
  </x:si>
  <x:si>
    <x:t xml:space="preserve">SH_FM101_121_Rev03_REVIEW_20261026.xlsx</x:t>
  </x:si>
  <x:si>
    <x:t xml:space="preserve">심사자료 제출 준비목록</x:t>
  </x:si>
  <x:si>
    <x:t xml:space="preserve">119개 편집본 기준입니다. 수정본 4개는 이번 묶음에, 나머지는 보존한 원본 ZIP에 있습니다. 실제 제출은 승인된 버전을 선택합니다.</x:t>
  </x:si>
  <x:si>
    <x:t xml:space="preserve">순번</x:t>
  </x:si>
  <x:si>
    <x:t xml:space="preserve">원본 ZIP 내부 경로</x:t>
  </x:si>
  <x:si>
    <x:t xml:space="preserve">개정 식별</x:t>
  </x:si>
  <x:si>
    <x:t xml:space="preserve">확인·변경사항</x:t>
  </x:si>
  <x:si>
    <x:t xml:space="preserve">이번 묶음 내 위치</x:t>
  </x:si>
  <x:si>
    <x:t xml:space="preserve">실제 승인근거</x:t>
  </x:si>
  <x:si>
    <x:t xml:space="preserve">제출 확인</x:t>
  </x:si>
  <x:si>
    <x:t xml:space="preserve">QP</x:t>
  </x:si>
  <x:si>
    <x:t xml:space="preserve">02_절차서_QP/원본_편집용/001_SH-QP-001_경영검토절차서_Rev03_수정본2.docx</x:t>
  </x:si>
  <x:si>
    <x:t xml:space="preserve">Rev.03 (본문·파일 기준)</x:t>
  </x:si>
  <x:si>
    <x:t xml:space="preserve">본문 텍스트·참조 추출 확인</x:t>
  </x:si>
  <x:si>
    <x:t xml:space="preserve">03_Reference_Original/SH_QMS_Source_20261013_v2.zip 내부 원경로</x:t>
  </x:si>
  <x:si>
    <x:t xml:space="preserve">02_절차서_QP/원본_편집용/002_SH-QP-002_문서화된정보관리절차서_Rev03_수정본8.docx</x:t>
  </x:si>
  <x:si>
    <x:t xml:space="preserve">이번 변경 반영 / 변경 승인대기</x:t>
  </x:si>
  <x:si>
    <x:t xml:space="preserve">01_Review_Documents/SH_QP002_Rev03_REVIEW_20261026.docx</x:t>
  </x:si>
  <x:si>
    <x:t xml:space="preserve">02_절차서_QP/원본_편집용/003_SH-QP-003_기록관리절차서_Rev03_수정본3.docx</x:t>
  </x:si>
  <x:si>
    <x:t xml:space="preserve">02_절차서_QP/원본_편집용/004_SH-QP-004_리스크및기회관리절차서_Rev03_수정본2.docx</x:t>
  </x:si>
  <x:si>
    <x:t xml:space="preserve">02_절차서_QP/원본_편집용/005_SH-QP-005_내부심사절차서_Rev03_수정본2.docx</x:t>
  </x:si>
  <x:si>
    <x:t xml:space="preserve">02_절차서_QP/원본_편집용/006_SH-QP-006_교육훈련및역량관리절차서_Rev03_수정본2.docx</x:t>
  </x:si>
  <x:si>
    <x:t xml:space="preserve">02_절차서_QP/원본_편집용/007_SH-QP-007_설비및예방보전관리절차서_Rev03_수정본2.docx</x:t>
  </x:si>
  <x:si>
    <x:t xml:space="preserve">02_절차서_QP/원본_편집용/008_SH-QP-008_모니터링및측정자원관리절차서_Rev03_수정본2.docx</x:t>
  </x:si>
  <x:si>
    <x:t xml:space="preserve">02_절차서_QP/원본_편집용/009_SH-QP-009_고객요구사항및계약검토절차서_Rev03_수정본2.docx</x:t>
  </x:si>
  <x:si>
    <x:t xml:space="preserve">02_절차서_QP/원본_편집용/010_SH-QP-010_APQP및PPAP관리절차서_Rev03_수정본2.docx</x:t>
  </x:si>
  <x:si>
    <x:t xml:space="preserve">02_절차서_QP/원본_편집용/011_SH-QP-011_구매및협력사관리절차서_Rev03_수정본2.docx</x:t>
  </x:si>
  <x:si>
    <x:t xml:space="preserve">02_절차서_QP/원본_편집용/012_SH-QP-012_생산및공정관리절차서_Rev03_수정본2.docx</x:t>
  </x:si>
  <x:si>
    <x:t xml:space="preserve">02_절차서_QP/원본_편집용/013_SH-QP-013_검사및시험관리절차서_Rev03_수정본2.docx</x:t>
  </x:si>
  <x:si>
    <x:t xml:space="preserve">02_절차서_QP/원본_편집용/014_SH-QP-014_부적합품및재작업관리절차서_Rev03_수정본2.docx</x:t>
  </x:si>
  <x:si>
    <x:t xml:space="preserve">02_절차서_QP/원본_편집용/015_SH-QP-015_변경관리절차서_Rev03_수정본2.docx</x:t>
  </x:si>
  <x:si>
    <x:t xml:space="preserve">02_절차서_QP/원본_편집용/016_SH-QP-016_시정조치및문제해결절차서_Rev03_수정본2.docx</x:t>
  </x:si>
  <x:si>
    <x:t xml:space="preserve">02_절차서_QP/원본_편집용/017_SH-QP-017_고객불만및보증관리절차서_Rev03_수정본2.docx</x:t>
  </x:si>
  <x:si>
    <x:t xml:space="preserve">02_절차서_QP/원본_편집용/018_SH-QP-018_식별및추적성관리절차서_Rev03_수정본18.docx</x:t>
  </x:si>
  <x:si>
    <x:t xml:space="preserve">02_절차서_QP/원본_편집용/019_SH-QP-019_보관·포장및출하관리절차서_Rev03_수정본2.docx</x:t>
  </x:si>
  <x:si>
    <x:t xml:space="preserve">02_절차서_QP/원본_편집용/020_SH-QP-020_비상계획및공급연속성절차서_Rev03_수정본2.docx</x:t>
  </x:si>
  <x:si>
    <x:t xml:space="preserve">02_절차서_QP/원본_편집용/021_SH-QP-021_품질목표및KPI관리절차서_Rev03_수정본2.docx</x:t>
  </x:si>
  <x:si>
    <x:t xml:space="preserve">02_절차서_QP/원본_편집용/022_SH-QP-022_제품안전관리절차서_Rev03_수정본2.docx</x:t>
  </x:si>
  <x:si>
    <x:t xml:space="preserve">02_절차서_QP/원본_편집용/023_SH-QP-023_통계적공정관리(SPC)절차서_Rev03_수정본2.docx</x:t>
  </x:si>
  <x:si>
    <x:t xml:space="preserve">02_절차서_QP/원본_편집용/024_SH-QP-024_품질비용및지속적개선절차서_Rev03_수정본2.docx</x:t>
  </x:si>
  <x:si>
    <x:t xml:space="preserve">02_절차서_QP/원본_편집용/025_SH-QP-025_고객별요구사항(CSR)관리절차서_Rev03_수정본2.docx</x:t>
  </x:si>
  <x:si>
    <x:t xml:space="preserve">WI</x:t>
  </x:si>
  <x:si>
    <x:t xml:space="preserve">03_작업표준서_WI/원본_편집용/001_SH-WI-001_생산작업준비및초품확인표준_Rev03_수정본2.docx</x:t>
  </x:si>
  <x:si>
    <x:t xml:space="preserve">03_작업표준서_WI/원본_편집용/002_SH-WI-002_공정검사및특수특성관리표준_Rev03_수정본2.docx</x:t>
  </x:si>
  <x:si>
    <x:t xml:space="preserve">03_작업표준서_WI/원본_편집용/003_SH-WI-003_부적합품식별·격리및재작업표준_Rev03_수정본2.docx</x:t>
  </x:si>
  <x:si>
    <x:t xml:space="preserve">03_작업표준서_WI/원본_편집용/004_SH-WI-004_설비일상점검및이상대응표준_Rev03_수정본2.docx</x:t>
  </x:si>
  <x:si>
    <x:t xml:space="preserve">03_작업표준서_WI/원본_편집용/005_SH-WI-005_제품식별·LOT추적및출하표준_Rev03_수정본2.docx</x:t>
  </x:si>
  <x:si>
    <x:t xml:space="preserve">03_작업표준서_WI/원본_편집용/006_SH-WI-006_계측기사용및일상점검표준_Rev03_수정본2.docx</x:t>
  </x:si>
  <x:si>
    <x:t xml:space="preserve">03_작업표준서_WI/원본_편집용/007_SH-WI-007_검사구및GaugeR&amp;R수행표준_Rev03_수정본2.docx</x:t>
  </x:si>
  <x:si>
    <x:t xml:space="preserve">03_작업표준서_WI/원본_편집용/008_SH-WI-008_금형·치공구교환및관리표준_Rev03_수정본2.docx</x:t>
  </x:si>
  <x:si>
    <x:t xml:space="preserve">03_작업표준서_WI/원본_편집용/009_SH-WI-009_자재입고·보관·불출관리표준_Rev03_수정본2.docx</x:t>
  </x:si>
  <x:si>
    <x:t xml:space="preserve">03_작업표준서_WI/원본_편집용/010_SH-WI-010_포장·라벨및출하검증표준_Rev03_수정본2.docx</x:t>
  </x:si>
  <x:si>
    <x:t xml:space="preserve">03_작업표준서_WI/원본_편집용/011_SH-WI-011_공정조건설정및변경관리표준_Rev03_수정본2.docx</x:t>
  </x:si>
  <x:si>
    <x:t xml:space="preserve">03_작업표준서_WI/원본_편집용/012_SH-WI-012_오류방지(Poka-Yoke)점검표준_Rev03_수정본2.docx</x:t>
  </x:si>
  <x:si>
    <x:t xml:space="preserve">03_작업표준서_WI/원본_편집용/013_SH-WI-013_라인클리어런스및품번전환표준_Rev03_수정본2.docx</x:t>
  </x:si>
  <x:si>
    <x:t xml:space="preserve">03_작업표준서_WI/원본_편집용/014_SH-WI-014_선별검사및특별검사표준_Rev03_수정본2.docx</x:t>
  </x:si>
  <x:si>
    <x:t xml:space="preserve">03_작업표준서_WI/원본_편집용/015_SH-WI-015_작업자표준작업및교대인수인계표준_Rev03_수정본2.docx</x:t>
  </x:si>
  <x:si>
    <x:t xml:space="preserve">03_작업표준서_WI/원본_편집용/016_SH-WI-016_예방보전및설비점검작업표준_Rev03_수정본2.docx</x:t>
  </x:si>
  <x:si>
    <x:t xml:space="preserve">03_작업표준서_WI/원본_편집용/017_SH-WI-017_청정도및이물관리작업표준_Rev03_수정본2.docx</x:t>
  </x:si>
  <x:si>
    <x:t xml:space="preserve">03_작업표준서_WI/원본_편집용/018_SH-WI-018_재작업및수리작업표준_Rev03_수정본2.docx</x:t>
  </x:si>
  <x:si>
    <x:t xml:space="preserve">03_작업표준서_WI/원본_편집용/019_SH-WI-019_제품안전특성작업관리표준_Rev03_수정본2.docx</x:t>
  </x:si>
  <x:si>
    <x:t xml:space="preserve">03_작업표준서_WI/원본_편집용/020_SH-WI-020_비상상황생산복구작업표준_Rev03_수정본2.docx</x:t>
  </x:si>
  <x:si>
    <x:t xml:space="preserve">03_작업표준서_WI/원본_편집용/021_SH-WI-021_공정감사및LayeredProcessAudit실행표준_Rev03_수정본2.docx</x:t>
  </x:si>
  <x:si>
    <x:t xml:space="preserve">03_작업표준서_WI/원본_편집용/022_SH-WI-022_변경초기유동및강화검사작업표준_Rev03_수정본2.docx</x:t>
  </x:si>
  <x:si>
    <x:t xml:space="preserve">03_작업표준서_WI/원본_편집용/023_SH-WI-023_고객불만긴급봉쇄및현장대응표준_Rev03_수정본2.docx</x:t>
  </x:si>
  <x:si>
    <x:t xml:space="preserve">03_작업표준서_WI/원본_편집용/024_SH-WI-024_공급자입고품이상및긴급대응표준_Rev03_수정본2.docx</x:t>
  </x:si>
  <x:si>
    <x:t xml:space="preserve">03_작업표준서_WI/원본_편집용/025_SH-WI-025_품질이상정지·보고·재가동표준_Rev03_수정본2.docx</x:t>
  </x:si>
  <x:si>
    <x:t xml:space="preserve">03_작업표준서_WI/원본_편집용/026_SH-WI-026_고객특별상태및품질주의관리표준_Rev03_수정본2.docx</x:t>
  </x:si>
  <x:si>
    <x:t xml:space="preserve">03_작업표준서_WI/원본_편집용/027_SH-WI-027_검사성적서및품질기록작성표준_Rev03_수정본2.docx</x:t>
  </x:si>
  <x:si>
    <x:t xml:space="preserve">03_작업표준서_WI/원본_편집용/028_SH-WI-028_장기재고및유효기간관리표준_Rev03_수정본2.docx</x:t>
  </x:si>
  <x:si>
    <x:t xml:space="preserve">03_작업표준서_WI/원본_편집용/029_SH-WI-029_공급자변경품및초도품확인표준_Rev03_수정본2.docx</x:t>
  </x:si>
  <x:si>
    <x:t xml:space="preserve">03_작업표준서_WI/원본_편집용/030_SH-WI-030_고객감사·인증심사현장대응표준_Rev03_수정본2.docx</x:t>
  </x:si>
  <x:si>
    <x:t xml:space="preserve">QM</x:t>
  </x:si>
  <x:si>
    <x:t xml:space="preserve">01_매뉴얼_QM/원본_편집용/001_SH-QM-001_품질경영매뉴얼_Rev03_수정본7.docx</x:t>
  </x:si>
  <x:si>
    <x:t xml:space="preserve">통합본</x:t>
  </x:si>
  <x:si>
    <x:t xml:space="preserve">05_통합문서_QM_QP_WI_공식관리본/SH_QMS_통합문서_Rev03_20260929_수정본16.docx</x:t>
  </x:si>
  <x:si>
    <x:t xml:space="preserve">01_Review_Documents/SH_QMS_Integrated_Rev03_REVIEW_20261026.docx</x:t>
  </x:si>
  <x:si>
    <x:t xml:space="preserve">FM 워크북</x:t>
  </x:si>
  <x:si>
    <x:t xml:space="preserve">04_기록양식_FM/원본_편집용/001_SH-FM-045_APQP개발일정계획서_Rev00_수정본2.xlsx</x:t>
  </x:si>
  <x:si>
    <x:t xml:space="preserve">Rev00</x:t>
  </x:si>
  <x:si>
    <x:t xml:space="preserve">시트구성 확인 / 1시트</x:t>
  </x:si>
  <x:si>
    <x:t xml:space="preserve">04_기록양식_FM/원본_편집용/002_SH-FM-066-069_078-080_094_096_공식양식_Rev00_수정본2.xlsx</x:t>
  </x:si>
  <x:si>
    <x:t xml:space="preserve">시트구성 확인 / 10시트</x:t>
  </x:si>
  <x:si>
    <x:t xml:space="preserve">04_기록양식_FM/원본_편집용/003_SH-FM-071_부적합품관련관리기록_Rev00_수정본4.xlsx</x:t>
  </x:si>
  <x:si>
    <x:t xml:space="preserve">04_기록양식_FM/원본_편집용/004_SH-FM-101-121_현장작성양식_Rev03_수정본11.xlsx</x:t>
  </x:si>
  <x:si>
    <x:t xml:space="preserve">Rev03</x:t>
  </x:si>
  <x:si>
    <x:t xml:space="preserve">01_Review_Documents/SH_FM101_121_Rev03_REVIEW_20261026.xlsx</x:t>
  </x:si>
  <x:si>
    <x:t xml:space="preserve">04_기록양식_FM/원본_편집용/005_SH-FM-122_현장양식목록_작성계획_Rev00_수정본5.xlsx</x:t>
  </x:si>
  <x:si>
    <x:t xml:space="preserve">01_Review_Documents/SH_FM122_Rev00_REVIEW_20261026.xlsx</x:t>
  </x:si>
  <x:si>
    <x:t xml:space="preserve">04_기록양식_FM/원본_편집용/006_SH-FM-123-125_SQ보통_양식초안_Rev00_수정본3.xlsx</x:t>
  </x:si>
  <x:si>
    <x:t xml:space="preserve">시트구성 확인 / 4시트</x:t>
  </x:si>
  <x:si>
    <x:t xml:space="preserve">04_기록양식_FM/원본_편집용/007_SH-FM-127-128_SQ보통_양식초안_Rev00_수정본3.xlsx</x:t>
  </x:si>
  <x:si>
    <x:t xml:space="preserve">시트구성 확인 / 3시트</x:t>
  </x:si>
  <x:si>
    <x:t xml:space="preserve">04_기록양식_FM/원본_편집용/008_SH-FM-130-132_SQ보통_양식초안_Rev00_수정본3.xlsx</x:t>
  </x:si>
  <x:si>
    <x:t xml:space="preserve">04_기록양식_FM/원본_편집용/009_SH-FM-133-137_SQ낮음_양식초안_Rev00_수정본3.xlsx</x:t>
  </x:si>
  <x:si>
    <x:t xml:space="preserve">시트구성 확인 / 6시트</x:t>
  </x:si>
  <x:si>
    <x:t xml:space="preserve">04_기록양식_FM/원본_편집용/010_SH-FM-138-140_SQ보통_양식초안_Rev00_수정본3.xlsx</x:t>
  </x:si>
  <x:si>
    <x:t xml:space="preserve">04_기록양식_FM/원본_편집용/011_SH-FM-142-143_SQ보통_양식초안_Rev00_수정본3.xlsx</x:t>
  </x:si>
  <x:si>
    <x:t xml:space="preserve">04_기록양식_FM/원본_편집용/012_SH-FM-144_SQ높음_양식초안_Rev00_수정본2.xlsx</x:t>
  </x:si>
  <x:si>
    <x:t xml:space="preserve">시트구성 확인 / 2시트</x:t>
  </x:si>
  <x:si>
    <x:t xml:space="preserve">04_기록양식_FM/원본_편집용/013_SH-FM-145_SQ높음_양식초안_Rev00_수정본3.xlsx</x:t>
  </x:si>
  <x:si>
    <x:t xml:space="preserve">04_기록양식_FM/원본_편집용/014_SH-FM-147-148_SQ높음_양식초안_Rev00_수정본2.xlsx</x:t>
  </x:si>
  <x:si>
    <x:t xml:space="preserve">04_기록양식_FM/원본_편집용/015_SH-FM-149-151_SQ높음_양식초안_Rev00_수정본3.xlsx</x:t>
  </x:si>
  <x:si>
    <x:t xml:space="preserve">04_기록양식_FM/원본_편집용/016_SH-FM-152-159_SQ높음_양식초안_Rev00_수정본3.xlsx</x:t>
  </x:si>
  <x:si>
    <x:t xml:space="preserve">시트구성 확인 / 9시트</x:t>
  </x:si>
  <x:si>
    <x:t xml:space="preserve">04_기록양식_FM/원본_편집용/017_SH-FM-160-166_SQ보통_양식초안_Rev00_수정본3.xlsx</x:t>
  </x:si>
  <x:si>
    <x:t xml:space="preserve">시트구성 확인 / 8시트</x:t>
  </x:si>
  <x:si>
    <x:t xml:space="preserve">04_기록양식_FM/원본_편집용/018_SH-FM-168_SQ보통_양식초안_Rev00_수정본3.xlsx</x:t>
  </x:si>
  <x:si>
    <x:t xml:space="preserve">04_기록양식_FM/원본_편집용/019_SH-FM-169-170_SQ보통_양식초안_Rev00_수정본2.xlsx</x:t>
  </x:si>
  <x:si>
    <x:t xml:space="preserve">04_기록양식_FM/원본_편집용/020_SH-FM-171-172_SQ보통_양식초안_Rev00_수정본3.xlsx</x:t>
  </x:si>
  <x:si>
    <x:t xml:space="preserve">04_기록양식_FM/원본_편집용/021_SH-FM-174-186_SQ보통_양식초안_Rev00_수정본3.xlsx</x:t>
  </x:si>
  <x:si>
    <x:t xml:space="preserve">시트구성 확인 / 14시트</x:t>
  </x:si>
  <x:si>
    <x:t xml:space="preserve">04_기록양식_FM/원본_편집용/022_SH-FM-187-189_SQ높음_양식초안_Rev00_수정본2.xlsx</x:t>
  </x:si>
  <x:si>
    <x:t xml:space="preserve">04_기록양식_FM/원본_편집용/023_SH-FM-190_SQ높음_양식초안_Rev00_수정본3.xlsx</x:t>
  </x:si>
  <x:si>
    <x:t xml:space="preserve">04_기록양식_FM/원본_편집용/024_SH-FM-192_SQ높음_양식초안_Rev00_수정본2.xlsx</x:t>
  </x:si>
  <x:si>
    <x:t xml:space="preserve">04_기록양식_FM/원본_편집용/025_SH-FM-194-196_SQ높음_양식초안_Rev00_수정본3.xlsx</x:t>
  </x:si>
  <x:si>
    <x:t xml:space="preserve">04_기록양식_FM/원본_편집용/026_SH-FM-200-201_SQ높음_양식초안_Rev00_수정본3.xlsx</x:t>
  </x:si>
  <x:si>
    <x:t xml:space="preserve">04_기록양식_FM/원본_편집용/027_SH-FM-203-204_SQ높음_양식초안_Rev00_수정본3.xlsx</x:t>
  </x:si>
  <x:si>
    <x:t xml:space="preserve">04_기록양식_FM/원본_편집용/028_SH-FM-207-209_SQ보통_양식초안_Rev00_수정본3.xlsx</x:t>
  </x:si>
  <x:si>
    <x:t xml:space="preserve">04_기록양식_FM/원본_편집용/029_SH-FM-211-220_SQ보통_양식초안_Rev00_수정본3.xlsx</x:t>
  </x:si>
  <x:si>
    <x:t xml:space="preserve">시트구성 확인 / 11시트</x:t>
  </x:si>
  <x:si>
    <x:t xml:space="preserve">04_기록양식_FM/원본_편집용/030_SH-FM-222-223_SQ보통_양식초안_Rev00_수정본2.xlsx</x:t>
  </x:si>
  <x:si>
    <x:t xml:space="preserve">04_기록양식_FM/원본_편집용/031_SH-FM-225_SQ보통_양식초안_Rev00_수정본3.xlsx</x:t>
  </x:si>
  <x:si>
    <x:t xml:space="preserve">04_기록양식_FM/원본_편집용/032_SH-FM-230_SQ보통_양식초안_Rev00_수정본2.xlsx</x:t>
  </x:si>
  <x:si>
    <x:t xml:space="preserve">04_기록양식_FM/원본_편집용/033_SH-FM-231-234_SQ보통_양식초안_Rev00_수정본3.xlsx</x:t>
  </x:si>
  <x:si>
    <x:t xml:space="preserve">시트구성 확인 / 5시트</x:t>
  </x:si>
  <x:si>
    <x:t xml:space="preserve">04_기록양식_FM/원본_편집용/034_SH-FM-235_SQ보통_양식초안_Rev00_수정본2.xlsx</x:t>
  </x:si>
  <x:si>
    <x:t xml:space="preserve">04_기록양식_FM/원본_편집용/035_SH-FM-236-244_SQ보통_양식초안_Rev00_수정본3.xlsx</x:t>
  </x:si>
  <x:si>
    <x:t xml:space="preserve">04_기록양식_FM/원본_편집용/036_SH-FM-246-247_SQ낮음_양식초안_Rev00_수정본3.xlsx</x:t>
  </x:si>
  <x:si>
    <x:t xml:space="preserve">04_기록양식_FM/원본_편집용/037_SH-FM-249-253_SQ낮음_양식초안_Rev00_수정본3.xlsx</x:t>
  </x:si>
  <x:si>
    <x:t xml:space="preserve">04_기록양식_FM/원본_편집용/038_SH-FM-254_SQ보통_양식초안_Rev00_수정본3.xlsx</x:t>
  </x:si>
  <x:si>
    <x:t xml:space="preserve">04_기록양식_FM/원본_편집용/039_SH-FM-256_SQ보통_양식초안_Rev00_수정본3.xlsx</x:t>
  </x:si>
  <x:si>
    <x:t xml:space="preserve">04_기록양식_FM/원본_편집용/040_SH-FM-259-261_SQ보통_양식초안_Rev00_수정본3.xlsx</x:t>
  </x:si>
  <x:si>
    <x:t xml:space="preserve">04_기록양식_FM/원본_편집용/041_SH-FM-263_SQ보통_양식초안_Rev00_수정본3.xlsx</x:t>
  </x:si>
  <x:si>
    <x:t xml:space="preserve">04_기록양식_FM/원본_편집용/042_SH-FM-266-268_SQ보통_양식초안_Rev00_수정본3.xlsx</x:t>
  </x:si>
  <x:si>
    <x:t xml:space="preserve">04_기록양식_FM/원본_편집용/043_SH-FM-270-272_SQ보통_양식초안_Rev00_수정본3.xlsx</x:t>
  </x:si>
  <x:si>
    <x:t xml:space="preserve">04_기록양식_FM/원본_편집용/044_SH-FM-274-276_SQ보통_양식초안_Rev00_수정본3.xlsx</x:t>
  </x:si>
  <x:si>
    <x:t xml:space="preserve">04_기록양식_FM/원본_편집용/045_SH-FM-281-291_SQ보통_양식초안_Rev00_수정본3.xlsx</x:t>
  </x:si>
  <x:si>
    <x:t xml:space="preserve">시트구성 확인 / 12시트</x:t>
  </x:si>
  <x:si>
    <x:t xml:space="preserve">04_기록양식_FM/원본_편집용/046_SH-FM-293-307_SQ보통_양식초안_Rev00_수정본3.xlsx</x:t>
  </x:si>
  <x:si>
    <x:t xml:space="preserve">시트구성 확인 / 16시트</x:t>
  </x:si>
  <x:si>
    <x:t xml:space="preserve">04_기록양식_FM/원본_편집용/047_SH-FM-308-311_SQ낮음_양식초안_Rev00_수정본3.xlsx</x:t>
  </x:si>
  <x:si>
    <x:t xml:space="preserve">04_기록양식_FM/원본_편집용/048_SH-FM-312_SQ낮음_양식초안_Rev00_수정본2.xlsx</x:t>
  </x:si>
  <x:si>
    <x:t xml:space="preserve">04_기록양식_FM/원본_편집용/049_SH-FM-313-318_SQ보통_양식초안_Rev00_수정본3.xlsx</x:t>
  </x:si>
  <x:si>
    <x:t xml:space="preserve">시트구성 확인 / 7시트</x:t>
  </x:si>
  <x:si>
    <x:t xml:space="preserve">04_기록양식_FM/원본_편집용/050_SH-FM-320-322_SQ보통_양식초안_Rev00_수정본3.xlsx</x:t>
  </x:si>
  <x:si>
    <x:t xml:space="preserve">04_기록양식_FM/원본_편집용/051_SH-FM-323-326_SQ낮음_양식초안_Rev00_수정본3.xlsx</x:t>
  </x:si>
  <x:si>
    <x:t xml:space="preserve">04_기록양식_FM/원본_편집용/052_SH-FM-327-336_SQ보통_양식초안_Rev00_수정본3.xlsx</x:t>
  </x:si>
  <x:si>
    <x:t xml:space="preserve">04_기록양식_FM/원본_편집용/053_SH-FM-337-345_SQ낮음_양식초안_Rev00_수정본3.xlsx</x:t>
  </x:si>
  <x:si>
    <x:t xml:space="preserve">04_기록양식_FM/원본_편집용/054_SH-FM-347-354_SQ낮음_양식초안_Rev00_수정본3.xlsx</x:t>
  </x:si>
  <x:si>
    <x:t xml:space="preserve">04_기록양식_FM/원본_편집용/055_SH-FM-356_SQ낮음_양식초안_Rev00_수정본3.xlsx</x:t>
  </x:si>
  <x:si>
    <x:t xml:space="preserve">04_기록양식_FM/원본_편집용/056_SH-FM-357-362_SQ보통_양식초안_Rev00_수정본3.xlsx</x:t>
  </x:si>
  <x:si>
    <x:t xml:space="preserve">04_기록양식_FM/원본_편집용/057_SH-FM-363_기록인계대장_Rev00_수정본12.xlsx</x:t>
  </x:si>
  <x:si>
    <x:t xml:space="preserve">04_기록양식_FM/원본_편집용/058_SH-FM-364_백업복구점검기록_Rev00_수정본12.xlsx</x:t>
  </x:si>
  <x:si>
    <x:t xml:space="preserve">04_기록양식_FM/원본_편집용/059_SH-FM-365_공급자신규평가표_Rev00_수정본2.xlsx</x:t>
  </x:si>
  <x:si>
    <x:t xml:space="preserve">04_기록양식_FM/원본_편집용/060_SH-FM-366_공급자정기평가표_Rev00_수정본2.xlsx</x:t>
  </x:si>
  <x:si>
    <x:t xml:space="preserve">04_기록양식_FM/원본_편집용/061_SH-FM-367_용접부자재관리대장_Rev00_수정본4.xlsx</x:t>
  </x:si>
  <x:si>
    <x:t xml:space="preserve">04_기록양식_FM/원본_편집용/062_SH-FM-368_사내자재코드표_Rev00_수정본2.xlsx</x:t>
  </x:si>
  <x:si>
    <x:t xml:space="preserve">FM 참조 연결과 추가 확인</x:t>
  </x:si>
  <x:si>
    <x:t xml:space="preserve">식별자 직접 매칭이 안 된 경우에도 양식 부재로 단정하지 않습니다. 범위표현·별도 원본·대체양식을 확인하고 근거를 입력합니다.</x:t>
  </x:si>
  <x:si>
    <x:t xml:space="preserve">FM번호</x:t>
  </x:si>
  <x:si>
    <x:t xml:space="preserve">참조문서 수</x:t>
  </x:si>
  <x:si>
    <x:t xml:space="preserve">참조 문서 표본</x:t>
  </x:si>
  <x:si>
    <x:t xml:space="preserve">식별 연결된 워크북</x:t>
  </x:si>
  <x:si>
    <x:t xml:space="preserve">대조 상태</x:t>
  </x:si>
  <x:si>
    <x:t xml:space="preserve">판정 범위</x:t>
  </x:si>
  <x:si>
    <x:t xml:space="preserve">추가 확인 근거</x:t>
  </x:si>
  <x:si>
    <x:t xml:space="preserve">SH-FM-001</x:t>
  </x:si>
  <x:si>
    <x:t xml:space="preserve">002_SH-QP-002_문서화된정보관리절차서_Rev03_수정본8.docx
021_SH-QP-021_품질목표및KPI관리절차서_Rev03_수정본2.docx
001_SH-QM-001_품질경영매뉴얼_Rev03_수정본7.docx
외 1개</x:t>
  </x:si>
  <x:si>
    <x:t xml:space="preserve">제목・시트명·파일명에서 직접 매칭되지 않음</x:t>
  </x:si>
  <x:si>
    <x:t xml:space="preserve">실물 대조 필요</x:t>
  </x:si>
  <x:si>
    <x:t xml:space="preserve">연결은 양식 식별 기준이며 실제 작성·승인 확인과 별개</x:t>
  </x:si>
  <x:si>
    <x:t xml:space="preserve">SH-FM-013</x:t>
  </x:si>
  <x:si>
    <x:t xml:space="preserve">SH_QMS_통합문서_Rev03_20260929_수정본16.docx</x:t>
  </x:si>
  <x:si>
    <x:t xml:space="preserve">SH-FM-015</x:t>
  </x:si>
  <x:si>
    <x:t xml:space="preserve">SH-FM-018</x:t>
  </x:si>
  <x:si>
    <x:t xml:space="preserve">SH-FM-025</x:t>
  </x:si>
  <x:si>
    <x:t xml:space="preserve">SH-FM-026</x:t>
  </x:si>
  <x:si>
    <x:t xml:space="preserve">SH-FM-027</x:t>
  </x:si>
  <x:si>
    <x:t xml:space="preserve">SH-FM-028</x:t>
  </x:si>
  <x:si>
    <x:t xml:space="preserve">SH-FM-041</x:t>
  </x:si>
  <x:si>
    <x:t xml:space="preserve">SH-FM-043</x:t>
  </x:si>
  <x:si>
    <x:t xml:space="preserve">SH-FM-044</x:t>
  </x:si>
  <x:si>
    <x:t xml:space="preserve">SH-FM-051</x:t>
  </x:si>
  <x:si>
    <x:t xml:space="preserve">SH-FM-052</x:t>
  </x:si>
  <x:si>
    <x:t xml:space="preserve">022_SH-WI-022_변경초기유동및강화검사작업표준_Rev03_수정본2.docx
SH_QMS_통합문서_Rev03_20260929_수정본16.docx</x:t>
  </x:si>
  <x:si>
    <x:t xml:space="preserve">SH-FM-058</x:t>
  </x:si>
  <x:si>
    <x:t xml:space="preserve">SH-FM-059</x:t>
  </x:si>
  <x:si>
    <x:t xml:space="preserve">SH-FM-065</x:t>
  </x:si>
  <x:si>
    <x:t xml:space="preserve">SH-FM-066</x:t>
  </x:si>
  <x:si>
    <x:t xml:space="preserve">022_SH-QP-022_제품안전관리절차서_Rev03_수정본2.docx
SH_QMS_통합문서_Rev03_20260929_수정본16.docx</x:t>
  </x:si>
  <x:si>
    <x:t xml:space="preserve">002_SH-FM-066-069_078-080_094_096_공식양식_Rev00_수정본2.xlsx</x:t>
  </x:si>
  <x:si>
    <x:t xml:space="preserve">식별 연결 확인</x:t>
  </x:si>
  <x:si>
    <x:t xml:space="preserve">SH-FM-067</x:t>
  </x:si>
  <x:si>
    <x:t xml:space="preserve">SH-FM-068</x:t>
  </x:si>
  <x:si>
    <x:t xml:space="preserve">SH-FM-069</x:t>
  </x:si>
  <x:si>
    <x:t xml:space="preserve">SH-FM-070</x:t>
  </x:si>
  <x:si>
    <x:t xml:space="preserve">SH-FM-071</x:t>
  </x:si>
  <x:si>
    <x:t xml:space="preserve">003_SH-WI-003_부적합품식별·격리및재작업표준_Rev03_수정본2.docx
SH_QMS_통합문서_Rev03_20260929_수정본16.docx</x:t>
  </x:si>
  <x:si>
    <x:t xml:space="preserve">003_SH-FM-071_부적합품관련관리기록_Rev00_수정본4.xlsx</x:t>
  </x:si>
  <x:si>
    <x:t xml:space="preserve">SH-FM-072</x:t>
  </x:si>
  <x:si>
    <x:t xml:space="preserve">SH-FM-078</x:t>
  </x:si>
  <x:si>
    <x:t xml:space="preserve">023_SH-QP-023_통계적공정관리(SPC)절차서_Rev03_수정본2.docx
SH_QMS_통합문서_Rev03_20260929_수정본16.docx</x:t>
  </x:si>
  <x:si>
    <x:t xml:space="preserve">SH-FM-079</x:t>
  </x:si>
  <x:si>
    <x:t xml:space="preserve">SH-FM-080</x:t>
  </x:si>
  <x:si>
    <x:t xml:space="preserve">SH-FM-089</x:t>
  </x:si>
  <x:si>
    <x:t xml:space="preserve">SH-FM-094</x:t>
  </x:si>
  <x:si>
    <x:t xml:space="preserve">024_SH-QP-024_품질비용및지속적개선절차서_Rev03_수정본2.docx
SH_QMS_통합문서_Rev03_20260929_수정본16.docx</x:t>
  </x:si>
  <x:si>
    <x:t xml:space="preserve">SH-FM-096</x:t>
  </x:si>
  <x:si>
    <x:t xml:space="preserve">SH-FM-101</x:t>
  </x:si>
  <x:si>
    <x:t xml:space="preserve">018_SH-QP-018_식별및추적성관리절차서_Rev03_수정본18.docx</x:t>
  </x:si>
  <x:si>
    <x:t xml:space="preserve">004_SH-FM-101-121_현장작성양식_Rev03_수정본11.xlsx</x:t>
  </x:si>
  <x:si>
    <x:t xml:space="preserve">SH-FM-102</x:t>
  </x:si>
  <x:si>
    <x:t xml:space="preserve">018_SH-QP-018_식별및추적성관리절차서_Rev03_수정본18.docx
005_SH-WI-005_제품식별·LOT추적및출하표준_Rev03_수정본2.docx
SH_QMS_통합문서_Rev03_20260929_수정본16.docx</x:t>
  </x:si>
  <x:si>
    <x:t xml:space="preserve">SH-FM-104</x:t>
  </x:si>
  <x:si>
    <x:t xml:space="preserve">SH-FM-106</x:t>
  </x:si>
  <x:si>
    <x:t xml:space="preserve">001_SH-WI-001_생산작업준비및초품확인표준_Rev03_수정본2.docx
SH_QMS_통합문서_Rev03_20260929_수정본16.docx</x:t>
  </x:si>
  <x:si>
    <x:t xml:space="preserve">SH-FM-117</x:t>
  </x:si>
  <x:si>
    <x:t xml:space="preserve">002_SH-WI-002_공정검사및특수특성관리표준_Rev03_수정본2.docx
SH_QMS_통합문서_Rev03_20260929_수정본16.docx</x:t>
  </x:si>
  <x:si>
    <x:t xml:space="preserve">SH-FM-138</x:t>
  </x:si>
  <x:si>
    <x:t xml:space="preserve">012_SH-QP-012_생산및공정관리절차서_Rev03_수정본2.docx
SH_QMS_통합문서_Rev03_20260929_수정본16.docx</x:t>
  </x:si>
  <x:si>
    <x:t xml:space="preserve">010_SH-FM-138-140_SQ보통_양식초안_Rev00_수정본3.xlsx</x:t>
  </x:si>
  <x:si>
    <x:t xml:space="preserve">SH-FM-143</x:t>
  </x:si>
  <x:si>
    <x:t xml:space="preserve">011_SH-FM-142-143_SQ보통_양식초안_Rev00_수정본3.xlsx</x:t>
  </x:si>
  <x:si>
    <x:t xml:space="preserve">SH-FM-149</x:t>
  </x:si>
  <x:si>
    <x:t xml:space="preserve">011_SH-WI-011_공정조건설정및변경관리표준_Rev03_수정본2.docx
SH_QMS_통합문서_Rev03_20260929_수정본16.docx</x:t>
  </x:si>
  <x:si>
    <x:t xml:space="preserve">015_SH-FM-149-151_SQ높음_양식초안_Rev00_수정본3.xlsx</x:t>
  </x:si>
  <x:si>
    <x:t xml:space="preserve">SH-FM-150</x:t>
  </x:si>
  <x:si>
    <x:t xml:space="preserve">SH-FM-151</x:t>
  </x:si>
  <x:si>
    <x:t xml:space="preserve">SH-FM-165</x:t>
  </x:si>
  <x:si>
    <x:t xml:space="preserve">013_SH-QP-013_검사및시험관리절차서_Rev03_수정본2.docx
SH_QMS_통합문서_Rev03_20260929_수정본16.docx</x:t>
  </x:si>
  <x:si>
    <x:t xml:space="preserve">017_SH-FM-160-166_SQ보통_양식초안_Rev00_수정본3.xlsx</x:t>
  </x:si>
  <x:si>
    <x:t xml:space="preserve">SH-FM-190</x:t>
  </x:si>
  <x:si>
    <x:t xml:space="preserve">017_SH-WI-017_청정도및이물관리작업표준_Rev03_수정본2.docx
SH_QMS_통합문서_Rev03_20260929_수정본16.docx</x:t>
  </x:si>
  <x:si>
    <x:t xml:space="preserve">023_SH-FM-190_SQ높음_양식초안_Rev00_수정본3.xlsx</x:t>
  </x:si>
  <x:si>
    <x:t xml:space="preserve">SH-FM-200</x:t>
  </x:si>
  <x:si>
    <x:t xml:space="preserve">026_SH-FM-200-201_SQ높음_양식초안_Rev00_수정본3.xlsx</x:t>
  </x:si>
  <x:si>
    <x:t xml:space="preserve">SH-FM-201</x:t>
  </x:si>
  <x:si>
    <x:t xml:space="preserve">SH-FM-203</x:t>
  </x:si>
  <x:si>
    <x:t xml:space="preserve">027_SH-FM-203-204_SQ높음_양식초안_Rev00_수정본3.xlsx</x:t>
  </x:si>
  <x:si>
    <x:t xml:space="preserve">SH-FM-204</x:t>
  </x:si>
  <x:si>
    <x:t xml:space="preserve">SH-FM-220</x:t>
  </x:si>
  <x:si>
    <x:t xml:space="preserve">016_SH-WI-016_예방보전및설비점검작업표준_Rev03_수정본2.docx
SH_QMS_통합문서_Rev03_20260929_수정본16.docx</x:t>
  </x:si>
  <x:si>
    <x:t xml:space="preserve">029_SH-FM-211-220_SQ보통_양식초안_Rev00_수정본3.xlsx</x:t>
  </x:si>
  <x:si>
    <x:t xml:space="preserve">SH-FM-225</x:t>
  </x:si>
  <x:si>
    <x:t xml:space="preserve">031_SH-FM-225_SQ보통_양식초안_Rev00_수정본3.xlsx</x:t>
  </x:si>
  <x:si>
    <x:t xml:space="preserve">SH-FM-231</x:t>
  </x:si>
  <x:si>
    <x:t xml:space="preserve">033_SH-FM-231-234_SQ보통_양식초안_Rev00_수정본3.xlsx</x:t>
  </x:si>
  <x:si>
    <x:t xml:space="preserve">SH-FM-232</x:t>
  </x:si>
  <x:si>
    <x:t xml:space="preserve">SH-FM-233</x:t>
  </x:si>
  <x:si>
    <x:t xml:space="preserve">SH-FM-234</x:t>
  </x:si>
  <x:si>
    <x:t xml:space="preserve">SH-FM-281</x:t>
  </x:si>
  <x:si>
    <x:t xml:space="preserve">019_SH-QP-019_보관·포장및출하관리절차서_Rev03_수정본2.docx
SH_QMS_통합문서_Rev03_20260929_수정본16.docx</x:t>
  </x:si>
  <x:si>
    <x:t xml:space="preserve">045_SH-FM-281-291_SQ보통_양식초안_Rev00_수정본3.xlsx</x:t>
  </x:si>
  <x:si>
    <x:t xml:space="preserve">SH-FM-282</x:t>
  </x:si>
  <x:si>
    <x:t xml:space="preserve">SH-FM-288</x:t>
  </x:si>
  <x:si>
    <x:t xml:space="preserve">001_SH-QM-001_품질경영매뉴얼_Rev03_수정본7.docx
SH_QMS_통합문서_Rev03_20260929_수정본16.docx</x:t>
  </x:si>
  <x:si>
    <x:t xml:space="preserve">SH-FM-289</x:t>
  </x:si>
  <x:si>
    <x:t xml:space="preserve">SH-FM-292</x:t>
  </x:si>
  <x:si>
    <x:t xml:space="preserve">SH-FM-293</x:t>
  </x:si>
  <x:si>
    <x:t xml:space="preserve">046_SH-FM-293-307_SQ보통_양식초안_Rev00_수정본3.xlsx</x:t>
  </x:si>
  <x:si>
    <x:t xml:space="preserve">SH-FM-296</x:t>
  </x:si>
  <x:si>
    <x:t xml:space="preserve">SH-FM-298</x:t>
  </x:si>
  <x:si>
    <x:t xml:space="preserve">SH-FM-303</x:t>
  </x:si>
  <x:si>
    <x:t xml:space="preserve">002_SH-QP-002_문서화된정보관리절차서_Rev03_수정본8.docx
SH_QMS_통합문서_Rev03_20260929_수정본16.docx</x:t>
  </x:si>
  <x:si>
    <x:t xml:space="preserve">SH-FM-313</x:t>
  </x:si>
  <x:si>
    <x:t xml:space="preserve">006_SH-QP-006_교육훈련및역량관리절차서_Rev03_수정본2.docx
SH_QMS_통합문서_Rev03_20260929_수정본16.docx</x:t>
  </x:si>
  <x:si>
    <x:t xml:space="preserve">049_SH-FM-313-318_SQ보통_양식초안_Rev00_수정본3.xlsx</x:t>
  </x:si>
  <x:si>
    <x:t xml:space="preserve">SH-FM-316</x:t>
  </x:si>
  <x:si>
    <x:t xml:space="preserve">007_SH-WI-007_검사구및GaugeR&amp;R수행표준_Rev03_수정본2.docx
SH_QMS_통합문서_Rev03_20260929_수정본16.docx</x:t>
  </x:si>
  <x:si>
    <x:t xml:space="preserve">SH-FM-317</x:t>
  </x:si>
  <x:si>
    <x:t xml:space="preserve">SH-FM-336</x:t>
  </x:si>
  <x:si>
    <x:t xml:space="preserve">016_SH-QP-016_시정조치및문제해결절차서_Rev03_수정본2.docx
SH_QMS_통합문서_Rev03_20260929_수정본16.docx</x:t>
  </x:si>
  <x:si>
    <x:t xml:space="preserve">052_SH-FM-327-336_SQ보통_양식초안_Rev00_수정본3.xlsx</x:t>
  </x:si>
  <x:si>
    <x:t xml:space="preserve">SH-FM-337</x:t>
  </x:si>
  <x:si>
    <x:t xml:space="preserve">053_SH-FM-337-345_SQ낮음_양식초안_Rev00_수정본3.xlsx</x:t>
  </x:si>
  <x:si>
    <x:t xml:space="preserve">SH-FM-339</x:t>
  </x:si>
  <x:si>
    <x:t xml:space="preserve">SH-FM-340</x:t>
  </x:si>
  <x:si>
    <x:t xml:space="preserve">SH-FM-343</x:t>
  </x:si>
  <x:si>
    <x:t xml:space="preserve">021_SH-WI-021_공정감사및LayeredProcessAudit실행표준_Rev03_수정본2.docx
SH_QMS_통합문서_Rev03_20260929_수정본16.docx</x:t>
  </x:si>
  <x:si>
    <x:t xml:space="preserve">SH-FM-345</x:t>
  </x:si>
  <x:si>
    <x:t xml:space="preserve">SH-FM-348</x:t>
  </x:si>
  <x:si>
    <x:t xml:space="preserve">054_SH-FM-347-354_SQ낮음_양식초안_Rev00_수정본3.xlsx</x:t>
  </x:si>
  <x:si>
    <x:t xml:space="preserve">SH-FM-357</x:t>
  </x:si>
  <x:si>
    <x:t xml:space="preserve">056_SH-FM-357-362_SQ보통_양식초안_Rev00_수정본3.xlsx</x:t>
  </x:si>
  <x:si>
    <x:t xml:space="preserve">SH-FM-358</x:t>
  </x:si>
  <x:si>
    <x:t xml:space="preserve">SH-FM-359</x:t>
  </x:si>
  <x:si>
    <x:t xml:space="preserve">SH-FM-360</x:t>
  </x:si>
  <x:si>
    <x:t xml:space="preserve">SH-FM-362</x:t>
  </x:si>
  <x:si>
    <x:t xml:space="preserve">SH-FM-363</x:t>
  </x:si>
  <x:si>
    <x:t xml:space="preserve">057_SH-FM-363_기록인계대장_Rev00_수정본12.xlsx</x:t>
  </x:si>
  <x:si>
    <x:t xml:space="preserve">SH-FM-364</x:t>
  </x:si>
  <x:si>
    <x:t xml:space="preserve">058_SH-FM-364_백업복구점검기록_Rev00_수정본12.xlsx</x:t>
  </x:si>
  <x:si>
    <x:t xml:space="preserve">SH-FM-365</x:t>
  </x:si>
  <x:si>
    <x:t xml:space="preserve">059_SH-FM-365_공급자신규평가표_Rev00_수정본2.xlsx</x:t>
  </x:si>
  <x:si>
    <x:t xml:space="preserve">SH-FM-366</x:t>
  </x:si>
  <x:si>
    <x:t xml:space="preserve">060_SH-FM-366_공급자정기평가표_Rev00_수정본2.xlsx</x:t>
  </x:si>
  <x:si>
    <x:t xml:space="preserve">비용과 지급일 확인</x:t>
  </x:si>
  <x:si>
    <x:t xml:space="preserve">청구서 NQA202610-2101(2026-10-21) 및 기안 작성본 기준. 숙박비·수수료는 별도이며 실제 지급·승인 근거가 필요합니다.</x:t>
  </x:si>
  <x:si>
    <x:t xml:space="preserve">항목</x:t>
  </x:si>
  <x:si>
    <x:t xml:space="preserve">금액·입력값</x:t>
  </x:si>
  <x:si>
    <x:t xml:space="preserve">조건·근거</x:t>
  </x:si>
  <x:si>
    <x:t xml:space="preserve">기획검토 비용</x:t>
  </x:si>
  <x:si>
    <x:t xml:space="preserve">청구 확인</x:t>
  </x:si>
  <x:si>
    <x:t xml:space="preserve">사후심사 비용</x:t>
  </x:si>
  <x:si>
    <x:t xml:space="preserve">등록 유지비</x:t>
  </x:si>
  <x:si>
    <x:t xml:space="preserve">출장비</x:t>
  </x:si>
  <x:si>
    <x:t xml:space="preserve">심사비 네고</x:t>
  </x:si>
  <x:si>
    <x:t xml:space="preserve">차감</x:t>
  </x:si>
  <x:si>
    <x:t xml:space="preserve">공급가액</x:t>
  </x:si>
  <x:si>
    <x:t xml:space="preserve">세부항목 합계</x:t>
  </x:si>
  <x:si>
    <x:t xml:space="preserve">VAT</x:t>
  </x:si>
  <x:si>
    <x:t xml:space="preserve">10%</x:t>
  </x:si>
  <x:si>
    <x:t xml:space="preserve">청구 총액</x:t>
  </x:si>
  <x:si>
    <x:t xml:space="preserve">VAT 포함</x:t>
  </x:si>
  <x:si>
    <x:t xml:space="preserve">숙박비</x:t>
  </x:si>
  <x:si>
    <x:t xml:space="preserve">실제 필요·금액 확인</x:t>
  </x:si>
  <x:si>
    <x:t xml:space="preserve">이체수수료</x:t>
  </x:si>
  <x:si>
    <x:t xml:space="preserve">실제 금액 확인</x:t>
  </x:si>
  <x:si>
    <x:t xml:space="preserve">심사 시작일</x:t>
  </x:si>
  <x:si>
    <x:t xml:space="preserve">일정통보서 기준 입력</x:t>
  </x:si>
  <x:si>
    <x:t xml:space="preserve">지급기한</x:t>
  </x:si>
  <x:si>
    <x:t xml:space="preserve">시작일 7일 전</x:t>
  </x:si>
  <x:si>
    <x:t xml:space="preserve">실제 지급일</x:t>
  </x:si>
  <x:si>
    <x:t xml:space="preserve">실제 송금일 입력</x:t>
  </x:si>
  <x:si>
    <x:t xml:space="preserve">지급·승인 근거</x:t>
  </x:si>
  <x:si>
    <x:t xml:space="preserve">결재·세금계산서·전표 경로</x:t>
  </x:si>
  <x:si>
    <x:t xml:space="preserve">지급기한 상태</x:t>
  </x:si>
  <x:si>
    <x:t xml:space="preserve">실제 지급근거와 함께 검토</x:t>
  </x:si>
</x:sst>
</file>

<file path=xl/styles.xml><?xml version="1.0" encoding="utf-8"?>
<x:styleSheet xmlns:x="http://schemas.openxmlformats.org/spreadsheetml/2006/main">
  <x:numFmts count="4">
    <x:numFmt numFmtId="176" formatCode="yyyy\-mm\-dd"/>
    <x:numFmt numFmtId="200" formatCode="yyyy-mm-dd"/>
    <x:numFmt numFmtId="201" formatCode="yyyy-mm-dd hh:mm"/>
    <x:numFmt numFmtId="202" formatCode="0.0"/>
  </x:numFmts>
  <x:fonts count="8">
    <x:font>
      <x:sz val="11"/>
      <x:name val="Carlito"/>
    </x:font>
    <x:font>
      <x:sz val="13"/>
      <x:color rgb="FF172B40"/>
      <x:name val="NanumGothic"/>
    </x:font>
    <x:font>
      <x:b/>
      <x:sz val="22"/>
      <x:color rgb="FF17365D"/>
      <x:name val="NanumGothic"/>
    </x:font>
    <x:font>
      <x:b/>
      <x:sz val="13"/>
      <x:color rgb="FFFFFFFF"/>
      <x:name val="NanumGothic"/>
    </x:font>
    <x:font>
      <x:sz val="13"/>
      <x:name val="NanumGothic"/>
    </x:font>
    <x:font>
      <x:sz val="11"/>
      <x:name val="Carlito"/>
      <x:family val="2"/>
    </x:font>
    <x:font>
      <x:b/>
      <x:sz val="13"/>
      <x:color theme="0"/>
      <x:name val="NanumGothic"/>
    </x:font>
    <x:font>
      <x:sz val="8"/>
      <x:name val="돋움"/>
      <x:family val="3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1F5F9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1F5F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5" fillId="0" borderId="0"/>
  </x:cellStyleXfs>
  <x:cellXfs count="32">
    <x:xf numFmtId="0" fontId="0" fillId="0" borderId="0" xfId="0"/>
    <x:xf numFmtId="0" fontId="1" fillId="0" borderId="0" xfId="1" applyFont="1" applyAlignment="1">
      <x:alignment vertical="center"/>
    </x:xf>
    <x:xf numFmtId="0" fontId="2" fillId="0" borderId="0" xfId="1" applyFont="1" applyAlignment="1">
      <x:alignment vertical="center"/>
    </x:xf>
    <x:xf numFmtId="0" fontId="3" fillId="2" borderId="0" xfId="1" applyFont="1" applyFill="1" applyAlignment="1">
      <x:alignment horizontal="center" vertical="center" wrapText="1"/>
    </x:xf>
    <x:xf numFmtId="0" fontId="3" fillId="2" borderId="1" xfId="1" applyFont="1" applyFill="1" applyBorder="1" applyAlignment="1">
      <x:alignment horizontal="center" vertical="center" wrapText="1"/>
    </x:xf>
    <x:xf numFmtId="0" fontId="1" fillId="0" borderId="1" xfId="1" applyFont="1" applyBorder="1" applyAlignment="1">
      <x:alignment vertical="center" wrapText="1"/>
    </x:xf>
    <x:xf numFmtId="0" fontId="1" fillId="3" borderId="1" xfId="1" applyFont="1" applyFill="1" applyBorder="1" applyAlignment="1">
      <x:alignment vertical="center" wrapText="1"/>
    </x:xf>
    <x:xf numFmtId="0" fontId="4" fillId="4" borderId="1" xfId="1" applyFont="1" applyFill="1" applyBorder="1" applyAlignment="1">
      <x:alignment horizontal="center" vertical="center"/>
    </x:xf>
    <x:xf numFmtId="0" fontId="4" fillId="0" borderId="1" xfId="1" applyFont="1" applyBorder="1" applyAlignment="1">
      <x:alignment horizontal="center" vertical="center"/>
    </x:xf>
    <x:xf numFmtId="0" fontId="1" fillId="0" borderId="1" xfId="1" applyFont="1" applyBorder="1" applyAlignment="1">
      <x:alignment horizontal="center" vertical="center" wrapText="1"/>
    </x:xf>
    <x:xf numFmtId="0" fontId="1" fillId="5" borderId="1" xfId="1" applyFont="1" applyFill="1" applyBorder="1" applyAlignment="1">
      <x:alignment horizontal="center" vertical="center" wrapText="1"/>
    </x:xf>
    <x:xf numFmtId="176" fontId="1" fillId="5" borderId="1" xfId="1" applyNumberFormat="1" applyFont="1" applyFill="1" applyBorder="1" applyAlignment="1">
      <x:alignment horizontal="center" vertical="center" wrapText="1"/>
    </x:xf>
    <x:xf numFmtId="0" fontId="1" fillId="3" borderId="1" xfId="1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1" applyFont="1" applyFill="1" applyBorder="1" applyAlignment="1">
      <x:alignment horizontal="center" vertical="center"/>
    </x:xf>
    <x:xf numFmtId="176" fontId="0" fillId="5" borderId="1" xfId="1" applyNumberFormat="1" applyFont="1" applyFill="1" applyBorder="1" applyAlignment="1">
      <x:alignment horizontal="center" vertical="center"/>
    </x:xf>
    <x:xf numFmtId="3" fontId="1" fillId="0" borderId="1" xfId="1" applyNumberFormat="1" applyFont="1" applyBorder="1" applyAlignment="1">
      <x:alignment horizontal="center" vertical="center" wrapText="1"/>
    </x:xf>
    <x:xf numFmtId="3" fontId="1" fillId="3" borderId="1" xfId="1" applyNumberFormat="1" applyFont="1" applyFill="1" applyBorder="1" applyAlignment="1">
      <x:alignment horizontal="center" vertical="center" wrapText="1"/>
    </x:xf>
    <x:xf numFmtId="3" fontId="1" fillId="5" borderId="1" xfId="1" applyNumberFormat="1" applyFont="1" applyFill="1" applyBorder="1" applyAlignment="1">
      <x:alignment horizontal="center" vertical="center" wrapText="1"/>
    </x:xf>
    <x:xf numFmtId="176" fontId="1" fillId="3" borderId="1" xfId="1" applyNumberFormat="1" applyFont="1" applyFill="1" applyBorder="1" applyAlignment="1">
      <x:alignment horizontal="center" vertical="center" wrapText="1"/>
    </x:xf>
    <x:xf numFmtId="0" fontId="6" fillId="2" borderId="1" xfId="1" applyFont="1" applyFill="1" applyBorder="1" applyAlignment="1">
      <x:alignment horizontal="center" vertical="center" wrapText="1"/>
    </x:xf>
    <x:xf numFmtId="176" fontId="4" fillId="6" borderId="1" xfId="0" applyNumberFormat="1" applyFont="1" applyFill="1" applyBorder="1" applyAlignment="1">
      <x:alignment horizontal="center" vertical="center"/>
    </x:xf>
    <x:xf numFmtId="176" fontId="1" fillId="6" borderId="1" xfId="0" applyNumberFormat="1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201" fontId="1" fillId="7" borderId="1" xfId="0" applyNumberFormat="1" applyFont="1" applyFill="1" applyBorder="1" applyAlignment="1">
      <x:alignment horizontal="center" vertical="center" wrapText="1"/>
    </x:xf>
    <x:xf numFmtId="202" fontId="1" fillId="7" borderId="1" xfId="0" applyNumberFormat="1" applyFont="1" applyFill="1" applyBorder="1" applyAlignment="1">
      <x:alignment horizontal="center" vertical="center" wrapText="1"/>
    </x:xf>
    <x:xf numFmtId="202" fontId="1" fillId="8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43288a79f4364" /><Relationship Type="http://schemas.openxmlformats.org/officeDocument/2006/relationships/theme" Target="/xl/theme/theme1.xml" Id="Rfd38314001f04182" /><Relationship Type="http://schemas.openxmlformats.org/officeDocument/2006/relationships/sharedStrings" Target="/xl/sharedStrings.xml" Id="Rde6f41d56e144b0f" /><Relationship Type="http://schemas.openxmlformats.org/officeDocument/2006/relationships/worksheet" Target="/xl/worksheets/sheet1.xml" Id="R0435970b6e484abe" /><Relationship Type="http://schemas.openxmlformats.org/officeDocument/2006/relationships/worksheet" Target="/xl/worksheets/sheet2.xml" Id="Rdaa9d05b6b144bb2" /><Relationship Type="http://schemas.openxmlformats.org/officeDocument/2006/relationships/worksheet" Target="/xl/worksheets/sheet3.xml" Id="Rc92075375177433b" /><Relationship Type="http://schemas.openxmlformats.org/officeDocument/2006/relationships/worksheet" Target="/xl/worksheets/sheet4.xml" Id="R4ed503492d5e4881" /><Relationship Type="http://schemas.openxmlformats.org/officeDocument/2006/relationships/worksheet" Target="/xl/worksheets/sheet5.xml" Id="R3fa04403e4bd47bc" /><Relationship Type="http://schemas.openxmlformats.org/officeDocument/2006/relationships/worksheet" Target="/xl/worksheets/sheet6.xml" Id="R1f0299da3a334be9" /><Relationship Type="http://schemas.openxmlformats.org/officeDocument/2006/relationships/worksheet" Target="/xl/worksheets/sheet7.xml" Id="R1a857218fa23427d" /><Relationship Type="http://schemas.openxmlformats.org/officeDocument/2006/relationships/worksheet" Target="/xl/worksheets/sheet8.xml" Id="R5aea5d1614794283" /><Relationship Type="http://schemas.openxmlformats.org/officeDocument/2006/relationships/worksheet" Target="/xl/worksheets/sheet9.xml" Id="Rab68fc2755034b0e" /><Relationship Type="http://schemas.openxmlformats.org/officeDocument/2006/relationships/worksheet" Target="/xl/worksheets/sheet10.xml" Id="R8efcfb82bf88462d" /><Relationship Type="http://schemas.openxmlformats.org/officeDocument/2006/relationships/worksheet" Target="/xl/worksheets/sheet11.xml" Id="R92d5b08021dd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sheetViews xmlns="http://schemas.openxmlformats.org/spreadsheetml/2006/main">
    <sheetView showGridLines="0" topLeftCell="A10" workbookViewId="0">
      <selection activeCell="B33" sqref="B33"/>
    </sheetView>
  </sheetViews>
  <x:sheetFormatPr defaultRowHeight="15"/>
  <x:cols>
    <x:col min="1" max="1" width="22" customWidth="1"/>
    <x:col min="2" max="2" width="88" customWidth="1"/>
    <x:col min="3" max="3" width="100" customWidth="1"/>
  </x:cols>
  <x:sheetData>
    <x:row r="1" ht="15.75">
      <x:c r="A1" s="1"/>
      <x:c r="B1" s="1"/>
      <x:c r="C1" s="1"/>
    </x:row>
    <x:row r="2" ht="33.95000076293945" customHeight="1">
      <x:c r="A2" s="2" t="s">
        <x:v>0</x:v>
      </x:c>
      <x:c r="B2" s="1"/>
      <x:c r="C2" s="1"/>
    </x:row>
    <x:row r="3" ht="27.950000762939453" customHeight="1">
      <x:c r="A3" s="1" t="str">
        <x:v>(주)신화에이치앤티   담당자·목표일 반영 및 증빙취합·실습계획   2026-10-27   Rev.02</x:v>
      </x:c>
      <x:c r="B3" s="1"/>
      <x:c r="C3" s="1"/>
    </x:row>
    <x:row r="4" ht="15.75">
      <x:c r="A4" s="1"/>
      <x:c r="B4" s="1"/>
      <x:c r="C4" s="1"/>
    </x:row>
    <x:row r="5" ht="33.95000076293945" customHeight="1">
      <x:c r="A5" s="4" t="s">
        <x:v>1</x:v>
      </x:c>
      <x:c r="B5" s="4" t="s">
        <x:v>2</x:v>
      </x:c>
      <x:c r="C5" s="4" t="s">
        <x:v>3</x:v>
      </x:c>
    </x:row>
    <x:row r="6" ht="34.5" customHeight="1">
      <x:c r="A6" s="5" t="s">
        <x:v>4</x:v>
      </x:c>
      <x:c r="B6" s="5" t="s">
        <x:v>5</x:v>
      </x:c>
      <x:c r="C6" s="5" t="s">
        <x:v>6</x:v>
      </x:c>
    </x:row>
    <x:row r="7" ht="34.5" customHeight="1">
      <x:c r="A7" s="6" t="s">
        <x:v>7</x:v>
      </x:c>
      <x:c r="B7" s="6" t="s">
        <x:v>8</x:v>
      </x:c>
      <x:c r="C7" s="6" t="s">
        <x:v>9</x:v>
      </x:c>
    </x:row>
    <x:row r="8" ht="34.5" customHeight="1">
      <x:c r="A8" s="5" t="s">
        <x:v>10</x:v>
      </x:c>
      <x:c r="B8" s="5" t="s">
        <x:v>11</x:v>
      </x:c>
      <x:c r="C8" s="5" t="s">
        <x:v>12</x:v>
      </x:c>
    </x:row>
    <x:row r="9" ht="34.5" customHeight="1">
      <x:c r="A9" s="6" t="s">
        <x:v>13</x:v>
      </x:c>
      <x:c r="B9" s="6" t="s">
        <x:v>14</x:v>
      </x:c>
      <x:c r="C9" s="6" t="s">
        <x:v>15</x:v>
      </x:c>
    </x:row>
    <x:row r="10" ht="34.5" customHeight="1">
      <x:c r="A10" s="5" t="s">
        <x:v>16</x:v>
      </x:c>
      <x:c r="B10" s="5" t="s">
        <x:v>17</x:v>
      </x:c>
      <x:c r="C10" s="5" t="s">
        <x:v>18</x:v>
      </x:c>
    </x:row>
    <x:row r="11" ht="34.5" customHeight="1">
      <x:c r="A11" s="6" t="s">
        <x:v>19</x:v>
      </x:c>
      <x:c r="B11" s="6" t="s">
        <x:v>20</x:v>
      </x:c>
      <x:c r="C11" s="6" t="s">
        <x:v>21</x:v>
      </x:c>
    </x:row>
    <x:row r="12" ht="34.5" customHeight="1">
      <x:c r="A12" s="5" t="s">
        <x:v>22</x:v>
      </x:c>
      <x:c r="B12" s="5" t="s">
        <x:v>23</x:v>
      </x:c>
      <x:c r="C12" s="5" t="s">
        <x:v>24</x:v>
      </x:c>
    </x:row>
    <x:row r="13" ht="34.5" customHeight="1">
      <x:c r="A13" s="6" t="s">
        <x:v>25</x:v>
      </x:c>
      <x:c r="B13" s="6" t="s">
        <x:v>26</x:v>
      </x:c>
      <x:c r="C13" s="6" t="s">
        <x:v>27</x:v>
      </x:c>
    </x:row>
    <x:row r="14" ht="15.75">
      <x:c r="A14" s="1"/>
      <x:c r="B14" s="1"/>
      <x:c r="C14" s="1"/>
    </x:row>
    <x:row r="16" ht="32.099998474121094" customHeight="1">
      <x:c r="A16" s="7" t="s">
        <x:v>28</x:v>
      </x:c>
      <x:c r="B16" s="7" t="s">
        <x:v>29</x:v>
      </x:c>
      <x:c r="C16" s="7" t="s">
        <x:v>30</x:v>
      </x:c>
    </x:row>
    <x:row r="17" ht="32.099998474121094" customHeight="1">
      <x:c r="A17" s="8" t="s">
        <x:v>31</x:v>
      </x:c>
      <x:c r="B17" s="8" t="n">
        <x:f>COUNTIF('01_사용자정리'!M6:M19,"완료")</x:f>
        <x:v>0</x:v>
      </x:c>
      <x:c r="C17" s="8">
        <x:v>14</x:v>
      </x:c>
    </x:row>
    <x:row r="18" ht="32.099998474121094" customHeight="1">
      <x:c r="A18" s="8" t="s">
        <x:v>32</x:v>
      </x:c>
      <x:c r="B18" s="8" t="n">
        <x:f>COUNTIF('02_운영증빙'!N6:N25,"확인")</x:f>
        <x:v>0</x:v>
      </x:c>
      <x:c r="C18" s="8">
        <x:v>20</x:v>
      </x:c>
    </x:row>
    <x:row r="19" ht="32.099998474121094" customHeight="1">
      <x:c r="A19" s="8" t="s">
        <x:v>33</x:v>
      </x:c>
      <x:c r="B19" s="8" t="n">
        <x:f>COUNTIF('03_모의심사'!L6:L25,"확인")</x:f>
        <x:v>0</x:v>
      </x:c>
      <x:c r="C19" s="8">
        <x:v>20</x:v>
      </x:c>
    </x:row>
    <x:row r="22">
      <x:c r="A22" t="s">
        <x:v>34</x:v>
      </x:c>
    </x:row>
    <x:row r="24">
      <x:c r="A24" t="s">
        <x:v>35</x:v>
      </x:c>
    </x:row>
    <x:row r="26" ht="38.099998474121094" customHeight="1">
      <x:c r="A26" s="8" t="s">
        <x:v>36</x:v>
      </x:c>
      <x:c r="B26" s="21">
        <x:v>46322</x:v>
      </x:c>
      <x:c r="C26" s="8" t="s">
        <x:v>37</x:v>
      </x:c>
    </x:row>
    <x:row r="28" ht="48" customHeight="1">
      <x:c r="A28" s="8" t="s">
        <x:v>38</x:v>
      </x:c>
      <x:c r="B28" s="8" t="n">
        <x:f>14-COUNTIF('01_사용자정리'!M6:M19,"완료")</x:f>
        <x:v>14</x:v>
      </x:c>
      <x:c r="C28" s="8" t="s">
        <x:v>39</x:v>
      </x:c>
    </x:row>
    <x:row r="29" ht="48" customHeight="1">
      <x:c r="A29" s="8" t="s">
        <x:v>40</x:v>
      </x:c>
      <x:c r="B29" s="8" t="n">
        <x:f>COUNTIF('01_사용자정리'!O6:O19,"기한초과")</x:f>
        <x:v>0</x:v>
      </x:c>
      <x:c r="C29" s="8" t="s">
        <x:v>41</x:v>
      </x:c>
    </x:row>
    <x:row r="30" ht="48" customHeight="1">
      <x:c r="A30" s="8" t="s">
        <x:v>42</x:v>
      </x:c>
      <x:c r="B30" s="23" t="str">
        <x:v>박철호: 11/2 행정자료, 11/6 증빙·실습 / 안혜정: 11/6 비용</x:v>
      </x:c>
      <x:c r="C30" s="8" t="str">
        <x:v>02 Q~S 취합계획, 03 N~P 실습계획 및 29행 LOT 기록. 실제 원본 확보 후 확인 처리합니다.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99325"/>
  </x:sheetPr>
  <sheetViews xmlns="http://schemas.openxmlformats.org/spreadsheetml/2006/main"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P7" sqref="P7"/>
    </sheetView>
  </sheetViews>
  <x:sheetFormatPr defaultRowHeight="15"/>
  <x:cols>
    <x:col min="1" max="1" width="10" customWidth="1"/>
    <x:col min="2" max="2" width="12.625" customWidth="1"/>
    <x:col min="3" max="3" width="29.125" customWidth="1"/>
    <x:col min="4" max="4" width="26.875" customWidth="1"/>
    <x:col min="5" max="5" width="50.375" customWidth="1"/>
    <x:col min="6" max="6" width="25.875" customWidth="1"/>
    <x:col min="7" max="7" width="21.5" customWidth="1"/>
    <x:col min="8" max="8" width="16.625" customWidth="1"/>
    <x:col min="9" max="9" width="20.625" customWidth="1"/>
    <x:col min="10" max="10" width="11.125" customWidth="1"/>
    <x:col min="11" max="11" width="11.625" customWidth="1"/>
    <x:col min="12" max="12" width="12.625" customWidth="1"/>
    <x:col min="13" max="13" width="12.25" customWidth="1"/>
    <x:col min="14" max="14" width="20" customWidth="1"/>
    <x:col min="15" max="15" width="25" customWidth="1"/>
    <x:col min="16" max="16" width="52" customWidth="1"/>
  </x:cols>
  <x:sheetData>
    <x:row r="1" ht="15.75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3.95000076293945" customHeight="1">
      <x:c r="A2" s="2" t="s">
        <x:v>43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7.950000762939453" customHeight="1">
      <x:c r="A3" s="1" t="str">
        <x:v>입력 담당자·목표일 유지. N열은 계획일입니다. U04 지급목표는 10_비용일정에서 청구서상 지급기한과 별도 대조합니다.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15.75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3.95000076293945" customHeight="1">
      <x:c r="A5" s="4" t="s">
        <x:v>44</x:v>
      </x:c>
      <x:c r="B5" s="4" t="s">
        <x:v>45</x:v>
      </x:c>
      <x:c r="C5" s="4" t="s">
        <x:v>46</x:v>
      </x:c>
      <x:c r="D5" s="4" t="s">
        <x:v>47</x:v>
      </x:c>
      <x:c r="E5" s="4" t="s">
        <x:v>48</x:v>
      </x:c>
      <x:c r="F5" s="4" t="s">
        <x:v>49</x:v>
      </x:c>
      <x:c r="G5" s="20" t="s">
        <x:v>50</x:v>
      </x:c>
      <x:c r="H5" s="20" t="s">
        <x:v>51</x:v>
      </x:c>
      <x:c r="I5" s="4" t="s">
        <x:v>52</x:v>
      </x:c>
      <x:c r="J5" s="4" t="s">
        <x:v>53</x:v>
      </x:c>
      <x:c r="K5" s="4" t="s">
        <x:v>54</x:v>
      </x:c>
      <x:c r="L5" s="4" t="s">
        <x:v>55</x:v>
      </x:c>
      <x:c r="M5" s="4" t="s">
        <x:v>56</x:v>
      </x:c>
      <x:c r="N5" s="4" t="s">
        <x:v>57</x:v>
      </x:c>
      <x:c r="O5" s="4" t="s">
        <x:v>58</x:v>
      </x:c>
      <x:c r="P5" s="4" t="s">
        <x:v>59</x:v>
      </x:c>
    </x:row>
    <x:row r="6" ht="43.5" customHeight="1">
      <x:c r="A6" s="9" t="s">
        <x:v>60</x:v>
      </x:c>
      <x:c r="B6" s="9" t="s">
        <x:v>61</x:v>
      </x:c>
      <x:c r="C6" s="9" t="s">
        <x:v>62</x:v>
      </x:c>
      <x:c r="D6" s="9" t="s">
        <x:v>63</x:v>
      </x:c>
      <x:c r="E6" s="9" t="s">
        <x:v>64</x:v>
      </x:c>
      <x:c r="F6" s="9" t="s">
        <x:v>65</x:v>
      </x:c>
      <x:c r="G6" s="9" t="s">
        <x:v>66</x:v>
      </x:c>
      <x:c r="H6" s="10" t="s">
        <x:v>67</x:v>
      </x:c>
      <x:c r="I6" s="10"/>
      <x:c r="J6" s="11"/>
      <x:c r="K6" s="10" t="s">
        <x:v>68</x:v>
      </x:c>
      <x:c r="L6" s="10"/>
      <x:c r="M6" s="9" t="str">
        <x:f t="shared" ref="M6:M19" si="0">IF(OR(K6="완료",K6="비적용"),IF(AND(H6&lt;&gt;"",I6&lt;&gt;"",ISNUMBER(J6),L6&lt;&gt;""),"완료","근거 확인 필요"),K6)</x:f>
        <x:v>미확인</x:v>
      </x:c>
      <x:c r="N6" s="24" t="n">
        <x:v>46328</x:v>
      </x:c>
      <x:c r="O6" s="9" t="str">
        <x:f>IF(NOT(ISNUMBER(N6)),"목표일 미입력",IF(M6="완료",IF(J6&lt;=N6,"기한 내 확인","기한 후 확인"),IF(N6&lt;'00_최종안내'!$B$26,"기한초과",IF(N6-'00_최종안내'!$B$26&lt;=3,"3일 이내","기한 내 진행"))))</x:f>
        <x:v>기한 내 진행</x:v>
      </x:c>
      <x:c r="P6" s="9" t="str">
        <x:f>IF(M6="완료","완료",IF(H6="","실제 담당자 지정",IF(I6="","증빙 경로 등록",IF(NOT(ISNUMBER(J6)),"확인일 입력",IF(L6="","확인자 입력","입력 상태 검토")))))</x:f>
        <x:v>증빙 경로 등록</x:v>
      </x:c>
    </x:row>
    <x:row r="7" ht="43.5" customHeight="1">
      <x:c r="A7" s="12" t="s">
        <x:v>69</x:v>
      </x:c>
      <x:c r="B7" s="12" t="s">
        <x:v>61</x:v>
      </x:c>
      <x:c r="C7" s="12" t="s">
        <x:v>70</x:v>
      </x:c>
      <x:c r="D7" s="12" t="s">
        <x:v>71</x:v>
      </x:c>
      <x:c r="E7" s="12" t="s">
        <x:v>72</x:v>
      </x:c>
      <x:c r="F7" s="12" t="s">
        <x:v>73</x:v>
      </x:c>
      <x:c r="G7" s="12" t="s">
        <x:v>74</x:v>
      </x:c>
      <x:c r="H7" s="10" t="s">
        <x:v>67</x:v>
      </x:c>
      <x:c r="I7" s="10"/>
      <x:c r="J7" s="11"/>
      <x:c r="K7" s="10" t="s">
        <x:v>68</x:v>
      </x:c>
      <x:c r="L7" s="10"/>
      <x:c r="M7" s="12" t="str">
        <x:f t="shared" si="0"/>
        <x:v>미확인</x:v>
      </x:c>
      <x:c r="N7" s="24" t="n">
        <x:v>46328</x:v>
      </x:c>
      <x:c r="O7" s="12" t="str">
        <x:f>IF(NOT(ISNUMBER(N7)),"목표일 미입력",IF(M7="완료",IF(J7&lt;=N7,"기한 내 확인","기한 후 확인"),IF(N7&lt;'00_최종안내'!$B$26,"기한초과",IF(N7-'00_최종안내'!$B$26&lt;=3,"3일 이내","기한 내 진행"))))</x:f>
        <x:v>기한 내 진행</x:v>
      </x:c>
      <x:c r="P7" s="12" t="str">
        <x:f>IF(M7="완료","완료",IF(H7="","실제 담당자 지정",IF(I7="","증빙 경로 등록",IF(NOT(ISNUMBER(J7)),"확인일 입력",IF(L7="","확인자 입력","입력 상태 검토")))))</x:f>
        <x:v>증빙 경로 등록</x:v>
      </x:c>
    </x:row>
    <x:row r="8" ht="43.5" customHeight="1">
      <x:c r="A8" s="9" t="s">
        <x:v>75</x:v>
      </x:c>
      <x:c r="B8" s="9" t="s">
        <x:v>61</x:v>
      </x:c>
      <x:c r="C8" s="9" t="s">
        <x:v>76</x:v>
      </x:c>
      <x:c r="D8" s="9" t="s">
        <x:v>77</x:v>
      </x:c>
      <x:c r="E8" s="9" t="s">
        <x:v>78</x:v>
      </x:c>
      <x:c r="F8" s="9" t="s">
        <x:v>79</x:v>
      </x:c>
      <x:c r="G8" s="9" t="s">
        <x:v>80</x:v>
      </x:c>
      <x:c r="H8" s="10" t="s">
        <x:v>67</x:v>
      </x:c>
      <x:c r="I8" s="10"/>
      <x:c r="J8" s="11"/>
      <x:c r="K8" s="10" t="s">
        <x:v>68</x:v>
      </x:c>
      <x:c r="L8" s="10"/>
      <x:c r="M8" s="9" t="str">
        <x:f t="shared" si="0"/>
        <x:v>미확인</x:v>
      </x:c>
      <x:c r="N8" s="24" t="n">
        <x:v>46328</x:v>
      </x:c>
      <x:c r="O8" s="9" t="str">
        <x:f>IF(NOT(ISNUMBER(N8)),"목표일 미입력",IF(M8="완료",IF(J8&lt;=N8,"기한 내 확인","기한 후 확인"),IF(N8&lt;'00_최종안내'!$B$26,"기한초과",IF(N8-'00_최종안내'!$B$26&lt;=3,"3일 이내","기한 내 진행"))))</x:f>
        <x:v>기한 내 진행</x:v>
      </x:c>
      <x:c r="P8" s="9" t="str">
        <x:f>IF(M8="완료","완료",IF(H8="","실제 담당자 지정",IF(I8="","증빙 경로 등록",IF(NOT(ISNUMBER(J8)),"확인일 입력",IF(L8="","확인자 입력","입력 상태 검토")))))</x:f>
        <x:v>증빙 경로 등록</x:v>
      </x:c>
    </x:row>
    <x:row r="9" ht="43.5" customHeight="1">
      <x:c r="A9" s="12" t="s">
        <x:v>81</x:v>
      </x:c>
      <x:c r="B9" s="12" t="s">
        <x:v>61</x:v>
      </x:c>
      <x:c r="C9" s="12" t="s">
        <x:v>82</x:v>
      </x:c>
      <x:c r="D9" s="12" t="s">
        <x:v>83</x:v>
      </x:c>
      <x:c r="E9" s="12" t="s">
        <x:v>84</x:v>
      </x:c>
      <x:c r="F9" s="12" t="s">
        <x:v>85</x:v>
      </x:c>
      <x:c r="G9" s="12" t="s">
        <x:v>86</x:v>
      </x:c>
      <x:c r="H9" s="10" t="s">
        <x:v>87</x:v>
      </x:c>
      <x:c r="I9" s="10"/>
      <x:c r="J9" s="11"/>
      <x:c r="K9" s="10" t="s">
        <x:v>68</x:v>
      </x:c>
      <x:c r="L9" s="10"/>
      <x:c r="M9" s="12" t="str">
        <x:f t="shared" si="0"/>
        <x:v>미확인</x:v>
      </x:c>
      <x:c r="N9" s="24" t="n">
        <x:v>46332</x:v>
      </x:c>
      <x:c r="O9" s="12" t="str">
        <x:f>IF(NOT(ISNUMBER(N9)),"목표일 미입력",IF(M9="완료",IF(J9&lt;=N9,"기한 내 확인","기한 후 확인"),IF(N9&lt;'00_최종안내'!$B$26,"기한초과",IF(N9-'00_최종안내'!$B$26&lt;=3,"3일 이내","기한 내 진행"))))</x:f>
        <x:v>기한 내 진행</x:v>
      </x:c>
      <x:c r="P9" s="12" t="str">
        <x:f>IF(M9="완료","완료",IF(AND(M6="완료",M8="완료"),IF(H9="","실제 담당자 지정",IF(I9="","증빙 경로 등록",IF(NOT(ISNUMBER(J9)),"확인일 입력",IF(L9="","확인자 입력","입력 상태 검토")))),"선행항목 확인: U01·U03"))</x:f>
        <x:v>선행항목 확인: U01·U03</x:v>
      </x:c>
    </x:row>
    <x:row r="10" ht="43.5" customHeight="1">
      <x:c r="A10" s="9" t="s">
        <x:v>88</x:v>
      </x:c>
      <x:c r="B10" s="9" t="s">
        <x:v>89</x:v>
      </x:c>
      <x:c r="C10" s="9" t="s">
        <x:v>90</x:v>
      </x:c>
      <x:c r="D10" s="9" t="s">
        <x:v>91</x:v>
      </x:c>
      <x:c r="E10" s="9" t="s">
        <x:v>92</x:v>
      </x:c>
      <x:c r="F10" s="9" t="s">
        <x:v>93</x:v>
      </x:c>
      <x:c r="G10" s="9" t="s">
        <x:v>94</x:v>
      </x:c>
      <x:c r="H10" s="10" t="s">
        <x:v>87</x:v>
      </x:c>
      <x:c r="I10" s="10"/>
      <x:c r="J10" s="11"/>
      <x:c r="K10" s="10" t="s">
        <x:v>68</x:v>
      </x:c>
      <x:c r="L10" s="10"/>
      <x:c r="M10" s="9" t="str">
        <x:f t="shared" si="0"/>
        <x:v>미확인</x:v>
      </x:c>
      <x:c r="N10" s="24" t="n">
        <x:v>46332</x:v>
      </x:c>
      <x:c r="O10" s="9" t="str">
        <x:f>IF(NOT(ISNUMBER(N10)),"목표일 미입력",IF(M10="완료",IF(J10&lt;=N10,"기한 내 확인","기한 후 확인"),IF(N10&lt;'00_최종안내'!$B$26,"기한초과",IF(N10-'00_최종안내'!$B$26&lt;=3,"3일 이내","기한 내 진행"))))</x:f>
        <x:v>기한 내 진행</x:v>
      </x:c>
      <x:c r="P10" s="9" t="str">
        <x:f>IF(M10="완료","완료",IF(AND(M6="완료"),IF(H10="","실제 담당자 지정",IF(I10="","증빙 경로 등록",IF(NOT(ISNUMBER(J10)),"확인일 입력",IF(L10="","확인자 입력","입력 상태 검토")))),"선행항목 확인: U01"))</x:f>
        <x:v>선행항목 확인: U01</x:v>
      </x:c>
    </x:row>
    <x:row r="11" ht="43.5" customHeight="1">
      <x:c r="A11" s="12" t="s">
        <x:v>95</x:v>
      </x:c>
      <x:c r="B11" s="12" t="s">
        <x:v>89</x:v>
      </x:c>
      <x:c r="C11" s="12" t="s">
        <x:v>96</x:v>
      </x:c>
      <x:c r="D11" s="12" t="s">
        <x:v>97</x:v>
      </x:c>
      <x:c r="E11" s="12" t="s">
        <x:v>98</x:v>
      </x:c>
      <x:c r="F11" s="12" t="s">
        <x:v>99</x:v>
      </x:c>
      <x:c r="G11" s="12" t="s">
        <x:v>100</x:v>
      </x:c>
      <x:c r="H11" s="10" t="s">
        <x:v>67</x:v>
      </x:c>
      <x:c r="I11" s="10"/>
      <x:c r="J11" s="11"/>
      <x:c r="K11" s="10" t="s">
        <x:v>68</x:v>
      </x:c>
      <x:c r="L11" s="10"/>
      <x:c r="M11" s="12" t="str">
        <x:f t="shared" si="0"/>
        <x:v>미확인</x:v>
      </x:c>
      <x:c r="N11" s="24" t="n">
        <x:v>46332</x:v>
      </x:c>
      <x:c r="O11" s="12" t="str">
        <x:f>IF(NOT(ISNUMBER(N11)),"목표일 미입력",IF(M11="완료",IF(J11&lt;=N11,"기한 내 확인","기한 후 확인"),IF(N11&lt;'00_최종안내'!$B$26,"기한초과",IF(N11-'00_최종안내'!$B$26&lt;=3,"3일 이내","기한 내 진행"))))</x:f>
        <x:v>기한 내 진행</x:v>
      </x:c>
      <x:c r="P11" s="12" t="str">
        <x:f>IF(M11="완료","완료",IF(H11="","실제 담당자 지정",IF(I11="","증빙 경로 등록",IF(NOT(ISNUMBER(J11)),"확인일 입력",IF(L11="","확인자 입력","입력 상태 검토")))))</x:f>
        <x:v>증빙 경로 등록</x:v>
      </x:c>
    </x:row>
    <x:row r="12" ht="43.5" customHeight="1">
      <x:c r="A12" s="9" t="s">
        <x:v>101</x:v>
      </x:c>
      <x:c r="B12" s="9" t="s">
        <x:v>89</x:v>
      </x:c>
      <x:c r="C12" s="9" t="s">
        <x:v>102</x:v>
      </x:c>
      <x:c r="D12" s="9" t="s">
        <x:v>103</x:v>
      </x:c>
      <x:c r="E12" s="9" t="s">
        <x:v>104</x:v>
      </x:c>
      <x:c r="F12" s="9" t="s">
        <x:v>105</x:v>
      </x:c>
      <x:c r="G12" s="9" t="s">
        <x:v>106</x:v>
      </x:c>
      <x:c r="H12" s="10" t="s">
        <x:v>67</x:v>
      </x:c>
      <x:c r="I12" s="10"/>
      <x:c r="J12" s="11"/>
      <x:c r="K12" s="10" t="s">
        <x:v>68</x:v>
      </x:c>
      <x:c r="L12" s="10"/>
      <x:c r="M12" s="9" t="str">
        <x:f t="shared" si="0"/>
        <x:v>미확인</x:v>
      </x:c>
      <x:c r="N12" s="24" t="n">
        <x:v>46332</x:v>
      </x:c>
      <x:c r="O12" s="9" t="str">
        <x:f>IF(NOT(ISNUMBER(N12)),"목표일 미입력",IF(M12="완료",IF(J12&lt;=N12,"기한 내 확인","기한 후 확인"),IF(N12&lt;'00_최종안내'!$B$26,"기한초과",IF(N12-'00_최종안내'!$B$26&lt;=3,"3일 이내","기한 내 진행"))))</x:f>
        <x:v>기한 내 진행</x:v>
      </x:c>
      <x:c r="P12" s="9" t="str">
        <x:f>IF(M12="완료","완료",IF(AND(M11="완료"),IF(H12="","실제 담당자 지정",IF(I12="","증빙 경로 등록",IF(NOT(ISNUMBER(J12)),"확인일 입력",IF(L12="","확인자 입력","입력 상태 검토")))),"선행항목 확인: U06"))</x:f>
        <x:v>선행항목 확인: U06</x:v>
      </x:c>
    </x:row>
    <x:row r="13" ht="43.5" customHeight="1">
      <x:c r="A13" s="12" t="s">
        <x:v>107</x:v>
      </x:c>
      <x:c r="B13" s="12" t="s">
        <x:v>89</x:v>
      </x:c>
      <x:c r="C13" s="12" t="s">
        <x:v>108</x:v>
      </x:c>
      <x:c r="D13" s="12" t="s">
        <x:v>109</x:v>
      </x:c>
      <x:c r="E13" s="12" t="s">
        <x:v>110</x:v>
      </x:c>
      <x:c r="F13" s="12" t="s">
        <x:v>111</x:v>
      </x:c>
      <x:c r="G13" s="12" t="s">
        <x:v>112</x:v>
      </x:c>
      <x:c r="H13" s="10" t="s">
        <x:v>67</x:v>
      </x:c>
      <x:c r="I13" s="10"/>
      <x:c r="J13" s="11"/>
      <x:c r="K13" s="10" t="s">
        <x:v>68</x:v>
      </x:c>
      <x:c r="L13" s="10"/>
      <x:c r="M13" s="12" t="str">
        <x:f t="shared" si="0"/>
        <x:v>미확인</x:v>
      </x:c>
      <x:c r="N13" s="24" t="n">
        <x:v>46332</x:v>
      </x:c>
      <x:c r="O13" s="12" t="str">
        <x:f>IF(NOT(ISNUMBER(N13)),"목표일 미입력",IF(M13="완료",IF(J13&lt;=N13,"기한 내 확인","기한 후 확인"),IF(N13&lt;'00_최종안내'!$B$26,"기한초과",IF(N13-'00_최종안내'!$B$26&lt;=3,"3일 이내","기한 내 진행"))))</x:f>
        <x:v>기한 내 진행</x:v>
      </x:c>
      <x:c r="P13" s="12" t="str">
        <x:f>IF(M13="완료","완료",IF(AND(M12="완료"),IF(H13="","실제 담당자 지정",IF(I13="","증빙 경로 등록",IF(NOT(ISNUMBER(J13)),"확인일 입력",IF(L13="","확인자 입력","입력 상태 검토")))),"선행항목 확인: U07"))</x:f>
        <x:v>선행항목 확인: U07</x:v>
      </x:c>
    </x:row>
    <x:row r="14" ht="43.5" customHeight="1">
      <x:c r="A14" s="9" t="s">
        <x:v>113</x:v>
      </x:c>
      <x:c r="B14" s="9" t="s">
        <x:v>89</x:v>
      </x:c>
      <x:c r="C14" s="9" t="s">
        <x:v>114</x:v>
      </x:c>
      <x:c r="D14" s="9" t="s">
        <x:v>115</x:v>
      </x:c>
      <x:c r="E14" s="9" t="s">
        <x:v>116</x:v>
      </x:c>
      <x:c r="F14" s="9" t="s">
        <x:v>117</x:v>
      </x:c>
      <x:c r="G14" s="9" t="s">
        <x:v>118</x:v>
      </x:c>
      <x:c r="H14" s="10" t="s">
        <x:v>67</x:v>
      </x:c>
      <x:c r="I14" s="10"/>
      <x:c r="J14" s="11"/>
      <x:c r="K14" s="10" t="s">
        <x:v>68</x:v>
      </x:c>
      <x:c r="L14" s="10"/>
      <x:c r="M14" s="9" t="str">
        <x:f t="shared" si="0"/>
        <x:v>미확인</x:v>
      </x:c>
      <x:c r="N14" s="24" t="n">
        <x:v>46332</x:v>
      </x:c>
      <x:c r="O14" s="9" t="str">
        <x:f>IF(NOT(ISNUMBER(N14)),"목표일 미입력",IF(M14="완료",IF(J14&lt;=N14,"기한 내 확인","기한 후 확인"),IF(N14&lt;'00_최종안내'!$B$26,"기한초과",IF(N14-'00_최종안내'!$B$26&lt;=3,"3일 이내","기한 내 진행"))))</x:f>
        <x:v>기한 내 진행</x:v>
      </x:c>
      <x:c r="P14" s="9" t="str">
        <x:f>IF(M14="완료","완료",IF(AND(M13="완료"),IF(H14="","실제 담당자 지정",IF(I14="","증빙 경로 등록",IF(NOT(ISNUMBER(J14)),"확인일 입력",IF(L14="","확인자 입력","입력 상태 검토")))),"선행항목 확인: U08"))</x:f>
        <x:v>선행항목 확인: U08</x:v>
      </x:c>
    </x:row>
    <x:row r="15" ht="43.5" customHeight="1">
      <x:c r="A15" s="12" t="s">
        <x:v>119</x:v>
      </x:c>
      <x:c r="B15" s="12" t="s">
        <x:v>89</x:v>
      </x:c>
      <x:c r="C15" s="12" t="s">
        <x:v>120</x:v>
      </x:c>
      <x:c r="D15" s="12" t="s">
        <x:v>121</x:v>
      </x:c>
      <x:c r="E15" s="12" t="s">
        <x:v>122</x:v>
      </x:c>
      <x:c r="F15" s="12" t="s">
        <x:v>123</x:v>
      </x:c>
      <x:c r="G15" s="12" t="s">
        <x:v>124</x:v>
      </x:c>
      <x:c r="H15" s="10" t="s">
        <x:v>67</x:v>
      </x:c>
      <x:c r="I15" s="10"/>
      <x:c r="J15" s="11"/>
      <x:c r="K15" s="10" t="s">
        <x:v>68</x:v>
      </x:c>
      <x:c r="L15" s="10"/>
      <x:c r="M15" s="12" t="str">
        <x:f t="shared" si="0"/>
        <x:v>미확인</x:v>
      </x:c>
      <x:c r="N15" s="24" t="n">
        <x:v>46332</x:v>
      </x:c>
      <x:c r="O15" s="12" t="str">
        <x:f>IF(NOT(ISNUMBER(N15)),"목표일 미입력",IF(M15="완료",IF(J15&lt;=N15,"기한 내 확인","기한 후 확인"),IF(N15&lt;'00_최종안내'!$B$26,"기한초과",IF(N15-'00_최종안내'!$B$26&lt;=3,"3일 이내","기한 내 진행"))))</x:f>
        <x:v>기한 내 진행</x:v>
      </x:c>
      <x:c r="P15" s="12" t="str">
        <x:f>IF(M15="완료","완료",IF(AND(M13="완료",M14="완료"),IF(H15="","실제 담당자 지정",IF(I15="","증빙 경로 등록",IF(NOT(ISNUMBER(J15)),"확인일 입력",IF(L15="","확인자 입력","입력 상태 검토")))),"선행항목 확인: U08·U09"))</x:f>
        <x:v>선행항목 확인: U08·U09</x:v>
      </x:c>
    </x:row>
    <x:row r="16" ht="43.5" customHeight="1">
      <x:c r="A16" s="9" t="s">
        <x:v>125</x:v>
      </x:c>
      <x:c r="B16" s="9" t="s">
        <x:v>89</x:v>
      </x:c>
      <x:c r="C16" s="9" t="s">
        <x:v>126</x:v>
      </x:c>
      <x:c r="D16" s="9" t="s">
        <x:v>127</x:v>
      </x:c>
      <x:c r="E16" s="9" t="s">
        <x:v>128</x:v>
      </x:c>
      <x:c r="F16" s="9" t="s">
        <x:v>129</x:v>
      </x:c>
      <x:c r="G16" s="9" t="s">
        <x:v>124</x:v>
      </x:c>
      <x:c r="H16" s="10" t="s">
        <x:v>67</x:v>
      </x:c>
      <x:c r="I16" s="10"/>
      <x:c r="J16" s="11"/>
      <x:c r="K16" s="10" t="s">
        <x:v>68</x:v>
      </x:c>
      <x:c r="L16" s="10"/>
      <x:c r="M16" s="9" t="str">
        <x:f t="shared" si="0"/>
        <x:v>미확인</x:v>
      </x:c>
      <x:c r="N16" s="24" t="n">
        <x:v>46332</x:v>
      </x:c>
      <x:c r="O16" s="9" t="str">
        <x:f>IF(NOT(ISNUMBER(N16)),"목표일 미입력",IF(M16="완료",IF(J16&lt;=N16,"기한 내 확인","기한 후 확인"),IF(N16&lt;'00_최종안내'!$B$26,"기한초과",IF(N16-'00_최종안내'!$B$26&lt;=3,"3일 이내","기한 내 진행"))))</x:f>
        <x:v>기한 내 진행</x:v>
      </x:c>
      <x:c r="P16" s="9" t="str">
        <x:f>IF(M16="완료","완료",IF(H16="","실제 담당자 지정",IF(I16="","증빙 경로 등록",IF(NOT(ISNUMBER(J16)),"확인일 입력",IF(L16="","확인자 입력","입력 상태 검토")))))</x:f>
        <x:v>증빙 경로 등록</x:v>
      </x:c>
    </x:row>
    <x:row r="17" ht="43.5" customHeight="1">
      <x:c r="A17" s="12" t="s">
        <x:v>130</x:v>
      </x:c>
      <x:c r="B17" s="12" t="s">
        <x:v>89</x:v>
      </x:c>
      <x:c r="C17" s="12" t="s">
        <x:v>131</x:v>
      </x:c>
      <x:c r="D17" s="12" t="s">
        <x:v>132</x:v>
      </x:c>
      <x:c r="E17" s="12" t="s">
        <x:v>133</x:v>
      </x:c>
      <x:c r="F17" s="12" t="s">
        <x:v>134</x:v>
      </x:c>
      <x:c r="G17" s="12" t="s">
        <x:v>135</x:v>
      </x:c>
      <x:c r="H17" s="10" t="s">
        <x:v>67</x:v>
      </x:c>
      <x:c r="I17" s="10"/>
      <x:c r="J17" s="11"/>
      <x:c r="K17" s="10" t="s">
        <x:v>68</x:v>
      </x:c>
      <x:c r="L17" s="10"/>
      <x:c r="M17" s="12" t="str">
        <x:f t="shared" si="0"/>
        <x:v>미확인</x:v>
      </x:c>
      <x:c r="N17" s="24" t="n">
        <x:v>46332</x:v>
      </x:c>
      <x:c r="O17" s="12" t="str">
        <x:f>IF(NOT(ISNUMBER(N17)),"목표일 미입력",IF(M17="완료",IF(J17&lt;=N17,"기한 내 확인","기한 후 확인"),IF(N17&lt;'00_최종안내'!$B$26,"기한초과",IF(N17-'00_최종안내'!$B$26&lt;=3,"3일 이내","기한 내 진행"))))</x:f>
        <x:v>기한 내 진행</x:v>
      </x:c>
      <x:c r="P17" s="12" t="str">
        <x:f>IF(M17="완료","완료",IF(AND(M15="완료",M16="완료"),IF(H17="","실제 담당자 지정",IF(I17="","증빙 경로 등록",IF(NOT(ISNUMBER(J17)),"확인일 입력",IF(L17="","확인자 입력","입력 상태 검토")))),"선행항목 확인: U10·U11"))</x:f>
        <x:v>선행항목 확인: U10·U11</x:v>
      </x:c>
    </x:row>
    <x:row r="18" ht="43.5" customHeight="1">
      <x:c r="A18" s="9" t="s">
        <x:v>136</x:v>
      </x:c>
      <x:c r="B18" s="9" t="s">
        <x:v>89</x:v>
      </x:c>
      <x:c r="C18" s="9" t="s">
        <x:v>137</x:v>
      </x:c>
      <x:c r="D18" s="9" t="s">
        <x:v>138</x:v>
      </x:c>
      <x:c r="E18" s="9" t="s">
        <x:v>139</x:v>
      </x:c>
      <x:c r="F18" s="9" t="s">
        <x:v>140</x:v>
      </x:c>
      <x:c r="G18" s="9" t="s">
        <x:v>141</x:v>
      </x:c>
      <x:c r="H18" s="10" t="s">
        <x:v>67</x:v>
      </x:c>
      <x:c r="I18" s="10"/>
      <x:c r="J18" s="11"/>
      <x:c r="K18" s="10" t="s">
        <x:v>68</x:v>
      </x:c>
      <x:c r="L18" s="10"/>
      <x:c r="M18" s="9" t="str">
        <x:f t="shared" si="0"/>
        <x:v>미확인</x:v>
      </x:c>
      <x:c r="N18" s="24" t="n">
        <x:v>46332</x:v>
      </x:c>
      <x:c r="O18" s="9" t="str">
        <x:f>IF(NOT(ISNUMBER(N18)),"목표일 미입력",IF(M18="완료",IF(J18&lt;=N18,"기한 내 확인","기한 후 확인"),IF(N18&lt;'00_최종안내'!$B$26,"기한초과",IF(N18-'00_최종안내'!$B$26&lt;=3,"3일 이내","기한 내 진행"))))</x:f>
        <x:v>기한 내 진행</x:v>
      </x:c>
      <x:c r="P18" s="9" t="str">
        <x:f>IF(M18="완료","완료",IF(AND(M17="완료"),IF(H18="","실제 담당자 지정",IF(I18="","증빙 경로 등록",IF(NOT(ISNUMBER(J18)),"확인일 입력",IF(L18="","확인자 입력","입력 상태 검토")))),"선행항목 확인: U12"))</x:f>
        <x:v>선행항목 확인: U12</x:v>
      </x:c>
    </x:row>
    <x:row r="19" ht="43.5" customHeight="1">
      <x:c r="A19" s="12" t="s">
        <x:v>142</x:v>
      </x:c>
      <x:c r="B19" s="12" t="s">
        <x:v>143</x:v>
      </x:c>
      <x:c r="C19" s="12" t="s">
        <x:v>144</x:v>
      </x:c>
      <x:c r="D19" s="12" t="s">
        <x:v>145</x:v>
      </x:c>
      <x:c r="E19" s="12" t="s">
        <x:v>146</x:v>
      </x:c>
      <x:c r="F19" s="12" t="s">
        <x:v>147</x:v>
      </x:c>
      <x:c r="G19" s="12" t="s">
        <x:v>148</x:v>
      </x:c>
      <x:c r="H19" s="10" t="s">
        <x:v>67</x:v>
      </x:c>
      <x:c r="I19" s="10"/>
      <x:c r="J19" s="11"/>
      <x:c r="K19" s="10" t="s">
        <x:v>68</x:v>
      </x:c>
      <x:c r="L19" s="10"/>
      <x:c r="M19" s="12" t="str">
        <x:f t="shared" si="0"/>
        <x:v>미확인</x:v>
      </x:c>
      <x:c r="N19" s="24" t="n">
        <x:v>46332</x:v>
      </x:c>
      <x:c r="O19" s="12" t="str">
        <x:f>IF(NOT(ISNUMBER(N19)),"목표일 미입력",IF(M19="완료",IF(J19&lt;=N19,"기한 내 확인","기한 후 확인"),IF(N19&lt;'00_최종안내'!$B$26,"기한초과",IF(N19-'00_최종안내'!$B$26&lt;=3,"3일 이내","기한 내 진행"))))</x:f>
        <x:v>기한 내 진행</x:v>
      </x:c>
      <x:c r="P19" s="12" t="str">
        <x:f>IF(M19="완료","완료",IF(AND(M12="완료",M15="완료",M17="완료",M18="완료"),IF(H19="","실제 담당자 지정",IF(I19="","증빙 경로 등록",IF(NOT(ISNUMBER(J19)),"확인일 입력",IF(L19="","확인자 입력","입력 상태 검토")))),"선행항목 확인: U07·U10·U12·U13"))</x:f>
        <x:v>선행항목 확인: U07·U10·U12·U13</x:v>
      </x:c>
    </x:row>
    <x:row r="20" ht="15.75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</x:sheetData>
  <x:conditionalFormatting sqref="M6:M19">
    <x:cfRule type="containsText" dxfId="5" priority="1" operator="containsText" text="필요"/>
  </x:conditionalFormatting>
  <x:conditionalFormatting sqref="O6:O19">
    <x:cfRule type="containsText" dxfId="4" priority="2" operator="containsText" text="초과"/>
    <x:cfRule type="containsText" dxfId="3" priority="3" operator="containsText" text="3일"/>
  </x:conditionalFormatting>
  <x:dataValidations count="1">
    <x:dataValidation type="list" sqref="K6:K19">
      <x:formula1>"미확인,진행중,완료,비적용"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13" activePane="bottomRight" state="frozen"/>
      <selection pane="topRight"/>
      <selection pane="bottomLeft"/>
      <selection pane="bottomRight" activeCell="D21" sqref="D21"/>
    </sheetView>
  </sheetViews>
  <x:sheetFormatPr defaultRowHeight="15"/>
  <x:cols>
    <x:col min="1" max="1" width="10" customWidth="1"/>
    <x:col min="2" max="2" width="17" customWidth="1"/>
    <x:col min="3" max="3" width="34.375" customWidth="1"/>
    <x:col min="4" max="4" width="41.625" customWidth="1"/>
    <x:col min="5" max="5" width="25.25" customWidth="1"/>
    <x:col min="6" max="6" width="36.875" customWidth="1"/>
    <x:col min="7" max="7" width="14.25" customWidth="1"/>
    <x:col min="8" max="8" width="14" customWidth="1"/>
    <x:col min="9" max="9" width="21" customWidth="1"/>
    <x:col min="10" max="10" width="15.5" customWidth="1"/>
    <x:col min="11" max="11" width="22.25" customWidth="1"/>
    <x:col min="12" max="12" width="12.75" customWidth="1"/>
    <x:col min="13" max="13" width="10.5" customWidth="1"/>
    <x:col min="14" max="14" width="15" customWidth="1"/>
    <x:col min="15" max="15" width="26" customWidth="1"/>
    <x:col min="16" max="16" width="50" customWidth="1"/>
    <x:col min="17" max="17" width="18" hidden="0" customWidth="1"/>
    <x:col min="18" max="18" width="19" hidden="0" customWidth="1"/>
    <x:col min="19" max="19" width="53" hidden="0" customWidth="1"/>
  </x:cols>
  <x:sheetData>
    <x:row r="1" ht="15.75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3.95000076293945" customHeight="1">
      <x:c r="A2" s="2" t="s">
        <x:v>149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7.950000762939453" customHeight="1">
      <x:c r="A3" s="1" t="str">
        <x:v>Q·R열은 U10 취합 담당·목표일과 연결됩니다. 각 부서의 실제 작성자는 H열, 원본·기간·번호·검토 이력은 I~M열에 입력합니다. S열은 파일명 제안입니다.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5.75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3.95000076293945" customHeight="1">
      <x:c r="A5" s="4" t="s">
        <x:v>44</x:v>
      </x:c>
      <x:c r="B5" s="4" t="s">
        <x:v>150</x:v>
      </x:c>
      <x:c r="C5" s="4" t="s">
        <x:v>151</x:v>
      </x:c>
      <x:c r="D5" s="4" t="s">
        <x:v>152</x:v>
      </x:c>
      <x:c r="E5" s="4" t="s">
        <x:v>153</x:v>
      </x:c>
      <x:c r="F5" s="4" t="s">
        <x:v>154</x:v>
      </x:c>
      <x:c r="G5" s="4" t="s">
        <x:v>54</x:v>
      </x:c>
      <x:c r="H5" s="4" t="s">
        <x:v>51</x:v>
      </x:c>
      <x:c r="I5" s="4" t="s">
        <x:v>155</x:v>
      </x:c>
      <x:c r="J5" s="4" t="s">
        <x:v>156</x:v>
      </x:c>
      <x:c r="K5" s="4" t="s">
        <x:v>157</x:v>
      </x:c>
      <x:c r="L5" s="4" t="s">
        <x:v>158</x:v>
      </x:c>
      <x:c r="M5" s="4" t="s">
        <x:v>53</x:v>
      </x:c>
      <x:c r="N5" s="4" t="s">
        <x:v>56</x:v>
      </x:c>
      <x:c r="O5" s="4" t="s">
        <x:v>159</x:v>
      </x:c>
      <x:c r="P5" s="4" t="s">
        <x:v>59</x:v>
      </x:c>
      <x:c r="Q5" s="4" t="str">
        <x:v>취합 담당</x:v>
      </x:c>
      <x:c r="R5" s="4" t="str">
        <x:v>취합 목표일</x:v>
      </x:c>
      <x:c r="S5" s="4" t="str">
        <x:v>권장 파일명</x:v>
      </x:c>
    </x:row>
    <x:row r="6" ht="31.5" customHeight="1">
      <x:c r="A6" s="9" t="s">
        <x:v>160</x:v>
      </x:c>
      <x:c r="B6" s="9" t="s">
        <x:v>161</x:v>
      </x:c>
      <x:c r="C6" s="9" t="s">
        <x:v>162</x:v>
      </x:c>
      <x:c r="D6" s="9" t="s">
        <x:v>163</x:v>
      </x:c>
      <x:c r="E6" s="9" t="s">
        <x:v>164</x:v>
      </x:c>
      <x:c r="F6" s="9" t="s">
        <x:v>165</x:v>
      </x:c>
      <x:c r="G6" s="10" t="s">
        <x:v>68</x:v>
      </x:c>
      <x:c r="H6" s="10"/>
      <x:c r="I6" s="10"/>
      <x:c r="J6" s="10"/>
      <x:c r="K6" s="10"/>
      <x:c r="L6" s="10"/>
      <x:c r="M6" s="11"/>
      <x:c r="N6" s="9" t="str">
        <x:f t="shared" ref="N6:N25" si="0">IF(OR(G6="증빙 확인",G6="비적용"),IF(AND(H6&lt;&gt;"",I6&lt;&gt;"",J6&lt;&gt;"",K6&lt;&gt;"",L6&lt;&gt;"",ISNUMBER(M6)),"확인","근거 확인 필요"),G6)</x:f>
        <x:v>미확인</x:v>
      </x:c>
      <x:c r="O6" s="9" t="s">
        <x:v>166</x:v>
      </x:c>
      <x:c r="P6" s="9" t="str">
        <x:f t="shared" ref="P6:P25" si="1">IF(N6="확인","확인",IF(H6="","실제 담당자 지정",IF(I6="","원본 경로 등록",IF(J6="","대상기간 입력",IF(K6="","기록번호·비적용 근거 입력",IF(L6="","검토자 입력",IF(NOT(ISNUMBER(M6)),"확인일 입력","입력 상태 검토")))))))</x:f>
        <x:v>실제 담당자 지정</x:v>
      </x:c>
      <x:c r="Q6" s="9" t="str">
        <x:f>IF('01_사용자정리'!H15="","담당 미지정",'01_사용자정리'!H15)</x:f>
        <x:v>박철호</x:v>
      </x:c>
      <x:c r="R6" s="25" t="n">
        <x:f>IF(ISNUMBER('01_사용자정리'!N15),'01_사용자정리'!N15,"")</x:f>
        <x:v>46332</x:v>
      </x:c>
      <x:c r="S6" s="9" t="str">
        <x:v>E01_매뉴얼_실제기록_대상기간_기록번호</x:v>
      </x:c>
    </x:row>
    <x:row r="7" ht="31.5" customHeight="1">
      <x:c r="A7" s="12" t="s">
        <x:v>167</x:v>
      </x:c>
      <x:c r="B7" s="12" t="s">
        <x:v>168</x:v>
      </x:c>
      <x:c r="C7" s="12" t="s">
        <x:v>169</x:v>
      </x:c>
      <x:c r="D7" s="12" t="s">
        <x:v>170</x:v>
      </x:c>
      <x:c r="E7" s="12" t="s">
        <x:v>171</x:v>
      </x:c>
      <x:c r="F7" s="12" t="s">
        <x:v>172</x:v>
      </x:c>
      <x:c r="G7" s="10" t="s">
        <x:v>68</x:v>
      </x:c>
      <x:c r="H7" s="10"/>
      <x:c r="I7" s="10"/>
      <x:c r="J7" s="10"/>
      <x:c r="K7" s="10"/>
      <x:c r="L7" s="10"/>
      <x:c r="M7" s="11"/>
      <x:c r="N7" s="12" t="str">
        <x:f t="shared" si="0"/>
        <x:v>미확인</x:v>
      </x:c>
      <x:c r="O7" s="12" t="s">
        <x:v>166</x:v>
      </x:c>
      <x:c r="P7" s="12" t="str">
        <x:f t="shared" si="1"/>
        <x:v>실제 담당자 지정</x:v>
      </x:c>
      <x:c r="Q7" s="12" t="str">
        <x:f>IF('01_사용자정리'!H15="","담당 미지정",'01_사용자정리'!H15)</x:f>
        <x:v>박철호</x:v>
      </x:c>
      <x:c r="R7" s="26" t="n">
        <x:f>IF(ISNUMBER('01_사용자정리'!N15),'01_사용자정리'!N15,"")</x:f>
        <x:v>46332</x:v>
      </x:c>
      <x:c r="S7" s="12" t="str">
        <x:v>E02_절차서_실제기록_대상기간_기록번호</x:v>
      </x:c>
    </x:row>
    <x:row r="8" ht="31.5" customHeight="1">
      <x:c r="A8" s="9" t="s">
        <x:v>173</x:v>
      </x:c>
      <x:c r="B8" s="9" t="s">
        <x:v>174</x:v>
      </x:c>
      <x:c r="C8" s="9" t="s">
        <x:v>175</x:v>
      </x:c>
      <x:c r="D8" s="9" t="s">
        <x:v>176</x:v>
      </x:c>
      <x:c r="E8" s="9" t="s">
        <x:v>177</x:v>
      </x:c>
      <x:c r="F8" s="9" t="s">
        <x:v>178</x:v>
      </x:c>
      <x:c r="G8" s="10" t="s">
        <x:v>68</x:v>
      </x:c>
      <x:c r="H8" s="10"/>
      <x:c r="I8" s="10"/>
      <x:c r="J8" s="10"/>
      <x:c r="K8" s="10"/>
      <x:c r="L8" s="10"/>
      <x:c r="M8" s="11"/>
      <x:c r="N8" s="9" t="str">
        <x:f t="shared" si="0"/>
        <x:v>미확인</x:v>
      </x:c>
      <x:c r="O8" s="9" t="s">
        <x:v>166</x:v>
      </x:c>
      <x:c r="P8" s="9" t="str">
        <x:f t="shared" si="1"/>
        <x:v>실제 담당자 지정</x:v>
      </x:c>
      <x:c r="Q8" s="9" t="str">
        <x:f>IF('01_사용자정리'!H15="","담당 미지정",'01_사용자정리'!H15)</x:f>
        <x:v>박철호</x:v>
      </x:c>
      <x:c r="R8" s="25" t="n">
        <x:f>IF(ISNUMBER('01_사용자정리'!N15),'01_사용자정리'!N15,"")</x:f>
        <x:v>46332</x:v>
      </x:c>
      <x:c r="S8" s="9" t="str">
        <x:v>E03_작업표준_실제기록_대상기간_기록번호</x:v>
      </x:c>
    </x:row>
    <x:row r="9" ht="31.5" customHeight="1">
      <x:c r="A9" s="12" t="s">
        <x:v>179</x:v>
      </x:c>
      <x:c r="B9" s="12" t="s">
        <x:v>180</x:v>
      </x:c>
      <x:c r="C9" s="12" t="s">
        <x:v>181</x:v>
      </x:c>
      <x:c r="D9" s="12" t="s">
        <x:v>182</x:v>
      </x:c>
      <x:c r="E9" s="12" t="s">
        <x:v>183</x:v>
      </x:c>
      <x:c r="F9" s="12" t="s">
        <x:v>184</x:v>
      </x:c>
      <x:c r="G9" s="10" t="s">
        <x:v>68</x:v>
      </x:c>
      <x:c r="H9" s="10"/>
      <x:c r="I9" s="10"/>
      <x:c r="J9" s="10"/>
      <x:c r="K9" s="10"/>
      <x:c r="L9" s="10"/>
      <x:c r="M9" s="11"/>
      <x:c r="N9" s="12" t="str">
        <x:f t="shared" si="0"/>
        <x:v>미확인</x:v>
      </x:c>
      <x:c r="O9" s="12" t="s">
        <x:v>166</x:v>
      </x:c>
      <x:c r="P9" s="12" t="str">
        <x:f t="shared" si="1"/>
        <x:v>실제 담당자 지정</x:v>
      </x:c>
      <x:c r="Q9" s="12" t="str">
        <x:f>IF('01_사용자정리'!H15="","담당 미지정",'01_사용자정리'!H15)</x:f>
        <x:v>박철호</x:v>
      </x:c>
      <x:c r="R9" s="26" t="n">
        <x:f>IF(ISNUMBER('01_사용자정리'!N15),'01_사용자정리'!N15,"")</x:f>
        <x:v>46332</x:v>
      </x:c>
      <x:c r="S9" s="12" t="str">
        <x:v>E04_FM 목록_승인_실제기록_대상기간_기록번호</x:v>
      </x:c>
    </x:row>
    <x:row r="10" ht="31.5" customHeight="1">
      <x:c r="A10" s="9" t="s">
        <x:v>185</x:v>
      </x:c>
      <x:c r="B10" s="9" t="s">
        <x:v>186</x:v>
      </x:c>
      <x:c r="C10" s="9" t="s">
        <x:v>187</x:v>
      </x:c>
      <x:c r="D10" s="9" t="s">
        <x:v>188</x:v>
      </x:c>
      <x:c r="E10" s="9" t="s">
        <x:v>189</x:v>
      </x:c>
      <x:c r="F10" s="9" t="s">
        <x:v>190</x:v>
      </x:c>
      <x:c r="G10" s="10" t="s">
        <x:v>68</x:v>
      </x:c>
      <x:c r="H10" s="10"/>
      <x:c r="I10" s="10"/>
      <x:c r="J10" s="10"/>
      <x:c r="K10" s="10"/>
      <x:c r="L10" s="10"/>
      <x:c r="M10" s="11"/>
      <x:c r="N10" s="9" t="str">
        <x:f t="shared" si="0"/>
        <x:v>미확인</x:v>
      </x:c>
      <x:c r="O10" s="9" t="s">
        <x:v>166</x:v>
      </x:c>
      <x:c r="P10" s="9" t="str">
        <x:f t="shared" si="1"/>
        <x:v>실제 담당자 지정</x:v>
      </x:c>
      <x:c r="Q10" s="9" t="str">
        <x:f>IF('01_사용자정리'!H15="","담당 미지정",'01_사용자정리'!H15)</x:f>
        <x:v>박철호</x:v>
      </x:c>
      <x:c r="R10" s="25" t="n">
        <x:f>IF(ISNUMBER('01_사용자정리'!N15),'01_사용자정리'!N15,"")</x:f>
        <x:v>46332</x:v>
      </x:c>
      <x:c r="S10" s="9" t="str">
        <x:v>E05_현장 기록_실제기록_대상기간_기록번호</x:v>
      </x:c>
    </x:row>
    <x:row r="11" ht="31.5" customHeight="1">
      <x:c r="A11" s="12" t="s">
        <x:v>191</x:v>
      </x:c>
      <x:c r="B11" s="12" t="s">
        <x:v>192</x:v>
      </x:c>
      <x:c r="C11" s="12" t="s">
        <x:v>193</x:v>
      </x:c>
      <x:c r="D11" s="12" t="s">
        <x:v>194</x:v>
      </x:c>
      <x:c r="E11" s="12" t="s">
        <x:v>195</x:v>
      </x:c>
      <x:c r="F11" s="12" t="s">
        <x:v>196</x:v>
      </x:c>
      <x:c r="G11" s="10" t="s">
        <x:v>68</x:v>
      </x:c>
      <x:c r="H11" s="10"/>
      <x:c r="I11" s="10"/>
      <x:c r="J11" s="10"/>
      <x:c r="K11" s="10"/>
      <x:c r="L11" s="10"/>
      <x:c r="M11" s="11"/>
      <x:c r="N11" s="12" t="str">
        <x:f t="shared" si="0"/>
        <x:v>미확인</x:v>
      </x:c>
      <x:c r="O11" s="12" t="s">
        <x:v>197</x:v>
      </x:c>
      <x:c r="P11" s="12" t="str">
        <x:f t="shared" si="1"/>
        <x:v>실제 담당자 지정</x:v>
      </x:c>
      <x:c r="Q11" s="12" t="str">
        <x:f>IF('01_사용자정리'!H15="","담당 미지정",'01_사용자정리'!H15)</x:f>
        <x:v>박철호</x:v>
      </x:c>
      <x:c r="R11" s="26" t="n">
        <x:f>IF(ISNUMBER('01_사용자정리'!N15),'01_사용자정리'!N15,"")</x:f>
        <x:v>46332</x:v>
      </x:c>
      <x:c r="S11" s="12" t="str">
        <x:v>E06_제품안전_실제기록_대상기간_기록번호</x:v>
      </x:c>
    </x:row>
    <x:row r="12" ht="31.5" customHeight="1">
      <x:c r="A12" s="9" t="s">
        <x:v>198</x:v>
      </x:c>
      <x:c r="B12" s="9" t="s">
        <x:v>199</x:v>
      </x:c>
      <x:c r="C12" s="9" t="s">
        <x:v>200</x:v>
      </x:c>
      <x:c r="D12" s="9" t="s">
        <x:v>201</x:v>
      </x:c>
      <x:c r="E12" s="9" t="s">
        <x:v>202</x:v>
      </x:c>
      <x:c r="F12" s="9" t="s">
        <x:v>203</x:v>
      </x:c>
      <x:c r="G12" s="10" t="s">
        <x:v>68</x:v>
      </x:c>
      <x:c r="H12" s="10"/>
      <x:c r="I12" s="10"/>
      <x:c r="J12" s="10"/>
      <x:c r="K12" s="10"/>
      <x:c r="L12" s="10"/>
      <x:c r="M12" s="11"/>
      <x:c r="N12" s="9" t="str">
        <x:f t="shared" si="0"/>
        <x:v>미확인</x:v>
      </x:c>
      <x:c r="O12" s="9" t="s">
        <x:v>204</x:v>
      </x:c>
      <x:c r="P12" s="9" t="str">
        <x:f t="shared" si="1"/>
        <x:v>실제 담당자 지정</x:v>
      </x:c>
      <x:c r="Q12" s="9" t="str">
        <x:f>IF('01_사용자정리'!H15="","담당 미지정",'01_사용자정리'!H15)</x:f>
        <x:v>박철호</x:v>
      </x:c>
      <x:c r="R12" s="25" t="n">
        <x:f>IF(ISNUMBER('01_사용자정리'!N15),'01_사용자정리'!N15,"")</x:f>
        <x:v>46332</x:v>
      </x:c>
      <x:c r="S12" s="9" t="str">
        <x:v>E07_SPC_실제기록_대상기간_기록번호</x:v>
      </x:c>
    </x:row>
    <x:row r="13" ht="31.5" customHeight="1">
      <x:c r="A13" s="12" t="s">
        <x:v>205</x:v>
      </x:c>
      <x:c r="B13" s="12" t="s">
        <x:v>206</x:v>
      </x:c>
      <x:c r="C13" s="12" t="s">
        <x:v>207</x:v>
      </x:c>
      <x:c r="D13" s="12" t="s">
        <x:v>208</x:v>
      </x:c>
      <x:c r="E13" s="12" t="s">
        <x:v>209</x:v>
      </x:c>
      <x:c r="F13" s="12" t="s">
        <x:v>210</x:v>
      </x:c>
      <x:c r="G13" s="10" t="s">
        <x:v>68</x:v>
      </x:c>
      <x:c r="H13" s="10"/>
      <x:c r="I13" s="10"/>
      <x:c r="J13" s="10"/>
      <x:c r="K13" s="10"/>
      <x:c r="L13" s="10"/>
      <x:c r="M13" s="11"/>
      <x:c r="N13" s="12" t="str">
        <x:f t="shared" si="0"/>
        <x:v>미확인</x:v>
      </x:c>
      <x:c r="O13" s="12" t="s">
        <x:v>211</x:v>
      </x:c>
      <x:c r="P13" s="12" t="str">
        <x:f t="shared" si="1"/>
        <x:v>실제 담당자 지정</x:v>
      </x:c>
      <x:c r="Q13" s="12" t="str">
        <x:f>IF('01_사용자정리'!H15="","담당 미지정",'01_사용자정리'!H15)</x:f>
        <x:v>박철호</x:v>
      </x:c>
      <x:c r="R13" s="26" t="n">
        <x:f>IF(ISNUMBER('01_사용자정리'!N15),'01_사용자정리'!N15,"")</x:f>
        <x:v>46332</x:v>
      </x:c>
      <x:c r="S13" s="12" t="str">
        <x:v>E08_품질비용_개선_실제기록_대상기간_기록번호</x:v>
      </x:c>
    </x:row>
    <x:row r="14" ht="31.5" customHeight="1">
      <x:c r="A14" s="9" t="s">
        <x:v>212</x:v>
      </x:c>
      <x:c r="B14" s="9" t="s">
        <x:v>213</x:v>
      </x:c>
      <x:c r="C14" s="9" t="s">
        <x:v>214</x:v>
      </x:c>
      <x:c r="D14" s="9" t="s">
        <x:v>215</x:v>
      </x:c>
      <x:c r="E14" s="9" t="s">
        <x:v>216</x:v>
      </x:c>
      <x:c r="F14" s="9" t="s">
        <x:v>217</x:v>
      </x:c>
      <x:c r="G14" s="10" t="s">
        <x:v>68</x:v>
      </x:c>
      <x:c r="H14" s="10"/>
      <x:c r="I14" s="10"/>
      <x:c r="J14" s="10"/>
      <x:c r="K14" s="10"/>
      <x:c r="L14" s="10"/>
      <x:c r="M14" s="11"/>
      <x:c r="N14" s="9" t="str">
        <x:f t="shared" si="0"/>
        <x:v>미확인</x:v>
      </x:c>
      <x:c r="O14" s="9" t="s">
        <x:v>218</x:v>
      </x:c>
      <x:c r="P14" s="9" t="str">
        <x:f t="shared" si="1"/>
        <x:v>실제 담당자 지정</x:v>
      </x:c>
      <x:c r="Q14" s="9" t="str">
        <x:f>IF('01_사용자정리'!H15="","담당 미지정",'01_사용자정리'!H15)</x:f>
        <x:v>박철호</x:v>
      </x:c>
      <x:c r="R14" s="25" t="n">
        <x:f>IF(ISNUMBER('01_사용자정리'!N15),'01_사용자정리'!N15,"")</x:f>
        <x:v>46332</x:v>
      </x:c>
      <x:c r="S14" s="9" t="str">
        <x:v>E09_내부심사_실제기록_대상기간_기록번호</x:v>
      </x:c>
    </x:row>
    <x:row r="15" ht="31.5" customHeight="1">
      <x:c r="A15" s="12" t="s">
        <x:v>219</x:v>
      </x:c>
      <x:c r="B15" s="12" t="s">
        <x:v>220</x:v>
      </x:c>
      <x:c r="C15" s="12" t="s">
        <x:v>221</x:v>
      </x:c>
      <x:c r="D15" s="12" t="s">
        <x:v>222</x:v>
      </x:c>
      <x:c r="E15" s="12" t="s">
        <x:v>223</x:v>
      </x:c>
      <x:c r="F15" s="12" t="s">
        <x:v>224</x:v>
      </x:c>
      <x:c r="G15" s="10" t="s">
        <x:v>68</x:v>
      </x:c>
      <x:c r="H15" s="10"/>
      <x:c r="I15" s="10"/>
      <x:c r="J15" s="10"/>
      <x:c r="K15" s="10"/>
      <x:c r="L15" s="10"/>
      <x:c r="M15" s="11"/>
      <x:c r="N15" s="12" t="str">
        <x:f t="shared" si="0"/>
        <x:v>미확인</x:v>
      </x:c>
      <x:c r="O15" s="12" t="s">
        <x:v>225</x:v>
      </x:c>
      <x:c r="P15" s="12" t="str">
        <x:f t="shared" si="1"/>
        <x:v>실제 담당자 지정</x:v>
      </x:c>
      <x:c r="Q15" s="12" t="str">
        <x:f>IF('01_사용자정리'!H15="","담당 미지정",'01_사용자정리'!H15)</x:f>
        <x:v>박철호</x:v>
      </x:c>
      <x:c r="R15" s="26" t="n">
        <x:f>IF(ISNUMBER('01_사용자정리'!N15),'01_사용자정리'!N15,"")</x:f>
        <x:v>46332</x:v>
      </x:c>
      <x:c r="S15" s="12" t="str">
        <x:v>E10_경영검토_실제기록_대상기간_기록번호</x:v>
      </x:c>
    </x:row>
    <x:row r="16" ht="31.5" customHeight="1">
      <x:c r="A16" s="9" t="s">
        <x:v>226</x:v>
      </x:c>
      <x:c r="B16" s="9" t="s">
        <x:v>227</x:v>
      </x:c>
      <x:c r="C16" s="9" t="s">
        <x:v>228</x:v>
      </x:c>
      <x:c r="D16" s="9" t="s">
        <x:v>229</x:v>
      </x:c>
      <x:c r="E16" s="9" t="s">
        <x:v>230</x:v>
      </x:c>
      <x:c r="F16" s="9" t="s">
        <x:v>231</x:v>
      </x:c>
      <x:c r="G16" s="10" t="s">
        <x:v>68</x:v>
      </x:c>
      <x:c r="H16" s="10"/>
      <x:c r="I16" s="10"/>
      <x:c r="J16" s="10"/>
      <x:c r="K16" s="10"/>
      <x:c r="L16" s="10"/>
      <x:c r="M16" s="11"/>
      <x:c r="N16" s="9" t="str">
        <x:f t="shared" si="0"/>
        <x:v>미확인</x:v>
      </x:c>
      <x:c r="O16" s="9" t="s">
        <x:v>232</x:v>
      </x:c>
      <x:c r="P16" s="9" t="str">
        <x:f t="shared" si="1"/>
        <x:v>실제 담당자 지정</x:v>
      </x:c>
      <x:c r="Q16" s="9" t="str">
        <x:f>IF('01_사용자정리'!H15="","담당 미지정",'01_사용자정리'!H15)</x:f>
        <x:v>박철호</x:v>
      </x:c>
      <x:c r="R16" s="25" t="n">
        <x:f>IF(ISNUMBER('01_사용자정리'!N15),'01_사용자정리'!N15,"")</x:f>
        <x:v>46332</x:v>
      </x:c>
      <x:c r="S16" s="9" t="str">
        <x:v>E11_고객성과_CSR_실제기록_대상기간_기록번호</x:v>
      </x:c>
    </x:row>
    <x:row r="17" ht="31.5" customHeight="1">
      <x:c r="A17" s="12" t="s">
        <x:v>233</x:v>
      </x:c>
      <x:c r="B17" s="12" t="s">
        <x:v>234</x:v>
      </x:c>
      <x:c r="C17" s="12" t="s">
        <x:v>235</x:v>
      </x:c>
      <x:c r="D17" s="12" t="s">
        <x:v>236</x:v>
      </x:c>
      <x:c r="E17" s="12" t="s">
        <x:v>237</x:v>
      </x:c>
      <x:c r="F17" s="12" t="s">
        <x:v>238</x:v>
      </x:c>
      <x:c r="G17" s="10" t="s">
        <x:v>68</x:v>
      </x:c>
      <x:c r="H17" s="10"/>
      <x:c r="I17" s="10"/>
      <x:c r="J17" s="10"/>
      <x:c r="K17" s="10"/>
      <x:c r="L17" s="10"/>
      <x:c r="M17" s="11"/>
      <x:c r="N17" s="12" t="str">
        <x:f t="shared" si="0"/>
        <x:v>미확인</x:v>
      </x:c>
      <x:c r="O17" s="12" t="s">
        <x:v>239</x:v>
      </x:c>
      <x:c r="P17" s="12" t="str">
        <x:f t="shared" si="1"/>
        <x:v>실제 담당자 지정</x:v>
      </x:c>
      <x:c r="Q17" s="12" t="str">
        <x:f>IF('01_사용자정리'!H15="","담당 미지정",'01_사용자정리'!H15)</x:f>
        <x:v>박철호</x:v>
      </x:c>
      <x:c r="R17" s="26" t="n">
        <x:f>IF(ISNUMBER('01_사용자정리'!N15),'01_사용자정리'!N15,"")</x:f>
        <x:v>46332</x:v>
      </x:c>
      <x:c r="S17" s="12" t="str">
        <x:v>E12_개발_변경_실제기록_대상기간_기록번호</x:v>
      </x:c>
    </x:row>
    <x:row r="18" ht="31.5" customHeight="1">
      <x:c r="A18" s="9" t="s">
        <x:v>240</x:v>
      </x:c>
      <x:c r="B18" s="9" t="s">
        <x:v>241</x:v>
      </x:c>
      <x:c r="C18" s="9" t="s">
        <x:v>242</x:v>
      </x:c>
      <x:c r="D18" s="9" t="s">
        <x:v>243</x:v>
      </x:c>
      <x:c r="E18" s="9" t="s">
        <x:v>244</x:v>
      </x:c>
      <x:c r="F18" s="9" t="s">
        <x:v>245</x:v>
      </x:c>
      <x:c r="G18" s="10" t="s">
        <x:v>68</x:v>
      </x:c>
      <x:c r="H18" s="10"/>
      <x:c r="I18" s="10"/>
      <x:c r="J18" s="10"/>
      <x:c r="K18" s="10"/>
      <x:c r="L18" s="10"/>
      <x:c r="M18" s="11"/>
      <x:c r="N18" s="9" t="str">
        <x:f t="shared" si="0"/>
        <x:v>미확인</x:v>
      </x:c>
      <x:c r="O18" s="9" t="s">
        <x:v>246</x:v>
      </x:c>
      <x:c r="P18" s="9" t="str">
        <x:f t="shared" si="1"/>
        <x:v>실제 담당자 지정</x:v>
      </x:c>
      <x:c r="Q18" s="9" t="str">
        <x:f>IF('01_사용자정리'!H15="","담당 미지정",'01_사용자정리'!H15)</x:f>
        <x:v>박철호</x:v>
      </x:c>
      <x:c r="R18" s="25" t="n">
        <x:f>IF(ISNUMBER('01_사용자정리'!N15),'01_사용자정리'!N15,"")</x:f>
        <x:v>46332</x:v>
      </x:c>
      <x:c r="S18" s="9" t="str">
        <x:v>E13_식별_추적_실제기록_대상기간_기록번호</x:v>
      </x:c>
    </x:row>
    <x:row r="19" ht="31.5" customHeight="1">
      <x:c r="A19" s="12" t="s">
        <x:v>247</x:v>
      </x:c>
      <x:c r="B19" s="12" t="s">
        <x:v>248</x:v>
      </x:c>
      <x:c r="C19" s="12" t="s">
        <x:v>249</x:v>
      </x:c>
      <x:c r="D19" s="12" t="s">
        <x:v>250</x:v>
      </x:c>
      <x:c r="E19" s="12" t="s">
        <x:v>216</x:v>
      </x:c>
      <x:c r="F19" s="12" t="s">
        <x:v>251</x:v>
      </x:c>
      <x:c r="G19" s="10" t="s">
        <x:v>68</x:v>
      </x:c>
      <x:c r="H19" s="10"/>
      <x:c r="I19" s="10"/>
      <x:c r="J19" s="10"/>
      <x:c r="K19" s="10"/>
      <x:c r="L19" s="10"/>
      <x:c r="M19" s="11"/>
      <x:c r="N19" s="12" t="str">
        <x:f t="shared" si="0"/>
        <x:v>미확인</x:v>
      </x:c>
      <x:c r="O19" s="12" t="s">
        <x:v>252</x:v>
      </x:c>
      <x:c r="P19" s="12" t="str">
        <x:f t="shared" si="1"/>
        <x:v>실제 담당자 지정</x:v>
      </x:c>
      <x:c r="Q19" s="12" t="str">
        <x:f>IF('01_사용자정리'!H15="","담당 미지정",'01_사용자정리'!H15)</x:f>
        <x:v>박철호</x:v>
      </x:c>
      <x:c r="R19" s="26" t="n">
        <x:f>IF(ISNUMBER('01_사용자정리'!N15),'01_사용자정리'!N15,"")</x:f>
        <x:v>46332</x:v>
      </x:c>
      <x:c r="S19" s="12" t="str">
        <x:v>E14_측정자원_실제기록_대상기간_기록번호</x:v>
      </x:c>
    </x:row>
    <x:row r="20" ht="31.5" customHeight="1">
      <x:c r="A20" s="9" t="s">
        <x:v>253</x:v>
      </x:c>
      <x:c r="B20" s="9" t="s">
        <x:v>254</x:v>
      </x:c>
      <x:c r="C20" s="9" t="s">
        <x:v>255</x:v>
      </x:c>
      <x:c r="D20" s="9" t="s">
        <x:v>256</x:v>
      </x:c>
      <x:c r="E20" s="9" t="s">
        <x:v>257</x:v>
      </x:c>
      <x:c r="F20" s="9" t="s">
        <x:v>258</x:v>
      </x:c>
      <x:c r="G20" s="10" t="s">
        <x:v>68</x:v>
      </x:c>
      <x:c r="H20" s="10"/>
      <x:c r="I20" s="10"/>
      <x:c r="J20" s="10"/>
      <x:c r="K20" s="10"/>
      <x:c r="L20" s="10"/>
      <x:c r="M20" s="11"/>
      <x:c r="N20" s="9" t="str">
        <x:f t="shared" si="0"/>
        <x:v>미확인</x:v>
      </x:c>
      <x:c r="O20" s="9" t="s">
        <x:v>259</x:v>
      </x:c>
      <x:c r="P20" s="9" t="str">
        <x:f t="shared" si="1"/>
        <x:v>실제 담당자 지정</x:v>
      </x:c>
      <x:c r="Q20" s="9" t="str">
        <x:f>IF('01_사용자정리'!H15="","담당 미지정",'01_사용자정리'!H15)</x:f>
        <x:v>박철호</x:v>
      </x:c>
      <x:c r="R20" s="25" t="n">
        <x:f>IF(ISNUMBER('01_사용자정리'!N15),'01_사용자정리'!N15,"")</x:f>
        <x:v>46332</x:v>
      </x:c>
      <x:c r="S20" s="9" t="str">
        <x:v>E15_설비_금형_실제기록_대상기간_기록번호</x:v>
      </x:c>
    </x:row>
    <x:row r="21" ht="31.5" customHeight="1">
      <x:c r="A21" s="12" t="s">
        <x:v>260</x:v>
      </x:c>
      <x:c r="B21" s="12" t="s">
        <x:v>261</x:v>
      </x:c>
      <x:c r="C21" s="12" t="s">
        <x:v>262</x:v>
      </x:c>
      <x:c r="D21" s="12" t="s">
        <x:v>263</x:v>
      </x:c>
      <x:c r="E21" s="12" t="s">
        <x:v>264</x:v>
      </x:c>
      <x:c r="F21" s="12" t="s">
        <x:v>265</x:v>
      </x:c>
      <x:c r="G21" s="10" t="s">
        <x:v>68</x:v>
      </x:c>
      <x:c r="H21" s="10"/>
      <x:c r="I21" s="10"/>
      <x:c r="J21" s="10"/>
      <x:c r="K21" s="10"/>
      <x:c r="L21" s="10"/>
      <x:c r="M21" s="11"/>
      <x:c r="N21" s="12" t="str">
        <x:f t="shared" si="0"/>
        <x:v>미확인</x:v>
      </x:c>
      <x:c r="O21" s="12" t="s">
        <x:v>266</x:v>
      </x:c>
      <x:c r="P21" s="12" t="str">
        <x:f t="shared" si="1"/>
        <x:v>실제 담당자 지정</x:v>
      </x:c>
      <x:c r="Q21" s="12" t="str">
        <x:f>IF('01_사용자정리'!H15="","담당 미지정",'01_사용자정리'!H15)</x:f>
        <x:v>박철호</x:v>
      </x:c>
      <x:c r="R21" s="26" t="n">
        <x:f>IF(ISNUMBER('01_사용자정리'!N15),'01_사용자정리'!N15,"")</x:f>
        <x:v>46332</x:v>
      </x:c>
      <x:c r="S21" s="12" t="str">
        <x:v>E16_교육_역량_실제기록_대상기간_기록번호</x:v>
      </x:c>
    </x:row>
    <x:row r="22" ht="31.5" customHeight="1">
      <x:c r="A22" s="9" t="s">
        <x:v>267</x:v>
      </x:c>
      <x:c r="B22" s="9" t="s">
        <x:v>268</x:v>
      </x:c>
      <x:c r="C22" s="9" t="s">
        <x:v>269</x:v>
      </x:c>
      <x:c r="D22" s="9" t="s">
        <x:v>270</x:v>
      </x:c>
      <x:c r="E22" s="9" t="s">
        <x:v>271</x:v>
      </x:c>
      <x:c r="F22" s="9" t="s">
        <x:v>272</x:v>
      </x:c>
      <x:c r="G22" s="10" t="s">
        <x:v>68</x:v>
      </x:c>
      <x:c r="H22" s="10"/>
      <x:c r="I22" s="10"/>
      <x:c r="J22" s="10"/>
      <x:c r="K22" s="10"/>
      <x:c r="L22" s="10"/>
      <x:c r="M22" s="11"/>
      <x:c r="N22" s="9" t="str">
        <x:f t="shared" si="0"/>
        <x:v>미확인</x:v>
      </x:c>
      <x:c r="O22" s="9" t="s">
        <x:v>273</x:v>
      </x:c>
      <x:c r="P22" s="9" t="str">
        <x:f t="shared" si="1"/>
        <x:v>실제 담당자 지정</x:v>
      </x:c>
      <x:c r="Q22" s="9" t="str">
        <x:f>IF('01_사용자정리'!H15="","담당 미지정",'01_사용자정리'!H15)</x:f>
        <x:v>박철호</x:v>
      </x:c>
      <x:c r="R22" s="25" t="n">
        <x:f>IF(ISNUMBER('01_사용자정리'!N15),'01_사용자정리'!N15,"")</x:f>
        <x:v>46332</x:v>
      </x:c>
      <x:c r="S22" s="9" t="str">
        <x:v>E17_공급자_실제기록_대상기간_기록번호</x:v>
      </x:c>
    </x:row>
    <x:row r="23" ht="31.5" customHeight="1">
      <x:c r="A23" s="12" t="s">
        <x:v>274</x:v>
      </x:c>
      <x:c r="B23" s="12" t="s">
        <x:v>275</x:v>
      </x:c>
      <x:c r="C23" s="12" t="s">
        <x:v>276</x:v>
      </x:c>
      <x:c r="D23" s="12" t="s">
        <x:v>277</x:v>
      </x:c>
      <x:c r="E23" s="12" t="s">
        <x:v>202</x:v>
      </x:c>
      <x:c r="F23" s="12" t="s">
        <x:v>278</x:v>
      </x:c>
      <x:c r="G23" s="10" t="s">
        <x:v>68</x:v>
      </x:c>
      <x:c r="H23" s="10"/>
      <x:c r="I23" s="10"/>
      <x:c r="J23" s="10"/>
      <x:c r="K23" s="10"/>
      <x:c r="L23" s="10"/>
      <x:c r="M23" s="11"/>
      <x:c r="N23" s="12" t="str">
        <x:f t="shared" si="0"/>
        <x:v>미확인</x:v>
      </x:c>
      <x:c r="O23" s="12" t="s">
        <x:v>279</x:v>
      </x:c>
      <x:c r="P23" s="12" t="str">
        <x:f t="shared" si="1"/>
        <x:v>실제 담당자 지정</x:v>
      </x:c>
      <x:c r="Q23" s="12" t="str">
        <x:f>IF('01_사용자정리'!H15="","담당 미지정",'01_사용자정리'!H15)</x:f>
        <x:v>박철호</x:v>
      </x:c>
      <x:c r="R23" s="26" t="n">
        <x:f>IF(ISNUMBER('01_사용자정리'!N15),'01_사용자정리'!N15,"")</x:f>
        <x:v>46332</x:v>
      </x:c>
      <x:c r="S23" s="12" t="str">
        <x:v>E18_부적합_고객불만_실제기록_대상기간_기록번호</x:v>
      </x:c>
    </x:row>
    <x:row r="24" ht="31.5" customHeight="1">
      <x:c r="A24" s="9" t="s">
        <x:v>280</x:v>
      </x:c>
      <x:c r="B24" s="9" t="s">
        <x:v>281</x:v>
      </x:c>
      <x:c r="C24" s="9" t="s">
        <x:v>282</x:v>
      </x:c>
      <x:c r="D24" s="9" t="s">
        <x:v>283</x:v>
      </x:c>
      <x:c r="E24" s="9" t="s">
        <x:v>284</x:v>
      </x:c>
      <x:c r="F24" s="9" t="s">
        <x:v>285</x:v>
      </x:c>
      <x:c r="G24" s="10" t="s">
        <x:v>68</x:v>
      </x:c>
      <x:c r="H24" s="10"/>
      <x:c r="I24" s="10"/>
      <x:c r="J24" s="10"/>
      <x:c r="K24" s="10"/>
      <x:c r="L24" s="10"/>
      <x:c r="M24" s="11"/>
      <x:c r="N24" s="9" t="str">
        <x:f t="shared" si="0"/>
        <x:v>미확인</x:v>
      </x:c>
      <x:c r="O24" s="9" t="s">
        <x:v>286</x:v>
      </x:c>
      <x:c r="P24" s="9" t="str">
        <x:f t="shared" si="1"/>
        <x:v>실제 담당자 지정</x:v>
      </x:c>
      <x:c r="Q24" s="9" t="str">
        <x:f>IF('01_사용자정리'!H15="","담당 미지정",'01_사용자정리'!H15)</x:f>
        <x:v>박철호</x:v>
      </x:c>
      <x:c r="R24" s="25" t="n">
        <x:f>IF(ISNUMBER('01_사용자정리'!N15),'01_사용자정리'!N15,"")</x:f>
        <x:v>46332</x:v>
      </x:c>
      <x:c r="S24" s="9" t="str">
        <x:v>E19_비상_복구_실제기록_대상기간_기록번호</x:v>
      </x:c>
    </x:row>
    <x:row r="25" ht="31.5" customHeight="1">
      <x:c r="A25" s="12" t="s">
        <x:v>287</x:v>
      </x:c>
      <x:c r="B25" s="12" t="s">
        <x:v>288</x:v>
      </x:c>
      <x:c r="C25" s="12" t="s">
        <x:v>289</x:v>
      </x:c>
      <x:c r="D25" s="12" t="s">
        <x:v>290</x:v>
      </x:c>
      <x:c r="E25" s="12" t="s">
        <x:v>216</x:v>
      </x:c>
      <x:c r="F25" s="12" t="s">
        <x:v>291</x:v>
      </x:c>
      <x:c r="G25" s="10" t="s">
        <x:v>68</x:v>
      </x:c>
      <x:c r="H25" s="10"/>
      <x:c r="I25" s="10"/>
      <x:c r="J25" s="10"/>
      <x:c r="K25" s="10"/>
      <x:c r="L25" s="10"/>
      <x:c r="M25" s="11"/>
      <x:c r="N25" s="12" t="str">
        <x:f t="shared" si="0"/>
        <x:v>미확인</x:v>
      </x:c>
      <x:c r="O25" s="12" t="s">
        <x:v>292</x:v>
      </x:c>
      <x:c r="P25" s="12" t="str">
        <x:f t="shared" si="1"/>
        <x:v>실제 담당자 지정</x:v>
      </x:c>
      <x:c r="Q25" s="12" t="str">
        <x:f>IF('01_사용자정리'!H15="","담당 미지정",'01_사용자정리'!H15)</x:f>
        <x:v>박철호</x:v>
      </x:c>
      <x:c r="R25" s="26" t="n">
        <x:f>IF(ISNUMBER('01_사용자정리'!N15),'01_사용자정리'!N15,"")</x:f>
        <x:v>46332</x:v>
      </x:c>
      <x:c r="S25" s="12" t="str">
        <x:v>E20_직전 외부심사_실제기록_대상기간_기록번호</x:v>
      </x:c>
    </x:row>
    <x:row r="26" ht="15.7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</x:sheetData>
  <x:conditionalFormatting sqref="N6:N25">
    <x:cfRule type="containsText" dxfId="2" priority="1" operator="containsText" text="필요"/>
  </x:conditionalFormatting>
  <x:dataValidations count="1">
    <x:dataValidation type="list" sqref="G6:G25">
      <x:formula1>"미확인,확보중,검토중,증빙 확인,비적용"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6" activePane="bottomRight" state="frozen"/>
      <selection pane="topRight"/>
      <selection pane="bottomLeft"/>
      <selection pane="bottomRight" activeCell="C14" sqref="C14"/>
    </sheetView>
  </sheetViews>
  <x:sheetFormatPr defaultRowHeight="15"/>
  <x:cols>
    <x:col min="1" max="1" width="10" customWidth="1"/>
    <x:col min="2" max="2" width="41.5" customWidth="1"/>
    <x:col min="3" max="3" width="47.875" customWidth="1"/>
    <x:col min="4" max="4" width="21.125" customWidth="1"/>
    <x:col min="5" max="5" width="14.875" customWidth="1"/>
    <x:col min="6" max="6" width="13" customWidth="1"/>
    <x:col min="7" max="7" width="11.625" customWidth="1"/>
    <x:col min="8" max="8" width="11.25" customWidth="1"/>
    <x:col min="9" max="9" width="24.625" customWidth="1"/>
    <x:col min="10" max="10" width="12.75" customWidth="1"/>
    <x:col min="11" max="11" width="16.625" customWidth="1"/>
    <x:col min="12" max="12" width="16.375" customWidth="1"/>
    <x:col min="13" max="13" width="30" customWidth="1"/>
    <x:col min="14" max="14" width="19" hidden="0" customWidth="1"/>
    <x:col min="15" max="15" width="20" hidden="0" customWidth="1"/>
    <x:col min="16" max="16" width="65" hidden="0" customWidth="1"/>
  </x:cols>
  <x:sheetData>
    <x:row r="1" ht="15.75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3.95000076293945" customHeight="1">
      <x:c r="A2" s="2" t="s">
        <x:v>293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7.950000762939453" customHeight="1">
      <x:c r="A3" s="1" t="str">
        <x:v>N~P열에 목표일·취합 담당·표본 준비계획을 연결했습니다. 실제 실시일·응답자·증거·확인자는 G~J열에 기록합니다. LOT 실습은 29행부터 작성합니다.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5.75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3.95000076293945" customHeight="1">
      <x:c r="A5" s="4" t="s">
        <x:v>44</x:v>
      </x:c>
      <x:c r="B5" s="4" t="s">
        <x:v>294</x:v>
      </x:c>
      <x:c r="C5" s="4" t="s">
        <x:v>295</x:v>
      </x:c>
      <x:c r="D5" s="4" t="s">
        <x:v>296</x:v>
      </x:c>
      <x:c r="E5" s="4" t="s">
        <x:v>297</x:v>
      </x:c>
      <x:c r="F5" s="4" t="s">
        <x:v>298</x:v>
      </x:c>
      <x:c r="G5" s="4" t="s">
        <x:v>299</x:v>
      </x:c>
      <x:c r="H5" s="4" t="s">
        <x:v>300</x:v>
      </x:c>
      <x:c r="I5" s="4" t="s">
        <x:v>301</x:v>
      </x:c>
      <x:c r="J5" s="4" t="s">
        <x:v>55</x:v>
      </x:c>
      <x:c r="K5" s="4" t="s">
        <x:v>302</x:v>
      </x:c>
      <x:c r="L5" s="4" t="s">
        <x:v>56</x:v>
      </x:c>
      <x:c r="M5" s="4" t="s">
        <x:v>303</x:v>
      </x:c>
      <x:c r="N5" s="4" t="str">
        <x:v>실시 목표일</x:v>
      </x:c>
      <x:c r="O5" s="4" t="str">
        <x:v>실행 취합 담당</x:v>
      </x:c>
      <x:c r="P5" s="4" t="str">
        <x:v>실습 표본 준비</x:v>
      </x:c>
    </x:row>
    <x:row r="6" ht="33" customHeight="1">
      <x:c r="A6" s="9" t="s">
        <x:v>166</x:v>
      </x:c>
      <x:c r="B6" s="9" t="s">
        <x:v>304</x:v>
      </x:c>
      <x:c r="C6" s="9" t="s">
        <x:v>305</x:v>
      </x:c>
      <x:c r="D6" s="9" t="s">
        <x:v>306</x:v>
      </x:c>
      <x:c r="E6" s="9" t="s">
        <x:v>307</x:v>
      </x:c>
      <x:c r="F6" s="10" t="s">
        <x:v>308</x:v>
      </x:c>
      <x:c r="G6" s="11"/>
      <x:c r="H6" s="10"/>
      <x:c r="I6" s="10"/>
      <x:c r="J6" s="10"/>
      <x:c r="K6" s="10"/>
      <x:c r="L6" s="9" t="str">
        <x:f t="shared" ref="L6:L25" si="0">IF(OR(F6="적합",F6="비적용"),IF(AND(ISNUMBER(G6),H6&lt;&gt;"",I6&lt;&gt;"",J6&lt;&gt;""),"확인","근거 확인 필요"),F6)</x:f>
        <x:v>미실시</x:v>
      </x:c>
      <x:c r="M6" s="9" t="str">
        <x:f>IF(AND('02_운영증빙'!N6="확인",'02_운영증빙'!N7="확인",'02_운영증빙'!N8="확인",'02_운영증빙'!N9="확인",'02_운영증빙'!N10="확인"),"선행증빙 확인","원본 확인 대기")</x:f>
        <x:v>원본 확인 대기</x:v>
      </x:c>
      <x:c r="N6" s="25" t="n">
        <x:f>IF(ISNUMBER('01_사용자정리'!N17),'01_사용자정리'!N17,"")</x:f>
        <x:v>46332</x:v>
      </x:c>
      <x:c r="O6" s="9" t="str">
        <x:f>IF('01_사용자정리'!H17="","담당 미지정",'01_사용자정리'!H17)</x:f>
        <x:v>박철호</x:v>
      </x:c>
      <x:c r="P6" s="9" t="str">
        <x:v>최신 승인문서 1종과 현장 비치본 1종, 배포·회수 사례 연결</x:v>
      </x:c>
    </x:row>
    <x:row r="7" ht="33" customHeight="1">
      <x:c r="A7" s="12" t="s">
        <x:v>309</x:v>
      </x:c>
      <x:c r="B7" s="12" t="s">
        <x:v>310</x:v>
      </x:c>
      <x:c r="C7" s="12" t="s">
        <x:v>311</x:v>
      </x:c>
      <x:c r="D7" s="12" t="s">
        <x:v>312</x:v>
      </x:c>
      <x:c r="E7" s="12" t="s">
        <x:v>313</x:v>
      </x:c>
      <x:c r="F7" s="10" t="s">
        <x:v>308</x:v>
      </x:c>
      <x:c r="G7" s="11"/>
      <x:c r="H7" s="10"/>
      <x:c r="I7" s="10"/>
      <x:c r="J7" s="10"/>
      <x:c r="K7" s="10"/>
      <x:c r="L7" s="12" t="str">
        <x:f t="shared" si="0"/>
        <x:v>미실시</x:v>
      </x:c>
      <x:c r="M7" s="12" t="str">
        <x:f>IF(AND('01_사용자정리'!M6="완료",'01_사용자정리'!M7="완료"),"선행증빙 확인","원본 확인 대기")</x:f>
        <x:v>원본 확인 대기</x:v>
      </x:c>
      <x:c r="N7" s="26" t="n">
        <x:f>IF(ISNUMBER('01_사용자정리'!N17),'01_사용자정리'!N17,"")</x:f>
        <x:v>46332</x:v>
      </x:c>
      <x:c r="O7" s="12" t="str">
        <x:f>IF('01_사용자정리'!H17="","담당 미지정",'01_사용자정리'!H17)</x:f>
        <x:v>박철호</x:v>
      </x:c>
      <x:c r="P7" s="12" t="str">
        <x:v>인증서·계획서와 실제 사업장·지원기능·교대 근무표 대조</x:v>
      </x:c>
    </x:row>
    <x:row r="8" ht="33" customHeight="1">
      <x:c r="A8" s="9" t="s">
        <x:v>218</x:v>
      </x:c>
      <x:c r="B8" s="9" t="s">
        <x:v>314</x:v>
      </x:c>
      <x:c r="C8" s="9" t="s">
        <x:v>315</x:v>
      </x:c>
      <x:c r="D8" s="9" t="s">
        <x:v>316</x:v>
      </x:c>
      <x:c r="E8" s="9" t="s">
        <x:v>212</x:v>
      </x:c>
      <x:c r="F8" s="10" t="s">
        <x:v>308</x:v>
      </x:c>
      <x:c r="G8" s="11"/>
      <x:c r="H8" s="10"/>
      <x:c r="I8" s="10"/>
      <x:c r="J8" s="10"/>
      <x:c r="K8" s="10"/>
      <x:c r="L8" s="9" t="str">
        <x:f t="shared" si="0"/>
        <x:v>미실시</x:v>
      </x:c>
      <x:c r="M8" s="9" t="str">
        <x:f>IF(AND('02_운영증빙'!N14="확인"),"선행증빙 확인","원본 확인 대기")</x:f>
        <x:v>원본 확인 대기</x:v>
      </x:c>
      <x:c r="N8" s="25" t="n">
        <x:f>IF(ISNUMBER('01_사용자정리'!N17),'01_사용자정리'!N17,"")</x:f>
        <x:v>46332</x:v>
      </x:c>
      <x:c r="O8" s="9" t="str">
        <x:f>IF('01_사용자정리'!H17="","담당 미지정",'01_사용자정리'!H17)</x:f>
        <x:v>박철호</x:v>
      </x:c>
      <x:c r="P8" s="9" t="str">
        <x:v>이번 대상기간 QMS·공정·제품심사 및 지적 1건의 종결근거</x:v>
      </x:c>
    </x:row>
    <x:row r="9" ht="33" customHeight="1">
      <x:c r="A9" s="12" t="s">
        <x:v>225</x:v>
      </x:c>
      <x:c r="B9" s="12" t="s">
        <x:v>317</x:v>
      </x:c>
      <x:c r="C9" s="12" t="s">
        <x:v>318</x:v>
      </x:c>
      <x:c r="D9" s="12" t="s">
        <x:v>319</x:v>
      </x:c>
      <x:c r="E9" s="12" t="s">
        <x:v>219</x:v>
      </x:c>
      <x:c r="F9" s="10" t="s">
        <x:v>308</x:v>
      </x:c>
      <x:c r="G9" s="11"/>
      <x:c r="H9" s="10"/>
      <x:c r="I9" s="10"/>
      <x:c r="J9" s="10"/>
      <x:c r="K9" s="10"/>
      <x:c r="L9" s="12" t="str">
        <x:f t="shared" si="0"/>
        <x:v>미실시</x:v>
      </x:c>
      <x:c r="M9" s="12" t="str">
        <x:f>IF(AND('02_운영증빙'!N15="확인"),"선행증빙 확인","원본 확인 대기")</x:f>
        <x:v>원본 확인 대기</x:v>
      </x:c>
      <x:c r="N9" s="26" t="n">
        <x:f>IF(ISNUMBER('01_사용자정리'!N17),'01_사용자정리'!N17,"")</x:f>
        <x:v>46332</x:v>
      </x:c>
      <x:c r="O9" s="12" t="str">
        <x:f>IF('01_사용자정리'!H17="","담당 미지정",'01_사용자정리'!H17)</x:f>
        <x:v>박철호</x:v>
      </x:c>
      <x:c r="P9" s="12" t="str">
        <x:v>최근 경영검토 결정 1건과 후속조치 완료증거</x:v>
      </x:c>
    </x:row>
    <x:row r="10" ht="33" customHeight="1">
      <x:c r="A10" s="9" t="s">
        <x:v>232</x:v>
      </x:c>
      <x:c r="B10" s="9" t="s">
        <x:v>320</x:v>
      </x:c>
      <x:c r="C10" s="9" t="s">
        <x:v>321</x:v>
      </x:c>
      <x:c r="D10" s="9" t="s">
        <x:v>322</x:v>
      </x:c>
      <x:c r="E10" s="9" t="s">
        <x:v>226</x:v>
      </x:c>
      <x:c r="F10" s="10" t="s">
        <x:v>308</x:v>
      </x:c>
      <x:c r="G10" s="11"/>
      <x:c r="H10" s="10"/>
      <x:c r="I10" s="10"/>
      <x:c r="J10" s="10"/>
      <x:c r="K10" s="10"/>
      <x:c r="L10" s="9" t="str">
        <x:f t="shared" si="0"/>
        <x:v>미실시</x:v>
      </x:c>
      <x:c r="M10" s="9" t="str">
        <x:f>IF(AND('02_운영증빙'!N16="확인"),"선행증빙 확인","원본 확인 대기")</x:f>
        <x:v>원본 확인 대기</x:v>
      </x:c>
      <x:c r="N10" s="25" t="n">
        <x:f>IF(ISNUMBER('01_사용자정리'!N17),'01_사용자정리'!N17,"")</x:f>
        <x:v>46332</x:v>
      </x:c>
      <x:c r="O10" s="9" t="str">
        <x:f>IF('01_사용자정리'!H17="","담당 미지정",'01_사용자정리'!H17)</x:f>
        <x:v>박철호</x:v>
      </x:c>
      <x:c r="P10" s="9" t="str">
        <x:v>적용 고객 1곳의 최신 CSR·성과와 미달조치 사례</x:v>
      </x:c>
    </x:row>
    <x:row r="11" ht="33" customHeight="1">
      <x:c r="A11" s="12" t="s">
        <x:v>323</x:v>
      </x:c>
      <x:c r="B11" s="12" t="s">
        <x:v>324</x:v>
      </x:c>
      <x:c r="C11" s="12" t="s">
        <x:v>325</x:v>
      </x:c>
      <x:c r="D11" s="12" t="s">
        <x:v>326</x:v>
      </x:c>
      <x:c r="E11" s="12" t="s">
        <x:v>233</x:v>
      </x:c>
      <x:c r="F11" s="10" t="s">
        <x:v>308</x:v>
      </x:c>
      <x:c r="G11" s="11"/>
      <x:c r="H11" s="10"/>
      <x:c r="I11" s="10"/>
      <x:c r="J11" s="10"/>
      <x:c r="K11" s="10"/>
      <x:c r="L11" s="12" t="str">
        <x:f t="shared" si="0"/>
        <x:v>미실시</x:v>
      </x:c>
      <x:c r="M11" s="12" t="str">
        <x:f>IF(AND('02_운영증빙'!N17="확인"),"선행증빙 확인","원본 확인 대기")</x:f>
        <x:v>원본 확인 대기</x:v>
      </x:c>
      <x:c r="N11" s="26" t="n">
        <x:f>IF(ISNUMBER('01_사용자정리'!N17),'01_사용자정리'!N17,"")</x:f>
        <x:v>46332</x:v>
      </x:c>
      <x:c r="O11" s="12" t="str">
        <x:f>IF('01_사용자정리'!H17="","담당 미지정",'01_사용자정리'!H17)</x:f>
        <x:v>박철호</x:v>
      </x:c>
      <x:c r="P11" s="12" t="str">
        <x:v>대표 양산 품번 1종의 PFD·PFMEA·CP·WI 승인본 세트</x:v>
      </x:c>
    </x:row>
    <x:row r="12" ht="33" customHeight="1">
      <x:c r="A12" s="9" t="s">
        <x:v>327</x:v>
      </x:c>
      <x:c r="B12" s="9" t="s">
        <x:v>328</x:v>
      </x:c>
      <x:c r="C12" s="9" t="s">
        <x:v>329</x:v>
      </x:c>
      <x:c r="D12" s="9" t="s">
        <x:v>330</x:v>
      </x:c>
      <x:c r="E12" s="9" t="s">
        <x:v>240</x:v>
      </x:c>
      <x:c r="F12" s="10" t="s">
        <x:v>308</x:v>
      </x:c>
      <x:c r="G12" s="11"/>
      <x:c r="H12" s="10"/>
      <x:c r="I12" s="10"/>
      <x:c r="J12" s="10"/>
      <x:c r="K12" s="10"/>
      <x:c r="L12" s="9" t="str">
        <x:f t="shared" si="0"/>
        <x:v>미실시</x:v>
      </x:c>
      <x:c r="M12" s="9" t="str">
        <x:f>IF(AND('02_운영증빙'!N18="확인"),"선행증빙 확인","원본 확인 대기")</x:f>
        <x:v>원본 확인 대기</x:v>
      </x:c>
      <x:c r="N12" s="25" t="n">
        <x:f>IF(ISNUMBER('01_사용자정리'!N17),'01_사용자정리'!N17,"")</x:f>
        <x:v>46332</x:v>
      </x:c>
      <x:c r="O12" s="9" t="str">
        <x:f>IF('01_사용자정리'!H17="","담당 미지정",'01_사용자정리'!H17)</x:f>
        <x:v>박철호</x:v>
      </x:c>
      <x:c r="P12" s="9" t="str">
        <x:v>대표 출하 LOT 1건 선정 후 아래 정·역추적 기록 작성</x:v>
      </x:c>
    </x:row>
    <x:row r="13" ht="33" customHeight="1">
      <x:c r="A13" s="12" t="s">
        <x:v>197</x:v>
      </x:c>
      <x:c r="B13" s="12" t="s">
        <x:v>331</x:v>
      </x:c>
      <x:c r="C13" s="12" t="s">
        <x:v>332</x:v>
      </x:c>
      <x:c r="D13" s="12" t="s">
        <x:v>333</x:v>
      </x:c>
      <x:c r="E13" s="12" t="s">
        <x:v>191</x:v>
      </x:c>
      <x:c r="F13" s="10" t="s">
        <x:v>308</x:v>
      </x:c>
      <x:c r="G13" s="11"/>
      <x:c r="H13" s="10"/>
      <x:c r="I13" s="10"/>
      <x:c r="J13" s="10"/>
      <x:c r="K13" s="10"/>
      <x:c r="L13" s="12" t="str">
        <x:f t="shared" si="0"/>
        <x:v>미실시</x:v>
      </x:c>
      <x:c r="M13" s="12" t="str">
        <x:f>IF(AND('02_운영증빙'!N11="확인"),"선행증빙 확인","원본 확인 대기")</x:f>
        <x:v>원본 확인 대기</x:v>
      </x:c>
      <x:c r="N13" s="26" t="n">
        <x:f>IF(ISNUMBER('01_사용자정리'!N17),'01_사용자정리'!N17,"")</x:f>
        <x:v>46332</x:v>
      </x:c>
      <x:c r="O13" s="12" t="str">
        <x:f>IF('01_사용자정리'!H17="","담당 미지정",'01_사용자정리'!H17)</x:f>
        <x:v>박철호</x:v>
      </x:c>
      <x:c r="P13" s="12" t="str">
        <x:v>안전 관련 요구·특성 또는 비적용 근거와 보고 담당 확인</x:v>
      </x:c>
    </x:row>
    <x:row r="14" ht="33" customHeight="1">
      <x:c r="A14" s="9" t="s">
        <x:v>204</x:v>
      </x:c>
      <x:c r="B14" s="9" t="s">
        <x:v>334</x:v>
      </x:c>
      <x:c r="C14" s="9" t="s">
        <x:v>335</x:v>
      </x:c>
      <x:c r="D14" s="9" t="s">
        <x:v>336</x:v>
      </x:c>
      <x:c r="E14" s="9" t="s">
        <x:v>198</x:v>
      </x:c>
      <x:c r="F14" s="10" t="s">
        <x:v>308</x:v>
      </x:c>
      <x:c r="G14" s="11"/>
      <x:c r="H14" s="10"/>
      <x:c r="I14" s="10"/>
      <x:c r="J14" s="10"/>
      <x:c r="K14" s="10"/>
      <x:c r="L14" s="9" t="str">
        <x:f t="shared" si="0"/>
        <x:v>미실시</x:v>
      </x:c>
      <x:c r="M14" s="9" t="str">
        <x:f>IF(AND('02_운영증빙'!N12="확인"),"선행증빙 확인","원본 확인 대기")</x:f>
        <x:v>원본 확인 대기</x:v>
      </x:c>
      <x:c r="N14" s="25" t="n">
        <x:f>IF(ISNUMBER('01_사용자정리'!N17),'01_사용자정리'!N17,"")</x:f>
        <x:v>46332</x:v>
      </x:c>
      <x:c r="O14" s="9" t="str">
        <x:f>IF('01_사용자정리'!H17="","담당 미지정",'01_사용자정리'!H17)</x:f>
        <x:v>박철호</x:v>
      </x:c>
      <x:c r="P14" s="9" t="str">
        <x:v>관리계획 특성 1개의 원자료·관리도·이상 대응 사례</x:v>
      </x:c>
    </x:row>
    <x:row r="15" ht="33" customHeight="1">
      <x:c r="A15" s="12" t="s">
        <x:v>211</x:v>
      </x:c>
      <x:c r="B15" s="12" t="s">
        <x:v>337</x:v>
      </x:c>
      <x:c r="C15" s="12" t="s">
        <x:v>338</x:v>
      </x:c>
      <x:c r="D15" s="12" t="s">
        <x:v>339</x:v>
      </x:c>
      <x:c r="E15" s="12" t="s">
        <x:v>205</x:v>
      </x:c>
      <x:c r="F15" s="10" t="s">
        <x:v>308</x:v>
      </x:c>
      <x:c r="G15" s="11"/>
      <x:c r="H15" s="10"/>
      <x:c r="I15" s="10"/>
      <x:c r="J15" s="10"/>
      <x:c r="K15" s="10"/>
      <x:c r="L15" s="12" t="str">
        <x:f t="shared" si="0"/>
        <x:v>미실시</x:v>
      </x:c>
      <x:c r="M15" s="12" t="str">
        <x:f>IF(AND('02_운영증빙'!N13="확인"),"선행증빙 확인","원본 확인 대기")</x:f>
        <x:v>원본 확인 대기</x:v>
      </x:c>
      <x:c r="N15" s="26" t="n">
        <x:f>IF(ISNUMBER('01_사용자정리'!N17),'01_사용자정리'!N17,"")</x:f>
        <x:v>46332</x:v>
      </x:c>
      <x:c r="O15" s="12" t="str">
        <x:f>IF('01_사용자정리'!H17="","담당 미지정",'01_사용자정리'!H17)</x:f>
        <x:v>박철호</x:v>
      </x:c>
      <x:c r="P15" s="12" t="str">
        <x:v>최근 월별 품질비용 원장과 개선과제 전후 실적 1건</x:v>
      </x:c>
    </x:row>
    <x:row r="16" ht="33" customHeight="1">
      <x:c r="A16" s="9" t="s">
        <x:v>252</x:v>
      </x:c>
      <x:c r="B16" s="9" t="s">
        <x:v>340</x:v>
      </x:c>
      <x:c r="C16" s="9" t="s">
        <x:v>341</x:v>
      </x:c>
      <x:c r="D16" s="9" t="s">
        <x:v>316</x:v>
      </x:c>
      <x:c r="E16" s="9" t="s">
        <x:v>247</x:v>
      </x:c>
      <x:c r="F16" s="10" t="s">
        <x:v>308</x:v>
      </x:c>
      <x:c r="G16" s="11"/>
      <x:c r="H16" s="10"/>
      <x:c r="I16" s="10"/>
      <x:c r="J16" s="10"/>
      <x:c r="K16" s="10"/>
      <x:c r="L16" s="9" t="str">
        <x:f t="shared" si="0"/>
        <x:v>미실시</x:v>
      </x:c>
      <x:c r="M16" s="9" t="str">
        <x:f>IF(AND('02_운영증빙'!N19="확인"),"선행증빙 확인","원본 확인 대기")</x:f>
        <x:v>원본 확인 대기</x:v>
      </x:c>
      <x:c r="N16" s="25" t="n">
        <x:f>IF(ISNUMBER('01_사용자정리'!N17),'01_사용자정리'!N17,"")</x:f>
        <x:v>46332</x:v>
      </x:c>
      <x:c r="O16" s="9" t="str">
        <x:f>IF('01_사용자정리'!H17="","담당 미지정",'01_사용자정리'!H17)</x:f>
        <x:v>박철호</x:v>
      </x:c>
      <x:c r="P16" s="9" t="str">
        <x:v>선정 품번의 측정기 1대 교정·MSA 및 이탈영향 평가</x:v>
      </x:c>
    </x:row>
    <x:row r="17" ht="33" customHeight="1">
      <x:c r="A17" s="12" t="s">
        <x:v>259</x:v>
      </x:c>
      <x:c r="B17" s="12" t="s">
        <x:v>342</x:v>
      </x:c>
      <x:c r="C17" s="12" t="s">
        <x:v>343</x:v>
      </x:c>
      <x:c r="D17" s="12" t="s">
        <x:v>344</x:v>
      </x:c>
      <x:c r="E17" s="12" t="s">
        <x:v>253</x:v>
      </x:c>
      <x:c r="F17" s="10" t="s">
        <x:v>308</x:v>
      </x:c>
      <x:c r="G17" s="11"/>
      <x:c r="H17" s="10"/>
      <x:c r="I17" s="10"/>
      <x:c r="J17" s="10"/>
      <x:c r="K17" s="10"/>
      <x:c r="L17" s="12" t="str">
        <x:f t="shared" si="0"/>
        <x:v>미실시</x:v>
      </x:c>
      <x:c r="M17" s="12" t="str">
        <x:f>IF(AND('02_운영증빙'!N20="확인"),"선행증빙 확인","원본 확인 대기")</x:f>
        <x:v>원본 확인 대기</x:v>
      </x:c>
      <x:c r="N17" s="26" t="n">
        <x:f>IF(ISNUMBER('01_사용자정리'!N17),'01_사용자정리'!N17,"")</x:f>
        <x:v>46332</x:v>
      </x:c>
      <x:c r="O17" s="12" t="str">
        <x:f>IF('01_사용자정리'!H17="","담당 미지정",'01_사용자정리'!H17)</x:f>
        <x:v>박철호</x:v>
      </x:c>
      <x:c r="P17" s="12" t="str">
        <x:v>중요 설비 1대의 보전계획·실적·최근 고장 및 복구</x:v>
      </x:c>
    </x:row>
    <x:row r="18" ht="33" customHeight="1">
      <x:c r="A18" s="9" t="s">
        <x:v>266</x:v>
      </x:c>
      <x:c r="B18" s="9" t="s">
        <x:v>345</x:v>
      </x:c>
      <x:c r="C18" s="9" t="s">
        <x:v>346</x:v>
      </x:c>
      <x:c r="D18" s="9" t="s">
        <x:v>347</x:v>
      </x:c>
      <x:c r="E18" s="9" t="s">
        <x:v>260</x:v>
      </x:c>
      <x:c r="F18" s="10" t="s">
        <x:v>308</x:v>
      </x:c>
      <x:c r="G18" s="11"/>
      <x:c r="H18" s="10"/>
      <x:c r="I18" s="10"/>
      <x:c r="J18" s="10"/>
      <x:c r="K18" s="10"/>
      <x:c r="L18" s="9" t="str">
        <x:f t="shared" si="0"/>
        <x:v>미실시</x:v>
      </x:c>
      <x:c r="M18" s="9" t="str">
        <x:f>IF(AND('02_운영증빙'!N21="확인"),"선행증빙 확인","원본 확인 대기")</x:f>
        <x:v>원본 확인 대기</x:v>
      </x:c>
      <x:c r="N18" s="25" t="n">
        <x:f>IF(ISNUMBER('01_사용자정리'!N17),'01_사용자정리'!N17,"")</x:f>
        <x:v>46332</x:v>
      </x:c>
      <x:c r="O18" s="9" t="str">
        <x:f>IF('01_사용자정리'!H17="","담당 미지정",'01_사용자정리'!H17)</x:f>
        <x:v>박철호</x:v>
      </x:c>
      <x:c r="P18" s="9" t="str">
        <x:v>선정 공정 작업자 1명의 작업관찰·교육·역량평가</x:v>
      </x:c>
    </x:row>
    <x:row r="19" ht="33" customHeight="1">
      <x:c r="A19" s="12" t="s">
        <x:v>273</x:v>
      </x:c>
      <x:c r="B19" s="12" t="s">
        <x:v>348</x:v>
      </x:c>
      <x:c r="C19" s="12" t="s">
        <x:v>349</x:v>
      </x:c>
      <x:c r="D19" s="12" t="s">
        <x:v>350</x:v>
      </x:c>
      <x:c r="E19" s="12" t="s">
        <x:v>267</x:v>
      </x:c>
      <x:c r="F19" s="10" t="s">
        <x:v>308</x:v>
      </x:c>
      <x:c r="G19" s="11"/>
      <x:c r="H19" s="10"/>
      <x:c r="I19" s="10"/>
      <x:c r="J19" s="10"/>
      <x:c r="K19" s="10"/>
      <x:c r="L19" s="12" t="str">
        <x:f t="shared" si="0"/>
        <x:v>미실시</x:v>
      </x:c>
      <x:c r="M19" s="12" t="str">
        <x:f>IF(AND('02_운영증빙'!N22="확인"),"선행증빙 확인","원본 확인 대기")</x:f>
        <x:v>원본 확인 대기</x:v>
      </x:c>
      <x:c r="N19" s="26" t="n">
        <x:f>IF(ISNUMBER('01_사용자정리'!N17),'01_사용자정리'!N17,"")</x:f>
        <x:v>46332</x:v>
      </x:c>
      <x:c r="O19" s="12" t="str">
        <x:f>IF('01_사용자정리'!H17="","담당 미지정",'01_사용자정리'!H17)</x:f>
        <x:v>박철호</x:v>
      </x:c>
      <x:c r="P19" s="12" t="str">
        <x:v>주요 공급자 1곳의 평가기준·성과·후속조치</x:v>
      </x:c>
    </x:row>
    <x:row r="20" ht="33" customHeight="1">
      <x:c r="A20" s="9" t="s">
        <x:v>351</x:v>
      </x:c>
      <x:c r="B20" s="9" t="s">
        <x:v>352</x:v>
      </x:c>
      <x:c r="C20" s="9" t="s">
        <x:v>353</x:v>
      </x:c>
      <x:c r="D20" s="9" t="s">
        <x:v>336</x:v>
      </x:c>
      <x:c r="E20" s="9" t="s">
        <x:v>274</x:v>
      </x:c>
      <x:c r="F20" s="10" t="s">
        <x:v>308</x:v>
      </x:c>
      <x:c r="G20" s="11"/>
      <x:c r="H20" s="10"/>
      <x:c r="I20" s="10"/>
      <x:c r="J20" s="10"/>
      <x:c r="K20" s="10"/>
      <x:c r="L20" s="9" t="str">
        <x:f t="shared" si="0"/>
        <x:v>미실시</x:v>
      </x:c>
      <x:c r="M20" s="9" t="str">
        <x:f>IF(AND('02_운영증빙'!N23="확인"),"선행증빙 확인","원본 확인 대기")</x:f>
        <x:v>원본 확인 대기</x:v>
      </x:c>
      <x:c r="N20" s="25" t="n">
        <x:f>IF(ISNUMBER('01_사용자정리'!N17),'01_사용자정리'!N17,"")</x:f>
        <x:v>46332</x:v>
      </x:c>
      <x:c r="O20" s="9" t="str">
        <x:f>IF('01_사용자정리'!H17="","담당 미지정",'01_사용자정리'!H17)</x:f>
        <x:v>박철호</x:v>
      </x:c>
      <x:c r="P20" s="9" t="str">
        <x:v>실제 부적합 또는 재작업 1건의 격리·처분·재검사</x:v>
      </x:c>
    </x:row>
    <x:row r="21" ht="33" customHeight="1">
      <x:c r="A21" s="12" t="s">
        <x:v>354</x:v>
      </x:c>
      <x:c r="B21" s="12" t="s">
        <x:v>355</x:v>
      </x:c>
      <x:c r="C21" s="12" t="s">
        <x:v>356</x:v>
      </x:c>
      <x:c r="D21" s="12" t="s">
        <x:v>316</x:v>
      </x:c>
      <x:c r="E21" s="12" t="s">
        <x:v>357</x:v>
      </x:c>
      <x:c r="F21" s="10" t="s">
        <x:v>308</x:v>
      </x:c>
      <x:c r="G21" s="11"/>
      <x:c r="H21" s="10"/>
      <x:c r="I21" s="10"/>
      <x:c r="J21" s="10"/>
      <x:c r="K21" s="10"/>
      <x:c r="L21" s="12" t="str">
        <x:f t="shared" si="0"/>
        <x:v>미실시</x:v>
      </x:c>
      <x:c r="M21" s="12" t="str">
        <x:f>IF(AND('02_운영증빙'!N23="확인",'02_운영증빙'!N25="확인"),"선행증빙 확인","원본 확인 대기")</x:f>
        <x:v>원본 확인 대기</x:v>
      </x:c>
      <x:c r="N21" s="26" t="n">
        <x:f>IF(ISNUMBER('01_사용자정리'!N17),'01_사용자정리'!N17,"")</x:f>
        <x:v>46332</x:v>
      </x:c>
      <x:c r="O21" s="12" t="str">
        <x:f>IF('01_사용자정리'!H17="","담당 미지정",'01_사용자정리'!H17)</x:f>
        <x:v>박철호</x:v>
      </x:c>
      <x:c r="P21" s="12" t="str">
        <x:v>실제 고객불만 1건의 8D·수평전개·효과검증</x:v>
      </x:c>
    </x:row>
    <x:row r="22" ht="33" customHeight="1">
      <x:c r="A22" s="9" t="s">
        <x:v>358</x:v>
      </x:c>
      <x:c r="B22" s="9" t="s">
        <x:v>359</x:v>
      </x:c>
      <x:c r="C22" s="9" t="s">
        <x:v>360</x:v>
      </x:c>
      <x:c r="D22" s="9" t="s">
        <x:v>361</x:v>
      </x:c>
      <x:c r="E22" s="9" t="s">
        <x:v>362</x:v>
      </x:c>
      <x:c r="F22" s="10" t="s">
        <x:v>308</x:v>
      </x:c>
      <x:c r="G22" s="11"/>
      <x:c r="H22" s="10"/>
      <x:c r="I22" s="10"/>
      <x:c r="J22" s="10"/>
      <x:c r="K22" s="10"/>
      <x:c r="L22" s="9" t="str">
        <x:f t="shared" si="0"/>
        <x:v>미실시</x:v>
      </x:c>
      <x:c r="M22" s="9" t="str">
        <x:f>IF(AND('02_운영증빙'!N18="확인",'02_운영증빙'!N24="확인"),"선행증빙 확인","원본 확인 대기")</x:f>
        <x:v>원본 확인 대기</x:v>
      </x:c>
      <x:c r="N22" s="25" t="n">
        <x:f>IF(ISNUMBER('01_사용자정리'!N17),'01_사용자정리'!N17,"")</x:f>
        <x:v>46332</x:v>
      </x:c>
      <x:c r="O22" s="9" t="str">
        <x:f>IF('01_사용자정리'!H17="","담당 미지정",'01_사용자정리'!H17)</x:f>
        <x:v>박철호</x:v>
      </x:c>
      <x:c r="P22" s="9" t="str">
        <x:v>불일치 사례 또는 통제된 실습으로 보류·대조·재스캔 검증</x:v>
      </x:c>
    </x:row>
    <x:row r="23" ht="33" customHeight="1">
      <x:c r="A23" s="12" t="s">
        <x:v>363</x:v>
      </x:c>
      <x:c r="B23" s="12" t="s">
        <x:v>364</x:v>
      </x:c>
      <x:c r="C23" s="12" t="s">
        <x:v>365</x:v>
      </x:c>
      <x:c r="D23" s="12" t="s">
        <x:v>366</x:v>
      </x:c>
      <x:c r="E23" s="12" t="s">
        <x:v>280</x:v>
      </x:c>
      <x:c r="F23" s="10" t="s">
        <x:v>308</x:v>
      </x:c>
      <x:c r="G23" s="11"/>
      <x:c r="H23" s="10"/>
      <x:c r="I23" s="10"/>
      <x:c r="J23" s="10"/>
      <x:c r="K23" s="10"/>
      <x:c r="L23" s="12" t="str">
        <x:f t="shared" si="0"/>
        <x:v>미실시</x:v>
      </x:c>
      <x:c r="M23" s="12" t="str">
        <x:f>IF(AND('02_운영증빙'!N24="확인"),"선행증빙 확인","원본 확인 대기")</x:f>
        <x:v>원본 확인 대기</x:v>
      </x:c>
      <x:c r="N23" s="26" t="n">
        <x:f>IF(ISNUMBER('01_사용자정리'!N17),'01_사용자정리'!N17,"")</x:f>
        <x:v>46332</x:v>
      </x:c>
      <x:c r="O23" s="12" t="str">
        <x:f>IF('01_사용자정리'!H17="","담당 미지정",'01_사용자정리'!H17)</x:f>
        <x:v>박철호</x:v>
      </x:c>
      <x:c r="P23" s="12" t="str">
        <x:v>승인된 백업에서 무작위 3건 실제 복구·원본 대조</x:v>
      </x:c>
    </x:row>
    <x:row r="24" ht="33" customHeight="1">
      <x:c r="A24" s="9" t="s">
        <x:v>367</x:v>
      </x:c>
      <x:c r="B24" s="9" t="s">
        <x:v>368</x:v>
      </x:c>
      <x:c r="C24" s="9" t="s">
        <x:v>369</x:v>
      </x:c>
      <x:c r="D24" s="9" t="s">
        <x:v>336</x:v>
      </x:c>
      <x:c r="E24" s="9" t="s">
        <x:v>280</x:v>
      </x:c>
      <x:c r="F24" s="10" t="s">
        <x:v>308</x:v>
      </x:c>
      <x:c r="G24" s="11"/>
      <x:c r="H24" s="10"/>
      <x:c r="I24" s="10"/>
      <x:c r="J24" s="10"/>
      <x:c r="K24" s="10"/>
      <x:c r="L24" s="9" t="str">
        <x:f t="shared" si="0"/>
        <x:v>미실시</x:v>
      </x:c>
      <x:c r="M24" s="9" t="str">
        <x:f>IF(AND('02_운영증빙'!N24="확인"),"선행증빙 확인","원본 확인 대기")</x:f>
        <x:v>원본 확인 대기</x:v>
      </x:c>
      <x:c r="N24" s="25" t="n">
        <x:f>IF(ISNUMBER('01_사용자정리'!N17),'01_사용자정리'!N17,"")</x:f>
        <x:v>46332</x:v>
      </x:c>
      <x:c r="O24" s="9" t="str">
        <x:f>IF('01_사용자정리'!H17="","담당 미지정",'01_사용자정리'!H17)</x:f>
        <x:v>박철호</x:v>
      </x:c>
      <x:c r="P24" s="9" t="str">
        <x:v>적용 비상 시나리오의 훈련·통보 판단·재개 적합성 검증</x:v>
      </x:c>
    </x:row>
    <x:row r="25" ht="33" customHeight="1">
      <x:c r="A25" s="12" t="s">
        <x:v>370</x:v>
      </x:c>
      <x:c r="B25" s="12" t="s">
        <x:v>371</x:v>
      </x:c>
      <x:c r="C25" s="12" t="s">
        <x:v>372</x:v>
      </x:c>
      <x:c r="D25" s="12" t="s">
        <x:v>373</x:v>
      </x:c>
      <x:c r="E25" s="12" t="s">
        <x:v>374</x:v>
      </x:c>
      <x:c r="F25" s="10" t="s">
        <x:v>308</x:v>
      </x:c>
      <x:c r="G25" s="11"/>
      <x:c r="H25" s="10"/>
      <x:c r="I25" s="10"/>
      <x:c r="J25" s="10"/>
      <x:c r="K25" s="10"/>
      <x:c r="L25" s="12" t="str">
        <x:f t="shared" si="0"/>
        <x:v>미실시</x:v>
      </x:c>
      <x:c r="M25" s="12" t="str">
        <x:f>IF(AND('02_운영증빙'!N25="확인",'02_운영증빙'!N17="확인"),"선행증빙 확인","원본 확인 대기")</x:f>
        <x:v>원본 확인 대기</x:v>
      </x:c>
      <x:c r="N25" s="26" t="n">
        <x:f>IF(ISNUMBER('01_사용자정리'!N17),'01_사용자정리'!N17,"")</x:f>
        <x:v>46332</x:v>
      </x:c>
      <x:c r="O25" s="12" t="str">
        <x:f>IF('01_사용자정리'!H17="","담당 미지정",'01_사용자정리'!H17)</x:f>
        <x:v>박철호</x:v>
      </x:c>
      <x:c r="P25" s="12" t="str">
        <x:v>직전 기관 지적 1건과 주요 변경 1건을 현장까지 대조</x:v>
      </x:c>
    </x:row>
    <x:row r="26" ht="15.7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9">
      <x:c r="A29" s="4" t="str">
        <x:v>LOT 추적 실습</x:v>
      </x:c>
      <x:c r="B29" s="4" t="str">
        <x:v>입력값·실측결과</x:v>
      </x:c>
      <x:c r="C29" s="4" t="str">
        <x:v>확인할 내용</x:v>
      </x:c>
      <x:c r="D29" s="4" t="str">
        <x:v>증거 경로·기록번호</x:v>
      </x:c>
      <x:c r="E29" s="4" t="str">
        <x:v>실제 확인자</x:v>
      </x:c>
      <x:c r="F29" s="4" t="str">
        <x:v>확인일시</x:v>
      </x:c>
    </x:row>
    <x:row r="30" ht="48" customHeight="1">
      <x:c r="A30" s="9" t="str">
        <x:v>실습 구분</x:v>
      </x:c>
      <x:c r="B30" s="27"/>
      <x:c r="C30" s="9" t="str">
        <x:v>정방향·역방향 및 실제 대상 공정</x:v>
      </x:c>
      <x:c r="D30" s="27"/>
      <x:c r="E30" s="27"/>
      <x:c r="F30" s="27"/>
    </x:row>
    <x:row r="31" ht="48" customHeight="1">
      <x:c r="A31" s="9" t="str">
        <x:v>대표 품번·품명</x:v>
      </x:c>
      <x:c r="B31" s="27"/>
      <x:c r="C31" s="9" t="str">
        <x:v>실제 양산 품번과 고객 요구 대상 확인</x:v>
      </x:c>
      <x:c r="D31" s="27"/>
      <x:c r="E31" s="27"/>
      <x:c r="F31" s="27"/>
    </x:row>
    <x:row r="32" ht="48" customHeight="1">
      <x:c r="A32" s="9" t="str">
        <x:v>출하 LOT·납품처</x:v>
      </x:c>
      <x:c r="B32" s="27"/>
      <x:c r="C32" s="9" t="str">
        <x:v>출하일·납품처·출하명세 원본 연결</x:v>
      </x:c>
      <x:c r="D32" s="27"/>
      <x:c r="E32" s="27"/>
      <x:c r="F32" s="27"/>
    </x:row>
    <x:row r="33" ht="48" customHeight="1">
      <x:c r="A33" s="9" t="str">
        <x:v>실시일·실시자</x:v>
      </x:c>
      <x:c r="B33" s="27"/>
      <x:c r="C33" s="9" t="str">
        <x:v>실제 실시일과 수행자 기록</x:v>
      </x:c>
      <x:c r="D33" s="27"/>
      <x:c r="E33" s="27"/>
      <x:c r="F33" s="27"/>
    </x:row>
    <x:row r="34" ht="48" customHeight="1">
      <x:c r="A34" s="9" t="str">
        <x:v>정방향 시작시각</x:v>
      </x:c>
      <x:c r="B34" s="28"/>
      <x:c r="C34" s="9" t="str">
        <x:v>원자재 입고 LOT에서 출하까지 추적 시작</x:v>
      </x:c>
      <x:c r="D34" s="27"/>
      <x:c r="E34" s="27"/>
      <x:c r="F34" s="27"/>
    </x:row>
    <x:row r="35" ht="48" customHeight="1">
      <x:c r="A35" s="9" t="str">
        <x:v>정방향 종료시각</x:v>
      </x:c>
      <x:c r="B35" s="28"/>
      <x:c r="C35" s="9" t="str">
        <x:v>정방향 추적 완료시각</x:v>
      </x:c>
      <x:c r="D35" s="27"/>
      <x:c r="E35" s="27"/>
      <x:c r="F35" s="27"/>
    </x:row>
    <x:row r="36" ht="48" customHeight="1">
      <x:c r="A36" s="9" t="str">
        <x:v>정방향 소요분</x:v>
      </x:c>
      <x:c r="B36" s="30" t="str">
        <x:f>IF(AND(ISNUMBER(B34),ISNUMBER(B35)),IF(B35&gt;=B34,(B35-B34)*1440,"종료시각 확인"),"")</x:f>
      </x:c>
      <x:c r="C36" s="9" t="str">
        <x:v>시각을 날짜 포함 yyyy-mm-dd hh:mm 형식으로 입력</x:v>
      </x:c>
      <x:c r="D36" s="27"/>
      <x:c r="E36" s="27"/>
      <x:c r="F36" s="27"/>
    </x:row>
    <x:row r="37" ht="48" customHeight="1">
      <x:c r="A37" s="9" t="str">
        <x:v>역방향 시작시각</x:v>
      </x:c>
      <x:c r="B37" s="28"/>
      <x:c r="C37" s="9" t="str">
        <x:v>출하 LOT에서 원자재까지 추적 시작</x:v>
      </x:c>
      <x:c r="D37" s="27"/>
      <x:c r="E37" s="27"/>
      <x:c r="F37" s="27"/>
    </x:row>
    <x:row r="38" ht="48" customHeight="1">
      <x:c r="A38" s="9" t="str">
        <x:v>역방향 종료시각</x:v>
      </x:c>
      <x:c r="B38" s="28"/>
      <x:c r="C38" s="9" t="str">
        <x:v>역방향 추적 완료시각</x:v>
      </x:c>
      <x:c r="D38" s="27"/>
      <x:c r="E38" s="27"/>
      <x:c r="F38" s="27"/>
    </x:row>
    <x:row r="39" ht="48" customHeight="1">
      <x:c r="A39" s="9" t="str">
        <x:v>역방향 소요분</x:v>
      </x:c>
      <x:c r="B39" s="30" t="str">
        <x:f>IF(AND(ISNUMBER(B37),ISNUMBER(B38)),IF(B38&gt;=B37,(B38-B37)*1440,"종료시각 확인"),"")</x:f>
      </x:c>
      <x:c r="C39" s="9" t="str">
        <x:v>내부 WI005 목표 60분과 실측값 대조</x:v>
      </x:c>
      <x:c r="D39" s="27"/>
      <x:c r="E39" s="27"/>
      <x:c r="F39" s="27"/>
    </x:row>
    <x:row r="40" ht="48" customHeight="1">
      <x:c r="A40" s="9" t="str">
        <x:v>원자재·공급자 LOT</x:v>
      </x:c>
      <x:c r="B40" s="27"/>
      <x:c r="C40" s="9" t="str">
        <x:v>입고·수입검사 기록 연결</x:v>
      </x:c>
      <x:c r="D40" s="27"/>
      <x:c r="E40" s="27"/>
      <x:c r="F40" s="27"/>
    </x:row>
    <x:row r="41" ht="48" customHeight="1">
      <x:c r="A41" s="9" t="str">
        <x:v>투입수량</x:v>
      </x:c>
      <x:c r="B41" s="27"/>
      <x:c r="C41" s="9" t="str">
        <x:v>정방향 대상 LOT의 총 투입수량</x:v>
      </x:c>
      <x:c r="D41" s="27"/>
      <x:c r="E41" s="27"/>
      <x:c r="F41" s="27"/>
    </x:row>
    <x:row r="42" ht="48" customHeight="1">
      <x:c r="A42" s="9" t="str">
        <x:v>양품 출하수량</x:v>
      </x:c>
      <x:c r="B42" s="27"/>
      <x:c r="C42" s="9" t="str">
        <x:v>동일 LOT의 실제 출하수량</x:v>
      </x:c>
      <x:c r="D42" s="27"/>
      <x:c r="E42" s="27"/>
      <x:c r="F42" s="27"/>
    </x:row>
    <x:row r="43" ht="48" customHeight="1">
      <x:c r="A43" s="9" t="str">
        <x:v>재고·재공수량</x:v>
      </x:c>
      <x:c r="B43" s="27"/>
      <x:c r="C43" s="9" t="str">
        <x:v>동일 LOT의 현재 잔량</x:v>
      </x:c>
      <x:c r="D43" s="27"/>
      <x:c r="E43" s="27"/>
      <x:c r="F43" s="27"/>
    </x:row>
    <x:row r="44" ht="48" customHeight="1">
      <x:c r="A44" s="9" t="str">
        <x:v>부적합·폐기수량</x:v>
      </x:c>
      <x:c r="B44" s="27"/>
      <x:c r="C44" s="9" t="str">
        <x:v>별도 집계한 수량. 중복 제외</x:v>
      </x:c>
      <x:c r="D44" s="27"/>
      <x:c r="E44" s="27"/>
      <x:c r="F44" s="27"/>
    </x:row>
    <x:row r="45" ht="48" customHeight="1">
      <x:c r="A45" s="9" t="str">
        <x:v>수량 차이</x:v>
      </x:c>
      <x:c r="B45" s="31" t="str">
        <x:f>IF(COUNT(B41:B44)=4,B41-SUM(B42:B44),"")</x:f>
      </x:c>
      <x:c r="C45" s="9" t="str">
        <x:v>투입수량 - 출하 - 재고재공 - 부적합폐기</x:v>
      </x:c>
      <x:c r="D45" s="27"/>
      <x:c r="E45" s="27"/>
      <x:c r="F45" s="27"/>
    </x:row>
    <x:row r="46" ht="48" customHeight="1">
      <x:c r="A46" s="9" t="str">
        <x:v>수량 차이 사유</x:v>
      </x:c>
      <x:c r="B46" s="27"/>
      <x:c r="C46" s="9" t="str">
        <x:v>공정수율·단위 환산 등 차이 발생 근거</x:v>
      </x:c>
      <x:c r="D46" s="27"/>
      <x:c r="E46" s="27"/>
      <x:c r="F46" s="27"/>
    </x:row>
    <x:row r="47" ht="48" customHeight="1">
      <x:c r="A47" s="9" t="str">
        <x:v>설비·공정·작업자</x:v>
      </x:c>
      <x:c r="B47" s="27"/>
      <x:c r="C47" s="9" t="str">
        <x:v>생산실적과 실제 수행 이력</x:v>
      </x:c>
      <x:c r="D47" s="27"/>
      <x:c r="E47" s="27"/>
      <x:c r="F47" s="27"/>
    </x:row>
    <x:row r="48" ht="48" customHeight="1">
      <x:c r="A48" s="9" t="str">
        <x:v>검사·측정기 연결</x:v>
      </x:c>
      <x:c r="B48" s="27"/>
      <x:c r="C48" s="9" t="str">
        <x:v>검사결과·교정유효성·합부판정</x:v>
      </x:c>
      <x:c r="D48" s="27"/>
      <x:c r="E48" s="27"/>
      <x:c r="F48" s="27"/>
    </x:row>
    <x:row r="49" ht="48" customHeight="1">
      <x:c r="A49" s="9" t="str">
        <x:v>종이·전자 대조</x:v>
      </x:c>
      <x:c r="B49" s="27"/>
      <x:c r="C49" s="9" t="str">
        <x:v>차이 발생 시 보류·대조·재스캔 및 승인</x:v>
      </x:c>
      <x:c r="D49" s="27"/>
      <x:c r="E49" s="27"/>
      <x:c r="F49" s="27"/>
    </x:row>
    <x:row r="50" ht="48" customHeight="1">
      <x:c r="A50" s="9" t="str">
        <x:v>복구 표본 3건</x:v>
      </x:c>
      <x:c r="B50" s="27"/>
      <x:c r="C50" s="9" t="str">
        <x:v>FM364의 실제 결과·원본 대조 근거</x:v>
      </x:c>
      <x:c r="D50" s="27"/>
      <x:c r="E50" s="27"/>
      <x:c r="F50" s="27"/>
    </x:row>
    <x:row r="51" ht="48" customHeight="1">
      <x:c r="A51" s="9" t="str">
        <x:v>발견사항·조치번호</x:v>
      </x:c>
      <x:c r="B51" s="27"/>
      <x:c r="C51" s="9" t="str">
        <x:v>발견 시 05_시정조치 실제 번호 연결</x:v>
      </x:c>
      <x:c r="D51" s="27"/>
      <x:c r="E51" s="27"/>
      <x:c r="F51" s="27"/>
    </x:row>
    <x:row r="52" ht="48" customHeight="1">
      <x:c r="A52" s="9" t="str">
        <x:v>실습 최종 확인</x:v>
      </x:c>
      <x:c r="B52" s="27"/>
      <x:c r="C52" s="9" t="str">
        <x:v>실측·수량·증거·확인자 검토 후 직접 기록</x:v>
      </x:c>
      <x:c r="D52" s="27"/>
      <x:c r="E52" s="27"/>
      <x:c r="F52" s="27"/>
    </x:row>
  </x:sheetData>
  <x:conditionalFormatting sqref="L6:L25">
    <x:cfRule type="containsText" dxfId="1" priority="1" operator="containsText" text="필요"/>
  </x:conditionalFormatting>
  <x:dataValidations count="1">
    <x:dataValidation type="list" sqref="F6:F25">
      <x:formula1>"미실시,적합,보완,비적용"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6" activePane="bottomRight" state="frozen"/>
      <selection pane="topRight"/>
      <selection pane="bottomLeft"/>
      <selection pane="bottomRight" activeCell="F11" sqref="F11"/>
    </sheetView>
  </sheetViews>
  <x:sheetFormatPr defaultRowHeight="15"/>
  <x:cols>
    <x:col min="1" max="1" width="10" customWidth="1"/>
    <x:col min="2" max="2" width="12.625" customWidth="1"/>
    <x:col min="3" max="3" width="17" customWidth="1"/>
    <x:col min="4" max="4" width="28.25" customWidth="1"/>
    <x:col min="5" max="5" width="15.5" customWidth="1"/>
    <x:col min="6" max="6" width="28.75" customWidth="1"/>
    <x:col min="7" max="7" width="20.25" customWidth="1"/>
    <x:col min="8" max="8" width="18" customWidth="1"/>
    <x:col min="9" max="9" width="44.25" customWidth="1"/>
  </x:cols>
  <x:sheetData>
    <x:row r="1" ht="15.75">
      <x:c r="A1" s="1"/>
      <x:c r="B1" s="1"/>
      <x:c r="C1" s="1"/>
      <x:c r="D1" s="1"/>
      <x:c r="E1" s="1"/>
      <x:c r="F1" s="1"/>
      <x:c r="G1" s="1"/>
      <x:c r="H1" s="1"/>
      <x:c r="I1" s="1"/>
    </x:row>
    <x:row r="2" ht="33.95000076293945" customHeight="1">
      <x:c r="A2" s="2" t="s">
        <x:v>375</x:v>
      </x:c>
      <x:c r="B2" s="1"/>
      <x:c r="C2" s="1"/>
      <x:c r="D2" s="1"/>
      <x:c r="E2" s="1"/>
      <x:c r="F2" s="1"/>
      <x:c r="G2" s="1"/>
      <x:c r="H2" s="1"/>
      <x:c r="I2" s="1"/>
    </x:row>
    <x:row r="3" ht="27.950000762939453" customHeight="1">
      <x:c r="A3" s="1" t="s">
        <x:v>376</x:v>
      </x:c>
      <x:c r="B3" s="1"/>
      <x:c r="C3" s="1"/>
      <x:c r="D3" s="1"/>
      <x:c r="E3" s="1"/>
      <x:c r="F3" s="1"/>
      <x:c r="G3" s="1"/>
      <x:c r="H3" s="1"/>
      <x:c r="I3" s="1"/>
    </x:row>
    <x:row r="4" ht="15.75">
      <x:c r="A4" s="1"/>
      <x:c r="B4" s="1"/>
      <x:c r="C4" s="1"/>
      <x:c r="D4" s="1"/>
      <x:c r="E4" s="1"/>
      <x:c r="F4" s="1"/>
      <x:c r="G4" s="1"/>
      <x:c r="H4" s="1"/>
      <x:c r="I4" s="1"/>
    </x:row>
    <x:row r="5" ht="33.95000076293945" customHeight="1">
      <x:c r="A5" s="4" t="s">
        <x:v>377</x:v>
      </x:c>
      <x:c r="B5" s="4" t="s">
        <x:v>378</x:v>
      </x:c>
      <x:c r="C5" s="4" t="s">
        <x:v>379</x:v>
      </x:c>
      <x:c r="D5" s="4" t="s">
        <x:v>380</x:v>
      </x:c>
      <x:c r="E5" s="4" t="s">
        <x:v>381</x:v>
      </x:c>
      <x:c r="F5" s="4" t="s">
        <x:v>382</x:v>
      </x:c>
      <x:c r="G5" s="4" t="s">
        <x:v>383</x:v>
      </x:c>
      <x:c r="H5" s="4" t="s">
        <x:v>384</x:v>
      </x:c>
      <x:c r="I5" s="4" t="s">
        <x:v>385</x:v>
      </x:c>
    </x:row>
    <x:row r="6" ht="24.75" customHeight="1">
      <x:c r="A6" s="9">
        <x:v>1</x:v>
      </x:c>
      <x:c r="B6" s="10"/>
      <x:c r="C6" s="10"/>
      <x:c r="D6" s="10"/>
      <x:c r="E6" s="10"/>
      <x:c r="F6" s="10"/>
      <x:c r="G6" s="10"/>
      <x:c r="H6" s="10"/>
      <x:c r="I6" s="10"/>
    </x:row>
    <x:row r="7" ht="24.75" customHeight="1">
      <x:c r="A7" s="12">
        <x:v>2</x:v>
      </x:c>
      <x:c r="B7" s="10"/>
      <x:c r="C7" s="10"/>
      <x:c r="D7" s="10"/>
      <x:c r="E7" s="10"/>
      <x:c r="F7" s="10"/>
      <x:c r="G7" s="10"/>
      <x:c r="H7" s="10"/>
      <x:c r="I7" s="10"/>
    </x:row>
    <x:row r="8" ht="24.75" customHeight="1">
      <x:c r="A8" s="9">
        <x:v>3</x:v>
      </x:c>
      <x:c r="B8" s="10"/>
      <x:c r="C8" s="10"/>
      <x:c r="D8" s="10"/>
      <x:c r="E8" s="10"/>
      <x:c r="F8" s="10"/>
      <x:c r="G8" s="10"/>
      <x:c r="H8" s="10"/>
      <x:c r="I8" s="10"/>
    </x:row>
    <x:row r="9" ht="24.75" customHeight="1">
      <x:c r="A9" s="12">
        <x:v>4</x:v>
      </x:c>
      <x:c r="B9" s="10"/>
      <x:c r="C9" s="10"/>
      <x:c r="D9" s="10"/>
      <x:c r="E9" s="10"/>
      <x:c r="F9" s="10"/>
      <x:c r="G9" s="10"/>
      <x:c r="H9" s="10"/>
      <x:c r="I9" s="10"/>
    </x:row>
    <x:row r="10" ht="24.75" customHeight="1">
      <x:c r="A10" s="9">
        <x:v>5</x:v>
      </x:c>
      <x:c r="B10" s="10"/>
      <x:c r="C10" s="10"/>
      <x:c r="D10" s="10"/>
      <x:c r="E10" s="10"/>
      <x:c r="F10" s="10"/>
      <x:c r="G10" s="10"/>
      <x:c r="H10" s="10"/>
      <x:c r="I10" s="10"/>
    </x:row>
    <x:row r="11" ht="24.75" customHeight="1">
      <x:c r="A11" s="12">
        <x:v>6</x:v>
      </x:c>
      <x:c r="B11" s="10"/>
      <x:c r="C11" s="10"/>
      <x:c r="D11" s="10"/>
      <x:c r="E11" s="10"/>
      <x:c r="F11" s="10"/>
      <x:c r="G11" s="10"/>
      <x:c r="H11" s="10"/>
      <x:c r="I11" s="10"/>
    </x:row>
    <x:row r="12" ht="24.75" customHeight="1">
      <x:c r="A12" s="9">
        <x:v>7</x:v>
      </x:c>
      <x:c r="B12" s="10"/>
      <x:c r="C12" s="10"/>
      <x:c r="D12" s="10"/>
      <x:c r="E12" s="10"/>
      <x:c r="F12" s="10"/>
      <x:c r="G12" s="10"/>
      <x:c r="H12" s="10"/>
      <x:c r="I12" s="10"/>
    </x:row>
    <x:row r="13" ht="24.75" customHeight="1">
      <x:c r="A13" s="12">
        <x:v>8</x:v>
      </x:c>
      <x:c r="B13" s="10"/>
      <x:c r="C13" s="10"/>
      <x:c r="D13" s="10"/>
      <x:c r="E13" s="10"/>
      <x:c r="F13" s="10"/>
      <x:c r="G13" s="10"/>
      <x:c r="H13" s="10"/>
      <x:c r="I13" s="10"/>
    </x:row>
    <x:row r="14" ht="24.75" customHeight="1">
      <x:c r="A14" s="9">
        <x:v>9</x:v>
      </x:c>
      <x:c r="B14" s="10"/>
      <x:c r="C14" s="10"/>
      <x:c r="D14" s="10"/>
      <x:c r="E14" s="10"/>
      <x:c r="F14" s="10"/>
      <x:c r="G14" s="10"/>
      <x:c r="H14" s="10"/>
      <x:c r="I14" s="10"/>
    </x:row>
    <x:row r="15" ht="24.75" customHeight="1">
      <x:c r="A15" s="12">
        <x:v>10</x:v>
      </x:c>
      <x:c r="B15" s="10"/>
      <x:c r="C15" s="10"/>
      <x:c r="D15" s="10"/>
      <x:c r="E15" s="10"/>
      <x:c r="F15" s="10"/>
      <x:c r="G15" s="10"/>
      <x:c r="H15" s="10"/>
      <x:c r="I15" s="10"/>
    </x:row>
    <x:row r="16" ht="24.75" customHeight="1">
      <x:c r="A16" s="9">
        <x:v>11</x:v>
      </x:c>
      <x:c r="B16" s="10"/>
      <x:c r="C16" s="10"/>
      <x:c r="D16" s="10"/>
      <x:c r="E16" s="10"/>
      <x:c r="F16" s="10"/>
      <x:c r="G16" s="10"/>
      <x:c r="H16" s="10"/>
      <x:c r="I16" s="10"/>
    </x:row>
    <x:row r="17" ht="24.75" customHeight="1">
      <x:c r="A17" s="12">
        <x:v>12</x:v>
      </x:c>
      <x:c r="B17" s="10"/>
      <x:c r="C17" s="10"/>
      <x:c r="D17" s="10"/>
      <x:c r="E17" s="10"/>
      <x:c r="F17" s="10"/>
      <x:c r="G17" s="10"/>
      <x:c r="H17" s="10"/>
      <x:c r="I17" s="10"/>
    </x:row>
    <x:row r="18" ht="24.75" customHeight="1">
      <x:c r="A18" s="9">
        <x:v>13</x:v>
      </x:c>
      <x:c r="B18" s="10"/>
      <x:c r="C18" s="10"/>
      <x:c r="D18" s="10"/>
      <x:c r="E18" s="10"/>
      <x:c r="F18" s="10"/>
      <x:c r="G18" s="10"/>
      <x:c r="H18" s="10"/>
      <x:c r="I18" s="10"/>
    </x:row>
    <x:row r="19" ht="24.75" customHeight="1">
      <x:c r="A19" s="12">
        <x:v>14</x:v>
      </x:c>
      <x:c r="B19" s="10"/>
      <x:c r="C19" s="10"/>
      <x:c r="D19" s="10"/>
      <x:c r="E19" s="10"/>
      <x:c r="F19" s="10"/>
      <x:c r="G19" s="10"/>
      <x:c r="H19" s="10"/>
      <x:c r="I19" s="10"/>
    </x:row>
    <x:row r="20" ht="24.75" customHeight="1">
      <x:c r="A20" s="9">
        <x:v>15</x:v>
      </x:c>
      <x:c r="B20" s="10"/>
      <x:c r="C20" s="10"/>
      <x:c r="D20" s="10"/>
      <x:c r="E20" s="10"/>
      <x:c r="F20" s="10"/>
      <x:c r="G20" s="10"/>
      <x:c r="H20" s="10"/>
      <x:c r="I20" s="10"/>
    </x:row>
    <x:row r="21" ht="24.75" customHeight="1">
      <x:c r="A21" s="12">
        <x:v>16</x:v>
      </x:c>
      <x:c r="B21" s="10"/>
      <x:c r="C21" s="10"/>
      <x:c r="D21" s="10"/>
      <x:c r="E21" s="10"/>
      <x:c r="F21" s="10"/>
      <x:c r="G21" s="10"/>
      <x:c r="H21" s="10"/>
      <x:c r="I21" s="10"/>
    </x:row>
    <x:row r="22" ht="24.75" customHeight="1">
      <x:c r="A22" s="9">
        <x:v>17</x:v>
      </x:c>
      <x:c r="B22" s="10"/>
      <x:c r="C22" s="10"/>
      <x:c r="D22" s="10"/>
      <x:c r="E22" s="10"/>
      <x:c r="F22" s="10"/>
      <x:c r="G22" s="10"/>
      <x:c r="H22" s="10"/>
      <x:c r="I22" s="10"/>
    </x:row>
    <x:row r="23" ht="24.75" customHeight="1">
      <x:c r="A23" s="12">
        <x:v>18</x:v>
      </x:c>
      <x:c r="B23" s="10"/>
      <x:c r="C23" s="10"/>
      <x:c r="D23" s="10"/>
      <x:c r="E23" s="10"/>
      <x:c r="F23" s="10"/>
      <x:c r="G23" s="10"/>
      <x:c r="H23" s="10"/>
      <x:c r="I23" s="10"/>
    </x:row>
    <x:row r="24" ht="24.75" customHeight="1">
      <x:c r="A24" s="9">
        <x:v>19</x:v>
      </x:c>
      <x:c r="B24" s="10"/>
      <x:c r="C24" s="10"/>
      <x:c r="D24" s="10"/>
      <x:c r="E24" s="10"/>
      <x:c r="F24" s="10"/>
      <x:c r="G24" s="10"/>
      <x:c r="H24" s="10"/>
      <x:c r="I24" s="10"/>
    </x:row>
    <x:row r="25" ht="24.75" customHeight="1">
      <x:c r="A25" s="12">
        <x:v>20</x:v>
      </x:c>
      <x:c r="B25" s="10"/>
      <x:c r="C25" s="10"/>
      <x:c r="D25" s="10"/>
      <x:c r="E25" s="10"/>
      <x:c r="F25" s="10"/>
      <x:c r="G25" s="10"/>
      <x:c r="H25" s="10"/>
      <x:c r="I25" s="10"/>
    </x:row>
    <x:row r="26" ht="15.75">
      <x:c r="A26" s="1"/>
      <x:c r="B26" s="1"/>
      <x:c r="C26" s="1"/>
      <x:c r="D26" s="1"/>
      <x:c r="E26" s="1"/>
      <x:c r="F26" s="1"/>
      <x:c r="G26" s="1"/>
      <x:c r="H26" s="1"/>
      <x:c r="I26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6" activePane="bottomRight" state="frozen"/>
      <selection pane="topRight"/>
      <selection pane="bottomLeft"/>
      <selection pane="bottomRight" activeCell="D19" sqref="D19"/>
    </sheetView>
  </sheetViews>
  <x:sheetFormatPr defaultRowHeight="15"/>
  <x:cols>
    <x:col min="1" max="1" width="14" customWidth="1"/>
    <x:col min="2" max="2" width="16.75" customWidth="1"/>
    <x:col min="3" max="3" width="36.375" customWidth="1"/>
    <x:col min="4" max="4" width="25.25" customWidth="1"/>
    <x:col min="5" max="5" width="24.5" customWidth="1"/>
    <x:col min="6" max="6" width="29.375" customWidth="1"/>
    <x:col min="7" max="7" width="20.375" customWidth="1"/>
    <x:col min="8" max="8" width="10.75" customWidth="1"/>
    <x:col min="9" max="9" width="12.75" customWidth="1"/>
    <x:col min="10" max="10" width="12.375" customWidth="1"/>
    <x:col min="11" max="12" width="20.375" customWidth="1"/>
    <x:col min="13" max="13" width="12.375" customWidth="1"/>
    <x:col min="14" max="14" width="11.625" customWidth="1"/>
    <x:col min="15" max="16" width="15.625" customWidth="1"/>
    <x:col min="17" max="17" width="28" customWidth="1"/>
  </x:cols>
  <x:sheetData>
    <x:row r="1" ht="15.75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33.95000076293945" customHeight="1">
      <x:c r="A2" s="2" t="s">
        <x:v>386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7.950000762939453" customHeight="1">
      <x:c r="A3" s="1" t="s">
        <x:v>387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5.75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3.95000076293945" customHeight="1">
      <x:c r="A5" s="4" t="s">
        <x:v>388</x:v>
      </x:c>
      <x:c r="B5" s="4" t="s">
        <x:v>389</x:v>
      </x:c>
      <x:c r="C5" s="4" t="s">
        <x:v>390</x:v>
      </x:c>
      <x:c r="D5" s="4" t="s">
        <x:v>391</x:v>
      </x:c>
      <x:c r="E5" s="4" t="s">
        <x:v>392</x:v>
      </x:c>
      <x:c r="F5" s="4" t="s">
        <x:v>393</x:v>
      </x:c>
      <x:c r="G5" s="4" t="s">
        <x:v>394</x:v>
      </x:c>
      <x:c r="H5" s="4" t="s">
        <x:v>395</x:v>
      </x:c>
      <x:c r="I5" s="4" t="s">
        <x:v>396</x:v>
      </x:c>
      <x:c r="J5" s="4" t="s">
        <x:v>397</x:v>
      </x:c>
      <x:c r="K5" s="4" t="s">
        <x:v>398</x:v>
      </x:c>
      <x:c r="L5" s="4" t="s">
        <x:v>399</x:v>
      </x:c>
      <x:c r="M5" s="4" t="s">
        <x:v>400</x:v>
      </x:c>
      <x:c r="N5" s="4" t="s">
        <x:v>401</x:v>
      </x:c>
      <x:c r="O5" s="4" t="s">
        <x:v>54</x:v>
      </x:c>
      <x:c r="P5" s="4" t="s">
        <x:v>56</x:v>
      </x:c>
      <x:c r="Q5" s="4" t="s">
        <x:v>58</x:v>
      </x:c>
    </x:row>
    <x:row r="6" ht="20.25" customHeight="1">
      <x:c r="A6" s="9" t="s">
        <x:v>402</x:v>
      </x:c>
      <x:c r="B6" s="10"/>
      <x:c r="C6" s="10"/>
      <x:c r="D6" s="10"/>
      <x:c r="E6" s="10"/>
      <x:c r="F6" s="10"/>
      <x:c r="G6" s="10"/>
      <x:c r="H6" s="10"/>
      <x:c r="I6" s="11"/>
      <x:c r="J6" s="11"/>
      <x:c r="K6" s="10"/>
      <x:c r="L6" s="10"/>
      <x:c r="M6" s="10"/>
      <x:c r="N6" s="11"/>
      <x:c r="O6" s="10" t="s">
        <x:v>403</x:v>
      </x:c>
      <x:c r="P6" s="9" t="str">
        <x:f t="shared" ref="P6:P20" si="0">IF(C6="","미등록",IF(O6="종결",IF(AND(E6&lt;&gt;"",F6&lt;&gt;"",G6&lt;&gt;"",H6&lt;&gt;"",ISNUMBER(J6),K6&lt;&gt;"",L6&lt;&gt;"",M6&lt;&gt;"",ISNUMBER(N6)),"종결","종결근거 확인 필요"),IF(O6="미등록","진행중",O6)))</x:f>
        <x:v>미등록</x:v>
      </x:c>
      <x:c r="Q6" s="9" t="str">
        <x:f>IF(C6="","미등록",IF(NOT(ISNUMBER(I6)),"기한 미입력",IF(P6="종결",IF(N6&lt;=I6,"기한 내 종결","기한 후 종결"),IF(I6&lt;'00_최종안내'!$B$26,"기한초과",IF(I6-'00_최종안내'!$B$26&lt;=3,"3일 이내","기한 내 진행")))))</x:f>
        <x:v>미등록</x:v>
      </x:c>
    </x:row>
    <x:row r="7" ht="20.25" customHeight="1">
      <x:c r="A7" s="12" t="s">
        <x:v>404</x:v>
      </x:c>
      <x:c r="B7" s="10"/>
      <x:c r="C7" s="10"/>
      <x:c r="D7" s="10"/>
      <x:c r="E7" s="10"/>
      <x:c r="F7" s="10"/>
      <x:c r="G7" s="10"/>
      <x:c r="H7" s="10"/>
      <x:c r="I7" s="11"/>
      <x:c r="J7" s="11"/>
      <x:c r="K7" s="10"/>
      <x:c r="L7" s="10"/>
      <x:c r="M7" s="10"/>
      <x:c r="N7" s="11"/>
      <x:c r="O7" s="10" t="s">
        <x:v>403</x:v>
      </x:c>
      <x:c r="P7" s="12" t="str">
        <x:f t="shared" si="0"/>
        <x:v>미등록</x:v>
      </x:c>
      <x:c r="Q7" s="12" t="str">
        <x:f>IF(C7="","미등록",IF(NOT(ISNUMBER(I7)),"기한 미입력",IF(P7="종결",IF(N7&lt;=I7,"기한 내 종결","기한 후 종결"),IF(I7&lt;'00_최종안내'!$B$26,"기한초과",IF(I7-'00_최종안내'!$B$26&lt;=3,"3일 이내","기한 내 진행")))))</x:f>
        <x:v>미등록</x:v>
      </x:c>
    </x:row>
    <x:row r="8" ht="20.25" customHeight="1">
      <x:c r="A8" s="9" t="s">
        <x:v>405</x:v>
      </x:c>
      <x:c r="B8" s="10"/>
      <x:c r="C8" s="10"/>
      <x:c r="D8" s="10"/>
      <x:c r="E8" s="10"/>
      <x:c r="F8" s="10"/>
      <x:c r="G8" s="10"/>
      <x:c r="H8" s="10"/>
      <x:c r="I8" s="11"/>
      <x:c r="J8" s="11"/>
      <x:c r="K8" s="10"/>
      <x:c r="L8" s="10"/>
      <x:c r="M8" s="10"/>
      <x:c r="N8" s="11"/>
      <x:c r="O8" s="10" t="s">
        <x:v>403</x:v>
      </x:c>
      <x:c r="P8" s="9" t="str">
        <x:f t="shared" si="0"/>
        <x:v>미등록</x:v>
      </x:c>
      <x:c r="Q8" s="9" t="str">
        <x:f>IF(C8="","미등록",IF(NOT(ISNUMBER(I8)),"기한 미입력",IF(P8="종결",IF(N8&lt;=I8,"기한 내 종결","기한 후 종결"),IF(I8&lt;'00_최종안내'!$B$26,"기한초과",IF(I8-'00_최종안내'!$B$26&lt;=3,"3일 이내","기한 내 진행")))))</x:f>
        <x:v>미등록</x:v>
      </x:c>
    </x:row>
    <x:row r="9" ht="20.25" customHeight="1">
      <x:c r="A9" s="12" t="s">
        <x:v>406</x:v>
      </x:c>
      <x:c r="B9" s="10"/>
      <x:c r="C9" s="10"/>
      <x:c r="D9" s="10"/>
      <x:c r="E9" s="10"/>
      <x:c r="F9" s="10"/>
      <x:c r="G9" s="10"/>
      <x:c r="H9" s="10"/>
      <x:c r="I9" s="11"/>
      <x:c r="J9" s="11"/>
      <x:c r="K9" s="10"/>
      <x:c r="L9" s="10"/>
      <x:c r="M9" s="10"/>
      <x:c r="N9" s="11"/>
      <x:c r="O9" s="10" t="s">
        <x:v>403</x:v>
      </x:c>
      <x:c r="P9" s="12" t="str">
        <x:f t="shared" si="0"/>
        <x:v>미등록</x:v>
      </x:c>
      <x:c r="Q9" s="12" t="str">
        <x:f>IF(C9="","미등록",IF(NOT(ISNUMBER(I9)),"기한 미입력",IF(P9="종결",IF(N9&lt;=I9,"기한 내 종결","기한 후 종결"),IF(I9&lt;'00_최종안내'!$B$26,"기한초과",IF(I9-'00_최종안내'!$B$26&lt;=3,"3일 이내","기한 내 진행")))))</x:f>
        <x:v>미등록</x:v>
      </x:c>
    </x:row>
    <x:row r="10" ht="20.25" customHeight="1">
      <x:c r="A10" s="9" t="s">
        <x:v>407</x:v>
      </x:c>
      <x:c r="B10" s="10"/>
      <x:c r="C10" s="10"/>
      <x:c r="D10" s="10"/>
      <x:c r="E10" s="10"/>
      <x:c r="F10" s="10"/>
      <x:c r="G10" s="10"/>
      <x:c r="H10" s="10"/>
      <x:c r="I10" s="11"/>
      <x:c r="J10" s="11"/>
      <x:c r="K10" s="10"/>
      <x:c r="L10" s="10"/>
      <x:c r="M10" s="10"/>
      <x:c r="N10" s="11"/>
      <x:c r="O10" s="10" t="s">
        <x:v>403</x:v>
      </x:c>
      <x:c r="P10" s="9" t="str">
        <x:f t="shared" si="0"/>
        <x:v>미등록</x:v>
      </x:c>
      <x:c r="Q10" s="9" t="str">
        <x:f>IF(C10="","미등록",IF(NOT(ISNUMBER(I10)),"기한 미입력",IF(P10="종결",IF(N10&lt;=I10,"기한 내 종결","기한 후 종결"),IF(I10&lt;'00_최종안내'!$B$26,"기한초과",IF(I10-'00_최종안내'!$B$26&lt;=3,"3일 이내","기한 내 진행")))))</x:f>
        <x:v>미등록</x:v>
      </x:c>
    </x:row>
    <x:row r="11" ht="20.25" customHeight="1">
      <x:c r="A11" s="12" t="s">
        <x:v>408</x:v>
      </x:c>
      <x:c r="B11" s="10"/>
      <x:c r="C11" s="10"/>
      <x:c r="D11" s="10"/>
      <x:c r="E11" s="10"/>
      <x:c r="F11" s="10"/>
      <x:c r="G11" s="10"/>
      <x:c r="H11" s="10"/>
      <x:c r="I11" s="11"/>
      <x:c r="J11" s="11"/>
      <x:c r="K11" s="10"/>
      <x:c r="L11" s="10"/>
      <x:c r="M11" s="10"/>
      <x:c r="N11" s="11"/>
      <x:c r="O11" s="10" t="s">
        <x:v>403</x:v>
      </x:c>
      <x:c r="P11" s="12" t="str">
        <x:f t="shared" si="0"/>
        <x:v>미등록</x:v>
      </x:c>
      <x:c r="Q11" s="12" t="str">
        <x:f>IF(C11="","미등록",IF(NOT(ISNUMBER(I11)),"기한 미입력",IF(P11="종결",IF(N11&lt;=I11,"기한 내 종결","기한 후 종결"),IF(I11&lt;'00_최종안내'!$B$26,"기한초과",IF(I11-'00_최종안내'!$B$26&lt;=3,"3일 이내","기한 내 진행")))))</x:f>
        <x:v>미등록</x:v>
      </x:c>
    </x:row>
    <x:row r="12" ht="20.25" customHeight="1">
      <x:c r="A12" s="9" t="s">
        <x:v>409</x:v>
      </x:c>
      <x:c r="B12" s="10"/>
      <x:c r="C12" s="10"/>
      <x:c r="D12" s="10"/>
      <x:c r="E12" s="10"/>
      <x:c r="F12" s="10"/>
      <x:c r="G12" s="10"/>
      <x:c r="H12" s="10"/>
      <x:c r="I12" s="11"/>
      <x:c r="J12" s="11"/>
      <x:c r="K12" s="10"/>
      <x:c r="L12" s="10"/>
      <x:c r="M12" s="10"/>
      <x:c r="N12" s="11"/>
      <x:c r="O12" s="10" t="s">
        <x:v>403</x:v>
      </x:c>
      <x:c r="P12" s="9" t="str">
        <x:f t="shared" si="0"/>
        <x:v>미등록</x:v>
      </x:c>
      <x:c r="Q12" s="9" t="str">
        <x:f>IF(C12="","미등록",IF(NOT(ISNUMBER(I12)),"기한 미입력",IF(P12="종결",IF(N12&lt;=I12,"기한 내 종결","기한 후 종결"),IF(I12&lt;'00_최종안내'!$B$26,"기한초과",IF(I12-'00_최종안내'!$B$26&lt;=3,"3일 이내","기한 내 진행")))))</x:f>
        <x:v>미등록</x:v>
      </x:c>
    </x:row>
    <x:row r="13" ht="20.25" customHeight="1">
      <x:c r="A13" s="12" t="s">
        <x:v>410</x:v>
      </x:c>
      <x:c r="B13" s="10"/>
      <x:c r="C13" s="10"/>
      <x:c r="D13" s="10"/>
      <x:c r="E13" s="10"/>
      <x:c r="F13" s="10"/>
      <x:c r="G13" s="10"/>
      <x:c r="H13" s="10"/>
      <x:c r="I13" s="11"/>
      <x:c r="J13" s="11"/>
      <x:c r="K13" s="10"/>
      <x:c r="L13" s="10"/>
      <x:c r="M13" s="10"/>
      <x:c r="N13" s="11"/>
      <x:c r="O13" s="10" t="s">
        <x:v>403</x:v>
      </x:c>
      <x:c r="P13" s="12" t="str">
        <x:f t="shared" si="0"/>
        <x:v>미등록</x:v>
      </x:c>
      <x:c r="Q13" s="12" t="str">
        <x:f>IF(C13="","미등록",IF(NOT(ISNUMBER(I13)),"기한 미입력",IF(P13="종결",IF(N13&lt;=I13,"기한 내 종결","기한 후 종결"),IF(I13&lt;'00_최종안내'!$B$26,"기한초과",IF(I13-'00_최종안내'!$B$26&lt;=3,"3일 이내","기한 내 진행")))))</x:f>
        <x:v>미등록</x:v>
      </x:c>
    </x:row>
    <x:row r="14" ht="20.25" customHeight="1">
      <x:c r="A14" s="9" t="s">
        <x:v>411</x:v>
      </x:c>
      <x:c r="B14" s="10"/>
      <x:c r="C14" s="10"/>
      <x:c r="D14" s="10"/>
      <x:c r="E14" s="10"/>
      <x:c r="F14" s="10"/>
      <x:c r="G14" s="10"/>
      <x:c r="H14" s="10"/>
      <x:c r="I14" s="11"/>
      <x:c r="J14" s="11"/>
      <x:c r="K14" s="10"/>
      <x:c r="L14" s="10"/>
      <x:c r="M14" s="10"/>
      <x:c r="N14" s="11"/>
      <x:c r="O14" s="10" t="s">
        <x:v>403</x:v>
      </x:c>
      <x:c r="P14" s="9" t="str">
        <x:f t="shared" si="0"/>
        <x:v>미등록</x:v>
      </x:c>
      <x:c r="Q14" s="9" t="str">
        <x:f>IF(C14="","미등록",IF(NOT(ISNUMBER(I14)),"기한 미입력",IF(P14="종결",IF(N14&lt;=I14,"기한 내 종결","기한 후 종결"),IF(I14&lt;'00_최종안내'!$B$26,"기한초과",IF(I14-'00_최종안내'!$B$26&lt;=3,"3일 이내","기한 내 진행")))))</x:f>
        <x:v>미등록</x:v>
      </x:c>
    </x:row>
    <x:row r="15" ht="20.25" customHeight="1">
      <x:c r="A15" s="12" t="s">
        <x:v>412</x:v>
      </x:c>
      <x:c r="B15" s="10"/>
      <x:c r="C15" s="10"/>
      <x:c r="D15" s="10"/>
      <x:c r="E15" s="10"/>
      <x:c r="F15" s="10"/>
      <x:c r="G15" s="10"/>
      <x:c r="H15" s="10"/>
      <x:c r="I15" s="11"/>
      <x:c r="J15" s="11"/>
      <x:c r="K15" s="10"/>
      <x:c r="L15" s="10"/>
      <x:c r="M15" s="10"/>
      <x:c r="N15" s="11"/>
      <x:c r="O15" s="10" t="s">
        <x:v>403</x:v>
      </x:c>
      <x:c r="P15" s="12" t="str">
        <x:f t="shared" si="0"/>
        <x:v>미등록</x:v>
      </x:c>
      <x:c r="Q15" s="12" t="str">
        <x:f>IF(C15="","미등록",IF(NOT(ISNUMBER(I15)),"기한 미입력",IF(P15="종결",IF(N15&lt;=I15,"기한 내 종결","기한 후 종결"),IF(I15&lt;'00_최종안내'!$B$26,"기한초과",IF(I15-'00_최종안내'!$B$26&lt;=3,"3일 이내","기한 내 진행")))))</x:f>
        <x:v>미등록</x:v>
      </x:c>
    </x:row>
    <x:row r="16" ht="20.25" customHeight="1">
      <x:c r="A16" s="9" t="s">
        <x:v>413</x:v>
      </x:c>
      <x:c r="B16" s="10"/>
      <x:c r="C16" s="10"/>
      <x:c r="D16" s="10"/>
      <x:c r="E16" s="10"/>
      <x:c r="F16" s="10"/>
      <x:c r="G16" s="10"/>
      <x:c r="H16" s="10"/>
      <x:c r="I16" s="11"/>
      <x:c r="J16" s="11"/>
      <x:c r="K16" s="10"/>
      <x:c r="L16" s="10"/>
      <x:c r="M16" s="10"/>
      <x:c r="N16" s="11"/>
      <x:c r="O16" s="10" t="s">
        <x:v>403</x:v>
      </x:c>
      <x:c r="P16" s="9" t="str">
        <x:f t="shared" si="0"/>
        <x:v>미등록</x:v>
      </x:c>
      <x:c r="Q16" s="9" t="str">
        <x:f>IF(C16="","미등록",IF(NOT(ISNUMBER(I16)),"기한 미입력",IF(P16="종결",IF(N16&lt;=I16,"기한 내 종결","기한 후 종결"),IF(I16&lt;'00_최종안내'!$B$26,"기한초과",IF(I16-'00_최종안내'!$B$26&lt;=3,"3일 이내","기한 내 진행")))))</x:f>
        <x:v>미등록</x:v>
      </x:c>
    </x:row>
    <x:row r="17" ht="20.25" customHeight="1">
      <x:c r="A17" s="12" t="s">
        <x:v>414</x:v>
      </x:c>
      <x:c r="B17" s="10"/>
      <x:c r="C17" s="10"/>
      <x:c r="D17" s="10"/>
      <x:c r="E17" s="10"/>
      <x:c r="F17" s="10"/>
      <x:c r="G17" s="10"/>
      <x:c r="H17" s="10"/>
      <x:c r="I17" s="11"/>
      <x:c r="J17" s="11"/>
      <x:c r="K17" s="10"/>
      <x:c r="L17" s="10"/>
      <x:c r="M17" s="10"/>
      <x:c r="N17" s="11"/>
      <x:c r="O17" s="10" t="s">
        <x:v>403</x:v>
      </x:c>
      <x:c r="P17" s="12" t="str">
        <x:f t="shared" si="0"/>
        <x:v>미등록</x:v>
      </x:c>
      <x:c r="Q17" s="12" t="str">
        <x:f>IF(C17="","미등록",IF(NOT(ISNUMBER(I17)),"기한 미입력",IF(P17="종결",IF(N17&lt;=I17,"기한 내 종결","기한 후 종결"),IF(I17&lt;'00_최종안내'!$B$26,"기한초과",IF(I17-'00_최종안내'!$B$26&lt;=3,"3일 이내","기한 내 진행")))))</x:f>
        <x:v>미등록</x:v>
      </x:c>
    </x:row>
    <x:row r="18" ht="20.25" customHeight="1">
      <x:c r="A18" s="9" t="s">
        <x:v>415</x:v>
      </x:c>
      <x:c r="B18" s="10"/>
      <x:c r="C18" s="10"/>
      <x:c r="D18" s="10"/>
      <x:c r="E18" s="10"/>
      <x:c r="F18" s="10"/>
      <x:c r="G18" s="10"/>
      <x:c r="H18" s="10"/>
      <x:c r="I18" s="11"/>
      <x:c r="J18" s="11"/>
      <x:c r="K18" s="10"/>
      <x:c r="L18" s="10"/>
      <x:c r="M18" s="10"/>
      <x:c r="N18" s="11"/>
      <x:c r="O18" s="10" t="s">
        <x:v>403</x:v>
      </x:c>
      <x:c r="P18" s="9" t="str">
        <x:f t="shared" si="0"/>
        <x:v>미등록</x:v>
      </x:c>
      <x:c r="Q18" s="9" t="str">
        <x:f>IF(C18="","미등록",IF(NOT(ISNUMBER(I18)),"기한 미입력",IF(P18="종결",IF(N18&lt;=I18,"기한 내 종결","기한 후 종결"),IF(I18&lt;'00_최종안내'!$B$26,"기한초과",IF(I18-'00_최종안내'!$B$26&lt;=3,"3일 이내","기한 내 진행")))))</x:f>
        <x:v>미등록</x:v>
      </x:c>
    </x:row>
    <x:row r="19" ht="20.25" customHeight="1">
      <x:c r="A19" s="12" t="s">
        <x:v>416</x:v>
      </x:c>
      <x:c r="B19" s="10"/>
      <x:c r="C19" s="10"/>
      <x:c r="D19" s="10"/>
      <x:c r="E19" s="10"/>
      <x:c r="F19" s="10"/>
      <x:c r="G19" s="10"/>
      <x:c r="H19" s="10"/>
      <x:c r="I19" s="11"/>
      <x:c r="J19" s="11"/>
      <x:c r="K19" s="10"/>
      <x:c r="L19" s="10"/>
      <x:c r="M19" s="10"/>
      <x:c r="N19" s="11"/>
      <x:c r="O19" s="10" t="s">
        <x:v>403</x:v>
      </x:c>
      <x:c r="P19" s="12" t="str">
        <x:f t="shared" si="0"/>
        <x:v>미등록</x:v>
      </x:c>
      <x:c r="Q19" s="12" t="str">
        <x:f>IF(C19="","미등록",IF(NOT(ISNUMBER(I19)),"기한 미입력",IF(P19="종결",IF(N19&lt;=I19,"기한 내 종결","기한 후 종결"),IF(I19&lt;'00_최종안내'!$B$26,"기한초과",IF(I19-'00_최종안내'!$B$26&lt;=3,"3일 이내","기한 내 진행")))))</x:f>
        <x:v>미등록</x:v>
      </x:c>
    </x:row>
    <x:row r="20" ht="20.25" customHeight="1">
      <x:c r="A20" s="9" t="s">
        <x:v>417</x:v>
      </x:c>
      <x:c r="B20" s="10"/>
      <x:c r="C20" s="10"/>
      <x:c r="D20" s="10"/>
      <x:c r="E20" s="10"/>
      <x:c r="F20" s="10"/>
      <x:c r="G20" s="10"/>
      <x:c r="H20" s="10"/>
      <x:c r="I20" s="11"/>
      <x:c r="J20" s="11"/>
      <x:c r="K20" s="10"/>
      <x:c r="L20" s="10"/>
      <x:c r="M20" s="10"/>
      <x:c r="N20" s="11"/>
      <x:c r="O20" s="10" t="s">
        <x:v>403</x:v>
      </x:c>
      <x:c r="P20" s="9" t="str">
        <x:f t="shared" si="0"/>
        <x:v>미등록</x:v>
      </x:c>
      <x:c r="Q20" s="9" t="str">
        <x:f>IF(C20="","미등록",IF(NOT(ISNUMBER(I20)),"기한 미입력",IF(P20="종결",IF(N20&lt;=I20,"기한 내 종결","기한 후 종결"),IF(I20&lt;'00_최종안내'!$B$26,"기한초과",IF(I20-'00_최종안내'!$B$26&lt;=3,"3일 이내","기한 내 진행")))))</x:f>
        <x:v>미등록</x:v>
      </x:c>
    </x:row>
    <x:row r="21" ht="15.7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</x:sheetData>
  <x:conditionalFormatting sqref="Q6:Q20">
    <x:cfRule type="containsText" dxfId="0" priority="1" operator="containsText" text="초과"/>
  </x:conditionalFormatting>
  <x:dataValidations count="1">
    <x:dataValidation type="list" sqref="O6:O20">
      <x:formula1>"미등록,진행중,조치완료,종결"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sheetViews xmlns="http://schemas.openxmlformats.org/spreadsheetml/2006/main">
    <sheetView showGridLines="0" workbookViewId="0">
      <selection activeCell="B14" sqref="B14"/>
    </sheetView>
  </sheetViews>
  <x:sheetFormatPr defaultRowHeight="15"/>
  <x:cols>
    <x:col min="1" max="1" width="26" customWidth="1"/>
    <x:col min="2" max="2" width="85" customWidth="1"/>
    <x:col min="3" max="3" width="30" customWidth="1"/>
    <x:col min="4" max="4" width="45" customWidth="1"/>
  </x:cols>
  <x:sheetData>
    <x:row r="1" ht="15.75">
      <x:c r="A1" s="1"/>
      <x:c r="B1" s="1"/>
      <x:c r="C1" s="1"/>
      <x:c r="D1" s="1"/>
    </x:row>
    <x:row r="2" ht="33.95000076293945" customHeight="1">
      <x:c r="A2" s="2" t="s">
        <x:v>418</x:v>
      </x:c>
      <x:c r="B2" s="1"/>
      <x:c r="C2" s="1"/>
      <x:c r="D2" s="1"/>
    </x:row>
    <x:row r="3" ht="27.950000762939453" customHeight="1">
      <x:c r="A3" s="1" t="s">
        <x:v>419</x:v>
      </x:c>
      <x:c r="B3" s="1"/>
      <x:c r="C3" s="1"/>
      <x:c r="D3" s="1"/>
    </x:row>
    <x:row r="4" ht="15.75">
      <x:c r="A4" s="1"/>
      <x:c r="B4" s="1"/>
      <x:c r="C4" s="1"/>
      <x:c r="D4" s="1"/>
    </x:row>
    <x:row r="5" ht="33.95000076293945" customHeight="1">
      <x:c r="A5" s="4" t="s">
        <x:v>1</x:v>
      </x:c>
      <x:c r="B5" s="4" t="s">
        <x:v>420</x:v>
      </x:c>
      <x:c r="C5" s="4" t="s">
        <x:v>421</x:v>
      </x:c>
      <x:c r="D5" s="4" t="s">
        <x:v>422</x:v>
      </x:c>
    </x:row>
    <x:row r="6" ht="40.5" customHeight="1">
      <x:c r="A6" s="9" t="s">
        <x:v>423</x:v>
      </x:c>
      <x:c r="B6" s="9" t="s">
        <x:v>424</x:v>
      </x:c>
      <x:c r="C6" s="9" t="n">
        <x:f>COUNTIF('01_사용자정리'!M6:M19,"완료")</x:f>
        <x:v>0</x:v>
      </x:c>
      <x:c r="D6" s="9" t="str">
        <x:f>IF(C6=14,"조건 확인","미확인 항목 있음")</x:f>
        <x:v>미확인 항목 있음</x:v>
      </x:c>
    </x:row>
    <x:row r="7" ht="40.5" customHeight="1">
      <x:c r="A7" s="12" t="s">
        <x:v>425</x:v>
      </x:c>
      <x:c r="B7" s="12" t="s">
        <x:v>426</x:v>
      </x:c>
      <x:c r="C7" s="12" t="n">
        <x:f>COUNTIF('02_운영증빙'!N6:N25,"확인")</x:f>
        <x:v>0</x:v>
      </x:c>
      <x:c r="D7" s="12" t="str">
        <x:f>IF(C7=20,"조건 확인","미확인 증빙 있음")</x:f>
        <x:v>미확인 증빙 있음</x:v>
      </x:c>
    </x:row>
    <x:row r="8" ht="40.5" customHeight="1">
      <x:c r="A8" s="9" t="s">
        <x:v>427</x:v>
      </x:c>
      <x:c r="B8" s="9" t="s">
        <x:v>428</x:v>
      </x:c>
      <x:c r="C8" s="9" t="n">
        <x:f>COUNTIF('03_모의심사'!L6:L25,"확인")</x:f>
        <x:v>0</x:v>
      </x:c>
      <x:c r="D8" s="9" t="str">
        <x:f>IF(C8=20,"조건 확인","미실시·미확인 있음")</x:f>
        <x:v>미실시·미확인 있음</x:v>
      </x:c>
    </x:row>
    <x:row r="9" ht="40.5" customHeight="1">
      <x:c r="A9" s="12" t="s">
        <x:v>429</x:v>
      </x:c>
      <x:c r="B9" s="12" t="s">
        <x:v>430</x:v>
      </x:c>
      <x:c r="C9" s="12" t="n">
        <x:f>COUNTA('05_시정조치'!C6:C20)-COUNTIF('05_시정조치'!P6:P20,"종결")</x:f>
        <x:v>0</x:v>
      </x:c>
      <x:c r="D9" s="12" t="str">
        <x:f>IF(C9=0,"등록분 미종결 0건","미종결 조치 있음")</x:f>
        <x:v>등록분 미종결 0건</x:v>
      </x:c>
    </x:row>
    <x:row r="10" ht="40.5" customHeight="1">
      <x:c r="A10" s="9" t="s">
        <x:v>431</x:v>
      </x:c>
      <x:c r="B10" s="9" t="s">
        <x:v>432</x:v>
      </x:c>
      <x:c r="C10" s="9" t="n">
        <x:f>COUNTIF('03_모의심사'!M6:M25,"선행증빙 확인")</x:f>
        <x:v>0</x:v>
      </x:c>
      <x:c r="D10" s="9" t="str">
        <x:f>IF(AND(C6=14,C7=20,C8=20,C9=0,C10=20),"승인권자 최종검토 필요","준비조건 확인 필요")</x:f>
        <x:v>준비조건 확인 필요</x:v>
      </x:c>
    </x:row>
    <x:row r="11" ht="15.75">
      <x:c r="A11" s="1"/>
      <x:c r="B11" s="1"/>
      <x:c r="C11" s="1"/>
      <x:c r="D11" s="1"/>
    </x:row>
    <x:row r="13" ht="35.099998474121094" customHeight="1">
      <x:c r="A13" s="13" t="s">
        <x:v>433</x:v>
      </x:c>
      <x:c r="B13" s="13" t="s">
        <x:v>434</x:v>
      </x:c>
      <x:c r="C13" s="13" t="s">
        <x:v>435</x:v>
      </x:c>
      <x:c r="D13" s="13" t="s">
        <x:v>436</x:v>
      </x:c>
    </x:row>
    <x:row r="14" ht="35.099998474121094" customHeight="1">
      <x:c r="A14" s="14"/>
      <x:c r="B14" s="15"/>
      <x:c r="C14" s="14"/>
      <x:c r="D14" s="14"/>
    </x:row>
    <x:row r="15" ht="35.099998474121094" customHeight="1">
      <x:c r="A15" s="13" t="s">
        <x:v>437</x:v>
      </x:c>
      <x:c r="B15" s="13" t="s">
        <x:v>438</x:v>
      </x:c>
      <x:c r="C15" s="13" t="s">
        <x:v>439</x:v>
      </x:c>
      <x:c r="D15" s="13" t="s">
        <x:v>440</x:v>
      </x:c>
    </x:row>
    <x:row r="16" ht="35.099998474121094" customHeight="1">
      <x:c r="A16" s="14"/>
      <x:c r="B16" s="14"/>
      <x:c r="C16" s="14"/>
      <x:c r="D16" s="14"/>
    </x:row>
    <x:row r="17" ht="35.099998474121094" customHeight="1">
      <x:c r="A17" s="13" t="s">
        <x:v>441</x:v>
      </x:c>
      <x:c r="B17" s="13" t="s">
        <x:v>442</x:v>
      </x:c>
      <x:c r="C17" s="13" t="s">
        <x:v>443</x:v>
      </x:c>
      <x:c r="D17" s="13" t="s">
        <x:v>444</x:v>
      </x:c>
    </x:row>
    <x:row r="18" ht="35.099998474121094" customHeight="1">
      <x:c r="A18" s="14"/>
      <x:c r="B18" s="14"/>
      <x:c r="C18" s="14"/>
      <x:c r="D18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sheetViews xmlns="http://schemas.openxmlformats.org/spreadsheetml/2006/main">
    <sheetView showGridLines="0" workbookViewId="0">
      <selection activeCell="F15" sqref="F15"/>
    </sheetView>
  </sheetViews>
  <x:sheetFormatPr defaultRowHeight="15"/>
  <x:cols>
    <x:col min="1" max="1" width="12" customWidth="1"/>
    <x:col min="2" max="2" width="36" customWidth="1"/>
    <x:col min="3" max="3" width="74" customWidth="1"/>
    <x:col min="4" max="4" width="17.25" customWidth="1"/>
    <x:col min="5" max="5" width="33.625" customWidth="1"/>
    <x:col min="6" max="6" width="44.375" customWidth="1"/>
  </x:cols>
  <x:sheetData>
    <x:row r="1" ht="15.75">
      <x:c r="A1" s="1"/>
      <x:c r="B1" s="1"/>
      <x:c r="C1" s="1"/>
      <x:c r="D1" s="1"/>
      <x:c r="E1" s="1"/>
      <x:c r="F1" s="1"/>
    </x:row>
    <x:row r="2" ht="33.95000076293945" customHeight="1">
      <x:c r="A2" s="2" t="s">
        <x:v>445</x:v>
      </x:c>
      <x:c r="B2" s="1"/>
      <x:c r="C2" s="1"/>
      <x:c r="D2" s="1"/>
      <x:c r="E2" s="1"/>
      <x:c r="F2" s="1"/>
    </x:row>
    <x:row r="3" ht="27.950000762939453" customHeight="1">
      <x:c r="A3" s="1" t="s">
        <x:v>446</x:v>
      </x:c>
      <x:c r="B3" s="1"/>
      <x:c r="C3" s="1"/>
      <x:c r="D3" s="1"/>
      <x:c r="E3" s="1"/>
      <x:c r="F3" s="1"/>
    </x:row>
    <x:row r="4" ht="15.75">
      <x:c r="A4" s="1"/>
      <x:c r="B4" s="1"/>
      <x:c r="C4" s="1"/>
      <x:c r="D4" s="1"/>
      <x:c r="E4" s="1"/>
      <x:c r="F4" s="1"/>
    </x:row>
    <x:row r="5" ht="33.95000076293945" customHeight="1">
      <x:c r="A5" s="4" t="s">
        <x:v>44</x:v>
      </x:c>
      <x:c r="B5" s="4" t="s">
        <x:v>447</x:v>
      </x:c>
      <x:c r="C5" s="4" t="s">
        <x:v>448</x:v>
      </x:c>
      <x:c r="D5" s="4" t="s">
        <x:v>449</x:v>
      </x:c>
      <x:c r="E5" s="4" t="s">
        <x:v>450</x:v>
      </x:c>
      <x:c r="F5" s="4" t="s">
        <x:v>451</x:v>
      </x:c>
    </x:row>
    <x:row r="6" ht="33.75" customHeight="1">
      <x:c r="A6" s="9" t="s">
        <x:v>452</x:v>
      </x:c>
      <x:c r="B6" s="9" t="s">
        <x:v>453</x:v>
      </x:c>
      <x:c r="C6" s="9" t="s">
        <x:v>454</x:v>
      </x:c>
      <x:c r="D6" s="9" t="s">
        <x:v>455</x:v>
      </x:c>
      <x:c r="E6" s="9" t="s">
        <x:v>456</x:v>
      </x:c>
      <x:c r="F6" s="9" t="s">
        <x:v>457</x:v>
      </x:c>
    </x:row>
    <x:row r="7" ht="33.75" customHeight="1">
      <x:c r="A7" s="12" t="s">
        <x:v>458</x:v>
      </x:c>
      <x:c r="B7" s="12" t="s">
        <x:v>459</x:v>
      </x:c>
      <x:c r="C7" s="12" t="s">
        <x:v>460</x:v>
      </x:c>
      <x:c r="D7" s="12" t="s">
        <x:v>455</x:v>
      </x:c>
      <x:c r="E7" s="12" t="s">
        <x:v>456</x:v>
      </x:c>
      <x:c r="F7" s="12" t="s">
        <x:v>461</x:v>
      </x:c>
    </x:row>
    <x:row r="8" ht="33.75" customHeight="1">
      <x:c r="A8" s="9" t="s">
        <x:v>462</x:v>
      </x:c>
      <x:c r="B8" s="9" t="s">
        <x:v>463</x:v>
      </x:c>
      <x:c r="C8" s="9" t="s">
        <x:v>464</x:v>
      </x:c>
      <x:c r="D8" s="9" t="s">
        <x:v>455</x:v>
      </x:c>
      <x:c r="E8" s="9" t="s">
        <x:v>465</x:v>
      </x:c>
      <x:c r="F8" s="9" t="s">
        <x:v>466</x:v>
      </x:c>
    </x:row>
    <x:row r="9" ht="33.75" customHeight="1">
      <x:c r="A9" s="12" t="s">
        <x:v>467</x:v>
      </x:c>
      <x:c r="B9" s="12" t="s">
        <x:v>468</x:v>
      </x:c>
      <x:c r="C9" s="12" t="s">
        <x:v>469</x:v>
      </x:c>
      <x:c r="D9" s="12" t="s">
        <x:v>455</x:v>
      </x:c>
      <x:c r="E9" s="12" t="s">
        <x:v>470</x:v>
      </x:c>
      <x:c r="F9" s="12" t="s">
        <x:v>471</x:v>
      </x:c>
    </x:row>
    <x:row r="10" ht="15.75">
      <x:c r="A10" s="1"/>
      <x:c r="B10" s="1"/>
      <x:c r="C10" s="1"/>
      <x:c r="D10" s="1"/>
      <x:c r="E10" s="1"/>
      <x:c r="F1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118" activePane="bottomRight" state="frozen"/>
      <selection pane="topRight"/>
      <selection pane="bottomLeft"/>
      <selection pane="bottomRight" activeCell="D119" sqref="D119"/>
    </sheetView>
  </sheetViews>
  <x:sheetFormatPr defaultRowHeight="15"/>
  <x:cols>
    <x:col min="1" max="1" width="10" customWidth="1"/>
    <x:col min="2" max="2" width="13.5" customWidth="1"/>
    <x:col min="3" max="3" width="44.75" customWidth="1"/>
    <x:col min="4" max="4" width="13.25" customWidth="1"/>
    <x:col min="5" max="5" width="24.75" customWidth="1"/>
    <x:col min="6" max="6" width="45.375" customWidth="1"/>
    <x:col min="7" max="7" width="23.875" customWidth="1"/>
    <x:col min="8" max="8" width="15.5" customWidth="1"/>
  </x:cols>
  <x:sheetData>
    <x:row r="1" ht="15.75">
      <x:c r="A1" s="1"/>
      <x:c r="B1" s="1"/>
      <x:c r="C1" s="1"/>
      <x:c r="D1" s="1"/>
      <x:c r="E1" s="1"/>
      <x:c r="F1" s="1"/>
      <x:c r="G1" s="1"/>
      <x:c r="H1" s="1"/>
    </x:row>
    <x:row r="2" ht="33.95000076293945" customHeight="1">
      <x:c r="A2" s="2" t="s">
        <x:v>472</x:v>
      </x:c>
      <x:c r="B2" s="1"/>
      <x:c r="C2" s="1"/>
      <x:c r="D2" s="1"/>
      <x:c r="E2" s="1"/>
      <x:c r="F2" s="1"/>
      <x:c r="G2" s="1"/>
      <x:c r="H2" s="1"/>
    </x:row>
    <x:row r="3" ht="27.950000762939453" customHeight="1">
      <x:c r="A3" s="1" t="s">
        <x:v>473</x:v>
      </x:c>
      <x:c r="B3" s="1"/>
      <x:c r="C3" s="1"/>
      <x:c r="D3" s="1"/>
      <x:c r="E3" s="1"/>
      <x:c r="F3" s="1"/>
      <x:c r="G3" s="1"/>
      <x:c r="H3" s="1"/>
    </x:row>
    <x:row r="4" ht="15.75">
      <x:c r="A4" s="1"/>
      <x:c r="B4" s="1"/>
      <x:c r="C4" s="1"/>
      <x:c r="D4" s="1"/>
      <x:c r="E4" s="1"/>
      <x:c r="F4" s="1"/>
      <x:c r="G4" s="1"/>
      <x:c r="H4" s="1"/>
    </x:row>
    <x:row r="5" ht="33.95000076293945" customHeight="1">
      <x:c r="A5" s="4" t="s">
        <x:v>474</x:v>
      </x:c>
      <x:c r="B5" s="4" t="s">
        <x:v>1</x:v>
      </x:c>
      <x:c r="C5" s="4" t="s">
        <x:v>475</x:v>
      </x:c>
      <x:c r="D5" s="4" t="s">
        <x:v>476</x:v>
      </x:c>
      <x:c r="E5" s="4" t="s">
        <x:v>477</x:v>
      </x:c>
      <x:c r="F5" s="4" t="s">
        <x:v>478</x:v>
      </x:c>
      <x:c r="G5" s="4" t="s">
        <x:v>479</x:v>
      </x:c>
      <x:c r="H5" s="4" t="s">
        <x:v>480</x:v>
      </x:c>
    </x:row>
    <x:row r="6" ht="51.95000076293945" customHeight="1">
      <x:c r="A6" s="9">
        <x:v>1</x:v>
      </x:c>
      <x:c r="B6" s="9" t="s">
        <x:v>481</x:v>
      </x:c>
      <x:c r="C6" s="9" t="s">
        <x:v>482</x:v>
      </x:c>
      <x:c r="D6" s="9" t="s">
        <x:v>483</x:v>
      </x:c>
      <x:c r="E6" s="9" t="s">
        <x:v>484</x:v>
      </x:c>
      <x:c r="F6" s="9" t="s">
        <x:v>485</x:v>
      </x:c>
      <x:c r="G6" s="10"/>
      <x:c r="H6" s="10"/>
    </x:row>
    <x:row r="7" ht="51.95000076293945" customHeight="1">
      <x:c r="A7" s="12">
        <x:v>2</x:v>
      </x:c>
      <x:c r="B7" s="12" t="s">
        <x:v>481</x:v>
      </x:c>
      <x:c r="C7" s="12" t="s">
        <x:v>486</x:v>
      </x:c>
      <x:c r="D7" s="12" t="s">
        <x:v>483</x:v>
      </x:c>
      <x:c r="E7" s="12" t="s">
        <x:v>487</x:v>
      </x:c>
      <x:c r="F7" s="12" t="s">
        <x:v>488</x:v>
      </x:c>
      <x:c r="G7" s="10"/>
      <x:c r="H7" s="10"/>
    </x:row>
    <x:row r="8" ht="51.95000076293945" customHeight="1">
      <x:c r="A8" s="9">
        <x:v>3</x:v>
      </x:c>
      <x:c r="B8" s="9" t="s">
        <x:v>481</x:v>
      </x:c>
      <x:c r="C8" s="9" t="s">
        <x:v>489</x:v>
      </x:c>
      <x:c r="D8" s="9" t="s">
        <x:v>483</x:v>
      </x:c>
      <x:c r="E8" s="9" t="s">
        <x:v>484</x:v>
      </x:c>
      <x:c r="F8" s="9" t="s">
        <x:v>485</x:v>
      </x:c>
      <x:c r="G8" s="10"/>
      <x:c r="H8" s="10"/>
    </x:row>
    <x:row r="9" ht="51.95000076293945" customHeight="1">
      <x:c r="A9" s="12">
        <x:v>4</x:v>
      </x:c>
      <x:c r="B9" s="12" t="s">
        <x:v>481</x:v>
      </x:c>
      <x:c r="C9" s="12" t="s">
        <x:v>490</x:v>
      </x:c>
      <x:c r="D9" s="12" t="s">
        <x:v>483</x:v>
      </x:c>
      <x:c r="E9" s="12" t="s">
        <x:v>484</x:v>
      </x:c>
      <x:c r="F9" s="12" t="s">
        <x:v>485</x:v>
      </x:c>
      <x:c r="G9" s="10"/>
      <x:c r="H9" s="10"/>
    </x:row>
    <x:row r="10" ht="51.95000076293945" customHeight="1">
      <x:c r="A10" s="9">
        <x:v>5</x:v>
      </x:c>
      <x:c r="B10" s="9" t="s">
        <x:v>481</x:v>
      </x:c>
      <x:c r="C10" s="9" t="s">
        <x:v>491</x:v>
      </x:c>
      <x:c r="D10" s="9" t="s">
        <x:v>483</x:v>
      </x:c>
      <x:c r="E10" s="9" t="s">
        <x:v>484</x:v>
      </x:c>
      <x:c r="F10" s="9" t="s">
        <x:v>485</x:v>
      </x:c>
      <x:c r="G10" s="10"/>
      <x:c r="H10" s="10"/>
    </x:row>
    <x:row r="11" ht="51.95000076293945" customHeight="1">
      <x:c r="A11" s="12">
        <x:v>6</x:v>
      </x:c>
      <x:c r="B11" s="12" t="s">
        <x:v>481</x:v>
      </x:c>
      <x:c r="C11" s="12" t="s">
        <x:v>492</x:v>
      </x:c>
      <x:c r="D11" s="12" t="s">
        <x:v>483</x:v>
      </x:c>
      <x:c r="E11" s="12" t="s">
        <x:v>484</x:v>
      </x:c>
      <x:c r="F11" s="12" t="s">
        <x:v>485</x:v>
      </x:c>
      <x:c r="G11" s="10"/>
      <x:c r="H11" s="10"/>
    </x:row>
    <x:row r="12" ht="51.95000076293945" customHeight="1">
      <x:c r="A12" s="9">
        <x:v>7</x:v>
      </x:c>
      <x:c r="B12" s="9" t="s">
        <x:v>481</x:v>
      </x:c>
      <x:c r="C12" s="9" t="s">
        <x:v>493</x:v>
      </x:c>
      <x:c r="D12" s="9" t="s">
        <x:v>483</x:v>
      </x:c>
      <x:c r="E12" s="9" t="s">
        <x:v>484</x:v>
      </x:c>
      <x:c r="F12" s="9" t="s">
        <x:v>485</x:v>
      </x:c>
      <x:c r="G12" s="10"/>
      <x:c r="H12" s="10"/>
    </x:row>
    <x:row r="13" ht="51.95000076293945" customHeight="1">
      <x:c r="A13" s="12">
        <x:v>8</x:v>
      </x:c>
      <x:c r="B13" s="12" t="s">
        <x:v>481</x:v>
      </x:c>
      <x:c r="C13" s="12" t="s">
        <x:v>494</x:v>
      </x:c>
      <x:c r="D13" s="12" t="s">
        <x:v>483</x:v>
      </x:c>
      <x:c r="E13" s="12" t="s">
        <x:v>484</x:v>
      </x:c>
      <x:c r="F13" s="12" t="s">
        <x:v>485</x:v>
      </x:c>
      <x:c r="G13" s="10"/>
      <x:c r="H13" s="10"/>
    </x:row>
    <x:row r="14" ht="51.95000076293945" customHeight="1">
      <x:c r="A14" s="9">
        <x:v>9</x:v>
      </x:c>
      <x:c r="B14" s="9" t="s">
        <x:v>481</x:v>
      </x:c>
      <x:c r="C14" s="9" t="s">
        <x:v>495</x:v>
      </x:c>
      <x:c r="D14" s="9" t="s">
        <x:v>483</x:v>
      </x:c>
      <x:c r="E14" s="9" t="s">
        <x:v>484</x:v>
      </x:c>
      <x:c r="F14" s="9" t="s">
        <x:v>485</x:v>
      </x:c>
      <x:c r="G14" s="10"/>
      <x:c r="H14" s="10"/>
    </x:row>
    <x:row r="15" ht="51.95000076293945" customHeight="1">
      <x:c r="A15" s="12">
        <x:v>10</x:v>
      </x:c>
      <x:c r="B15" s="12" t="s">
        <x:v>481</x:v>
      </x:c>
      <x:c r="C15" s="12" t="s">
        <x:v>496</x:v>
      </x:c>
      <x:c r="D15" s="12" t="s">
        <x:v>483</x:v>
      </x:c>
      <x:c r="E15" s="12" t="s">
        <x:v>484</x:v>
      </x:c>
      <x:c r="F15" s="12" t="s">
        <x:v>485</x:v>
      </x:c>
      <x:c r="G15" s="10"/>
      <x:c r="H15" s="10"/>
    </x:row>
    <x:row r="16" ht="51.95000076293945" customHeight="1">
      <x:c r="A16" s="9">
        <x:v>11</x:v>
      </x:c>
      <x:c r="B16" s="9" t="s">
        <x:v>481</x:v>
      </x:c>
      <x:c r="C16" s="9" t="s">
        <x:v>497</x:v>
      </x:c>
      <x:c r="D16" s="9" t="s">
        <x:v>483</x:v>
      </x:c>
      <x:c r="E16" s="9" t="s">
        <x:v>484</x:v>
      </x:c>
      <x:c r="F16" s="9" t="s">
        <x:v>485</x:v>
      </x:c>
      <x:c r="G16" s="10"/>
      <x:c r="H16" s="10"/>
    </x:row>
    <x:row r="17" ht="51.95000076293945" customHeight="1">
      <x:c r="A17" s="12">
        <x:v>12</x:v>
      </x:c>
      <x:c r="B17" s="12" t="s">
        <x:v>481</x:v>
      </x:c>
      <x:c r="C17" s="12" t="s">
        <x:v>498</x:v>
      </x:c>
      <x:c r="D17" s="12" t="s">
        <x:v>483</x:v>
      </x:c>
      <x:c r="E17" s="12" t="s">
        <x:v>484</x:v>
      </x:c>
      <x:c r="F17" s="12" t="s">
        <x:v>485</x:v>
      </x:c>
      <x:c r="G17" s="10"/>
      <x:c r="H17" s="10"/>
    </x:row>
    <x:row r="18" ht="51.95000076293945" customHeight="1">
      <x:c r="A18" s="9">
        <x:v>13</x:v>
      </x:c>
      <x:c r="B18" s="9" t="s">
        <x:v>481</x:v>
      </x:c>
      <x:c r="C18" s="9" t="s">
        <x:v>499</x:v>
      </x:c>
      <x:c r="D18" s="9" t="s">
        <x:v>483</x:v>
      </x:c>
      <x:c r="E18" s="9" t="s">
        <x:v>484</x:v>
      </x:c>
      <x:c r="F18" s="9" t="s">
        <x:v>485</x:v>
      </x:c>
      <x:c r="G18" s="10"/>
      <x:c r="H18" s="10"/>
    </x:row>
    <x:row r="19" ht="51.95000076293945" customHeight="1">
      <x:c r="A19" s="12">
        <x:v>14</x:v>
      </x:c>
      <x:c r="B19" s="12" t="s">
        <x:v>481</x:v>
      </x:c>
      <x:c r="C19" s="12" t="s">
        <x:v>500</x:v>
      </x:c>
      <x:c r="D19" s="12" t="s">
        <x:v>483</x:v>
      </x:c>
      <x:c r="E19" s="12" t="s">
        <x:v>484</x:v>
      </x:c>
      <x:c r="F19" s="12" t="s">
        <x:v>485</x:v>
      </x:c>
      <x:c r="G19" s="10"/>
      <x:c r="H19" s="10"/>
    </x:row>
    <x:row r="20" ht="51.95000076293945" customHeight="1">
      <x:c r="A20" s="9">
        <x:v>15</x:v>
      </x:c>
      <x:c r="B20" s="9" t="s">
        <x:v>481</x:v>
      </x:c>
      <x:c r="C20" s="9" t="s">
        <x:v>501</x:v>
      </x:c>
      <x:c r="D20" s="9" t="s">
        <x:v>483</x:v>
      </x:c>
      <x:c r="E20" s="9" t="s">
        <x:v>484</x:v>
      </x:c>
      <x:c r="F20" s="9" t="s">
        <x:v>485</x:v>
      </x:c>
      <x:c r="G20" s="10"/>
      <x:c r="H20" s="10"/>
    </x:row>
    <x:row r="21" ht="51.95000076293945" customHeight="1">
      <x:c r="A21" s="12">
        <x:v>16</x:v>
      </x:c>
      <x:c r="B21" s="12" t="s">
        <x:v>481</x:v>
      </x:c>
      <x:c r="C21" s="12" t="s">
        <x:v>502</x:v>
      </x:c>
      <x:c r="D21" s="12" t="s">
        <x:v>483</x:v>
      </x:c>
      <x:c r="E21" s="12" t="s">
        <x:v>484</x:v>
      </x:c>
      <x:c r="F21" s="12" t="s">
        <x:v>485</x:v>
      </x:c>
      <x:c r="G21" s="10"/>
      <x:c r="H21" s="10"/>
    </x:row>
    <x:row r="22" ht="51.95000076293945" customHeight="1">
      <x:c r="A22" s="9">
        <x:v>17</x:v>
      </x:c>
      <x:c r="B22" s="9" t="s">
        <x:v>481</x:v>
      </x:c>
      <x:c r="C22" s="9" t="s">
        <x:v>503</x:v>
      </x:c>
      <x:c r="D22" s="9" t="s">
        <x:v>483</x:v>
      </x:c>
      <x:c r="E22" s="9" t="s">
        <x:v>484</x:v>
      </x:c>
      <x:c r="F22" s="9" t="s">
        <x:v>485</x:v>
      </x:c>
      <x:c r="G22" s="10"/>
      <x:c r="H22" s="10"/>
    </x:row>
    <x:row r="23" ht="51.95000076293945" customHeight="1">
      <x:c r="A23" s="12">
        <x:v>18</x:v>
      </x:c>
      <x:c r="B23" s="12" t="s">
        <x:v>481</x:v>
      </x:c>
      <x:c r="C23" s="12" t="s">
        <x:v>504</x:v>
      </x:c>
      <x:c r="D23" s="12" t="s">
        <x:v>483</x:v>
      </x:c>
      <x:c r="E23" s="12" t="s">
        <x:v>484</x:v>
      </x:c>
      <x:c r="F23" s="12" t="s">
        <x:v>485</x:v>
      </x:c>
      <x:c r="G23" s="10"/>
      <x:c r="H23" s="10"/>
    </x:row>
    <x:row r="24" ht="51.95000076293945" customHeight="1">
      <x:c r="A24" s="9">
        <x:v>19</x:v>
      </x:c>
      <x:c r="B24" s="9" t="s">
        <x:v>481</x:v>
      </x:c>
      <x:c r="C24" s="9" t="s">
        <x:v>505</x:v>
      </x:c>
      <x:c r="D24" s="9" t="s">
        <x:v>483</x:v>
      </x:c>
      <x:c r="E24" s="9" t="s">
        <x:v>484</x:v>
      </x:c>
      <x:c r="F24" s="9" t="s">
        <x:v>485</x:v>
      </x:c>
      <x:c r="G24" s="10"/>
      <x:c r="H24" s="10"/>
    </x:row>
    <x:row r="25" ht="51.95000076293945" customHeight="1">
      <x:c r="A25" s="12">
        <x:v>20</x:v>
      </x:c>
      <x:c r="B25" s="12" t="s">
        <x:v>481</x:v>
      </x:c>
      <x:c r="C25" s="12" t="s">
        <x:v>506</x:v>
      </x:c>
      <x:c r="D25" s="12" t="s">
        <x:v>483</x:v>
      </x:c>
      <x:c r="E25" s="12" t="s">
        <x:v>484</x:v>
      </x:c>
      <x:c r="F25" s="12" t="s">
        <x:v>485</x:v>
      </x:c>
      <x:c r="G25" s="10"/>
      <x:c r="H25" s="10"/>
    </x:row>
    <x:row r="26" ht="51.95000076293945" customHeight="1">
      <x:c r="A26" s="9">
        <x:v>21</x:v>
      </x:c>
      <x:c r="B26" s="9" t="s">
        <x:v>481</x:v>
      </x:c>
      <x:c r="C26" s="9" t="s">
        <x:v>507</x:v>
      </x:c>
      <x:c r="D26" s="9" t="s">
        <x:v>483</x:v>
      </x:c>
      <x:c r="E26" s="9" t="s">
        <x:v>484</x:v>
      </x:c>
      <x:c r="F26" s="9" t="s">
        <x:v>485</x:v>
      </x:c>
      <x:c r="G26" s="10"/>
      <x:c r="H26" s="10"/>
    </x:row>
    <x:row r="27" ht="51.95000076293945" customHeight="1">
      <x:c r="A27" s="12">
        <x:v>22</x:v>
      </x:c>
      <x:c r="B27" s="12" t="s">
        <x:v>481</x:v>
      </x:c>
      <x:c r="C27" s="12" t="s">
        <x:v>508</x:v>
      </x:c>
      <x:c r="D27" s="12" t="s">
        <x:v>483</x:v>
      </x:c>
      <x:c r="E27" s="12" t="s">
        <x:v>484</x:v>
      </x:c>
      <x:c r="F27" s="12" t="s">
        <x:v>485</x:v>
      </x:c>
      <x:c r="G27" s="10"/>
      <x:c r="H27" s="10"/>
    </x:row>
    <x:row r="28" ht="51.95000076293945" customHeight="1">
      <x:c r="A28" s="9">
        <x:v>23</x:v>
      </x:c>
      <x:c r="B28" s="9" t="s">
        <x:v>481</x:v>
      </x:c>
      <x:c r="C28" s="9" t="s">
        <x:v>509</x:v>
      </x:c>
      <x:c r="D28" s="9" t="s">
        <x:v>483</x:v>
      </x:c>
      <x:c r="E28" s="9" t="s">
        <x:v>484</x:v>
      </x:c>
      <x:c r="F28" s="9" t="s">
        <x:v>485</x:v>
      </x:c>
      <x:c r="G28" s="10"/>
      <x:c r="H28" s="10"/>
    </x:row>
    <x:row r="29" ht="51.95000076293945" customHeight="1">
      <x:c r="A29" s="12">
        <x:v>24</x:v>
      </x:c>
      <x:c r="B29" s="12" t="s">
        <x:v>481</x:v>
      </x:c>
      <x:c r="C29" s="12" t="s">
        <x:v>510</x:v>
      </x:c>
      <x:c r="D29" s="12" t="s">
        <x:v>483</x:v>
      </x:c>
      <x:c r="E29" s="12" t="s">
        <x:v>484</x:v>
      </x:c>
      <x:c r="F29" s="12" t="s">
        <x:v>485</x:v>
      </x:c>
      <x:c r="G29" s="10"/>
      <x:c r="H29" s="10"/>
    </x:row>
    <x:row r="30" ht="51.95000076293945" customHeight="1">
      <x:c r="A30" s="9">
        <x:v>25</x:v>
      </x:c>
      <x:c r="B30" s="9" t="s">
        <x:v>481</x:v>
      </x:c>
      <x:c r="C30" s="9" t="s">
        <x:v>511</x:v>
      </x:c>
      <x:c r="D30" s="9" t="s">
        <x:v>483</x:v>
      </x:c>
      <x:c r="E30" s="9" t="s">
        <x:v>484</x:v>
      </x:c>
      <x:c r="F30" s="9" t="s">
        <x:v>485</x:v>
      </x:c>
      <x:c r="G30" s="10"/>
      <x:c r="H30" s="10"/>
    </x:row>
    <x:row r="31" ht="51.95000076293945" customHeight="1">
      <x:c r="A31" s="12">
        <x:v>26</x:v>
      </x:c>
      <x:c r="B31" s="12" t="s">
        <x:v>512</x:v>
      </x:c>
      <x:c r="C31" s="12" t="s">
        <x:v>513</x:v>
      </x:c>
      <x:c r="D31" s="12" t="s">
        <x:v>483</x:v>
      </x:c>
      <x:c r="E31" s="12" t="s">
        <x:v>484</x:v>
      </x:c>
      <x:c r="F31" s="12" t="s">
        <x:v>485</x:v>
      </x:c>
      <x:c r="G31" s="10"/>
      <x:c r="H31" s="10"/>
    </x:row>
    <x:row r="32" ht="51.95000076293945" customHeight="1">
      <x:c r="A32" s="9">
        <x:v>27</x:v>
      </x:c>
      <x:c r="B32" s="9" t="s">
        <x:v>512</x:v>
      </x:c>
      <x:c r="C32" s="9" t="s">
        <x:v>514</x:v>
      </x:c>
      <x:c r="D32" s="9" t="s">
        <x:v>483</x:v>
      </x:c>
      <x:c r="E32" s="9" t="s">
        <x:v>484</x:v>
      </x:c>
      <x:c r="F32" s="9" t="s">
        <x:v>485</x:v>
      </x:c>
      <x:c r="G32" s="10"/>
      <x:c r="H32" s="10"/>
    </x:row>
    <x:row r="33" ht="51.95000076293945" customHeight="1">
      <x:c r="A33" s="12">
        <x:v>28</x:v>
      </x:c>
      <x:c r="B33" s="12" t="s">
        <x:v>512</x:v>
      </x:c>
      <x:c r="C33" s="12" t="s">
        <x:v>515</x:v>
      </x:c>
      <x:c r="D33" s="12" t="s">
        <x:v>483</x:v>
      </x:c>
      <x:c r="E33" s="12" t="s">
        <x:v>484</x:v>
      </x:c>
      <x:c r="F33" s="12" t="s">
        <x:v>485</x:v>
      </x:c>
      <x:c r="G33" s="10"/>
      <x:c r="H33" s="10"/>
    </x:row>
    <x:row r="34" ht="51.95000076293945" customHeight="1">
      <x:c r="A34" s="9">
        <x:v>29</x:v>
      </x:c>
      <x:c r="B34" s="9" t="s">
        <x:v>512</x:v>
      </x:c>
      <x:c r="C34" s="9" t="s">
        <x:v>516</x:v>
      </x:c>
      <x:c r="D34" s="9" t="s">
        <x:v>483</x:v>
      </x:c>
      <x:c r="E34" s="9" t="s">
        <x:v>484</x:v>
      </x:c>
      <x:c r="F34" s="9" t="s">
        <x:v>485</x:v>
      </x:c>
      <x:c r="G34" s="10"/>
      <x:c r="H34" s="10"/>
    </x:row>
    <x:row r="35" ht="51.95000076293945" customHeight="1">
      <x:c r="A35" s="12">
        <x:v>30</x:v>
      </x:c>
      <x:c r="B35" s="12" t="s">
        <x:v>512</x:v>
      </x:c>
      <x:c r="C35" s="12" t="s">
        <x:v>517</x:v>
      </x:c>
      <x:c r="D35" s="12" t="s">
        <x:v>483</x:v>
      </x:c>
      <x:c r="E35" s="12" t="s">
        <x:v>484</x:v>
      </x:c>
      <x:c r="F35" s="12" t="s">
        <x:v>485</x:v>
      </x:c>
      <x:c r="G35" s="10"/>
      <x:c r="H35" s="10"/>
    </x:row>
    <x:row r="36" ht="51.95000076293945" customHeight="1">
      <x:c r="A36" s="9">
        <x:v>31</x:v>
      </x:c>
      <x:c r="B36" s="9" t="s">
        <x:v>512</x:v>
      </x:c>
      <x:c r="C36" s="9" t="s">
        <x:v>518</x:v>
      </x:c>
      <x:c r="D36" s="9" t="s">
        <x:v>483</x:v>
      </x:c>
      <x:c r="E36" s="9" t="s">
        <x:v>484</x:v>
      </x:c>
      <x:c r="F36" s="9" t="s">
        <x:v>485</x:v>
      </x:c>
      <x:c r="G36" s="10"/>
      <x:c r="H36" s="10"/>
    </x:row>
    <x:row r="37" ht="51.95000076293945" customHeight="1">
      <x:c r="A37" s="12">
        <x:v>32</x:v>
      </x:c>
      <x:c r="B37" s="12" t="s">
        <x:v>512</x:v>
      </x:c>
      <x:c r="C37" s="12" t="s">
        <x:v>519</x:v>
      </x:c>
      <x:c r="D37" s="12" t="s">
        <x:v>483</x:v>
      </x:c>
      <x:c r="E37" s="12" t="s">
        <x:v>484</x:v>
      </x:c>
      <x:c r="F37" s="12" t="s">
        <x:v>485</x:v>
      </x:c>
      <x:c r="G37" s="10"/>
      <x:c r="H37" s="10"/>
    </x:row>
    <x:row r="38" ht="51.95000076293945" customHeight="1">
      <x:c r="A38" s="9">
        <x:v>33</x:v>
      </x:c>
      <x:c r="B38" s="9" t="s">
        <x:v>512</x:v>
      </x:c>
      <x:c r="C38" s="9" t="s">
        <x:v>520</x:v>
      </x:c>
      <x:c r="D38" s="9" t="s">
        <x:v>483</x:v>
      </x:c>
      <x:c r="E38" s="9" t="s">
        <x:v>484</x:v>
      </x:c>
      <x:c r="F38" s="9" t="s">
        <x:v>485</x:v>
      </x:c>
      <x:c r="G38" s="10"/>
      <x:c r="H38" s="10"/>
    </x:row>
    <x:row r="39" ht="51.95000076293945" customHeight="1">
      <x:c r="A39" s="12">
        <x:v>34</x:v>
      </x:c>
      <x:c r="B39" s="12" t="s">
        <x:v>512</x:v>
      </x:c>
      <x:c r="C39" s="12" t="s">
        <x:v>521</x:v>
      </x:c>
      <x:c r="D39" s="12" t="s">
        <x:v>483</x:v>
      </x:c>
      <x:c r="E39" s="12" t="s">
        <x:v>484</x:v>
      </x:c>
      <x:c r="F39" s="12" t="s">
        <x:v>485</x:v>
      </x:c>
      <x:c r="G39" s="10"/>
      <x:c r="H39" s="10"/>
    </x:row>
    <x:row r="40" ht="51.95000076293945" customHeight="1">
      <x:c r="A40" s="9">
        <x:v>35</x:v>
      </x:c>
      <x:c r="B40" s="9" t="s">
        <x:v>512</x:v>
      </x:c>
      <x:c r="C40" s="9" t="s">
        <x:v>522</x:v>
      </x:c>
      <x:c r="D40" s="9" t="s">
        <x:v>483</x:v>
      </x:c>
      <x:c r="E40" s="9" t="s">
        <x:v>484</x:v>
      </x:c>
      <x:c r="F40" s="9" t="s">
        <x:v>485</x:v>
      </x:c>
      <x:c r="G40" s="10"/>
      <x:c r="H40" s="10"/>
    </x:row>
    <x:row r="41" ht="51.95000076293945" customHeight="1">
      <x:c r="A41" s="12">
        <x:v>36</x:v>
      </x:c>
      <x:c r="B41" s="12" t="s">
        <x:v>512</x:v>
      </x:c>
      <x:c r="C41" s="12" t="s">
        <x:v>523</x:v>
      </x:c>
      <x:c r="D41" s="12" t="s">
        <x:v>483</x:v>
      </x:c>
      <x:c r="E41" s="12" t="s">
        <x:v>484</x:v>
      </x:c>
      <x:c r="F41" s="12" t="s">
        <x:v>485</x:v>
      </x:c>
      <x:c r="G41" s="10"/>
      <x:c r="H41" s="10"/>
    </x:row>
    <x:row r="42" ht="51.95000076293945" customHeight="1">
      <x:c r="A42" s="9">
        <x:v>37</x:v>
      </x:c>
      <x:c r="B42" s="9" t="s">
        <x:v>512</x:v>
      </x:c>
      <x:c r="C42" s="9" t="s">
        <x:v>524</x:v>
      </x:c>
      <x:c r="D42" s="9" t="s">
        <x:v>483</x:v>
      </x:c>
      <x:c r="E42" s="9" t="s">
        <x:v>484</x:v>
      </x:c>
      <x:c r="F42" s="9" t="s">
        <x:v>485</x:v>
      </x:c>
      <x:c r="G42" s="10"/>
      <x:c r="H42" s="10"/>
    </x:row>
    <x:row r="43" ht="51.95000076293945" customHeight="1">
      <x:c r="A43" s="12">
        <x:v>38</x:v>
      </x:c>
      <x:c r="B43" s="12" t="s">
        <x:v>512</x:v>
      </x:c>
      <x:c r="C43" s="12" t="s">
        <x:v>525</x:v>
      </x:c>
      <x:c r="D43" s="12" t="s">
        <x:v>483</x:v>
      </x:c>
      <x:c r="E43" s="12" t="s">
        <x:v>484</x:v>
      </x:c>
      <x:c r="F43" s="12" t="s">
        <x:v>485</x:v>
      </x:c>
      <x:c r="G43" s="10"/>
      <x:c r="H43" s="10"/>
    </x:row>
    <x:row r="44" ht="51.95000076293945" customHeight="1">
      <x:c r="A44" s="9">
        <x:v>39</x:v>
      </x:c>
      <x:c r="B44" s="9" t="s">
        <x:v>512</x:v>
      </x:c>
      <x:c r="C44" s="9" t="s">
        <x:v>526</x:v>
      </x:c>
      <x:c r="D44" s="9" t="s">
        <x:v>483</x:v>
      </x:c>
      <x:c r="E44" s="9" t="s">
        <x:v>484</x:v>
      </x:c>
      <x:c r="F44" s="9" t="s">
        <x:v>485</x:v>
      </x:c>
      <x:c r="G44" s="10"/>
      <x:c r="H44" s="10"/>
    </x:row>
    <x:row r="45" ht="51.95000076293945" customHeight="1">
      <x:c r="A45" s="12">
        <x:v>40</x:v>
      </x:c>
      <x:c r="B45" s="12" t="s">
        <x:v>512</x:v>
      </x:c>
      <x:c r="C45" s="12" t="s">
        <x:v>527</x:v>
      </x:c>
      <x:c r="D45" s="12" t="s">
        <x:v>483</x:v>
      </x:c>
      <x:c r="E45" s="12" t="s">
        <x:v>484</x:v>
      </x:c>
      <x:c r="F45" s="12" t="s">
        <x:v>485</x:v>
      </x:c>
      <x:c r="G45" s="10"/>
      <x:c r="H45" s="10"/>
    </x:row>
    <x:row r="46" ht="51.95000076293945" customHeight="1">
      <x:c r="A46" s="9">
        <x:v>41</x:v>
      </x:c>
      <x:c r="B46" s="9" t="s">
        <x:v>512</x:v>
      </x:c>
      <x:c r="C46" s="9" t="s">
        <x:v>528</x:v>
      </x:c>
      <x:c r="D46" s="9" t="s">
        <x:v>483</x:v>
      </x:c>
      <x:c r="E46" s="9" t="s">
        <x:v>484</x:v>
      </x:c>
      <x:c r="F46" s="9" t="s">
        <x:v>485</x:v>
      </x:c>
      <x:c r="G46" s="10"/>
      <x:c r="H46" s="10"/>
    </x:row>
    <x:row r="47" ht="51.95000076293945" customHeight="1">
      <x:c r="A47" s="12">
        <x:v>42</x:v>
      </x:c>
      <x:c r="B47" s="12" t="s">
        <x:v>512</x:v>
      </x:c>
      <x:c r="C47" s="12" t="s">
        <x:v>529</x:v>
      </x:c>
      <x:c r="D47" s="12" t="s">
        <x:v>483</x:v>
      </x:c>
      <x:c r="E47" s="12" t="s">
        <x:v>484</x:v>
      </x:c>
      <x:c r="F47" s="12" t="s">
        <x:v>485</x:v>
      </x:c>
      <x:c r="G47" s="10"/>
      <x:c r="H47" s="10"/>
    </x:row>
    <x:row r="48" ht="51.95000076293945" customHeight="1">
      <x:c r="A48" s="9">
        <x:v>43</x:v>
      </x:c>
      <x:c r="B48" s="9" t="s">
        <x:v>512</x:v>
      </x:c>
      <x:c r="C48" s="9" t="s">
        <x:v>530</x:v>
      </x:c>
      <x:c r="D48" s="9" t="s">
        <x:v>483</x:v>
      </x:c>
      <x:c r="E48" s="9" t="s">
        <x:v>484</x:v>
      </x:c>
      <x:c r="F48" s="9" t="s">
        <x:v>485</x:v>
      </x:c>
      <x:c r="G48" s="10"/>
      <x:c r="H48" s="10"/>
    </x:row>
    <x:row r="49" ht="51.95000076293945" customHeight="1">
      <x:c r="A49" s="12">
        <x:v>44</x:v>
      </x:c>
      <x:c r="B49" s="12" t="s">
        <x:v>512</x:v>
      </x:c>
      <x:c r="C49" s="12" t="s">
        <x:v>531</x:v>
      </x:c>
      <x:c r="D49" s="12" t="s">
        <x:v>483</x:v>
      </x:c>
      <x:c r="E49" s="12" t="s">
        <x:v>484</x:v>
      </x:c>
      <x:c r="F49" s="12" t="s">
        <x:v>485</x:v>
      </x:c>
      <x:c r="G49" s="10"/>
      <x:c r="H49" s="10"/>
    </x:row>
    <x:row r="50" ht="51.95000076293945" customHeight="1">
      <x:c r="A50" s="9">
        <x:v>45</x:v>
      </x:c>
      <x:c r="B50" s="9" t="s">
        <x:v>512</x:v>
      </x:c>
      <x:c r="C50" s="9" t="s">
        <x:v>532</x:v>
      </x:c>
      <x:c r="D50" s="9" t="s">
        <x:v>483</x:v>
      </x:c>
      <x:c r="E50" s="9" t="s">
        <x:v>484</x:v>
      </x:c>
      <x:c r="F50" s="9" t="s">
        <x:v>485</x:v>
      </x:c>
      <x:c r="G50" s="10"/>
      <x:c r="H50" s="10"/>
    </x:row>
    <x:row r="51" ht="51.95000076293945" customHeight="1">
      <x:c r="A51" s="12">
        <x:v>46</x:v>
      </x:c>
      <x:c r="B51" s="12" t="s">
        <x:v>512</x:v>
      </x:c>
      <x:c r="C51" s="12" t="s">
        <x:v>533</x:v>
      </x:c>
      <x:c r="D51" s="12" t="s">
        <x:v>483</x:v>
      </x:c>
      <x:c r="E51" s="12" t="s">
        <x:v>484</x:v>
      </x:c>
      <x:c r="F51" s="12" t="s">
        <x:v>485</x:v>
      </x:c>
      <x:c r="G51" s="10"/>
      <x:c r="H51" s="10"/>
    </x:row>
    <x:row r="52" ht="51.95000076293945" customHeight="1">
      <x:c r="A52" s="9">
        <x:v>47</x:v>
      </x:c>
      <x:c r="B52" s="9" t="s">
        <x:v>512</x:v>
      </x:c>
      <x:c r="C52" s="9" t="s">
        <x:v>534</x:v>
      </x:c>
      <x:c r="D52" s="9" t="s">
        <x:v>483</x:v>
      </x:c>
      <x:c r="E52" s="9" t="s">
        <x:v>484</x:v>
      </x:c>
      <x:c r="F52" s="9" t="s">
        <x:v>485</x:v>
      </x:c>
      <x:c r="G52" s="10"/>
      <x:c r="H52" s="10"/>
    </x:row>
    <x:row r="53" ht="51.95000076293945" customHeight="1">
      <x:c r="A53" s="12">
        <x:v>48</x:v>
      </x:c>
      <x:c r="B53" s="12" t="s">
        <x:v>512</x:v>
      </x:c>
      <x:c r="C53" s="12" t="s">
        <x:v>535</x:v>
      </x:c>
      <x:c r="D53" s="12" t="s">
        <x:v>483</x:v>
      </x:c>
      <x:c r="E53" s="12" t="s">
        <x:v>484</x:v>
      </x:c>
      <x:c r="F53" s="12" t="s">
        <x:v>485</x:v>
      </x:c>
      <x:c r="G53" s="10"/>
      <x:c r="H53" s="10"/>
    </x:row>
    <x:row r="54" ht="51.95000076293945" customHeight="1">
      <x:c r="A54" s="9">
        <x:v>49</x:v>
      </x:c>
      <x:c r="B54" s="9" t="s">
        <x:v>512</x:v>
      </x:c>
      <x:c r="C54" s="9" t="s">
        <x:v>536</x:v>
      </x:c>
      <x:c r="D54" s="9" t="s">
        <x:v>483</x:v>
      </x:c>
      <x:c r="E54" s="9" t="s">
        <x:v>484</x:v>
      </x:c>
      <x:c r="F54" s="9" t="s">
        <x:v>485</x:v>
      </x:c>
      <x:c r="G54" s="10"/>
      <x:c r="H54" s="10"/>
    </x:row>
    <x:row r="55" ht="51.95000076293945" customHeight="1">
      <x:c r="A55" s="12">
        <x:v>50</x:v>
      </x:c>
      <x:c r="B55" s="12" t="s">
        <x:v>512</x:v>
      </x:c>
      <x:c r="C55" s="12" t="s">
        <x:v>537</x:v>
      </x:c>
      <x:c r="D55" s="12" t="s">
        <x:v>483</x:v>
      </x:c>
      <x:c r="E55" s="12" t="s">
        <x:v>484</x:v>
      </x:c>
      <x:c r="F55" s="12" t="s">
        <x:v>485</x:v>
      </x:c>
      <x:c r="G55" s="10"/>
      <x:c r="H55" s="10"/>
    </x:row>
    <x:row r="56" ht="51.95000076293945" customHeight="1">
      <x:c r="A56" s="9">
        <x:v>51</x:v>
      </x:c>
      <x:c r="B56" s="9" t="s">
        <x:v>512</x:v>
      </x:c>
      <x:c r="C56" s="9" t="s">
        <x:v>538</x:v>
      </x:c>
      <x:c r="D56" s="9" t="s">
        <x:v>483</x:v>
      </x:c>
      <x:c r="E56" s="9" t="s">
        <x:v>484</x:v>
      </x:c>
      <x:c r="F56" s="9" t="s">
        <x:v>485</x:v>
      </x:c>
      <x:c r="G56" s="10"/>
      <x:c r="H56" s="10"/>
    </x:row>
    <x:row r="57" ht="51.95000076293945" customHeight="1">
      <x:c r="A57" s="12">
        <x:v>52</x:v>
      </x:c>
      <x:c r="B57" s="12" t="s">
        <x:v>512</x:v>
      </x:c>
      <x:c r="C57" s="12" t="s">
        <x:v>539</x:v>
      </x:c>
      <x:c r="D57" s="12" t="s">
        <x:v>483</x:v>
      </x:c>
      <x:c r="E57" s="12" t="s">
        <x:v>484</x:v>
      </x:c>
      <x:c r="F57" s="12" t="s">
        <x:v>485</x:v>
      </x:c>
      <x:c r="G57" s="10"/>
      <x:c r="H57" s="10"/>
    </x:row>
    <x:row r="58" ht="51.95000076293945" customHeight="1">
      <x:c r="A58" s="9">
        <x:v>53</x:v>
      </x:c>
      <x:c r="B58" s="9" t="s">
        <x:v>512</x:v>
      </x:c>
      <x:c r="C58" s="9" t="s">
        <x:v>540</x:v>
      </x:c>
      <x:c r="D58" s="9" t="s">
        <x:v>483</x:v>
      </x:c>
      <x:c r="E58" s="9" t="s">
        <x:v>484</x:v>
      </x:c>
      <x:c r="F58" s="9" t="s">
        <x:v>485</x:v>
      </x:c>
      <x:c r="G58" s="10"/>
      <x:c r="H58" s="10"/>
    </x:row>
    <x:row r="59" ht="51.95000076293945" customHeight="1">
      <x:c r="A59" s="12">
        <x:v>54</x:v>
      </x:c>
      <x:c r="B59" s="12" t="s">
        <x:v>512</x:v>
      </x:c>
      <x:c r="C59" s="12" t="s">
        <x:v>541</x:v>
      </x:c>
      <x:c r="D59" s="12" t="s">
        <x:v>483</x:v>
      </x:c>
      <x:c r="E59" s="12" t="s">
        <x:v>484</x:v>
      </x:c>
      <x:c r="F59" s="12" t="s">
        <x:v>485</x:v>
      </x:c>
      <x:c r="G59" s="10"/>
      <x:c r="H59" s="10"/>
    </x:row>
    <x:row r="60" ht="51.95000076293945" customHeight="1">
      <x:c r="A60" s="9">
        <x:v>55</x:v>
      </x:c>
      <x:c r="B60" s="9" t="s">
        <x:v>512</x:v>
      </x:c>
      <x:c r="C60" s="9" t="s">
        <x:v>542</x:v>
      </x:c>
      <x:c r="D60" s="9" t="s">
        <x:v>483</x:v>
      </x:c>
      <x:c r="E60" s="9" t="s">
        <x:v>484</x:v>
      </x:c>
      <x:c r="F60" s="9" t="s">
        <x:v>485</x:v>
      </x:c>
      <x:c r="G60" s="10"/>
      <x:c r="H60" s="10"/>
    </x:row>
    <x:row r="61" ht="51.95000076293945" customHeight="1">
      <x:c r="A61" s="12">
        <x:v>56</x:v>
      </x:c>
      <x:c r="B61" s="12" t="s">
        <x:v>543</x:v>
      </x:c>
      <x:c r="C61" s="12" t="s">
        <x:v>544</x:v>
      </x:c>
      <x:c r="D61" s="12" t="s">
        <x:v>483</x:v>
      </x:c>
      <x:c r="E61" s="12" t="s">
        <x:v>484</x:v>
      </x:c>
      <x:c r="F61" s="12" t="s">
        <x:v>485</x:v>
      </x:c>
      <x:c r="G61" s="10"/>
      <x:c r="H61" s="10"/>
    </x:row>
    <x:row r="62" ht="51.95000076293945" customHeight="1">
      <x:c r="A62" s="9">
        <x:v>57</x:v>
      </x:c>
      <x:c r="B62" s="9" t="s">
        <x:v>545</x:v>
      </x:c>
      <x:c r="C62" s="9" t="s">
        <x:v>546</x:v>
      </x:c>
      <x:c r="D62" s="9" t="s">
        <x:v>483</x:v>
      </x:c>
      <x:c r="E62" s="9" t="s">
        <x:v>487</x:v>
      </x:c>
      <x:c r="F62" s="9" t="s">
        <x:v>547</x:v>
      </x:c>
      <x:c r="G62" s="10"/>
      <x:c r="H62" s="10"/>
    </x:row>
    <x:row r="63" ht="51.95000076293945" customHeight="1">
      <x:c r="A63" s="12">
        <x:v>58</x:v>
      </x:c>
      <x:c r="B63" s="12" t="s">
        <x:v>548</x:v>
      </x:c>
      <x:c r="C63" s="12" t="s">
        <x:v>549</x:v>
      </x:c>
      <x:c r="D63" s="12" t="s">
        <x:v>550</x:v>
      </x:c>
      <x:c r="E63" s="12" t="s">
        <x:v>551</x:v>
      </x:c>
      <x:c r="F63" s="12" t="s">
        <x:v>485</x:v>
      </x:c>
      <x:c r="G63" s="10"/>
      <x:c r="H63" s="10"/>
    </x:row>
    <x:row r="64" ht="51.95000076293945" customHeight="1">
      <x:c r="A64" s="9">
        <x:v>59</x:v>
      </x:c>
      <x:c r="B64" s="9" t="s">
        <x:v>548</x:v>
      </x:c>
      <x:c r="C64" s="9" t="s">
        <x:v>552</x:v>
      </x:c>
      <x:c r="D64" s="9" t="s">
        <x:v>550</x:v>
      </x:c>
      <x:c r="E64" s="9" t="s">
        <x:v>553</x:v>
      </x:c>
      <x:c r="F64" s="9" t="s">
        <x:v>485</x:v>
      </x:c>
      <x:c r="G64" s="10"/>
      <x:c r="H64" s="10"/>
    </x:row>
    <x:row r="65" ht="51.95000076293945" customHeight="1">
      <x:c r="A65" s="12">
        <x:v>60</x:v>
      </x:c>
      <x:c r="B65" s="12" t="s">
        <x:v>548</x:v>
      </x:c>
      <x:c r="C65" s="12" t="s">
        <x:v>554</x:v>
      </x:c>
      <x:c r="D65" s="12" t="s">
        <x:v>550</x:v>
      </x:c>
      <x:c r="E65" s="12" t="s">
        <x:v>551</x:v>
      </x:c>
      <x:c r="F65" s="12" t="s">
        <x:v>485</x:v>
      </x:c>
      <x:c r="G65" s="10"/>
      <x:c r="H65" s="10"/>
    </x:row>
    <x:row r="66" ht="51.95000076293945" customHeight="1">
      <x:c r="A66" s="9">
        <x:v>61</x:v>
      </x:c>
      <x:c r="B66" s="9" t="s">
        <x:v>548</x:v>
      </x:c>
      <x:c r="C66" s="9" t="s">
        <x:v>555</x:v>
      </x:c>
      <x:c r="D66" s="9" t="s">
        <x:v>556</x:v>
      </x:c>
      <x:c r="E66" s="9" t="s">
        <x:v>487</x:v>
      </x:c>
      <x:c r="F66" s="9" t="s">
        <x:v>557</x:v>
      </x:c>
      <x:c r="G66" s="10"/>
      <x:c r="H66" s="10"/>
    </x:row>
    <x:row r="67" ht="51.95000076293945" customHeight="1">
      <x:c r="A67" s="12">
        <x:v>62</x:v>
      </x:c>
      <x:c r="B67" s="12" t="s">
        <x:v>548</x:v>
      </x:c>
      <x:c r="C67" s="12" t="s">
        <x:v>558</x:v>
      </x:c>
      <x:c r="D67" s="12" t="s">
        <x:v>550</x:v>
      </x:c>
      <x:c r="E67" s="12" t="s">
        <x:v>487</x:v>
      </x:c>
      <x:c r="F67" s="12" t="s">
        <x:v>559</x:v>
      </x:c>
      <x:c r="G67" s="10"/>
      <x:c r="H67" s="10"/>
    </x:row>
    <x:row r="68" ht="51.95000076293945" customHeight="1">
      <x:c r="A68" s="9">
        <x:v>63</x:v>
      </x:c>
      <x:c r="B68" s="9" t="s">
        <x:v>548</x:v>
      </x:c>
      <x:c r="C68" s="9" t="s">
        <x:v>560</x:v>
      </x:c>
      <x:c r="D68" s="9" t="s">
        <x:v>550</x:v>
      </x:c>
      <x:c r="E68" s="9" t="s">
        <x:v>561</x:v>
      </x:c>
      <x:c r="F68" s="9" t="s">
        <x:v>485</x:v>
      </x:c>
      <x:c r="G68" s="10"/>
      <x:c r="H68" s="10"/>
    </x:row>
    <x:row r="69" ht="51.95000076293945" customHeight="1">
      <x:c r="A69" s="12">
        <x:v>64</x:v>
      </x:c>
      <x:c r="B69" s="12" t="s">
        <x:v>548</x:v>
      </x:c>
      <x:c r="C69" s="12" t="s">
        <x:v>562</x:v>
      </x:c>
      <x:c r="D69" s="12" t="s">
        <x:v>550</x:v>
      </x:c>
      <x:c r="E69" s="12" t="s">
        <x:v>563</x:v>
      </x:c>
      <x:c r="F69" s="12" t="s">
        <x:v>485</x:v>
      </x:c>
      <x:c r="G69" s="10"/>
      <x:c r="H69" s="10"/>
    </x:row>
    <x:row r="70" ht="51.95000076293945" customHeight="1">
      <x:c r="A70" s="9">
        <x:v>65</x:v>
      </x:c>
      <x:c r="B70" s="9" t="s">
        <x:v>548</x:v>
      </x:c>
      <x:c r="C70" s="9" t="s">
        <x:v>564</x:v>
      </x:c>
      <x:c r="D70" s="9" t="s">
        <x:v>550</x:v>
      </x:c>
      <x:c r="E70" s="9" t="s">
        <x:v>561</x:v>
      </x:c>
      <x:c r="F70" s="9" t="s">
        <x:v>485</x:v>
      </x:c>
      <x:c r="G70" s="10"/>
      <x:c r="H70" s="10"/>
    </x:row>
    <x:row r="71" ht="51.95000076293945" customHeight="1">
      <x:c r="A71" s="12">
        <x:v>66</x:v>
      </x:c>
      <x:c r="B71" s="12" t="s">
        <x:v>548</x:v>
      </x:c>
      <x:c r="C71" s="12" t="s">
        <x:v>565</x:v>
      </x:c>
      <x:c r="D71" s="12" t="s">
        <x:v>550</x:v>
      </x:c>
      <x:c r="E71" s="12" t="s">
        <x:v>566</x:v>
      </x:c>
      <x:c r="F71" s="12" t="s">
        <x:v>485</x:v>
      </x:c>
      <x:c r="G71" s="10"/>
      <x:c r="H71" s="10"/>
    </x:row>
    <x:row r="72" ht="51.95000076293945" customHeight="1">
      <x:c r="A72" s="9">
        <x:v>67</x:v>
      </x:c>
      <x:c r="B72" s="9" t="s">
        <x:v>548</x:v>
      </x:c>
      <x:c r="C72" s="9" t="s">
        <x:v>567</x:v>
      </x:c>
      <x:c r="D72" s="9" t="s">
        <x:v>550</x:v>
      </x:c>
      <x:c r="E72" s="9" t="s">
        <x:v>561</x:v>
      </x:c>
      <x:c r="F72" s="9" t="s">
        <x:v>485</x:v>
      </x:c>
      <x:c r="G72" s="10"/>
      <x:c r="H72" s="10"/>
    </x:row>
    <x:row r="73" ht="51.95000076293945" customHeight="1">
      <x:c r="A73" s="12">
        <x:v>68</x:v>
      </x:c>
      <x:c r="B73" s="12" t="s">
        <x:v>548</x:v>
      </x:c>
      <x:c r="C73" s="12" t="s">
        <x:v>568</x:v>
      </x:c>
      <x:c r="D73" s="12" t="s">
        <x:v>550</x:v>
      </x:c>
      <x:c r="E73" s="12" t="s">
        <x:v>563</x:v>
      </x:c>
      <x:c r="F73" s="12" t="s">
        <x:v>485</x:v>
      </x:c>
      <x:c r="G73" s="10"/>
      <x:c r="H73" s="10"/>
    </x:row>
    <x:row r="74" ht="51.95000076293945" customHeight="1">
      <x:c r="A74" s="9">
        <x:v>69</x:v>
      </x:c>
      <x:c r="B74" s="9" t="s">
        <x:v>548</x:v>
      </x:c>
      <x:c r="C74" s="9" t="s">
        <x:v>569</x:v>
      </x:c>
      <x:c r="D74" s="9" t="s">
        <x:v>550</x:v>
      </x:c>
      <x:c r="E74" s="9" t="s">
        <x:v>570</x:v>
      </x:c>
      <x:c r="F74" s="9" t="s">
        <x:v>485</x:v>
      </x:c>
      <x:c r="G74" s="10"/>
      <x:c r="H74" s="10"/>
    </x:row>
    <x:row r="75" ht="51.95000076293945" customHeight="1">
      <x:c r="A75" s="12">
        <x:v>70</x:v>
      </x:c>
      <x:c r="B75" s="12" t="s">
        <x:v>548</x:v>
      </x:c>
      <x:c r="C75" s="12" t="s">
        <x:v>571</x:v>
      </x:c>
      <x:c r="D75" s="12" t="s">
        <x:v>550</x:v>
      </x:c>
      <x:c r="E75" s="12" t="s">
        <x:v>570</x:v>
      </x:c>
      <x:c r="F75" s="12" t="s">
        <x:v>485</x:v>
      </x:c>
      <x:c r="G75" s="10"/>
      <x:c r="H75" s="10"/>
    </x:row>
    <x:row r="76" ht="51.95000076293945" customHeight="1">
      <x:c r="A76" s="9">
        <x:v>71</x:v>
      </x:c>
      <x:c r="B76" s="9" t="s">
        <x:v>548</x:v>
      </x:c>
      <x:c r="C76" s="9" t="s">
        <x:v>572</x:v>
      </x:c>
      <x:c r="D76" s="9" t="s">
        <x:v>550</x:v>
      </x:c>
      <x:c r="E76" s="9" t="s">
        <x:v>563</x:v>
      </x:c>
      <x:c r="F76" s="9" t="s">
        <x:v>485</x:v>
      </x:c>
      <x:c r="G76" s="10"/>
      <x:c r="H76" s="10"/>
    </x:row>
    <x:row r="77" ht="51.95000076293945" customHeight="1">
      <x:c r="A77" s="12">
        <x:v>72</x:v>
      </x:c>
      <x:c r="B77" s="12" t="s">
        <x:v>548</x:v>
      </x:c>
      <x:c r="C77" s="12" t="s">
        <x:v>573</x:v>
      </x:c>
      <x:c r="D77" s="12" t="s">
        <x:v>550</x:v>
      </x:c>
      <x:c r="E77" s="12" t="s">
        <x:v>561</x:v>
      </x:c>
      <x:c r="F77" s="12" t="s">
        <x:v>485</x:v>
      </x:c>
      <x:c r="G77" s="10"/>
      <x:c r="H77" s="10"/>
    </x:row>
    <x:row r="78" ht="51.95000076293945" customHeight="1">
      <x:c r="A78" s="9">
        <x:v>73</x:v>
      </x:c>
      <x:c r="B78" s="9" t="s">
        <x:v>548</x:v>
      </x:c>
      <x:c r="C78" s="9" t="s">
        <x:v>574</x:v>
      </x:c>
      <x:c r="D78" s="9" t="s">
        <x:v>550</x:v>
      </x:c>
      <x:c r="E78" s="9" t="s">
        <x:v>575</x:v>
      </x:c>
      <x:c r="F78" s="9" t="s">
        <x:v>485</x:v>
      </x:c>
      <x:c r="G78" s="10"/>
      <x:c r="H78" s="10"/>
    </x:row>
    <x:row r="79" ht="51.95000076293945" customHeight="1">
      <x:c r="A79" s="12">
        <x:v>74</x:v>
      </x:c>
      <x:c r="B79" s="12" t="s">
        <x:v>548</x:v>
      </x:c>
      <x:c r="C79" s="12" t="s">
        <x:v>576</x:v>
      </x:c>
      <x:c r="D79" s="12" t="s">
        <x:v>550</x:v>
      </x:c>
      <x:c r="E79" s="12" t="s">
        <x:v>577</x:v>
      </x:c>
      <x:c r="F79" s="12" t="s">
        <x:v>485</x:v>
      </x:c>
      <x:c r="G79" s="10"/>
      <x:c r="H79" s="10"/>
    </x:row>
    <x:row r="80" ht="51.95000076293945" customHeight="1">
      <x:c r="A80" s="9">
        <x:v>75</x:v>
      </x:c>
      <x:c r="B80" s="9" t="s">
        <x:v>548</x:v>
      </x:c>
      <x:c r="C80" s="9" t="s">
        <x:v>578</x:v>
      </x:c>
      <x:c r="D80" s="9" t="s">
        <x:v>550</x:v>
      </x:c>
      <x:c r="E80" s="9" t="s">
        <x:v>570</x:v>
      </x:c>
      <x:c r="F80" s="9" t="s">
        <x:v>485</x:v>
      </x:c>
      <x:c r="G80" s="10"/>
      <x:c r="H80" s="10"/>
    </x:row>
    <x:row r="81" ht="51.95000076293945" customHeight="1">
      <x:c r="A81" s="12">
        <x:v>76</x:v>
      </x:c>
      <x:c r="B81" s="12" t="s">
        <x:v>548</x:v>
      </x:c>
      <x:c r="C81" s="12" t="s">
        <x:v>579</x:v>
      </x:c>
      <x:c r="D81" s="12" t="s">
        <x:v>550</x:v>
      </x:c>
      <x:c r="E81" s="12" t="s">
        <x:v>563</x:v>
      </x:c>
      <x:c r="F81" s="12" t="s">
        <x:v>485</x:v>
      </x:c>
      <x:c r="G81" s="10"/>
      <x:c r="H81" s="10"/>
    </x:row>
    <x:row r="82" ht="51.95000076293945" customHeight="1">
      <x:c r="A82" s="9">
        <x:v>77</x:v>
      </x:c>
      <x:c r="B82" s="9" t="s">
        <x:v>548</x:v>
      </x:c>
      <x:c r="C82" s="9" t="s">
        <x:v>580</x:v>
      </x:c>
      <x:c r="D82" s="9" t="s">
        <x:v>550</x:v>
      </x:c>
      <x:c r="E82" s="9" t="s">
        <x:v>563</x:v>
      </x:c>
      <x:c r="F82" s="9" t="s">
        <x:v>485</x:v>
      </x:c>
      <x:c r="G82" s="10"/>
      <x:c r="H82" s="10"/>
    </x:row>
    <x:row r="83" ht="51.95000076293945" customHeight="1">
      <x:c r="A83" s="12">
        <x:v>78</x:v>
      </x:c>
      <x:c r="B83" s="12" t="s">
        <x:v>548</x:v>
      </x:c>
      <x:c r="C83" s="12" t="s">
        <x:v>581</x:v>
      </x:c>
      <x:c r="D83" s="12" t="s">
        <x:v>550</x:v>
      </x:c>
      <x:c r="E83" s="12" t="s">
        <x:v>582</x:v>
      </x:c>
      <x:c r="F83" s="12" t="s">
        <x:v>485</x:v>
      </x:c>
      <x:c r="G83" s="10"/>
      <x:c r="H83" s="10"/>
    </x:row>
    <x:row r="84" ht="51.95000076293945" customHeight="1">
      <x:c r="A84" s="9">
        <x:v>79</x:v>
      </x:c>
      <x:c r="B84" s="9" t="s">
        <x:v>548</x:v>
      </x:c>
      <x:c r="C84" s="9" t="s">
        <x:v>583</x:v>
      </x:c>
      <x:c r="D84" s="9" t="s">
        <x:v>550</x:v>
      </x:c>
      <x:c r="E84" s="9" t="s">
        <x:v>561</x:v>
      </x:c>
      <x:c r="F84" s="9" t="s">
        <x:v>485</x:v>
      </x:c>
      <x:c r="G84" s="10"/>
      <x:c r="H84" s="10"/>
    </x:row>
    <x:row r="85" ht="51.95000076293945" customHeight="1">
      <x:c r="A85" s="12">
        <x:v>80</x:v>
      </x:c>
      <x:c r="B85" s="12" t="s">
        <x:v>548</x:v>
      </x:c>
      <x:c r="C85" s="12" t="s">
        <x:v>584</x:v>
      </x:c>
      <x:c r="D85" s="12" t="s">
        <x:v>550</x:v>
      </x:c>
      <x:c r="E85" s="12" t="s">
        <x:v>570</x:v>
      </x:c>
      <x:c r="F85" s="12" t="s">
        <x:v>485</x:v>
      </x:c>
      <x:c r="G85" s="10"/>
      <x:c r="H85" s="10"/>
    </x:row>
    <x:row r="86" ht="51.95000076293945" customHeight="1">
      <x:c r="A86" s="9">
        <x:v>81</x:v>
      </x:c>
      <x:c r="B86" s="9" t="s">
        <x:v>548</x:v>
      </x:c>
      <x:c r="C86" s="9" t="s">
        <x:v>585</x:v>
      </x:c>
      <x:c r="D86" s="9" t="s">
        <x:v>550</x:v>
      </x:c>
      <x:c r="E86" s="9" t="s">
        <x:v>570</x:v>
      </x:c>
      <x:c r="F86" s="9" t="s">
        <x:v>485</x:v>
      </x:c>
      <x:c r="G86" s="10"/>
      <x:c r="H86" s="10"/>
    </x:row>
    <x:row r="87" ht="51.95000076293945" customHeight="1">
      <x:c r="A87" s="12">
        <x:v>82</x:v>
      </x:c>
      <x:c r="B87" s="12" t="s">
        <x:v>548</x:v>
      </x:c>
      <x:c r="C87" s="12" t="s">
        <x:v>586</x:v>
      </x:c>
      <x:c r="D87" s="12" t="s">
        <x:v>550</x:v>
      </x:c>
      <x:c r="E87" s="12" t="s">
        <x:v>561</x:v>
      </x:c>
      <x:c r="F87" s="12" t="s">
        <x:v>485</x:v>
      </x:c>
      <x:c r="G87" s="10"/>
      <x:c r="H87" s="10"/>
    </x:row>
    <x:row r="88" ht="51.95000076293945" customHeight="1">
      <x:c r="A88" s="9">
        <x:v>83</x:v>
      </x:c>
      <x:c r="B88" s="9" t="s">
        <x:v>548</x:v>
      </x:c>
      <x:c r="C88" s="9" t="s">
        <x:v>587</x:v>
      </x:c>
      <x:c r="D88" s="9" t="s">
        <x:v>550</x:v>
      </x:c>
      <x:c r="E88" s="9" t="s">
        <x:v>563</x:v>
      </x:c>
      <x:c r="F88" s="9" t="s">
        <x:v>485</x:v>
      </x:c>
      <x:c r="G88" s="10"/>
      <x:c r="H88" s="10"/>
    </x:row>
    <x:row r="89" ht="51.95000076293945" customHeight="1">
      <x:c r="A89" s="12">
        <x:v>84</x:v>
      </x:c>
      <x:c r="B89" s="12" t="s">
        <x:v>548</x:v>
      </x:c>
      <x:c r="C89" s="12" t="s">
        <x:v>588</x:v>
      </x:c>
      <x:c r="D89" s="12" t="s">
        <x:v>550</x:v>
      </x:c>
      <x:c r="E89" s="12" t="s">
        <x:v>563</x:v>
      </x:c>
      <x:c r="F89" s="12" t="s">
        <x:v>485</x:v>
      </x:c>
      <x:c r="G89" s="10"/>
      <x:c r="H89" s="10"/>
    </x:row>
    <x:row r="90" ht="51.95000076293945" customHeight="1">
      <x:c r="A90" s="9">
        <x:v>85</x:v>
      </x:c>
      <x:c r="B90" s="9" t="s">
        <x:v>548</x:v>
      </x:c>
      <x:c r="C90" s="9" t="s">
        <x:v>589</x:v>
      </x:c>
      <x:c r="D90" s="9" t="s">
        <x:v>550</x:v>
      </x:c>
      <x:c r="E90" s="9" t="s">
        <x:v>561</x:v>
      </x:c>
      <x:c r="F90" s="9" t="s">
        <x:v>485</x:v>
      </x:c>
      <x:c r="G90" s="10"/>
      <x:c r="H90" s="10"/>
    </x:row>
    <x:row r="91" ht="51.95000076293945" customHeight="1">
      <x:c r="A91" s="12">
        <x:v>86</x:v>
      </x:c>
      <x:c r="B91" s="12" t="s">
        <x:v>548</x:v>
      </x:c>
      <x:c r="C91" s="12" t="s">
        <x:v>590</x:v>
      </x:c>
      <x:c r="D91" s="12" t="s">
        <x:v>550</x:v>
      </x:c>
      <x:c r="E91" s="12" t="s">
        <x:v>591</x:v>
      </x:c>
      <x:c r="F91" s="12" t="s">
        <x:v>485</x:v>
      </x:c>
      <x:c r="G91" s="10"/>
      <x:c r="H91" s="10"/>
    </x:row>
    <x:row r="92" ht="51.95000076293945" customHeight="1">
      <x:c r="A92" s="9">
        <x:v>87</x:v>
      </x:c>
      <x:c r="B92" s="9" t="s">
        <x:v>548</x:v>
      </x:c>
      <x:c r="C92" s="9" t="s">
        <x:v>592</x:v>
      </x:c>
      <x:c r="D92" s="9" t="s">
        <x:v>550</x:v>
      </x:c>
      <x:c r="E92" s="9" t="s">
        <x:v>563</x:v>
      </x:c>
      <x:c r="F92" s="9" t="s">
        <x:v>485</x:v>
      </x:c>
      <x:c r="G92" s="10"/>
      <x:c r="H92" s="10"/>
    </x:row>
    <x:row r="93" ht="51.95000076293945" customHeight="1">
      <x:c r="A93" s="12">
        <x:v>88</x:v>
      </x:c>
      <x:c r="B93" s="12" t="s">
        <x:v>548</x:v>
      </x:c>
      <x:c r="C93" s="12" t="s">
        <x:v>593</x:v>
      </x:c>
      <x:c r="D93" s="12" t="s">
        <x:v>550</x:v>
      </x:c>
      <x:c r="E93" s="12" t="s">
        <x:v>570</x:v>
      </x:c>
      <x:c r="F93" s="12" t="s">
        <x:v>485</x:v>
      </x:c>
      <x:c r="G93" s="10"/>
      <x:c r="H93" s="10"/>
    </x:row>
    <x:row r="94" ht="51.95000076293945" customHeight="1">
      <x:c r="A94" s="9">
        <x:v>89</x:v>
      </x:c>
      <x:c r="B94" s="9" t="s">
        <x:v>548</x:v>
      </x:c>
      <x:c r="C94" s="9" t="s">
        <x:v>594</x:v>
      </x:c>
      <x:c r="D94" s="9" t="s">
        <x:v>550</x:v>
      </x:c>
      <x:c r="E94" s="9" t="s">
        <x:v>570</x:v>
      </x:c>
      <x:c r="F94" s="9" t="s">
        <x:v>485</x:v>
      </x:c>
      <x:c r="G94" s="10"/>
      <x:c r="H94" s="10"/>
    </x:row>
    <x:row r="95" ht="51.95000076293945" customHeight="1">
      <x:c r="A95" s="12">
        <x:v>90</x:v>
      </x:c>
      <x:c r="B95" s="12" t="s">
        <x:v>548</x:v>
      </x:c>
      <x:c r="C95" s="12" t="s">
        <x:v>595</x:v>
      </x:c>
      <x:c r="D95" s="12" t="s">
        <x:v>550</x:v>
      </x:c>
      <x:c r="E95" s="12" t="s">
        <x:v>596</x:v>
      </x:c>
      <x:c r="F95" s="12" t="s">
        <x:v>485</x:v>
      </x:c>
      <x:c r="G95" s="10"/>
      <x:c r="H95" s="10"/>
    </x:row>
    <x:row r="96" ht="51.95000076293945" customHeight="1">
      <x:c r="A96" s="9">
        <x:v>91</x:v>
      </x:c>
      <x:c r="B96" s="9" t="s">
        <x:v>548</x:v>
      </x:c>
      <x:c r="C96" s="9" t="s">
        <x:v>597</x:v>
      </x:c>
      <x:c r="D96" s="9" t="s">
        <x:v>550</x:v>
      </x:c>
      <x:c r="E96" s="9" t="s">
        <x:v>570</x:v>
      </x:c>
      <x:c r="F96" s="9" t="s">
        <x:v>485</x:v>
      </x:c>
      <x:c r="G96" s="10"/>
      <x:c r="H96" s="10"/>
    </x:row>
    <x:row r="97" ht="51.95000076293945" customHeight="1">
      <x:c r="A97" s="12">
        <x:v>92</x:v>
      </x:c>
      <x:c r="B97" s="12" t="s">
        <x:v>548</x:v>
      </x:c>
      <x:c r="C97" s="12" t="s">
        <x:v>598</x:v>
      </x:c>
      <x:c r="D97" s="12" t="s">
        <x:v>550</x:v>
      </x:c>
      <x:c r="E97" s="12" t="s">
        <x:v>553</x:v>
      </x:c>
      <x:c r="F97" s="12" t="s">
        <x:v>485</x:v>
      </x:c>
      <x:c r="G97" s="10"/>
      <x:c r="H97" s="10"/>
    </x:row>
    <x:row r="98" ht="51.95000076293945" customHeight="1">
      <x:c r="A98" s="9">
        <x:v>93</x:v>
      </x:c>
      <x:c r="B98" s="9" t="s">
        <x:v>548</x:v>
      </x:c>
      <x:c r="C98" s="9" t="s">
        <x:v>599</x:v>
      </x:c>
      <x:c r="D98" s="9" t="s">
        <x:v>550</x:v>
      </x:c>
      <x:c r="E98" s="9" t="s">
        <x:v>563</x:v>
      </x:c>
      <x:c r="F98" s="9" t="s">
        <x:v>485</x:v>
      </x:c>
      <x:c r="G98" s="10"/>
      <x:c r="H98" s="10"/>
    </x:row>
    <x:row r="99" ht="51.95000076293945" customHeight="1">
      <x:c r="A99" s="12">
        <x:v>94</x:v>
      </x:c>
      <x:c r="B99" s="12" t="s">
        <x:v>548</x:v>
      </x:c>
      <x:c r="C99" s="12" t="s">
        <x:v>600</x:v>
      </x:c>
      <x:c r="D99" s="12" t="s">
        <x:v>550</x:v>
      </x:c>
      <x:c r="E99" s="12" t="s">
        <x:v>566</x:v>
      </x:c>
      <x:c r="F99" s="12" t="s">
        <x:v>485</x:v>
      </x:c>
      <x:c r="G99" s="10"/>
      <x:c r="H99" s="10"/>
    </x:row>
    <x:row r="100" ht="51.95000076293945" customHeight="1">
      <x:c r="A100" s="9">
        <x:v>95</x:v>
      </x:c>
      <x:c r="B100" s="9" t="s">
        <x:v>548</x:v>
      </x:c>
      <x:c r="C100" s="9" t="s">
        <x:v>601</x:v>
      </x:c>
      <x:c r="D100" s="9" t="s">
        <x:v>550</x:v>
      </x:c>
      <x:c r="E100" s="9" t="s">
        <x:v>570</x:v>
      </x:c>
      <x:c r="F100" s="9" t="s">
        <x:v>485</x:v>
      </x:c>
      <x:c r="G100" s="10"/>
      <x:c r="H100" s="10"/>
    </x:row>
    <x:row r="101" ht="51.95000076293945" customHeight="1">
      <x:c r="A101" s="12">
        <x:v>96</x:v>
      </x:c>
      <x:c r="B101" s="12" t="s">
        <x:v>548</x:v>
      </x:c>
      <x:c r="C101" s="12" t="s">
        <x:v>602</x:v>
      </x:c>
      <x:c r="D101" s="12" t="s">
        <x:v>550</x:v>
      </x:c>
      <x:c r="E101" s="12" t="s">
        <x:v>570</x:v>
      </x:c>
      <x:c r="F101" s="12" t="s">
        <x:v>485</x:v>
      </x:c>
      <x:c r="G101" s="10"/>
      <x:c r="H101" s="10"/>
    </x:row>
    <x:row r="102" ht="51.95000076293945" customHeight="1">
      <x:c r="A102" s="9">
        <x:v>97</x:v>
      </x:c>
      <x:c r="B102" s="9" t="s">
        <x:v>548</x:v>
      </x:c>
      <x:c r="C102" s="9" t="s">
        <x:v>603</x:v>
      </x:c>
      <x:c r="D102" s="9" t="s">
        <x:v>550</x:v>
      </x:c>
      <x:c r="E102" s="9" t="s">
        <x:v>561</x:v>
      </x:c>
      <x:c r="F102" s="9" t="s">
        <x:v>485</x:v>
      </x:c>
      <x:c r="G102" s="10"/>
      <x:c r="H102" s="10"/>
    </x:row>
    <x:row r="103" ht="51.95000076293945" customHeight="1">
      <x:c r="A103" s="12">
        <x:v>98</x:v>
      </x:c>
      <x:c r="B103" s="12" t="s">
        <x:v>548</x:v>
      </x:c>
      <x:c r="C103" s="12" t="s">
        <x:v>604</x:v>
      </x:c>
      <x:c r="D103" s="12" t="s">
        <x:v>550</x:v>
      </x:c>
      <x:c r="E103" s="12" t="s">
        <x:v>570</x:v>
      </x:c>
      <x:c r="F103" s="12" t="s">
        <x:v>485</x:v>
      </x:c>
      <x:c r="G103" s="10"/>
      <x:c r="H103" s="10"/>
    </x:row>
    <x:row r="104" ht="51.95000076293945" customHeight="1">
      <x:c r="A104" s="9">
        <x:v>99</x:v>
      </x:c>
      <x:c r="B104" s="9" t="s">
        <x:v>548</x:v>
      </x:c>
      <x:c r="C104" s="9" t="s">
        <x:v>605</x:v>
      </x:c>
      <x:c r="D104" s="9" t="s">
        <x:v>550</x:v>
      </x:c>
      <x:c r="E104" s="9" t="s">
        <x:v>561</x:v>
      </x:c>
      <x:c r="F104" s="9" t="s">
        <x:v>485</x:v>
      </x:c>
      <x:c r="G104" s="10"/>
      <x:c r="H104" s="10"/>
    </x:row>
    <x:row r="105" ht="51.95000076293945" customHeight="1">
      <x:c r="A105" s="12">
        <x:v>100</x:v>
      </x:c>
      <x:c r="B105" s="12" t="s">
        <x:v>548</x:v>
      </x:c>
      <x:c r="C105" s="12" t="s">
        <x:v>606</x:v>
      </x:c>
      <x:c r="D105" s="12" t="s">
        <x:v>550</x:v>
      </x:c>
      <x:c r="E105" s="12" t="s">
        <x:v>561</x:v>
      </x:c>
      <x:c r="F105" s="12" t="s">
        <x:v>485</x:v>
      </x:c>
      <x:c r="G105" s="10"/>
      <x:c r="H105" s="10"/>
    </x:row>
    <x:row r="106" ht="51.95000076293945" customHeight="1">
      <x:c r="A106" s="9">
        <x:v>101</x:v>
      </x:c>
      <x:c r="B106" s="9" t="s">
        <x:v>548</x:v>
      </x:c>
      <x:c r="C106" s="9" t="s">
        <x:v>607</x:v>
      </x:c>
      <x:c r="D106" s="9" t="s">
        <x:v>550</x:v>
      </x:c>
      <x:c r="E106" s="9" t="s">
        <x:v>561</x:v>
      </x:c>
      <x:c r="F106" s="9" t="s">
        <x:v>485</x:v>
      </x:c>
      <x:c r="G106" s="10"/>
      <x:c r="H106" s="10"/>
    </x:row>
    <x:row r="107" ht="51.95000076293945" customHeight="1">
      <x:c r="A107" s="12">
        <x:v>102</x:v>
      </x:c>
      <x:c r="B107" s="12" t="s">
        <x:v>548</x:v>
      </x:c>
      <x:c r="C107" s="12" t="s">
        <x:v>608</x:v>
      </x:c>
      <x:c r="D107" s="12" t="s">
        <x:v>550</x:v>
      </x:c>
      <x:c r="E107" s="12" t="s">
        <x:v>609</x:v>
      </x:c>
      <x:c r="F107" s="12" t="s">
        <x:v>485</x:v>
      </x:c>
      <x:c r="G107" s="10"/>
      <x:c r="H107" s="10"/>
    </x:row>
    <x:row r="108" ht="51.95000076293945" customHeight="1">
      <x:c r="A108" s="9">
        <x:v>103</x:v>
      </x:c>
      <x:c r="B108" s="9" t="s">
        <x:v>548</x:v>
      </x:c>
      <x:c r="C108" s="9" t="s">
        <x:v>610</x:v>
      </x:c>
      <x:c r="D108" s="9" t="s">
        <x:v>550</x:v>
      </x:c>
      <x:c r="E108" s="9" t="s">
        <x:v>611</x:v>
      </x:c>
      <x:c r="F108" s="9" t="s">
        <x:v>485</x:v>
      </x:c>
      <x:c r="G108" s="10"/>
      <x:c r="H108" s="10"/>
    </x:row>
    <x:row r="109" ht="51.95000076293945" customHeight="1">
      <x:c r="A109" s="12">
        <x:v>104</x:v>
      </x:c>
      <x:c r="B109" s="12" t="s">
        <x:v>548</x:v>
      </x:c>
      <x:c r="C109" s="12" t="s">
        <x:v>612</x:v>
      </x:c>
      <x:c r="D109" s="12" t="s">
        <x:v>550</x:v>
      </x:c>
      <x:c r="E109" s="12" t="s">
        <x:v>596</x:v>
      </x:c>
      <x:c r="F109" s="12" t="s">
        <x:v>485</x:v>
      </x:c>
      <x:c r="G109" s="10"/>
      <x:c r="H109" s="10"/>
    </x:row>
    <x:row r="110" ht="51.95000076293945" customHeight="1">
      <x:c r="A110" s="9">
        <x:v>105</x:v>
      </x:c>
      <x:c r="B110" s="9" t="s">
        <x:v>548</x:v>
      </x:c>
      <x:c r="C110" s="9" t="s">
        <x:v>613</x:v>
      </x:c>
      <x:c r="D110" s="9" t="s">
        <x:v>550</x:v>
      </x:c>
      <x:c r="E110" s="9" t="s">
        <x:v>570</x:v>
      </x:c>
      <x:c r="F110" s="9" t="s">
        <x:v>485</x:v>
      </x:c>
      <x:c r="G110" s="10"/>
      <x:c r="H110" s="10"/>
    </x:row>
    <x:row r="111" ht="51.95000076293945" customHeight="1">
      <x:c r="A111" s="12">
        <x:v>106</x:v>
      </x:c>
      <x:c r="B111" s="12" t="s">
        <x:v>548</x:v>
      </x:c>
      <x:c r="C111" s="12" t="s">
        <x:v>614</x:v>
      </x:c>
      <x:c r="D111" s="12" t="s">
        <x:v>550</x:v>
      </x:c>
      <x:c r="E111" s="12" t="s">
        <x:v>615</x:v>
      </x:c>
      <x:c r="F111" s="12" t="s">
        <x:v>485</x:v>
      </x:c>
      <x:c r="G111" s="10"/>
      <x:c r="H111" s="10"/>
    </x:row>
    <x:row r="112" ht="51.95000076293945" customHeight="1">
      <x:c r="A112" s="9">
        <x:v>107</x:v>
      </x:c>
      <x:c r="B112" s="9" t="s">
        <x:v>548</x:v>
      </x:c>
      <x:c r="C112" s="9" t="s">
        <x:v>616</x:v>
      </x:c>
      <x:c r="D112" s="9" t="s">
        <x:v>550</x:v>
      </x:c>
      <x:c r="E112" s="9" t="s">
        <x:v>561</x:v>
      </x:c>
      <x:c r="F112" s="9" t="s">
        <x:v>485</x:v>
      </x:c>
      <x:c r="G112" s="10"/>
      <x:c r="H112" s="10"/>
    </x:row>
    <x:row r="113" ht="51.95000076293945" customHeight="1">
      <x:c r="A113" s="12">
        <x:v>108</x:v>
      </x:c>
      <x:c r="B113" s="12" t="s">
        <x:v>548</x:v>
      </x:c>
      <x:c r="C113" s="12" t="s">
        <x:v>617</x:v>
      </x:c>
      <x:c r="D113" s="12" t="s">
        <x:v>550</x:v>
      </x:c>
      <x:c r="E113" s="12" t="s">
        <x:v>596</x:v>
      </x:c>
      <x:c r="F113" s="12" t="s">
        <x:v>485</x:v>
      </x:c>
      <x:c r="G113" s="10"/>
      <x:c r="H113" s="10"/>
    </x:row>
    <x:row r="114" ht="51.95000076293945" customHeight="1">
      <x:c r="A114" s="9">
        <x:v>109</x:v>
      </x:c>
      <x:c r="B114" s="9" t="s">
        <x:v>548</x:v>
      </x:c>
      <x:c r="C114" s="9" t="s">
        <x:v>618</x:v>
      </x:c>
      <x:c r="D114" s="9" t="s">
        <x:v>550</x:v>
      </x:c>
      <x:c r="E114" s="9" t="s">
        <x:v>591</x:v>
      </x:c>
      <x:c r="F114" s="9" t="s">
        <x:v>485</x:v>
      </x:c>
      <x:c r="G114" s="10"/>
      <x:c r="H114" s="10"/>
    </x:row>
    <x:row r="115" ht="51.95000076293945" customHeight="1">
      <x:c r="A115" s="12">
        <x:v>110</x:v>
      </x:c>
      <x:c r="B115" s="12" t="s">
        <x:v>548</x:v>
      </x:c>
      <x:c r="C115" s="12" t="s">
        <x:v>619</x:v>
      </x:c>
      <x:c r="D115" s="12" t="s">
        <x:v>550</x:v>
      </x:c>
      <x:c r="E115" s="12" t="s">
        <x:v>553</x:v>
      </x:c>
      <x:c r="F115" s="12" t="s">
        <x:v>485</x:v>
      </x:c>
      <x:c r="G115" s="10"/>
      <x:c r="H115" s="10"/>
    </x:row>
    <x:row r="116" ht="51.95000076293945" customHeight="1">
      <x:c r="A116" s="9">
        <x:v>111</x:v>
      </x:c>
      <x:c r="B116" s="9" t="s">
        <x:v>548</x:v>
      </x:c>
      <x:c r="C116" s="9" t="s">
        <x:v>620</x:v>
      </x:c>
      <x:c r="D116" s="9" t="s">
        <x:v>550</x:v>
      </x:c>
      <x:c r="E116" s="9" t="s">
        <x:v>575</x:v>
      </x:c>
      <x:c r="F116" s="9" t="s">
        <x:v>485</x:v>
      </x:c>
      <x:c r="G116" s="10"/>
      <x:c r="H116" s="10"/>
    </x:row>
    <x:row r="117" ht="51.95000076293945" customHeight="1">
      <x:c r="A117" s="12">
        <x:v>112</x:v>
      </x:c>
      <x:c r="B117" s="12" t="s">
        <x:v>548</x:v>
      </x:c>
      <x:c r="C117" s="12" t="s">
        <x:v>621</x:v>
      </x:c>
      <x:c r="D117" s="12" t="s">
        <x:v>550</x:v>
      </x:c>
      <x:c r="E117" s="12" t="s">
        <x:v>570</x:v>
      </x:c>
      <x:c r="F117" s="12" t="s">
        <x:v>485</x:v>
      </x:c>
      <x:c r="G117" s="10"/>
      <x:c r="H117" s="10"/>
    </x:row>
    <x:row r="118" ht="51.95000076293945" customHeight="1">
      <x:c r="A118" s="9">
        <x:v>113</x:v>
      </x:c>
      <x:c r="B118" s="9" t="s">
        <x:v>548</x:v>
      </x:c>
      <x:c r="C118" s="9" t="s">
        <x:v>622</x:v>
      </x:c>
      <x:c r="D118" s="9" t="s">
        <x:v>550</x:v>
      </x:c>
      <x:c r="E118" s="9" t="s">
        <x:v>615</x:v>
      </x:c>
      <x:c r="F118" s="9" t="s">
        <x:v>485</x:v>
      </x:c>
      <x:c r="G118" s="10"/>
      <x:c r="H118" s="10"/>
    </x:row>
    <x:row r="119" ht="51.95000076293945" customHeight="1">
      <x:c r="A119" s="12">
        <x:v>114</x:v>
      </x:c>
      <x:c r="B119" s="12" t="s">
        <x:v>548</x:v>
      </x:c>
      <x:c r="C119" s="12" t="s">
        <x:v>623</x:v>
      </x:c>
      <x:c r="D119" s="12" t="s">
        <x:v>550</x:v>
      </x:c>
      <x:c r="E119" s="12" t="s">
        <x:v>551</x:v>
      </x:c>
      <x:c r="F119" s="12" t="s">
        <x:v>485</x:v>
      </x:c>
      <x:c r="G119" s="10"/>
      <x:c r="H119" s="10"/>
    </x:row>
    <x:row r="120" ht="51.95000076293945" customHeight="1">
      <x:c r="A120" s="9">
        <x:v>115</x:v>
      </x:c>
      <x:c r="B120" s="9" t="s">
        <x:v>548</x:v>
      </x:c>
      <x:c r="C120" s="9" t="s">
        <x:v>624</x:v>
      </x:c>
      <x:c r="D120" s="9" t="s">
        <x:v>550</x:v>
      </x:c>
      <x:c r="E120" s="9" t="s">
        <x:v>551</x:v>
      </x:c>
      <x:c r="F120" s="9" t="s">
        <x:v>485</x:v>
      </x:c>
      <x:c r="G120" s="10"/>
      <x:c r="H120" s="10"/>
    </x:row>
    <x:row r="121" ht="51.95000076293945" customHeight="1">
      <x:c r="A121" s="12">
        <x:v>116</x:v>
      </x:c>
      <x:c r="B121" s="12" t="s">
        <x:v>548</x:v>
      </x:c>
      <x:c r="C121" s="12" t="s">
        <x:v>625</x:v>
      </x:c>
      <x:c r="D121" s="12" t="s">
        <x:v>550</x:v>
      </x:c>
      <x:c r="E121" s="12" t="s">
        <x:v>551</x:v>
      </x:c>
      <x:c r="F121" s="12" t="s">
        <x:v>485</x:v>
      </x:c>
      <x:c r="G121" s="10"/>
      <x:c r="H121" s="10"/>
    </x:row>
    <x:row r="122" ht="51.95000076293945" customHeight="1">
      <x:c r="A122" s="9">
        <x:v>117</x:v>
      </x:c>
      <x:c r="B122" s="9" t="s">
        <x:v>548</x:v>
      </x:c>
      <x:c r="C122" s="9" t="s">
        <x:v>626</x:v>
      </x:c>
      <x:c r="D122" s="9" t="s">
        <x:v>550</x:v>
      </x:c>
      <x:c r="E122" s="9" t="s">
        <x:v>551</x:v>
      </x:c>
      <x:c r="F122" s="9" t="s">
        <x:v>485</x:v>
      </x:c>
      <x:c r="G122" s="10"/>
      <x:c r="H122" s="10"/>
    </x:row>
    <x:row r="123" ht="51.95000076293945" customHeight="1">
      <x:c r="A123" s="12">
        <x:v>118</x:v>
      </x:c>
      <x:c r="B123" s="12" t="s">
        <x:v>548</x:v>
      </x:c>
      <x:c r="C123" s="12" t="s">
        <x:v>627</x:v>
      </x:c>
      <x:c r="D123" s="12" t="s">
        <x:v>550</x:v>
      </x:c>
      <x:c r="E123" s="12" t="s">
        <x:v>561</x:v>
      </x:c>
      <x:c r="F123" s="12" t="s">
        <x:v>485</x:v>
      </x:c>
      <x:c r="G123" s="10"/>
      <x:c r="H123" s="10"/>
    </x:row>
    <x:row r="124" ht="51.95000076293945" customHeight="1">
      <x:c r="A124" s="9">
        <x:v>119</x:v>
      </x:c>
      <x:c r="B124" s="9" t="s">
        <x:v>548</x:v>
      </x:c>
      <x:c r="C124" s="9" t="s">
        <x:v>628</x:v>
      </x:c>
      <x:c r="D124" s="9" t="s">
        <x:v>550</x:v>
      </x:c>
      <x:c r="E124" s="9" t="s">
        <x:v>563</x:v>
      </x:c>
      <x:c r="F124" s="9" t="s">
        <x:v>485</x:v>
      </x:c>
      <x:c r="G124" s="10"/>
      <x:c r="H124" s="10"/>
    </x:row>
    <x:row r="125" ht="15.75">
      <x:c r="A125" s="1"/>
      <x:c r="B125" s="1"/>
      <x:c r="C125" s="1"/>
      <x:c r="D125" s="1"/>
      <x:c r="E125" s="1"/>
      <x:c r="F125" s="1"/>
      <x:c r="G125" s="1"/>
      <x:c r="H12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6" activePane="bottomRight" state="frozen"/>
      <selection pane="topRight"/>
      <selection pane="bottomLeft"/>
      <selection pane="bottomRight" activeCell="D11" sqref="D11"/>
    </sheetView>
  </sheetViews>
  <x:sheetFormatPr defaultRowHeight="15"/>
  <x:cols>
    <x:col min="1" max="1" width="15.125" customWidth="1"/>
    <x:col min="2" max="2" width="12.375" customWidth="1"/>
    <x:col min="3" max="3" width="64.625" customWidth="1"/>
    <x:col min="4" max="4" width="34.875" customWidth="1"/>
    <x:col min="5" max="5" width="16.25" customWidth="1"/>
    <x:col min="6" max="6" width="31.625" customWidth="1"/>
    <x:col min="7" max="7" width="30.75" customWidth="1"/>
  </x:cols>
  <x:sheetData>
    <x:row r="1" ht="15.75">
      <x:c r="A1" s="1"/>
      <x:c r="B1" s="1"/>
      <x:c r="C1" s="1"/>
      <x:c r="D1" s="1"/>
      <x:c r="E1" s="1"/>
      <x:c r="F1" s="1"/>
      <x:c r="G1" s="1"/>
    </x:row>
    <x:row r="2" ht="33.95000076293945" customHeight="1">
      <x:c r="A2" s="2" t="s">
        <x:v>629</x:v>
      </x:c>
      <x:c r="B2" s="1"/>
      <x:c r="C2" s="1"/>
      <x:c r="D2" s="1"/>
      <x:c r="E2" s="1"/>
      <x:c r="F2" s="1"/>
      <x:c r="G2" s="1"/>
    </x:row>
    <x:row r="3" ht="27.950000762939453" customHeight="1">
      <x:c r="A3" s="1" t="s">
        <x:v>630</x:v>
      </x:c>
      <x:c r="B3" s="1"/>
      <x:c r="C3" s="1"/>
      <x:c r="D3" s="1"/>
      <x:c r="E3" s="1"/>
      <x:c r="F3" s="1"/>
      <x:c r="G3" s="1"/>
    </x:row>
    <x:row r="4" ht="15.75">
      <x:c r="A4" s="1"/>
      <x:c r="B4" s="1"/>
      <x:c r="C4" s="1"/>
      <x:c r="D4" s="1"/>
      <x:c r="E4" s="1"/>
      <x:c r="F4" s="1"/>
      <x:c r="G4" s="1"/>
    </x:row>
    <x:row r="5" ht="33.95000076293945" customHeight="1">
      <x:c r="A5" s="3" t="s">
        <x:v>631</x:v>
      </x:c>
      <x:c r="B5" s="3" t="s">
        <x:v>632</x:v>
      </x:c>
      <x:c r="C5" s="3" t="s">
        <x:v>633</x:v>
      </x:c>
      <x:c r="D5" s="3" t="s">
        <x:v>634</x:v>
      </x:c>
      <x:c r="E5" s="3" t="s">
        <x:v>635</x:v>
      </x:c>
      <x:c r="F5" s="3" t="s">
        <x:v>636</x:v>
      </x:c>
      <x:c r="G5" s="3" t="s">
        <x:v>637</x:v>
      </x:c>
    </x:row>
    <x:row r="6" s="13" customFormat="1" ht="41.25" customHeight="1">
      <x:c r="A6" s="9" t="s">
        <x:v>638</x:v>
      </x:c>
      <x:c r="B6" s="9">
        <x:v>4</x:v>
      </x:c>
      <x:c r="C6" s="9" t="s">
        <x:v>639</x:v>
      </x:c>
      <x:c r="D6" s="9" t="s">
        <x:v>640</x:v>
      </x:c>
      <x:c r="E6" s="9" t="s">
        <x:v>641</x:v>
      </x:c>
      <x:c r="F6" s="9" t="s">
        <x:v>642</x:v>
      </x:c>
      <x:c r="G6" s="10"/>
    </x:row>
    <x:row r="7" s="13" customFormat="1" ht="41.25" customHeight="1">
      <x:c r="A7" s="12" t="s">
        <x:v>643</x:v>
      </x:c>
      <x:c r="B7" s="12">
        <x:v>1</x:v>
      </x:c>
      <x:c r="C7" s="12" t="s">
        <x:v>644</x:v>
      </x:c>
      <x:c r="D7" s="12" t="s">
        <x:v>640</x:v>
      </x:c>
      <x:c r="E7" s="12" t="s">
        <x:v>641</x:v>
      </x:c>
      <x:c r="F7" s="12" t="s">
        <x:v>642</x:v>
      </x:c>
      <x:c r="G7" s="10"/>
    </x:row>
    <x:row r="8" s="13" customFormat="1" ht="41.25" customHeight="1">
      <x:c r="A8" s="9" t="s">
        <x:v>645</x:v>
      </x:c>
      <x:c r="B8" s="9">
        <x:v>1</x:v>
      </x:c>
      <x:c r="C8" s="9" t="s">
        <x:v>644</x:v>
      </x:c>
      <x:c r="D8" s="9" t="s">
        <x:v>640</x:v>
      </x:c>
      <x:c r="E8" s="9" t="s">
        <x:v>641</x:v>
      </x:c>
      <x:c r="F8" s="9" t="s">
        <x:v>642</x:v>
      </x:c>
      <x:c r="G8" s="10"/>
    </x:row>
    <x:row r="9" s="13" customFormat="1" ht="41.25" customHeight="1">
      <x:c r="A9" s="12" t="s">
        <x:v>646</x:v>
      </x:c>
      <x:c r="B9" s="12">
        <x:v>1</x:v>
      </x:c>
      <x:c r="C9" s="12" t="s">
        <x:v>644</x:v>
      </x:c>
      <x:c r="D9" s="12" t="s">
        <x:v>640</x:v>
      </x:c>
      <x:c r="E9" s="12" t="s">
        <x:v>641</x:v>
      </x:c>
      <x:c r="F9" s="12" t="s">
        <x:v>642</x:v>
      </x:c>
      <x:c r="G9" s="10"/>
    </x:row>
    <x:row r="10" s="13" customFormat="1" ht="41.25" customHeight="1">
      <x:c r="A10" s="9" t="s">
        <x:v>647</x:v>
      </x:c>
      <x:c r="B10" s="9">
        <x:v>1</x:v>
      </x:c>
      <x:c r="C10" s="9" t="s">
        <x:v>644</x:v>
      </x:c>
      <x:c r="D10" s="9" t="s">
        <x:v>640</x:v>
      </x:c>
      <x:c r="E10" s="9" t="s">
        <x:v>641</x:v>
      </x:c>
      <x:c r="F10" s="9" t="s">
        <x:v>642</x:v>
      </x:c>
      <x:c r="G10" s="10"/>
    </x:row>
    <x:row r="11" s="13" customFormat="1" ht="41.25" customHeight="1">
      <x:c r="A11" s="12" t="s">
        <x:v>648</x:v>
      </x:c>
      <x:c r="B11" s="12">
        <x:v>1</x:v>
      </x:c>
      <x:c r="C11" s="12" t="s">
        <x:v>644</x:v>
      </x:c>
      <x:c r="D11" s="12" t="s">
        <x:v>640</x:v>
      </x:c>
      <x:c r="E11" s="12" t="s">
        <x:v>641</x:v>
      </x:c>
      <x:c r="F11" s="12" t="s">
        <x:v>642</x:v>
      </x:c>
      <x:c r="G11" s="10"/>
    </x:row>
    <x:row r="12" s="13" customFormat="1" ht="41.25" customHeight="1">
      <x:c r="A12" s="9" t="s">
        <x:v>649</x:v>
      </x:c>
      <x:c r="B12" s="9">
        <x:v>1</x:v>
      </x:c>
      <x:c r="C12" s="9" t="s">
        <x:v>644</x:v>
      </x:c>
      <x:c r="D12" s="9" t="s">
        <x:v>640</x:v>
      </x:c>
      <x:c r="E12" s="9" t="s">
        <x:v>641</x:v>
      </x:c>
      <x:c r="F12" s="9" t="s">
        <x:v>642</x:v>
      </x:c>
      <x:c r="G12" s="10"/>
    </x:row>
    <x:row r="13" s="13" customFormat="1" ht="41.25" customHeight="1">
      <x:c r="A13" s="12" t="s">
        <x:v>650</x:v>
      </x:c>
      <x:c r="B13" s="12">
        <x:v>1</x:v>
      </x:c>
      <x:c r="C13" s="12" t="s">
        <x:v>644</x:v>
      </x:c>
      <x:c r="D13" s="12" t="s">
        <x:v>640</x:v>
      </x:c>
      <x:c r="E13" s="12" t="s">
        <x:v>641</x:v>
      </x:c>
      <x:c r="F13" s="12" t="s">
        <x:v>642</x:v>
      </x:c>
      <x:c r="G13" s="10"/>
    </x:row>
    <x:row r="14" s="13" customFormat="1" ht="41.25" customHeight="1">
      <x:c r="A14" s="9" t="s">
        <x:v>651</x:v>
      </x:c>
      <x:c r="B14" s="9">
        <x:v>1</x:v>
      </x:c>
      <x:c r="C14" s="9" t="s">
        <x:v>644</x:v>
      </x:c>
      <x:c r="D14" s="9" t="s">
        <x:v>640</x:v>
      </x:c>
      <x:c r="E14" s="9" t="s">
        <x:v>641</x:v>
      </x:c>
      <x:c r="F14" s="9" t="s">
        <x:v>642</x:v>
      </x:c>
      <x:c r="G14" s="10"/>
    </x:row>
    <x:row r="15" s="13" customFormat="1" ht="41.25" customHeight="1">
      <x:c r="A15" s="12" t="s">
        <x:v>652</x:v>
      </x:c>
      <x:c r="B15" s="12">
        <x:v>1</x:v>
      </x:c>
      <x:c r="C15" s="12" t="s">
        <x:v>644</x:v>
      </x:c>
      <x:c r="D15" s="12" t="s">
        <x:v>640</x:v>
      </x:c>
      <x:c r="E15" s="12" t="s">
        <x:v>641</x:v>
      </x:c>
      <x:c r="F15" s="12" t="s">
        <x:v>642</x:v>
      </x:c>
      <x:c r="G15" s="10"/>
    </x:row>
    <x:row r="16" s="13" customFormat="1" ht="41.25" customHeight="1">
      <x:c r="A16" s="9" t="s">
        <x:v>653</x:v>
      </x:c>
      <x:c r="B16" s="9">
        <x:v>1</x:v>
      </x:c>
      <x:c r="C16" s="9" t="s">
        <x:v>644</x:v>
      </x:c>
      <x:c r="D16" s="9" t="s">
        <x:v>640</x:v>
      </x:c>
      <x:c r="E16" s="9" t="s">
        <x:v>641</x:v>
      </x:c>
      <x:c r="F16" s="9" t="s">
        <x:v>642</x:v>
      </x:c>
      <x:c r="G16" s="10"/>
    </x:row>
    <x:row r="17" s="13" customFormat="1" ht="41.25" customHeight="1">
      <x:c r="A17" s="12" t="s">
        <x:v>654</x:v>
      </x:c>
      <x:c r="B17" s="12">
        <x:v>1</x:v>
      </x:c>
      <x:c r="C17" s="12" t="s">
        <x:v>644</x:v>
      </x:c>
      <x:c r="D17" s="12" t="s">
        <x:v>640</x:v>
      </x:c>
      <x:c r="E17" s="12" t="s">
        <x:v>641</x:v>
      </x:c>
      <x:c r="F17" s="12" t="s">
        <x:v>642</x:v>
      </x:c>
      <x:c r="G17" s="10"/>
    </x:row>
    <x:row r="18" s="13" customFormat="1" ht="41.25" customHeight="1">
      <x:c r="A18" s="9" t="s">
        <x:v>655</x:v>
      </x:c>
      <x:c r="B18" s="9">
        <x:v>2</x:v>
      </x:c>
      <x:c r="C18" s="9" t="s">
        <x:v>656</x:v>
      </x:c>
      <x:c r="D18" s="9" t="s">
        <x:v>640</x:v>
      </x:c>
      <x:c r="E18" s="9" t="s">
        <x:v>641</x:v>
      </x:c>
      <x:c r="F18" s="9" t="s">
        <x:v>642</x:v>
      </x:c>
      <x:c r="G18" s="10"/>
    </x:row>
    <x:row r="19" s="13" customFormat="1" ht="41.25" customHeight="1">
      <x:c r="A19" s="12" t="s">
        <x:v>657</x:v>
      </x:c>
      <x:c r="B19" s="12">
        <x:v>1</x:v>
      </x:c>
      <x:c r="C19" s="12" t="s">
        <x:v>644</x:v>
      </x:c>
      <x:c r="D19" s="12" t="s">
        <x:v>640</x:v>
      </x:c>
      <x:c r="E19" s="12" t="s">
        <x:v>641</x:v>
      </x:c>
      <x:c r="F19" s="12" t="s">
        <x:v>642</x:v>
      </x:c>
      <x:c r="G19" s="10"/>
    </x:row>
    <x:row r="20" s="13" customFormat="1" ht="41.25" customHeight="1">
      <x:c r="A20" s="9" t="s">
        <x:v>658</x:v>
      </x:c>
      <x:c r="B20" s="9">
        <x:v>1</x:v>
      </x:c>
      <x:c r="C20" s="9" t="s">
        <x:v>644</x:v>
      </x:c>
      <x:c r="D20" s="9" t="s">
        <x:v>640</x:v>
      </x:c>
      <x:c r="E20" s="9" t="s">
        <x:v>641</x:v>
      </x:c>
      <x:c r="F20" s="9" t="s">
        <x:v>642</x:v>
      </x:c>
      <x:c r="G20" s="10"/>
    </x:row>
    <x:row r="21" s="13" customFormat="1" ht="41.25" customHeight="1">
      <x:c r="A21" s="12" t="s">
        <x:v>659</x:v>
      </x:c>
      <x:c r="B21" s="12">
        <x:v>1</x:v>
      </x:c>
      <x:c r="C21" s="12" t="s">
        <x:v>644</x:v>
      </x:c>
      <x:c r="D21" s="12" t="s">
        <x:v>640</x:v>
      </x:c>
      <x:c r="E21" s="12" t="s">
        <x:v>641</x:v>
      </x:c>
      <x:c r="F21" s="12" t="s">
        <x:v>642</x:v>
      </x:c>
      <x:c r="G21" s="10"/>
    </x:row>
    <x:row r="22" s="13" customFormat="1" ht="41.25" customHeight="1">
      <x:c r="A22" s="9" t="s">
        <x:v>660</x:v>
      </x:c>
      <x:c r="B22" s="9">
        <x:v>2</x:v>
      </x:c>
      <x:c r="C22" s="9" t="s">
        <x:v>661</x:v>
      </x:c>
      <x:c r="D22" s="9" t="s">
        <x:v>662</x:v>
      </x:c>
      <x:c r="E22" s="9" t="s">
        <x:v>663</x:v>
      </x:c>
      <x:c r="F22" s="9" t="s">
        <x:v>642</x:v>
      </x:c>
      <x:c r="G22" s="10"/>
    </x:row>
    <x:row r="23" s="13" customFormat="1" ht="41.25" customHeight="1">
      <x:c r="A23" s="12" t="s">
        <x:v>664</x:v>
      </x:c>
      <x:c r="B23" s="12">
        <x:v>2</x:v>
      </x:c>
      <x:c r="C23" s="12" t="s">
        <x:v>661</x:v>
      </x:c>
      <x:c r="D23" s="12" t="s">
        <x:v>662</x:v>
      </x:c>
      <x:c r="E23" s="12" t="s">
        <x:v>663</x:v>
      </x:c>
      <x:c r="F23" s="12" t="s">
        <x:v>642</x:v>
      </x:c>
      <x:c r="G23" s="10"/>
    </x:row>
    <x:row r="24" s="13" customFormat="1" ht="41.25" customHeight="1">
      <x:c r="A24" s="9" t="s">
        <x:v>665</x:v>
      </x:c>
      <x:c r="B24" s="9">
        <x:v>2</x:v>
      </x:c>
      <x:c r="C24" s="9" t="s">
        <x:v>661</x:v>
      </x:c>
      <x:c r="D24" s="9" t="s">
        <x:v>662</x:v>
      </x:c>
      <x:c r="E24" s="9" t="s">
        <x:v>663</x:v>
      </x:c>
      <x:c r="F24" s="9" t="s">
        <x:v>642</x:v>
      </x:c>
      <x:c r="G24" s="10"/>
    </x:row>
    <x:row r="25" s="13" customFormat="1" ht="41.25" customHeight="1">
      <x:c r="A25" s="12" t="s">
        <x:v>666</x:v>
      </x:c>
      <x:c r="B25" s="12">
        <x:v>2</x:v>
      </x:c>
      <x:c r="C25" s="12" t="s">
        <x:v>661</x:v>
      </x:c>
      <x:c r="D25" s="12" t="s">
        <x:v>662</x:v>
      </x:c>
      <x:c r="E25" s="12" t="s">
        <x:v>663</x:v>
      </x:c>
      <x:c r="F25" s="12" t="s">
        <x:v>642</x:v>
      </x:c>
      <x:c r="G25" s="10"/>
    </x:row>
    <x:row r="26" s="13" customFormat="1" ht="41.25" customHeight="1">
      <x:c r="A26" s="9" t="s">
        <x:v>667</x:v>
      </x:c>
      <x:c r="B26" s="9">
        <x:v>1</x:v>
      </x:c>
      <x:c r="C26" s="9" t="s">
        <x:v>644</x:v>
      </x:c>
      <x:c r="D26" s="9" t="s">
        <x:v>640</x:v>
      </x:c>
      <x:c r="E26" s="9" t="s">
        <x:v>641</x:v>
      </x:c>
      <x:c r="F26" s="9" t="s">
        <x:v>642</x:v>
      </x:c>
      <x:c r="G26" s="10"/>
    </x:row>
    <x:row r="27" s="13" customFormat="1" ht="41.25" customHeight="1">
      <x:c r="A27" s="12" t="s">
        <x:v>668</x:v>
      </x:c>
      <x:c r="B27" s="12">
        <x:v>2</x:v>
      </x:c>
      <x:c r="C27" s="12" t="s">
        <x:v>669</x:v>
      </x:c>
      <x:c r="D27" s="12" t="s">
        <x:v>670</x:v>
      </x:c>
      <x:c r="E27" s="12" t="s">
        <x:v>663</x:v>
      </x:c>
      <x:c r="F27" s="12" t="s">
        <x:v>642</x:v>
      </x:c>
      <x:c r="G27" s="10"/>
    </x:row>
    <x:row r="28" s="13" customFormat="1" ht="41.25" customHeight="1">
      <x:c r="A28" s="9" t="s">
        <x:v>671</x:v>
      </x:c>
      <x:c r="B28" s="9">
        <x:v>1</x:v>
      </x:c>
      <x:c r="C28" s="9" t="s">
        <x:v>644</x:v>
      </x:c>
      <x:c r="D28" s="9" t="s">
        <x:v>640</x:v>
      </x:c>
      <x:c r="E28" s="9" t="s">
        <x:v>641</x:v>
      </x:c>
      <x:c r="F28" s="9" t="s">
        <x:v>642</x:v>
      </x:c>
      <x:c r="G28" s="10"/>
    </x:row>
    <x:row r="29" s="13" customFormat="1" ht="41.25" customHeight="1">
      <x:c r="A29" s="12" t="s">
        <x:v>672</x:v>
      </x:c>
      <x:c r="B29" s="12">
        <x:v>2</x:v>
      </x:c>
      <x:c r="C29" s="12" t="s">
        <x:v>673</x:v>
      </x:c>
      <x:c r="D29" s="12" t="s">
        <x:v>662</x:v>
      </x:c>
      <x:c r="E29" s="12" t="s">
        <x:v>663</x:v>
      </x:c>
      <x:c r="F29" s="12" t="s">
        <x:v>642</x:v>
      </x:c>
      <x:c r="G29" s="10"/>
    </x:row>
    <x:row r="30" s="13" customFormat="1" ht="41.25" customHeight="1">
      <x:c r="A30" s="9" t="s">
        <x:v>674</x:v>
      </x:c>
      <x:c r="B30" s="9">
        <x:v>2</x:v>
      </x:c>
      <x:c r="C30" s="9" t="s">
        <x:v>673</x:v>
      </x:c>
      <x:c r="D30" s="9" t="s">
        <x:v>662</x:v>
      </x:c>
      <x:c r="E30" s="9" t="s">
        <x:v>663</x:v>
      </x:c>
      <x:c r="F30" s="9" t="s">
        <x:v>642</x:v>
      </x:c>
      <x:c r="G30" s="10"/>
    </x:row>
    <x:row r="31" s="13" customFormat="1" ht="41.25" customHeight="1">
      <x:c r="A31" s="12" t="s">
        <x:v>675</x:v>
      </x:c>
      <x:c r="B31" s="12">
        <x:v>2</x:v>
      </x:c>
      <x:c r="C31" s="12" t="s">
        <x:v>673</x:v>
      </x:c>
      <x:c r="D31" s="12" t="s">
        <x:v>662</x:v>
      </x:c>
      <x:c r="E31" s="12" t="s">
        <x:v>663</x:v>
      </x:c>
      <x:c r="F31" s="12" t="s">
        <x:v>642</x:v>
      </x:c>
      <x:c r="G31" s="10"/>
    </x:row>
    <x:row r="32" s="13" customFormat="1" ht="41.25" customHeight="1">
      <x:c r="A32" s="9" t="s">
        <x:v>676</x:v>
      </x:c>
      <x:c r="B32" s="9">
        <x:v>1</x:v>
      </x:c>
      <x:c r="C32" s="9" t="s">
        <x:v>644</x:v>
      </x:c>
      <x:c r="D32" s="9" t="s">
        <x:v>640</x:v>
      </x:c>
      <x:c r="E32" s="9" t="s">
        <x:v>641</x:v>
      </x:c>
      <x:c r="F32" s="9" t="s">
        <x:v>642</x:v>
      </x:c>
      <x:c r="G32" s="10"/>
    </x:row>
    <x:row r="33" s="13" customFormat="1" ht="41.25" customHeight="1">
      <x:c r="A33" s="12" t="s">
        <x:v>677</x:v>
      </x:c>
      <x:c r="B33" s="12">
        <x:v>2</x:v>
      </x:c>
      <x:c r="C33" s="12" t="s">
        <x:v>678</x:v>
      </x:c>
      <x:c r="D33" s="12" t="s">
        <x:v>662</x:v>
      </x:c>
      <x:c r="E33" s="12" t="s">
        <x:v>663</x:v>
      </x:c>
      <x:c r="F33" s="12" t="s">
        <x:v>642</x:v>
      </x:c>
      <x:c r="G33" s="10"/>
    </x:row>
    <x:row r="34" s="13" customFormat="1" ht="41.25" customHeight="1">
      <x:c r="A34" s="9" t="s">
        <x:v>679</x:v>
      </x:c>
      <x:c r="B34" s="9">
        <x:v>2</x:v>
      </x:c>
      <x:c r="C34" s="9" t="s">
        <x:v>678</x:v>
      </x:c>
      <x:c r="D34" s="9" t="s">
        <x:v>662</x:v>
      </x:c>
      <x:c r="E34" s="9" t="s">
        <x:v>663</x:v>
      </x:c>
      <x:c r="F34" s="9" t="s">
        <x:v>642</x:v>
      </x:c>
      <x:c r="G34" s="10"/>
    </x:row>
    <x:row r="35" s="13" customFormat="1" ht="41.25" customHeight="1">
      <x:c r="A35" s="12" t="s">
        <x:v>680</x:v>
      </x:c>
      <x:c r="B35" s="12">
        <x:v>1</x:v>
      </x:c>
      <x:c r="C35" s="12" t="s">
        <x:v>681</x:v>
      </x:c>
      <x:c r="D35" s="12" t="s">
        <x:v>682</x:v>
      </x:c>
      <x:c r="E35" s="12" t="s">
        <x:v>663</x:v>
      </x:c>
      <x:c r="F35" s="12" t="s">
        <x:v>642</x:v>
      </x:c>
      <x:c r="G35" s="10"/>
    </x:row>
    <x:row r="36" s="13" customFormat="1" ht="41.25" customHeight="1">
      <x:c r="A36" s="9" t="s">
        <x:v>683</x:v>
      </x:c>
      <x:c r="B36" s="9">
        <x:v>3</x:v>
      </x:c>
      <x:c r="C36" s="9" t="s">
        <x:v>684</x:v>
      </x:c>
      <x:c r="D36" s="9" t="s">
        <x:v>682</x:v>
      </x:c>
      <x:c r="E36" s="9" t="s">
        <x:v>663</x:v>
      </x:c>
      <x:c r="F36" s="9" t="s">
        <x:v>642</x:v>
      </x:c>
      <x:c r="G36" s="10"/>
    </x:row>
    <x:row r="37" s="13" customFormat="1" ht="41.25" customHeight="1">
      <x:c r="A37" s="12" t="s">
        <x:v>685</x:v>
      </x:c>
      <x:c r="B37" s="12">
        <x:v>3</x:v>
      </x:c>
      <x:c r="C37" s="12" t="s">
        <x:v>684</x:v>
      </x:c>
      <x:c r="D37" s="12" t="s">
        <x:v>682</x:v>
      </x:c>
      <x:c r="E37" s="12" t="s">
        <x:v>663</x:v>
      </x:c>
      <x:c r="F37" s="12" t="s">
        <x:v>642</x:v>
      </x:c>
      <x:c r="G37" s="10"/>
    </x:row>
    <x:row r="38" s="13" customFormat="1" ht="41.25" customHeight="1">
      <x:c r="A38" s="9" t="s">
        <x:v>686</x:v>
      </x:c>
      <x:c r="B38" s="9">
        <x:v>2</x:v>
      </x:c>
      <x:c r="C38" s="9" t="s">
        <x:v>687</x:v>
      </x:c>
      <x:c r="D38" s="9" t="s">
        <x:v>682</x:v>
      </x:c>
      <x:c r="E38" s="9" t="s">
        <x:v>663</x:v>
      </x:c>
      <x:c r="F38" s="9" t="s">
        <x:v>642</x:v>
      </x:c>
      <x:c r="G38" s="10"/>
    </x:row>
    <x:row r="39" s="13" customFormat="1" ht="41.25" customHeight="1">
      <x:c r="A39" s="12" t="s">
        <x:v>688</x:v>
      </x:c>
      <x:c r="B39" s="12">
        <x:v>2</x:v>
      </x:c>
      <x:c r="C39" s="12" t="s">
        <x:v>689</x:v>
      </x:c>
      <x:c r="D39" s="12" t="s">
        <x:v>682</x:v>
      </x:c>
      <x:c r="E39" s="12" t="s">
        <x:v>663</x:v>
      </x:c>
      <x:c r="F39" s="12" t="s">
        <x:v>642</x:v>
      </x:c>
      <x:c r="G39" s="10"/>
    </x:row>
    <x:row r="40" s="13" customFormat="1" ht="41.25" customHeight="1">
      <x:c r="A40" s="9" t="s">
        <x:v>690</x:v>
      </x:c>
      <x:c r="B40" s="9">
        <x:v>2</x:v>
      </x:c>
      <x:c r="C40" s="9" t="s">
        <x:v>691</x:v>
      </x:c>
      <x:c r="D40" s="9" t="s">
        <x:v>692</x:v>
      </x:c>
      <x:c r="E40" s="9" t="s">
        <x:v>663</x:v>
      </x:c>
      <x:c r="F40" s="9" t="s">
        <x:v>642</x:v>
      </x:c>
      <x:c r="G40" s="10"/>
    </x:row>
    <x:row r="41" s="13" customFormat="1" ht="41.25" customHeight="1">
      <x:c r="A41" s="12" t="s">
        <x:v>693</x:v>
      </x:c>
      <x:c r="B41" s="12">
        <x:v>2</x:v>
      </x:c>
      <x:c r="C41" s="12" t="s">
        <x:v>691</x:v>
      </x:c>
      <x:c r="D41" s="12" t="s">
        <x:v>694</x:v>
      </x:c>
      <x:c r="E41" s="12" t="s">
        <x:v>663</x:v>
      </x:c>
      <x:c r="F41" s="12" t="s">
        <x:v>642</x:v>
      </x:c>
      <x:c r="G41" s="10"/>
    </x:row>
    <x:row r="42" s="13" customFormat="1" ht="41.25" customHeight="1">
      <x:c r="A42" s="9" t="s">
        <x:v>695</x:v>
      </x:c>
      <x:c r="B42" s="9">
        <x:v>2</x:v>
      </x:c>
      <x:c r="C42" s="9" t="s">
        <x:v>696</x:v>
      </x:c>
      <x:c r="D42" s="9" t="s">
        <x:v>697</x:v>
      </x:c>
      <x:c r="E42" s="9" t="s">
        <x:v>663</x:v>
      </x:c>
      <x:c r="F42" s="9" t="s">
        <x:v>642</x:v>
      </x:c>
      <x:c r="G42" s="10"/>
    </x:row>
    <x:row r="43" s="13" customFormat="1" ht="41.25" customHeight="1">
      <x:c r="A43" s="12" t="s">
        <x:v>698</x:v>
      </x:c>
      <x:c r="B43" s="12">
        <x:v>2</x:v>
      </x:c>
      <x:c r="C43" s="12" t="s">
        <x:v>696</x:v>
      </x:c>
      <x:c r="D43" s="12" t="s">
        <x:v>697</x:v>
      </x:c>
      <x:c r="E43" s="12" t="s">
        <x:v>663</x:v>
      </x:c>
      <x:c r="F43" s="12" t="s">
        <x:v>642</x:v>
      </x:c>
      <x:c r="G43" s="10"/>
    </x:row>
    <x:row r="44" s="13" customFormat="1" ht="41.25" customHeight="1">
      <x:c r="A44" s="9" t="s">
        <x:v>699</x:v>
      </x:c>
      <x:c r="B44" s="9">
        <x:v>2</x:v>
      </x:c>
      <x:c r="C44" s="9" t="s">
        <x:v>696</x:v>
      </x:c>
      <x:c r="D44" s="9" t="s">
        <x:v>697</x:v>
      </x:c>
      <x:c r="E44" s="9" t="s">
        <x:v>663</x:v>
      </x:c>
      <x:c r="F44" s="9" t="s">
        <x:v>642</x:v>
      </x:c>
      <x:c r="G44" s="10"/>
    </x:row>
    <x:row r="45" s="13" customFormat="1" ht="41.25" customHeight="1">
      <x:c r="A45" s="12" t="s">
        <x:v>700</x:v>
      </x:c>
      <x:c r="B45" s="12">
        <x:v>2</x:v>
      </x:c>
      <x:c r="C45" s="12" t="s">
        <x:v>701</x:v>
      </x:c>
      <x:c r="D45" s="12" t="s">
        <x:v>702</x:v>
      </x:c>
      <x:c r="E45" s="12" t="s">
        <x:v>663</x:v>
      </x:c>
      <x:c r="F45" s="12" t="s">
        <x:v>642</x:v>
      </x:c>
      <x:c r="G45" s="10"/>
    </x:row>
    <x:row r="46" s="13" customFormat="1" ht="41.25" customHeight="1">
      <x:c r="A46" s="9" t="s">
        <x:v>703</x:v>
      </x:c>
      <x:c r="B46" s="9">
        <x:v>2</x:v>
      </x:c>
      <x:c r="C46" s="9" t="s">
        <x:v>704</x:v>
      </x:c>
      <x:c r="D46" s="9" t="s">
        <x:v>705</x:v>
      </x:c>
      <x:c r="E46" s="9" t="s">
        <x:v>663</x:v>
      </x:c>
      <x:c r="F46" s="9" t="s">
        <x:v>642</x:v>
      </x:c>
      <x:c r="G46" s="10"/>
    </x:row>
    <x:row r="47" s="13" customFormat="1" ht="41.25" customHeight="1">
      <x:c r="A47" s="12" t="s">
        <x:v>706</x:v>
      </x:c>
      <x:c r="B47" s="12">
        <x:v>2</x:v>
      </x:c>
      <x:c r="C47" s="12" t="s">
        <x:v>701</x:v>
      </x:c>
      <x:c r="D47" s="12" t="s">
        <x:v>707</x:v>
      </x:c>
      <x:c r="E47" s="12" t="s">
        <x:v>663</x:v>
      </x:c>
      <x:c r="F47" s="12" t="s">
        <x:v>642</x:v>
      </x:c>
      <x:c r="G47" s="10"/>
    </x:row>
    <x:row r="48" s="13" customFormat="1" ht="41.25" customHeight="1">
      <x:c r="A48" s="9" t="s">
        <x:v>708</x:v>
      </x:c>
      <x:c r="B48" s="9">
        <x:v>2</x:v>
      </x:c>
      <x:c r="C48" s="9" t="s">
        <x:v>701</x:v>
      </x:c>
      <x:c r="D48" s="9" t="s">
        <x:v>707</x:v>
      </x:c>
      <x:c r="E48" s="9" t="s">
        <x:v>663</x:v>
      </x:c>
      <x:c r="F48" s="9" t="s">
        <x:v>642</x:v>
      </x:c>
      <x:c r="G48" s="10"/>
    </x:row>
    <x:row r="49" s="13" customFormat="1" ht="41.25" customHeight="1">
      <x:c r="A49" s="12" t="s">
        <x:v>709</x:v>
      </x:c>
      <x:c r="B49" s="12">
        <x:v>2</x:v>
      </x:c>
      <x:c r="C49" s="12" t="s">
        <x:v>701</x:v>
      </x:c>
      <x:c r="D49" s="12" t="s">
        <x:v>710</x:v>
      </x:c>
      <x:c r="E49" s="12" t="s">
        <x:v>663</x:v>
      </x:c>
      <x:c r="F49" s="12" t="s">
        <x:v>642</x:v>
      </x:c>
      <x:c r="G49" s="10"/>
    </x:row>
    <x:row r="50" s="13" customFormat="1" ht="41.25" customHeight="1">
      <x:c r="A50" s="9" t="s">
        <x:v>711</x:v>
      </x:c>
      <x:c r="B50" s="9">
        <x:v>2</x:v>
      </x:c>
      <x:c r="C50" s="9" t="s">
        <x:v>701</x:v>
      </x:c>
      <x:c r="D50" s="9" t="s">
        <x:v>710</x:v>
      </x:c>
      <x:c r="E50" s="9" t="s">
        <x:v>663</x:v>
      </x:c>
      <x:c r="F50" s="9" t="s">
        <x:v>642</x:v>
      </x:c>
      <x:c r="G50" s="10"/>
    </x:row>
    <x:row r="51" s="13" customFormat="1" ht="41.25" customHeight="1">
      <x:c r="A51" s="12" t="s">
        <x:v>712</x:v>
      </x:c>
      <x:c r="B51" s="12">
        <x:v>2</x:v>
      </x:c>
      <x:c r="C51" s="12" t="s">
        <x:v>713</x:v>
      </x:c>
      <x:c r="D51" s="12" t="s">
        <x:v>714</x:v>
      </x:c>
      <x:c r="E51" s="12" t="s">
        <x:v>663</x:v>
      </x:c>
      <x:c r="F51" s="12" t="s">
        <x:v>642</x:v>
      </x:c>
      <x:c r="G51" s="10"/>
    </x:row>
    <x:row r="52" s="13" customFormat="1" ht="41.25" customHeight="1">
      <x:c r="A52" s="9" t="s">
        <x:v>715</x:v>
      </x:c>
      <x:c r="B52" s="9">
        <x:v>2</x:v>
      </x:c>
      <x:c r="C52" s="9" t="s">
        <x:v>713</x:v>
      </x:c>
      <x:c r="D52" s="9" t="s">
        <x:v>716</x:v>
      </x:c>
      <x:c r="E52" s="9" t="s">
        <x:v>663</x:v>
      </x:c>
      <x:c r="F52" s="9" t="s">
        <x:v>642</x:v>
      </x:c>
      <x:c r="G52" s="10"/>
    </x:row>
    <x:row r="53" s="13" customFormat="1" ht="41.25" customHeight="1">
      <x:c r="A53" s="12" t="s">
        <x:v>717</x:v>
      </x:c>
      <x:c r="B53" s="12">
        <x:v>2</x:v>
      </x:c>
      <x:c r="C53" s="12" t="s">
        <x:v>713</x:v>
      </x:c>
      <x:c r="D53" s="12" t="s">
        <x:v>718</x:v>
      </x:c>
      <x:c r="E53" s="12" t="s">
        <x:v>663</x:v>
      </x:c>
      <x:c r="F53" s="12" t="s">
        <x:v>642</x:v>
      </x:c>
      <x:c r="G53" s="10"/>
    </x:row>
    <x:row r="54" s="13" customFormat="1" ht="41.25" customHeight="1">
      <x:c r="A54" s="9" t="s">
        <x:v>719</x:v>
      </x:c>
      <x:c r="B54" s="9">
        <x:v>2</x:v>
      </x:c>
      <x:c r="C54" s="9" t="s">
        <x:v>713</x:v>
      </x:c>
      <x:c r="D54" s="9" t="s">
        <x:v>718</x:v>
      </x:c>
      <x:c r="E54" s="9" t="s">
        <x:v>663</x:v>
      </x:c>
      <x:c r="F54" s="9" t="s">
        <x:v>642</x:v>
      </x:c>
      <x:c r="G54" s="10"/>
    </x:row>
    <x:row r="55" s="13" customFormat="1" ht="41.25" customHeight="1">
      <x:c r="A55" s="12" t="s">
        <x:v>720</x:v>
      </x:c>
      <x:c r="B55" s="12">
        <x:v>2</x:v>
      </x:c>
      <x:c r="C55" s="12" t="s">
        <x:v>713</x:v>
      </x:c>
      <x:c r="D55" s="12" t="s">
        <x:v>718</x:v>
      </x:c>
      <x:c r="E55" s="12" t="s">
        <x:v>663</x:v>
      </x:c>
      <x:c r="F55" s="12" t="s">
        <x:v>642</x:v>
      </x:c>
      <x:c r="G55" s="10"/>
    </x:row>
    <x:row r="56" s="13" customFormat="1" ht="41.25" customHeight="1">
      <x:c r="A56" s="9" t="s">
        <x:v>721</x:v>
      </x:c>
      <x:c r="B56" s="9">
        <x:v>2</x:v>
      </x:c>
      <x:c r="C56" s="9" t="s">
        <x:v>713</x:v>
      </x:c>
      <x:c r="D56" s="9" t="s">
        <x:v>718</x:v>
      </x:c>
      <x:c r="E56" s="9" t="s">
        <x:v>663</x:v>
      </x:c>
      <x:c r="F56" s="9" t="s">
        <x:v>642</x:v>
      </x:c>
      <x:c r="G56" s="10"/>
    </x:row>
    <x:row r="57" s="13" customFormat="1" ht="41.25" customHeight="1">
      <x:c r="A57" s="12" t="s">
        <x:v>722</x:v>
      </x:c>
      <x:c r="B57" s="12">
        <x:v>2</x:v>
      </x:c>
      <x:c r="C57" s="12" t="s">
        <x:v>723</x:v>
      </x:c>
      <x:c r="D57" s="12" t="s">
        <x:v>724</x:v>
      </x:c>
      <x:c r="E57" s="12" t="s">
        <x:v>663</x:v>
      </x:c>
      <x:c r="F57" s="12" t="s">
        <x:v>642</x:v>
      </x:c>
      <x:c r="G57" s="10"/>
    </x:row>
    <x:row r="58" s="13" customFormat="1" ht="41.25" customHeight="1">
      <x:c r="A58" s="9" t="s">
        <x:v>725</x:v>
      </x:c>
      <x:c r="B58" s="9">
        <x:v>2</x:v>
      </x:c>
      <x:c r="C58" s="9" t="s">
        <x:v>723</x:v>
      </x:c>
      <x:c r="D58" s="9" t="s">
        <x:v>724</x:v>
      </x:c>
      <x:c r="E58" s="9" t="s">
        <x:v>663</x:v>
      </x:c>
      <x:c r="F58" s="9" t="s">
        <x:v>642</x:v>
      </x:c>
      <x:c r="G58" s="10"/>
    </x:row>
    <x:row r="59" s="13" customFormat="1" ht="41.25" customHeight="1">
      <x:c r="A59" s="12" t="s">
        <x:v>726</x:v>
      </x:c>
      <x:c r="B59" s="12">
        <x:v>2</x:v>
      </x:c>
      <x:c r="C59" s="12" t="s">
        <x:v>727</x:v>
      </x:c>
      <x:c r="D59" s="12" t="s">
        <x:v>724</x:v>
      </x:c>
      <x:c r="E59" s="12" t="s">
        <x:v>663</x:v>
      </x:c>
      <x:c r="F59" s="12" t="s">
        <x:v>642</x:v>
      </x:c>
      <x:c r="G59" s="10"/>
    </x:row>
    <x:row r="60" s="13" customFormat="1" ht="41.25" customHeight="1">
      <x:c r="A60" s="9" t="s">
        <x:v>728</x:v>
      </x:c>
      <x:c r="B60" s="9">
        <x:v>2</x:v>
      </x:c>
      <x:c r="C60" s="9" t="s">
        <x:v>727</x:v>
      </x:c>
      <x:c r="D60" s="9" t="s">
        <x:v>724</x:v>
      </x:c>
      <x:c r="E60" s="9" t="s">
        <x:v>663</x:v>
      </x:c>
      <x:c r="F60" s="9" t="s">
        <x:v>642</x:v>
      </x:c>
      <x:c r="G60" s="10"/>
    </x:row>
    <x:row r="61" s="13" customFormat="1" ht="41.25" customHeight="1">
      <x:c r="A61" s="12" t="s">
        <x:v>729</x:v>
      </x:c>
      <x:c r="B61" s="12">
        <x:v>1</x:v>
      </x:c>
      <x:c r="C61" s="12" t="s">
        <x:v>644</x:v>
      </x:c>
      <x:c r="D61" s="12" t="s">
        <x:v>640</x:v>
      </x:c>
      <x:c r="E61" s="12" t="s">
        <x:v>641</x:v>
      </x:c>
      <x:c r="F61" s="12" t="s">
        <x:v>642</x:v>
      </x:c>
      <x:c r="G61" s="10"/>
    </x:row>
    <x:row r="62" s="13" customFormat="1" ht="41.25" customHeight="1">
      <x:c r="A62" s="9" t="s">
        <x:v>730</x:v>
      </x:c>
      <x:c r="B62" s="9">
        <x:v>2</x:v>
      </x:c>
      <x:c r="C62" s="9" t="s">
        <x:v>727</x:v>
      </x:c>
      <x:c r="D62" s="9" t="s">
        <x:v>731</x:v>
      </x:c>
      <x:c r="E62" s="9" t="s">
        <x:v>663</x:v>
      </x:c>
      <x:c r="F62" s="9" t="s">
        <x:v>642</x:v>
      </x:c>
      <x:c r="G62" s="10"/>
    </x:row>
    <x:row r="63" s="13" customFormat="1" ht="41.25" customHeight="1">
      <x:c r="A63" s="12" t="s">
        <x:v>732</x:v>
      </x:c>
      <x:c r="B63" s="12">
        <x:v>2</x:v>
      </x:c>
      <x:c r="C63" s="12" t="s">
        <x:v>727</x:v>
      </x:c>
      <x:c r="D63" s="12" t="s">
        <x:v>731</x:v>
      </x:c>
      <x:c r="E63" s="12" t="s">
        <x:v>663</x:v>
      </x:c>
      <x:c r="F63" s="12" t="s">
        <x:v>642</x:v>
      </x:c>
      <x:c r="G63" s="10"/>
    </x:row>
    <x:row r="64" s="13" customFormat="1" ht="41.25" customHeight="1">
      <x:c r="A64" s="9" t="s">
        <x:v>733</x:v>
      </x:c>
      <x:c r="B64" s="9">
        <x:v>2</x:v>
      </x:c>
      <x:c r="C64" s="9" t="s">
        <x:v>727</x:v>
      </x:c>
      <x:c r="D64" s="9" t="s">
        <x:v>731</x:v>
      </x:c>
      <x:c r="E64" s="9" t="s">
        <x:v>663</x:v>
      </x:c>
      <x:c r="F64" s="9" t="s">
        <x:v>642</x:v>
      </x:c>
      <x:c r="G64" s="10"/>
    </x:row>
    <x:row r="65" s="13" customFormat="1" ht="41.25" customHeight="1">
      <x:c r="A65" s="12" t="s">
        <x:v>734</x:v>
      </x:c>
      <x:c r="B65" s="12">
        <x:v>2</x:v>
      </x:c>
      <x:c r="C65" s="12" t="s">
        <x:v>735</x:v>
      </x:c>
      <x:c r="D65" s="12" t="s">
        <x:v>731</x:v>
      </x:c>
      <x:c r="E65" s="12" t="s">
        <x:v>663</x:v>
      </x:c>
      <x:c r="F65" s="12" t="s">
        <x:v>642</x:v>
      </x:c>
      <x:c r="G65" s="10"/>
    </x:row>
    <x:row r="66" s="13" customFormat="1" ht="41.25" customHeight="1">
      <x:c r="A66" s="9" t="s">
        <x:v>736</x:v>
      </x:c>
      <x:c r="B66" s="9">
        <x:v>2</x:v>
      </x:c>
      <x:c r="C66" s="9" t="s">
        <x:v>737</x:v>
      </x:c>
      <x:c r="D66" s="9" t="s">
        <x:v>738</x:v>
      </x:c>
      <x:c r="E66" s="9" t="s">
        <x:v>663</x:v>
      </x:c>
      <x:c r="F66" s="9" t="s">
        <x:v>642</x:v>
      </x:c>
      <x:c r="G66" s="10"/>
    </x:row>
    <x:row r="67" s="13" customFormat="1" ht="41.25" customHeight="1">
      <x:c r="A67" s="12" t="s">
        <x:v>739</x:v>
      </x:c>
      <x:c r="B67" s="12">
        <x:v>2</x:v>
      </x:c>
      <x:c r="C67" s="12" t="s">
        <x:v>740</x:v>
      </x:c>
      <x:c r="D67" s="12" t="s">
        <x:v>738</x:v>
      </x:c>
      <x:c r="E67" s="12" t="s">
        <x:v>663</x:v>
      </x:c>
      <x:c r="F67" s="12" t="s">
        <x:v>642</x:v>
      </x:c>
      <x:c r="G67" s="10"/>
    </x:row>
    <x:row r="68" s="13" customFormat="1" ht="41.25" customHeight="1">
      <x:c r="A68" s="9" t="s">
        <x:v>741</x:v>
      </x:c>
      <x:c r="B68" s="9">
        <x:v>2</x:v>
      </x:c>
      <x:c r="C68" s="9" t="s">
        <x:v>740</x:v>
      </x:c>
      <x:c r="D68" s="9" t="s">
        <x:v>738</x:v>
      </x:c>
      <x:c r="E68" s="9" t="s">
        <x:v>663</x:v>
      </x:c>
      <x:c r="F68" s="9" t="s">
        <x:v>642</x:v>
      </x:c>
      <x:c r="G68" s="10"/>
    </x:row>
    <x:row r="69" s="13" customFormat="1" ht="41.25" customHeight="1">
      <x:c r="A69" s="12" t="s">
        <x:v>742</x:v>
      </x:c>
      <x:c r="B69" s="12">
        <x:v>2</x:v>
      </x:c>
      <x:c r="C69" s="12" t="s">
        <x:v>743</x:v>
      </x:c>
      <x:c r="D69" s="12" t="s">
        <x:v>744</x:v>
      </x:c>
      <x:c r="E69" s="12" t="s">
        <x:v>663</x:v>
      </x:c>
      <x:c r="F69" s="12" t="s">
        <x:v>642</x:v>
      </x:c>
      <x:c r="G69" s="10"/>
    </x:row>
    <x:row r="70" s="13" customFormat="1" ht="41.25" customHeight="1">
      <x:c r="A70" s="9" t="s">
        <x:v>745</x:v>
      </x:c>
      <x:c r="B70" s="9">
        <x:v>2</x:v>
      </x:c>
      <x:c r="C70" s="9" t="s">
        <x:v>727</x:v>
      </x:c>
      <x:c r="D70" s="9" t="s">
        <x:v>746</x:v>
      </x:c>
      <x:c r="E70" s="9" t="s">
        <x:v>663</x:v>
      </x:c>
      <x:c r="F70" s="9" t="s">
        <x:v>642</x:v>
      </x:c>
      <x:c r="G70" s="10"/>
    </x:row>
    <x:row r="71" s="13" customFormat="1" ht="41.25" customHeight="1">
      <x:c r="A71" s="12" t="s">
        <x:v>747</x:v>
      </x:c>
      <x:c r="B71" s="12">
        <x:v>2</x:v>
      </x:c>
      <x:c r="C71" s="12" t="s">
        <x:v>727</x:v>
      </x:c>
      <x:c r="D71" s="12" t="s">
        <x:v>746</x:v>
      </x:c>
      <x:c r="E71" s="12" t="s">
        <x:v>663</x:v>
      </x:c>
      <x:c r="F71" s="12" t="s">
        <x:v>642</x:v>
      </x:c>
      <x:c r="G71" s="10"/>
    </x:row>
    <x:row r="72" s="13" customFormat="1" ht="41.25" customHeight="1">
      <x:c r="A72" s="9" t="s">
        <x:v>748</x:v>
      </x:c>
      <x:c r="B72" s="9">
        <x:v>2</x:v>
      </x:c>
      <x:c r="C72" s="9" t="s">
        <x:v>727</x:v>
      </x:c>
      <x:c r="D72" s="9" t="s">
        <x:v>746</x:v>
      </x:c>
      <x:c r="E72" s="9" t="s">
        <x:v>663</x:v>
      </x:c>
      <x:c r="F72" s="9" t="s">
        <x:v>642</x:v>
      </x:c>
      <x:c r="G72" s="10"/>
    </x:row>
    <x:row r="73" s="13" customFormat="1" ht="41.25" customHeight="1">
      <x:c r="A73" s="12" t="s">
        <x:v>749</x:v>
      </x:c>
      <x:c r="B73" s="12">
        <x:v>2</x:v>
      </x:c>
      <x:c r="C73" s="12" t="s">
        <x:v>750</x:v>
      </x:c>
      <x:c r="D73" s="12" t="s">
        <x:v>746</x:v>
      </x:c>
      <x:c r="E73" s="12" t="s">
        <x:v>663</x:v>
      </x:c>
      <x:c r="F73" s="12" t="s">
        <x:v>642</x:v>
      </x:c>
      <x:c r="G73" s="10"/>
    </x:row>
    <x:row r="74" s="13" customFormat="1" ht="41.25" customHeight="1">
      <x:c r="A74" s="9" t="s">
        <x:v>751</x:v>
      </x:c>
      <x:c r="B74" s="9">
        <x:v>2</x:v>
      </x:c>
      <x:c r="C74" s="9" t="s">
        <x:v>750</x:v>
      </x:c>
      <x:c r="D74" s="9" t="s">
        <x:v>746</x:v>
      </x:c>
      <x:c r="E74" s="9" t="s">
        <x:v>663</x:v>
      </x:c>
      <x:c r="F74" s="9" t="s">
        <x:v>642</x:v>
      </x:c>
      <x:c r="G74" s="10"/>
    </x:row>
    <x:row r="75" s="13" customFormat="1" ht="41.25" customHeight="1">
      <x:c r="A75" s="12" t="s">
        <x:v>752</x:v>
      </x:c>
      <x:c r="B75" s="12">
        <x:v>2</x:v>
      </x:c>
      <x:c r="C75" s="12" t="s">
        <x:v>678</x:v>
      </x:c>
      <x:c r="D75" s="12" t="s">
        <x:v>753</x:v>
      </x:c>
      <x:c r="E75" s="12" t="s">
        <x:v>663</x:v>
      </x:c>
      <x:c r="F75" s="12" t="s">
        <x:v>642</x:v>
      </x:c>
      <x:c r="G75" s="10"/>
    </x:row>
    <x:row r="76" s="13" customFormat="1" ht="41.25" customHeight="1">
      <x:c r="A76" s="9" t="s">
        <x:v>754</x:v>
      </x:c>
      <x:c r="B76" s="9">
        <x:v>2</x:v>
      </x:c>
      <x:c r="C76" s="9" t="s">
        <x:v>678</x:v>
      </x:c>
      <x:c r="D76" s="9" t="s">
        <x:v>755</x:v>
      </x:c>
      <x:c r="E76" s="9" t="s">
        <x:v>663</x:v>
      </x:c>
      <x:c r="F76" s="9" t="s">
        <x:v>642</x:v>
      </x:c>
      <x:c r="G76" s="10"/>
    </x:row>
    <x:row r="77" s="13" customFormat="1" ht="41.25" customHeight="1">
      <x:c r="A77" s="12" t="s">
        <x:v>756</x:v>
      </x:c>
      <x:c r="B77" s="12">
        <x:v>2</x:v>
      </x:c>
      <x:c r="C77" s="12" t="s">
        <x:v>678</x:v>
      </x:c>
      <x:c r="D77" s="12" t="s">
        <x:v>755</x:v>
      </x:c>
      <x:c r="E77" s="12" t="s">
        <x:v>663</x:v>
      </x:c>
      <x:c r="F77" s="12" t="s">
        <x:v>642</x:v>
      </x:c>
      <x:c r="G77" s="10"/>
    </x:row>
    <x:row r="78" s="13" customFormat="1" ht="41.25" customHeight="1">
      <x:c r="A78" s="9" t="s">
        <x:v>757</x:v>
      </x:c>
      <x:c r="B78" s="9">
        <x:v>2</x:v>
      </x:c>
      <x:c r="C78" s="9" t="s">
        <x:v>678</x:v>
      </x:c>
      <x:c r="D78" s="9" t="s">
        <x:v>755</x:v>
      </x:c>
      <x:c r="E78" s="9" t="s">
        <x:v>663</x:v>
      </x:c>
      <x:c r="F78" s="9" t="s">
        <x:v>642</x:v>
      </x:c>
      <x:c r="G78" s="10"/>
    </x:row>
    <x:row r="79" s="13" customFormat="1" ht="41.25" customHeight="1">
      <x:c r="A79" s="12" t="s">
        <x:v>758</x:v>
      </x:c>
      <x:c r="B79" s="12">
        <x:v>2</x:v>
      </x:c>
      <x:c r="C79" s="12" t="s">
        <x:v>678</x:v>
      </x:c>
      <x:c r="D79" s="12" t="s">
        <x:v>755</x:v>
      </x:c>
      <x:c r="E79" s="12" t="s">
        <x:v>663</x:v>
      </x:c>
      <x:c r="F79" s="12" t="s">
        <x:v>642</x:v>
      </x:c>
      <x:c r="G79" s="10"/>
    </x:row>
    <x:row r="80" s="13" customFormat="1" ht="41.25" customHeight="1">
      <x:c r="A80" s="9" t="s">
        <x:v>759</x:v>
      </x:c>
      <x:c r="B80" s="9">
        <x:v>2</x:v>
      </x:c>
      <x:c r="C80" s="9" t="s">
        <x:v>678</x:v>
      </x:c>
      <x:c r="D80" s="9" t="s">
        <x:v>755</x:v>
      </x:c>
      <x:c r="E80" s="9" t="s">
        <x:v>663</x:v>
      </x:c>
      <x:c r="F80" s="9" t="s">
        <x:v>642</x:v>
      </x:c>
      <x:c r="G80" s="10"/>
    </x:row>
    <x:row r="81" s="13" customFormat="1" ht="41.25" customHeight="1">
      <x:c r="A81" s="12" t="s">
        <x:v>760</x:v>
      </x:c>
      <x:c r="B81" s="12">
        <x:v>1</x:v>
      </x:c>
      <x:c r="C81" s="12" t="s">
        <x:v>681</x:v>
      </x:c>
      <x:c r="D81" s="12" t="s">
        <x:v>761</x:v>
      </x:c>
      <x:c r="E81" s="12" t="s">
        <x:v>663</x:v>
      </x:c>
      <x:c r="F81" s="12" t="s">
        <x:v>642</x:v>
      </x:c>
      <x:c r="G81" s="10"/>
    </x:row>
    <x:row r="82" s="13" customFormat="1" ht="41.25" customHeight="1">
      <x:c r="A82" s="9" t="s">
        <x:v>762</x:v>
      </x:c>
      <x:c r="B82" s="9">
        <x:v>1</x:v>
      </x:c>
      <x:c r="C82" s="9" t="s">
        <x:v>681</x:v>
      </x:c>
      <x:c r="D82" s="9" t="s">
        <x:v>763</x:v>
      </x:c>
      <x:c r="E82" s="9" t="s">
        <x:v>663</x:v>
      </x:c>
      <x:c r="F82" s="9" t="s">
        <x:v>642</x:v>
      </x:c>
      <x:c r="G82" s="10"/>
    </x:row>
    <x:row r="83" s="13" customFormat="1" ht="41.25" customHeight="1">
      <x:c r="A83" s="12" t="s">
        <x:v>764</x:v>
      </x:c>
      <x:c r="B83" s="12">
        <x:v>1</x:v>
      </x:c>
      <x:c r="C83" s="12" t="s">
        <x:v>644</x:v>
      </x:c>
      <x:c r="D83" s="12" t="s">
        <x:v>765</x:v>
      </x:c>
      <x:c r="E83" s="12" t="s">
        <x:v>663</x:v>
      </x:c>
      <x:c r="F83" s="12" t="s">
        <x:v>642</x:v>
      </x:c>
      <x:c r="G83" s="10"/>
    </x:row>
    <x:row r="84" s="13" customFormat="1" ht="41.25" customHeight="1">
      <x:c r="A84" s="9" t="s">
        <x:v>766</x:v>
      </x:c>
      <x:c r="B84" s="9">
        <x:v>1</x:v>
      </x:c>
      <x:c r="C84" s="9" t="s">
        <x:v>644</x:v>
      </x:c>
      <x:c r="D84" s="9" t="s">
        <x:v>767</x:v>
      </x:c>
      <x:c r="E84" s="9" t="s">
        <x:v>663</x:v>
      </x:c>
      <x:c r="F84" s="9" t="s">
        <x:v>642</x:v>
      </x:c>
      <x:c r="G84" s="10"/>
    </x:row>
    <x:row r="85" ht="15.75">
      <x:c r="A85" s="1"/>
      <x:c r="B85" s="1"/>
      <x:c r="C85" s="1"/>
      <x:c r="D85" s="1"/>
      <x:c r="E85" s="1"/>
      <x:c r="F85" s="1"/>
      <x:c r="G85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sheetViews xmlns="http://schemas.openxmlformats.org/spreadsheetml/2006/main">
    <sheetView showGridLines="0" workbookViewId="0">
      <pane xSplit="2" ySplit="5" topLeftCell="C6" activePane="bottomRight" state="frozen"/>
      <selection pane="topRight"/>
      <selection pane="bottomLeft"/>
      <selection pane="bottomRight" activeCell="E11" sqref="E11"/>
    </sheetView>
  </sheetViews>
  <x:sheetFormatPr defaultRowHeight="15"/>
  <x:cols>
    <x:col min="1" max="1" width="32" customWidth="1"/>
    <x:col min="2" max="2" width="37.375" customWidth="1"/>
    <x:col min="3" max="3" width="32.125" customWidth="1"/>
  </x:cols>
  <x:sheetData>
    <x:row r="1" ht="15.75">
      <x:c r="A1" s="1"/>
      <x:c r="B1" s="1"/>
      <x:c r="C1" s="1"/>
    </x:row>
    <x:row r="2" ht="33.95000076293945" customHeight="1">
      <x:c r="A2" s="2" t="s">
        <x:v>768</x:v>
      </x:c>
      <x:c r="B2" s="1"/>
      <x:c r="C2" s="1"/>
    </x:row>
    <x:row r="3" ht="27.950000762939453" customHeight="1">
      <x:c r="A3" s="1" t="s">
        <x:v>769</x:v>
      </x:c>
      <x:c r="B3" s="1"/>
      <x:c r="C3" s="1"/>
    </x:row>
    <x:row r="4" ht="15.75">
      <x:c r="A4" s="1"/>
      <x:c r="B4" s="1"/>
      <x:c r="C4" s="1"/>
    </x:row>
    <x:row r="5" ht="33.95000076293945" customHeight="1">
      <x:c r="A5" s="4" t="s">
        <x:v>770</x:v>
      </x:c>
      <x:c r="B5" s="4" t="s">
        <x:v>771</x:v>
      </x:c>
      <x:c r="C5" s="4" t="s">
        <x:v>772</x:v>
      </x:c>
    </x:row>
    <x:row r="6" ht="30.75" customHeight="1">
      <x:c r="A6" s="9" t="s">
        <x:v>773</x:v>
      </x:c>
      <x:c r="B6" s="16">
        <x:v>450000</x:v>
      </x:c>
      <x:c r="C6" s="9" t="s">
        <x:v>774</x:v>
      </x:c>
    </x:row>
    <x:row r="7" ht="30.75" customHeight="1">
      <x:c r="A7" s="12" t="s">
        <x:v>775</x:v>
      </x:c>
      <x:c r="B7" s="17">
        <x:v>2250000</x:v>
      </x:c>
      <x:c r="C7" s="12" t="s">
        <x:v>774</x:v>
      </x:c>
    </x:row>
    <x:row r="8" ht="30.75" customHeight="1">
      <x:c r="A8" s="9" t="s">
        <x:v>776</x:v>
      </x:c>
      <x:c r="B8" s="16">
        <x:v>200000</x:v>
      </x:c>
      <x:c r="C8" s="9" t="s">
        <x:v>774</x:v>
      </x:c>
    </x:row>
    <x:row r="9" ht="30.75" customHeight="1">
      <x:c r="A9" s="12" t="s">
        <x:v>777</x:v>
      </x:c>
      <x:c r="B9" s="17">
        <x:v>190000</x:v>
      </x:c>
      <x:c r="C9" s="12" t="s">
        <x:v>774</x:v>
      </x:c>
    </x:row>
    <x:row r="10" ht="30.75" customHeight="1">
      <x:c r="A10" s="9" t="s">
        <x:v>778</x:v>
      </x:c>
      <x:c r="B10" s="16">
        <x:v>-190000</x:v>
      </x:c>
      <x:c r="C10" s="9" t="s">
        <x:v>779</x:v>
      </x:c>
    </x:row>
    <x:row r="11" ht="30.75" customHeight="1">
      <x:c r="A11" s="12" t="s">
        <x:v>780</x:v>
      </x:c>
      <x:c r="B11" s="17" t="n">
        <x:f>SUM(B6:B10)</x:f>
        <x:v>2900000</x:v>
      </x:c>
      <x:c r="C11" s="12" t="s">
        <x:v>781</x:v>
      </x:c>
    </x:row>
    <x:row r="12" ht="30.75" customHeight="1">
      <x:c r="A12" s="9" t="s">
        <x:v>782</x:v>
      </x:c>
      <x:c r="B12" s="16" t="n">
        <x:f>ROUND(B11*10%,0)</x:f>
        <x:v>290000</x:v>
      </x:c>
      <x:c r="C12" s="9" t="s">
        <x:v>783</x:v>
      </x:c>
    </x:row>
    <x:row r="13" ht="30.75" customHeight="1">
      <x:c r="A13" s="12" t="s">
        <x:v>784</x:v>
      </x:c>
      <x:c r="B13" s="17" t="n">
        <x:f>SUM(B11:B12)</x:f>
        <x:v>3190000</x:v>
      </x:c>
      <x:c r="C13" s="12" t="s">
        <x:v>785</x:v>
      </x:c>
    </x:row>
    <x:row r="14" ht="30.75" customHeight="1">
      <x:c r="A14" s="9" t="s">
        <x:v>786</x:v>
      </x:c>
      <x:c r="B14" s="18"/>
      <x:c r="C14" s="9" t="s">
        <x:v>787</x:v>
      </x:c>
    </x:row>
    <x:row r="15" ht="30.75" customHeight="1">
      <x:c r="A15" s="12" t="s">
        <x:v>788</x:v>
      </x:c>
      <x:c r="B15" s="18"/>
      <x:c r="C15" s="12" t="s">
        <x:v>789</x:v>
      </x:c>
    </x:row>
    <x:row r="16" ht="30.75" customHeight="1">
      <x:c r="A16" s="9" t="s">
        <x:v>790</x:v>
      </x:c>
      <x:c r="B16" s="11"/>
      <x:c r="C16" s="9" t="s">
        <x:v>791</x:v>
      </x:c>
    </x:row>
    <x:row r="17" ht="30.75" customHeight="1">
      <x:c r="A17" s="12" t="s">
        <x:v>792</x:v>
      </x:c>
      <x:c r="B17" s="19" t="str">
        <x:f>IF(B16="","",B16-7)</x:f>
      </x:c>
      <x:c r="C17" s="12" t="s">
        <x:v>793</x:v>
      </x:c>
    </x:row>
    <x:row r="18" ht="30.75" customHeight="1">
      <x:c r="A18" s="9" t="s">
        <x:v>794</x:v>
      </x:c>
      <x:c r="B18" s="11"/>
      <x:c r="C18" s="9" t="s">
        <x:v>795</x:v>
      </x:c>
    </x:row>
    <x:row r="19" ht="30.75" customHeight="1">
      <x:c r="A19" s="12" t="s">
        <x:v>796</x:v>
      </x:c>
      <x:c r="B19" s="10"/>
      <x:c r="C19" s="12" t="s">
        <x:v>797</x:v>
      </x:c>
    </x:row>
    <x:row r="20" ht="30.75" customHeight="1">
      <x:c r="A20" s="9" t="s">
        <x:v>798</x:v>
      </x:c>
      <x:c r="B20" s="9" t="str">
        <x:f>IF(B16="","심사일 미확정",IF(B18="","실제 지급일 미확인",IF(B18&lt;=B17,"기한 내 지급","지급기한 초과")))</x:f>
        <x:v>심사일 미확정</x:v>
      </x:c>
      <x:c r="C20" s="9" t="s">
        <x:v>799</x:v>
      </x:c>
    </x:row>
    <x:row r="21" ht="15.75">
      <x:c r="A21" s="1"/>
      <x:c r="B21" s="1"/>
      <x:c r="C21" s="1"/>
    </x:row>
    <x:row r="22" ht="54" customHeight="1">
      <x:c r="A22" s="9" t="str">
        <x:v>사용자 지급목표</x:v>
      </x:c>
      <x:c r="B22" s="24" t="n">
        <x:f>IF(ISNUMBER('01_사용자정리'!N9),'01_사용자정리'!N9,"")</x:f>
        <x:v>46332</x:v>
      </x:c>
      <x:c r="C22" s="9" t="str">
        <x:v>01 U04 계획일. 심사 시작일을 역산하거나 확정하지 않습니다.</x:v>
      </x:c>
    </x:row>
    <x:row r="23" ht="54" customHeight="1">
      <x:c r="A23" s="12" t="str">
        <x:v>지급목표 대조</x:v>
      </x:c>
      <x:c r="B23" s="19" t="str">
        <x:f>IF(NOT(ISNUMBER(B16)),"심사일 미확정",IF(NOT(ISNUMBER(B22)),"지급목표 미입력",IF(B22&lt;=B17,"지급목표 기한 내","지급목표 조정 필요")))</x:f>
        <x:v>심사일 미확정</x:v>
      </x:c>
      <x:c r="C23" s="12" t="str">
        <x:v>일정통보서 확보 후 심사 시작일 B16 입력</x:v>
      </x:c>
    </x:row>
    <x:row r="24" ht="54" customHeight="1">
      <x:c r="A24" s="9" t="str">
        <x:v>지급 근거 등록</x:v>
      </x:c>
      <x:c r="B24" s="11" t="str">
        <x:f>IF('01_사용자정리'!I9="","지급 증빙 미등록",'01_사용자정리'!I9)</x:f>
        <x:v>지급 증빙 미등록</x:v>
      </x:c>
      <x:c r="C24" s="9" t="str">
        <x:v>01 U04 증빙 경로에서 연결</x:v>
      </x:c>
    </x:row>
    <x:row r="25" ht="54" customHeight="1">
      <x:c r="A25" s="12" t="str">
        <x:v>일정 집중 확인</x:v>
      </x:c>
      <x:c r="B25" s="10" t="str">
        <x:v>11/6 증빙·모의심사·시정·제출 목표 집중</x:v>
      </x:c>
      <x:c r="C25" s="12" t="str">
        <x:v>실제 심사일 확정 후 선후행 작업과 시정 여유일을 재조정</x:v>
      </x:c>
    </x:row>
  </x:sheetData>
  <x:pageMargins left="0.7" right="0.7" top="0.75" bottom="0.75" header="0.3" footer="0.3"/>
</x:worksheet>
</file>