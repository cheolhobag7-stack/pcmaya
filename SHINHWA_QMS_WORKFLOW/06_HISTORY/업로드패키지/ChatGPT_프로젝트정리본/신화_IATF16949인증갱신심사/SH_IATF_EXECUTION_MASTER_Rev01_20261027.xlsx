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신화_IATF16949인증갱신심사\"/>
    </mc:Choice>
  </mc:AlternateContent>
  <xr:revisionPtr revIDLastSave="0" documentId="13_ncr:1_{0C56FF9C-660A-419F-9FC7-A86A9A14434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00_최종안내" sheetId="1" r:id="rId1"/>
    <sheet name="01_사용자정리" sheetId="2" r:id="rId2"/>
    <sheet name="02_운영증빙" sheetId="3" r:id="rId3"/>
    <sheet name="03_모의심사" sheetId="4" r:id="rId4"/>
    <sheet name="04_요청기록" sheetId="5" r:id="rId5"/>
    <sheet name="05_시정조치" sheetId="6" r:id="rId6"/>
    <sheet name="06_최종판정" sheetId="7" r:id="rId7"/>
    <sheet name="07_변경내역" sheetId="8" r:id="rId8"/>
    <sheet name="08_제출목록" sheetId="9" r:id="rId9"/>
    <sheet name="09_FM연결확인" sheetId="10" r:id="rId10"/>
    <sheet name="10_비용일정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1" l="1"/>
  <c r="B17" i="11"/>
  <c r="B11" i="11"/>
  <c r="B12" i="11" s="1"/>
  <c r="B13" i="11" s="1"/>
  <c r="Q20" i="6"/>
  <c r="P20" i="6"/>
  <c r="Q19" i="6"/>
  <c r="P19" i="6"/>
  <c r="Q18" i="6"/>
  <c r="P18" i="6"/>
  <c r="Q17" i="6"/>
  <c r="P17" i="6"/>
  <c r="Q16" i="6"/>
  <c r="P16" i="6"/>
  <c r="Q15" i="6"/>
  <c r="P15" i="6"/>
  <c r="Q14" i="6"/>
  <c r="P14" i="6"/>
  <c r="Q13" i="6"/>
  <c r="P13" i="6"/>
  <c r="Q12" i="6"/>
  <c r="P12" i="6"/>
  <c r="Q11" i="6"/>
  <c r="P11" i="6"/>
  <c r="Q10" i="6"/>
  <c r="P10" i="6"/>
  <c r="Q9" i="6"/>
  <c r="P9" i="6"/>
  <c r="Q8" i="6"/>
  <c r="P8" i="6"/>
  <c r="Q7" i="6"/>
  <c r="P7" i="6"/>
  <c r="Q6" i="6"/>
  <c r="P6" i="6"/>
  <c r="C9" i="7" s="1"/>
  <c r="D9" i="7" s="1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C8" i="7" s="1"/>
  <c r="D8" i="7" s="1"/>
  <c r="N25" i="3"/>
  <c r="M25" i="4" s="1"/>
  <c r="N24" i="3"/>
  <c r="M23" i="4" s="1"/>
  <c r="N23" i="3"/>
  <c r="P23" i="3" s="1"/>
  <c r="N22" i="3"/>
  <c r="M19" i="4" s="1"/>
  <c r="N21" i="3"/>
  <c r="M18" i="4" s="1"/>
  <c r="N20" i="3"/>
  <c r="M17" i="4" s="1"/>
  <c r="N19" i="3"/>
  <c r="P19" i="3" s="1"/>
  <c r="N18" i="3"/>
  <c r="M22" i="4" s="1"/>
  <c r="N17" i="3"/>
  <c r="M11" i="4" s="1"/>
  <c r="N16" i="3"/>
  <c r="M10" i="4" s="1"/>
  <c r="N15" i="3"/>
  <c r="P15" i="3" s="1"/>
  <c r="N14" i="3"/>
  <c r="P14" i="3" s="1"/>
  <c r="N13" i="3"/>
  <c r="M15" i="4" s="1"/>
  <c r="N12" i="3"/>
  <c r="M14" i="4" s="1"/>
  <c r="N11" i="3"/>
  <c r="P11" i="3" s="1"/>
  <c r="N10" i="3"/>
  <c r="P10" i="3" s="1"/>
  <c r="N9" i="3"/>
  <c r="P9" i="3" s="1"/>
  <c r="N8" i="3"/>
  <c r="P8" i="3" s="1"/>
  <c r="N7" i="3"/>
  <c r="P7" i="3" s="1"/>
  <c r="N6" i="3"/>
  <c r="M6" i="4" s="1"/>
  <c r="O19" i="2"/>
  <c r="M19" i="2"/>
  <c r="O18" i="2"/>
  <c r="M18" i="2"/>
  <c r="O17" i="2"/>
  <c r="M17" i="2"/>
  <c r="P17" i="2" s="1"/>
  <c r="P16" i="2"/>
  <c r="O16" i="2"/>
  <c r="M16" i="2"/>
  <c r="O15" i="2"/>
  <c r="M15" i="2"/>
  <c r="O14" i="2"/>
  <c r="M14" i="2"/>
  <c r="O13" i="2"/>
  <c r="M13" i="2"/>
  <c r="O12" i="2"/>
  <c r="M12" i="2"/>
  <c r="O11" i="2"/>
  <c r="M11" i="2"/>
  <c r="P11" i="2" s="1"/>
  <c r="O10" i="2"/>
  <c r="M10" i="2"/>
  <c r="O9" i="2"/>
  <c r="M9" i="2"/>
  <c r="O8" i="2"/>
  <c r="M8" i="2"/>
  <c r="P8" i="2" s="1"/>
  <c r="O7" i="2"/>
  <c r="M7" i="2"/>
  <c r="O6" i="2"/>
  <c r="M6" i="2"/>
  <c r="M7" i="4" s="1"/>
  <c r="B19" i="1"/>
  <c r="B29" i="1" l="1"/>
  <c r="B17" i="1"/>
  <c r="P14" i="2"/>
  <c r="P18" i="2"/>
  <c r="P15" i="2"/>
  <c r="P19" i="2"/>
  <c r="P13" i="2"/>
  <c r="B28" i="1"/>
  <c r="P10" i="2"/>
  <c r="P9" i="2"/>
  <c r="P12" i="2"/>
  <c r="P12" i="3"/>
  <c r="P16" i="3"/>
  <c r="P20" i="3"/>
  <c r="P24" i="3"/>
  <c r="M8" i="4"/>
  <c r="C10" i="7" s="1"/>
  <c r="M12" i="4"/>
  <c r="M16" i="4"/>
  <c r="M20" i="4"/>
  <c r="M24" i="4"/>
  <c r="C6" i="7"/>
  <c r="P6" i="2"/>
  <c r="P13" i="3"/>
  <c r="P17" i="3"/>
  <c r="P21" i="3"/>
  <c r="P25" i="3"/>
  <c r="M9" i="4"/>
  <c r="M13" i="4"/>
  <c r="M21" i="4"/>
  <c r="C7" i="7"/>
  <c r="D7" i="7" s="1"/>
  <c r="B18" i="1"/>
  <c r="P6" i="3"/>
  <c r="P18" i="3"/>
  <c r="P22" i="3"/>
  <c r="P7" i="2"/>
  <c r="D10" i="7" l="1"/>
  <c r="D6" i="7"/>
</calcChain>
</file>

<file path=xl/sharedStrings.xml><?xml version="1.0" encoding="utf-8"?>
<sst xmlns="http://schemas.openxmlformats.org/spreadsheetml/2006/main" count="1681" uniqueCount="808">
  <si>
    <t>구분</t>
  </si>
  <si>
    <t>준비한 내용</t>
  </si>
  <si>
    <t>사용자가 확인할 내용</t>
  </si>
  <si>
    <t>자료 준비 범위</t>
  </si>
  <si>
    <t>1~2단계 대조를 반영하고 3단계 수정본·4단계 대응자료·5단계 최종점검 묶음 작성 완료</t>
  </si>
  <si>
    <t>실제 심사준비 완료는 운영기록·결재·현장검증 후 판정</t>
  </si>
  <si>
    <t>먼저 할 일</t>
  </si>
  <si>
    <t>01_사용자정리 U01~U06 일정·인증서·기안·지급·담당자 확인</t>
  </si>
  <si>
    <t>실제 개인 담당자·근거 경로·확인일·확인자를 노란색 칸에 입력</t>
  </si>
  <si>
    <t>그다음 할 일</t>
  </si>
  <si>
    <t>U07~U11 변경문서 검토·기준 확정·실제 기록·직전 지적·CSR 정리</t>
  </si>
  <si>
    <t>수정본 4개는 변경내용 승인대기. 원본 승인정보는 과거 이력으로 보존</t>
  </si>
  <si>
    <t>마지막 할 일</t>
  </si>
  <si>
    <t>U12~U14 모의심사 실시·시정조치·승인본 배포·제출 판정</t>
  </si>
  <si>
    <t>미실시·미확인 결과는 완료로 집계하지 않음</t>
  </si>
  <si>
    <t>문서 수정</t>
  </si>
  <si>
    <t>통합본·QP002·FM122·FM101~121에 확인된 불일치를 반영</t>
  </si>
  <si>
    <t>07_변경내역에서 변경파일·남은 승인 확인</t>
  </si>
  <si>
    <t>심사 대응</t>
  </si>
  <si>
    <t>20개 운영증빙 영역 / 모의심사 질문 20개 / 요청기록 / 시정조치 관리</t>
  </si>
  <si>
    <t>실제 결과·서명·일자·승인은 사용자 확인 후 입력</t>
  </si>
  <si>
    <t>기존 문서</t>
  </si>
  <si>
    <t>원본 전체 ZIP을 03_Reference_Original에 보존</t>
  </si>
  <si>
    <t>변경 승인 후 해당 4개만 대체. 관련 PDF는 승인된 편집본에서 재출력</t>
  </si>
  <si>
    <t>인증심사 비용</t>
  </si>
  <si>
    <t>사후심사 청구 총액 3,190,000원(VAT 포함)</t>
  </si>
  <si>
    <t>숙박비·이체수수료 별도. 지급기한은 심사 시작일 7일 전</t>
  </si>
  <si>
    <t>실제 준비상태</t>
  </si>
  <si>
    <t>확인 완료</t>
  </si>
  <si>
    <t>전체</t>
  </si>
  <si>
    <t>사용자 정리항목</t>
  </si>
  <si>
    <t>운영증빙 영역</t>
  </si>
  <si>
    <t>모의심사 항목</t>
  </si>
  <si>
    <t>자료 작성은 완료했습니다. 실제 증빙을 확인하기 전의 준비상태는 미확인으로 유지합니다.</t>
  </si>
  <si>
    <t>사용자가 직접 정리할 항목</t>
  </si>
  <si>
    <t>ID</t>
  </si>
  <si>
    <t>우선순위</t>
  </si>
  <si>
    <t>직접 정리할 일</t>
  </si>
  <si>
    <t>주관·문서상 담당</t>
  </si>
  <si>
    <t>완료기준</t>
  </si>
  <si>
    <t>준비할 증빙</t>
  </si>
  <si>
    <t>목표 시점</t>
  </si>
  <si>
    <t>실제 담당자</t>
  </si>
  <si>
    <t>증빙 경로</t>
  </si>
  <si>
    <t>확인일</t>
  </si>
  <si>
    <t>입력 상태</t>
  </si>
  <si>
    <t>확인자</t>
  </si>
  <si>
    <t>최종 상태</t>
  </si>
  <si>
    <t>U01</t>
  </si>
  <si>
    <t>최우선</t>
  </si>
  <si>
    <t>심사일정통보서·심사계획 확보</t>
  </si>
  <si>
    <t>이광재 부장 / 인증기관</t>
  </si>
  <si>
    <t>심사 시작·종료일, 심사원, 교대별 일정 확인</t>
  </si>
  <si>
    <t>일정통보서·계획서</t>
  </si>
  <si>
    <t>지급기한 확정 전</t>
  </si>
  <si>
    <t>미확인</t>
  </si>
  <si>
    <t>U02</t>
  </si>
  <si>
    <t>기존 인증서·계약·범위 확인</t>
  </si>
  <si>
    <t>품질 / 이광재 부장</t>
  </si>
  <si>
    <t>인증번호·유효기간·사업장·지원기능·사후심사 계약 대조</t>
  </si>
  <si>
    <t>인증서·계약·기관 접수회신</t>
  </si>
  <si>
    <t>심사계획 확정 전</t>
  </si>
  <si>
    <t>U03</t>
  </si>
  <si>
    <t>기안 채번·부서·기안자·결재</t>
  </si>
  <si>
    <t>기안 담당 / 사내 승인권자</t>
  </si>
  <si>
    <t>실제 채번 및 작성·검토·승인 이력 확인</t>
  </si>
  <si>
    <t>기안번호대장·결재 완료본</t>
  </si>
  <si>
    <t>비용 지급 전</t>
  </si>
  <si>
    <t>U04</t>
  </si>
  <si>
    <t>청구금액 319만원 지급 증빙</t>
  </si>
  <si>
    <t>회계 담당</t>
  </si>
  <si>
    <t>세금계산서·실제 지급일·송금증·전표 대조</t>
  </si>
  <si>
    <t>세금계산서·지급전표·송금확인</t>
  </si>
  <si>
    <t>심사 시작일 7일 전</t>
  </si>
  <si>
    <t>U05</t>
  </si>
  <si>
    <t>우선</t>
  </si>
  <si>
    <t>숙박비·이체수수료 확정</t>
  </si>
  <si>
    <t>총무 / 회계</t>
  </si>
  <si>
    <t>숙박 필요·박수·견적과 이체수수료 확인 후 추가예산 반영</t>
  </si>
  <si>
    <t>숙박견적·추가예산 승인</t>
  </si>
  <si>
    <t>추가 비용 집행 전</t>
  </si>
  <si>
    <t>U06</t>
  </si>
  <si>
    <t>책임자·대체자·부서 담당 확정</t>
  </si>
  <si>
    <t>경영지원 / 김주태 이사</t>
  </si>
  <si>
    <t>문서상 품질 김주태·생산 김흥수·양산품질 이광재를 현행 임명장·조직도와 대조</t>
  </si>
  <si>
    <t>현행 조직도·임명·업무분장</t>
  </si>
  <si>
    <t>변경문서 승인 전</t>
  </si>
  <si>
    <t>U07</t>
  </si>
  <si>
    <t>검토수정본 4개 검토·결재</t>
  </si>
  <si>
    <t>문서관리 / 김주태 이사 / 승인권자</t>
  </si>
  <si>
    <t>통합본·QP002·FM122·FM101~121 변경내역 검토. 실제 승인·시행일 기록</t>
  </si>
  <si>
    <t>변경문서 결재·등록 근거</t>
  </si>
  <si>
    <t>현장 배포 전</t>
  </si>
  <si>
    <t>U08</t>
  </si>
  <si>
    <t>양식별 담당·보존기준 확정</t>
  </si>
  <si>
    <t>각 부서 / 품질</t>
  </si>
  <si>
    <t>FM122 02 작성계획 H·I·J열 입력. 고객·법규의 기록별 특정기간 대조</t>
  </si>
  <si>
    <t>작성계획·보존기간표·고객 근거</t>
  </si>
  <si>
    <t>실제 양식 운영 전</t>
  </si>
  <si>
    <t>U09</t>
  </si>
  <si>
    <t>측정·검사·공급자 평가기준 입력</t>
  </si>
  <si>
    <t>개발 / 품질 / 구매</t>
  </si>
  <si>
    <t>해당 품번 도면·CP·고객요구에 따른 항목·규격·샘플링·평가기준 확정</t>
  </si>
  <si>
    <t>승인 도면·CP·평가기준</t>
  </si>
  <si>
    <t>검사·평가 실시 전</t>
  </si>
  <si>
    <t>U10</t>
  </si>
  <si>
    <t>실제 운영증빙 20개 영역 확보</t>
  </si>
  <si>
    <t>각 부서 / 품질 취합</t>
  </si>
  <si>
    <t>02_운영증빙에 원본 경로·대상기간·기록번호·확인자 입력</t>
  </si>
  <si>
    <t>실제 원본 및 승인 이력</t>
  </si>
  <si>
    <t>모의심사 전</t>
  </si>
  <si>
    <t>U11</t>
  </si>
  <si>
    <t>직전 심사 지적·고객 CSR 확인</t>
  </si>
  <si>
    <t>품질 / 영업</t>
  </si>
  <si>
    <t>직전 NC 종결회신·재발방지, 고객 최신요구·특별상태 대조</t>
  </si>
  <si>
    <t>외부심사 보고서·종결·CSR 원본</t>
  </si>
  <si>
    <t>U12</t>
  </si>
  <si>
    <t>모의심사·LOT 정역추적 실행</t>
  </si>
  <si>
    <t>품질 / 생산 / 자재</t>
  </si>
  <si>
    <t>03_모의심사 20항목 실시. 대표 LOT 정·역추적과 실제 소요시간 확인</t>
  </si>
  <si>
    <t>실시기록·표본 LOT·실측 결과</t>
  </si>
  <si>
    <t>본심사 전</t>
  </si>
  <si>
    <t>U13</t>
  </si>
  <si>
    <t>발견사항 시정·효과검증</t>
  </si>
  <si>
    <t>해당 부서 / 품질</t>
  </si>
  <si>
    <t>05_시정조치에 봉쇄·원인·조치·효과·종결 기록</t>
  </si>
  <si>
    <t>조치 전후 원본·효과 검증</t>
  </si>
  <si>
    <t>합의 완료기한 내</t>
  </si>
  <si>
    <t>U14</t>
  </si>
  <si>
    <t>최종</t>
  </si>
  <si>
    <t>승인본 배포·구본회수·제출</t>
  </si>
  <si>
    <t>문서관리 / 승인권자</t>
  </si>
  <si>
    <t>검토수정본 승인 후 배포본 지정. 06_최종판정 및 제출목록 확인</t>
  </si>
  <si>
    <t>승인·배포·수령·회수·제출 이력</t>
  </si>
  <si>
    <t>본심사 자료제출 전</t>
  </si>
  <si>
    <t>실제 운영증빙 20개 영역</t>
  </si>
  <si>
    <t>실제 원본 경로·대상기간·기록번호·검토자·확인일을 입력합니다. 빈 양식이나 작성 예시만으로 확인 처리하지 않습니다.</t>
  </si>
  <si>
    <t>영역</t>
  </si>
  <si>
    <t>연계 문서</t>
  </si>
  <si>
    <t>확보할 실제 증거</t>
  </si>
  <si>
    <t>주관(안)</t>
  </si>
  <si>
    <t>확인 작업</t>
  </si>
  <si>
    <t>원본 경로</t>
  </si>
  <si>
    <t>대상기간</t>
  </si>
  <si>
    <t>기록번호·비적용 근거</t>
  </si>
  <si>
    <t>검토자</t>
  </si>
  <si>
    <t>E01</t>
  </si>
  <si>
    <t>매뉴얼</t>
  </si>
  <si>
    <t>SH-QM-001 Rev.03</t>
  </si>
  <si>
    <t>승인근거·실제 배포 이력</t>
  </si>
  <si>
    <t>품질 / 문서관리(안)</t>
  </si>
  <si>
    <t>서명 또는 전자결재와 배포기록 대조</t>
  </si>
  <si>
    <t>E02</t>
  </si>
  <si>
    <t>절차서</t>
  </si>
  <si>
    <t>SH-QP-001~025 Rev.03</t>
  </si>
  <si>
    <t>최신 승인본·현장 적용 일치</t>
  </si>
  <si>
    <t>품질 / 각 부서(안)</t>
  </si>
  <si>
    <t>현행 목록과 제출본 버전 확정</t>
  </si>
  <si>
    <t>E03</t>
  </si>
  <si>
    <t>작업표준</t>
  </si>
  <si>
    <t>SH-WI-001~030 Rev.03</t>
  </si>
  <si>
    <t>현장 비치·교육·배포기록</t>
  </si>
  <si>
    <t>생산 / 품질(안)</t>
  </si>
  <si>
    <t>대표 공정의 현장 사용본 대조</t>
  </si>
  <si>
    <t>E04</t>
  </si>
  <si>
    <t>FM 목록·승인</t>
  </si>
  <si>
    <t>SH-FM-122 Rev.00 수정본5</t>
  </si>
  <si>
    <t>승인·등록일·실제 담당자·보존기준</t>
  </si>
  <si>
    <t>문서관리(안)</t>
  </si>
  <si>
    <t>현행 승인근거로 상태와 연결파일 갱신</t>
  </si>
  <si>
    <t>E05</t>
  </si>
  <si>
    <t>현장 기록</t>
  </si>
  <si>
    <t>SH-FM-101~121 Rev.03 수정본11</t>
  </si>
  <si>
    <t>최근 실제 기록과 작성·확인 이력</t>
  </si>
  <si>
    <t>각 주관부서(안)</t>
  </si>
  <si>
    <t>실제 기록철과 전산원본 경로 연결</t>
  </si>
  <si>
    <t>E06</t>
  </si>
  <si>
    <t>제품안전</t>
  </si>
  <si>
    <t>SH-FM-066~069 Rev.00</t>
  </si>
  <si>
    <t>제품안전 요구·책임·특성·점검 기록</t>
  </si>
  <si>
    <t>품질 / 제품안전(안)</t>
  </si>
  <si>
    <t>적용품목과 승인·운영 근거 확보</t>
  </si>
  <si>
    <t>E07</t>
  </si>
  <si>
    <t>SPC</t>
  </si>
  <si>
    <t>SH-FM-078~080 Rev.00</t>
  </si>
  <si>
    <t>실측값·분석·이상조치 기록</t>
  </si>
  <si>
    <t>품질 / 생산(안)</t>
  </si>
  <si>
    <t>대표 특성의 원자료와 분석결과 확보</t>
  </si>
  <si>
    <t>E08</t>
  </si>
  <si>
    <t>품질비용·개선</t>
  </si>
  <si>
    <t>SH-FM-096 / SH-FM-094</t>
  </si>
  <si>
    <t>월별 실제 비용·개선효과·승인</t>
  </si>
  <si>
    <t>품질 / 회계(안)</t>
  </si>
  <si>
    <t>월별 집계와 비용 원장·과제결과 연결</t>
  </si>
  <si>
    <t>E09</t>
  </si>
  <si>
    <t>내부심사</t>
  </si>
  <si>
    <t>연간 프로그램·QMS/공정/제품심사</t>
  </si>
  <si>
    <t>실시일·심사원 역량·3종 결과·종결</t>
  </si>
  <si>
    <t>품질부서(안)</t>
  </si>
  <si>
    <t>이번 심사 대상기간의 실제 결과 확보</t>
  </si>
  <si>
    <t>E10</t>
  </si>
  <si>
    <t>경영검토</t>
  </si>
  <si>
    <t>입력·회의록·출력·후속조치</t>
  </si>
  <si>
    <t>최근 실제 회의자료·결정·후속완료</t>
  </si>
  <si>
    <t>경영층 / 품질(안)</t>
  </si>
  <si>
    <t>회의록과 입력자료·완료증거 연결</t>
  </si>
  <si>
    <t>E11</t>
  </si>
  <si>
    <t>고객성과·CSR</t>
  </si>
  <si>
    <t>한온 등 적용 고객별 자료</t>
  </si>
  <si>
    <t>최신 CSR·스코어카드·PPM·납기·불만</t>
  </si>
  <si>
    <t>영업 / 품질(안)</t>
  </si>
  <si>
    <t>심사 대상기간과 적용 고객을 확정해 수집</t>
  </si>
  <si>
    <t>E12</t>
  </si>
  <si>
    <t>개발·변경</t>
  </si>
  <si>
    <t>APQP·PPAP·PFD·PFMEA·CP</t>
  </si>
  <si>
    <t>실제 제품 세트·고객승인·변경근거</t>
  </si>
  <si>
    <t>개발 / 품질(안)</t>
  </si>
  <si>
    <t>동일 품번·공정·특별특성 상호대조</t>
  </si>
  <si>
    <t>E13</t>
  </si>
  <si>
    <t>식별·추적</t>
  </si>
  <si>
    <t>SH-QP-018 / SH-FM-102</t>
  </si>
  <si>
    <t>입고부터 출하까지 실제 LOT 연결</t>
  </si>
  <si>
    <t>생산관리 / 자재 / 품질(안)</t>
  </si>
  <si>
    <t>대표 출하 LOT 정·역추적 및 수량 대조</t>
  </si>
  <si>
    <t>E14</t>
  </si>
  <si>
    <t>측정자원</t>
  </si>
  <si>
    <t>교정·MSA·이탈영향 평가</t>
  </si>
  <si>
    <t>교정성적서·유효기간·GRR·조치</t>
  </si>
  <si>
    <t>관리계획 지정 측정기별 결과 확보</t>
  </si>
  <si>
    <t>E15</t>
  </si>
  <si>
    <t>설비·금형</t>
  </si>
  <si>
    <t>예방보전·일상점검·고장이력</t>
  </si>
  <si>
    <t>실제 계획 대비 실적·고장·복구 결과</t>
  </si>
  <si>
    <t>설비 / 생산(안)</t>
  </si>
  <si>
    <t>대표 중요설비의 실적·지연조치 확보</t>
  </si>
  <si>
    <t>E16</t>
  </si>
  <si>
    <t>교육·역량</t>
  </si>
  <si>
    <t>SH-FM-121 / 자격관리</t>
  </si>
  <si>
    <t>실제 교육일지·참석·평가·자격</t>
  </si>
  <si>
    <t>교육 주관 / 각 부서(안)</t>
  </si>
  <si>
    <t>주요 직무·작업자의 실제 평가기록 수집</t>
  </si>
  <si>
    <t>E17</t>
  </si>
  <si>
    <t>공급자</t>
  </si>
  <si>
    <t>선정·평가·개발·입고이상</t>
  </si>
  <si>
    <t>승인 평가기준·실적·협력사 조치</t>
  </si>
  <si>
    <t>구매 / 품질(안)</t>
  </si>
  <si>
    <t>기준 승인 후 실제 평가·후속조치 제시</t>
  </si>
  <si>
    <t>E18</t>
  </si>
  <si>
    <t>부적합·고객불만</t>
  </si>
  <si>
    <t>8D·재작업·효과확인</t>
  </si>
  <si>
    <t>실제 발생·봉쇄·원인·효과·종결</t>
  </si>
  <si>
    <t>최근 건과 직전 심사 지적의 재발 여부 검증</t>
  </si>
  <si>
    <t>E19</t>
  </si>
  <si>
    <t>비상·복구</t>
  </si>
  <si>
    <t>SH-FM-112 / SH-FM-364</t>
  </si>
  <si>
    <t>실제 훈련·고객통보 판단·재개검증</t>
  </si>
  <si>
    <t>생산 / 관리 / 품질(안)</t>
  </si>
  <si>
    <t>실제 시험일·결과·승인 및 개선근거 확보</t>
  </si>
  <si>
    <t>E20</t>
  </si>
  <si>
    <t>직전 외부심사</t>
  </si>
  <si>
    <t>보고서·NC·종결회신</t>
  </si>
  <si>
    <t>직전 심사결과·시정조치·기관 종결</t>
  </si>
  <si>
    <t>기관 보고서와 종결 증빙을 우선 확보</t>
  </si>
  <si>
    <t>모의심사와 인터뷰 실행</t>
  </si>
  <si>
    <t>심사 질문</t>
  </si>
  <si>
    <t>답변·현장 확인기준</t>
  </si>
  <si>
    <t>대응부서(안)</t>
  </si>
  <si>
    <t>연계항목</t>
  </si>
  <si>
    <t>실제 결과</t>
  </si>
  <si>
    <t>실시일</t>
  </si>
  <si>
    <t>응답자</t>
  </si>
  <si>
    <t>객관적 증거</t>
  </si>
  <si>
    <t>연계 시정조치</t>
  </si>
  <si>
    <t>M01</t>
  </si>
  <si>
    <t>최신 문서는 어디서 확인하고 구본 사용은 어떻게 막습니까?</t>
  </si>
  <si>
    <t>최신본 조회와 실제 배포·회수 사례를 제시</t>
  </si>
  <si>
    <t>문서관리</t>
  </si>
  <si>
    <t>E01~E05</t>
  </si>
  <si>
    <t>미실시</t>
  </si>
  <si>
    <t>M02</t>
  </si>
  <si>
    <t>심사범위와 사업장·지원기능·교대는 실제 운영과 같습니까?</t>
  </si>
  <si>
    <t>인증서·계획·현행 조직 및 교대정보 대조</t>
  </si>
  <si>
    <t>품질 / 인사</t>
  </si>
  <si>
    <t>U01·U02</t>
  </si>
  <si>
    <t>M03</t>
  </si>
  <si>
    <t>최근 내부심사에서 무엇을 발견했고 어떻게 종결했습니까?</t>
  </si>
  <si>
    <t>QMS·공정·제품심사 실제 결과와 시정·효과 증빙</t>
  </si>
  <si>
    <t>품질</t>
  </si>
  <si>
    <t>M04</t>
  </si>
  <si>
    <t>경영검토에서 무엇을 결정했고 이행되었습니까?</t>
  </si>
  <si>
    <t>입력자료·회의록·결정·책임·완료근거 연결</t>
  </si>
  <si>
    <t>경영 / 품질</t>
  </si>
  <si>
    <t>M05</t>
  </si>
  <si>
    <t>고객의 최신 요구와 품질성과는 어떻게 관리합니까?</t>
  </si>
  <si>
    <t>적용 CSR·스코어카드·실적·미달조치 제시</t>
  </si>
  <si>
    <t>영업 / 품질</t>
  </si>
  <si>
    <t>M06</t>
  </si>
  <si>
    <t>이 품번의 공정흐름·PFMEA·CP·WI는 일치합니까?</t>
  </si>
  <si>
    <t>동일 품번·공정번호·특별특성·반응계획 연결</t>
  </si>
  <si>
    <t>개발 / 품질</t>
  </si>
  <si>
    <t>M07</t>
  </si>
  <si>
    <t>이 출하 LOT의 원자재·설비·검사·납품처를 추적해 주세요.</t>
  </si>
  <si>
    <t>대표 LOT의 정·역추적과 수량 대조. 내부 WI005 목표 1시간은 실제 시간으로 검증</t>
  </si>
  <si>
    <t>생산관리 / 자재</t>
  </si>
  <si>
    <t>M08</t>
  </si>
  <si>
    <t>제품안전 특성과 이상보고 책임은 누구입니까?</t>
  </si>
  <si>
    <t>적용요구·책임·교육·에스컬레이션 실제 근거</t>
  </si>
  <si>
    <t>제품안전 / 품질</t>
  </si>
  <si>
    <t>M09</t>
  </si>
  <si>
    <t>SPC 특성에서 이상이 발생하면 어떻게 조치합니까?</t>
  </si>
  <si>
    <t>실측 원자료·관리기준·판정·제품 봉쇄·효과 제시</t>
  </si>
  <si>
    <t>생산 / 품질</t>
  </si>
  <si>
    <t>M10</t>
  </si>
  <si>
    <t>품질비용과 개선과제는 실제 금액·효과로 확인됩니까?</t>
  </si>
  <si>
    <t>비용 원장·COPQ·과제 전후 실적 연결</t>
  </si>
  <si>
    <t>품질 / 회계</t>
  </si>
  <si>
    <t>M11</t>
  </si>
  <si>
    <t>이 측정기는 유효하고 이 특성 측정에 적합합니까?</t>
  </si>
  <si>
    <t>교정·MSA·이탈영향 평가와 CP 적용 확인</t>
  </si>
  <si>
    <t>M12</t>
  </si>
  <si>
    <t>설비보전 계획 대비 미실시·고장은 어떻게 처리합니까?</t>
  </si>
  <si>
    <t>중요설비 점검·보전·고장·복구·지연조치 기록</t>
  </si>
  <si>
    <t>설비 / 생산</t>
  </si>
  <si>
    <t>M13</t>
  </si>
  <si>
    <t>이 작업자는 작업·특별특성·이상조치를 설명할 수 있습니까?</t>
  </si>
  <si>
    <t>실제 작업 관찰·교육·역량평가·자격 대조</t>
  </si>
  <si>
    <t>생산 / 교육</t>
  </si>
  <si>
    <t>M14</t>
  </si>
  <si>
    <t>공급자 평가는 어떤 기준과 실제 성과로 결정합니까?</t>
  </si>
  <si>
    <t>승인 평가기준·품질·납기·후속조치 제시</t>
  </si>
  <si>
    <t>구매 / 품질</t>
  </si>
  <si>
    <t>M15</t>
  </si>
  <si>
    <t>부적합품과 재작업품의 혼입을 어떻게 막습니까?</t>
  </si>
  <si>
    <t>격리·처분·재검사·원 LOT·승인 이력</t>
  </si>
  <si>
    <t>M16</t>
  </si>
  <si>
    <t>최근 고객불만은 재발하지 않는다고 어떻게 확인했습니까?</t>
  </si>
  <si>
    <t>실제 8D·수평전개·효과 기준·관찰결과 제시</t>
  </si>
  <si>
    <t>E18·E20</t>
  </si>
  <si>
    <t>M17</t>
  </si>
  <si>
    <t>스캔본과 종이 원본이 다르면 어떻게 처리합니까?</t>
  </si>
  <si>
    <t>QP018의 보류·원본대조·재스캔·긴급추적 승인과 FM363 실제 기록</t>
  </si>
  <si>
    <t>품질 / 자재출하</t>
  </si>
  <si>
    <t>E13·E19</t>
  </si>
  <si>
    <t>M18</t>
  </si>
  <si>
    <t>백업 파일을 실제로 복구해 본 결과를 보여주세요.</t>
  </si>
  <si>
    <t>QP018 내부 기준 월 1회·무작위 3건과 FM364 실제 결과 대조</t>
  </si>
  <si>
    <t>품질 / 관리</t>
  </si>
  <si>
    <t>M19</t>
  </si>
  <si>
    <t>비상상황 후 고객 공급과 제품 적합성을 어떻게 확인합니까?</t>
  </si>
  <si>
    <t>실제 훈련·고객통보 판단·복구·재개검증·개선</t>
  </si>
  <si>
    <t>M20</t>
  </si>
  <si>
    <t>직전 심사 지적과 주요 변경은 현재도 관리됩니까?</t>
  </si>
  <si>
    <t>기관 종결·현장 재발 여부·변경승인·고객승인 근거</t>
  </si>
  <si>
    <t>품질 / 개발</t>
  </si>
  <si>
    <t>E20·E12</t>
  </si>
  <si>
    <t>심사 요청자료 기록</t>
  </si>
  <si>
    <t>실제 요청이 발생하면 요청·담당·제시자료·제시시각을 기록합니다. 고객·개인정보가 포함된 제출본은 권한자의 확인을 받습니다.</t>
  </si>
  <si>
    <t>번호</t>
  </si>
  <si>
    <t>요청시각</t>
  </si>
  <si>
    <t>심사원·요청자</t>
  </si>
  <si>
    <t>요청 내용</t>
  </si>
  <si>
    <t>담당자</t>
  </si>
  <si>
    <t>제시 자료·버전</t>
  </si>
  <si>
    <t>제시시각</t>
  </si>
  <si>
    <t>상태</t>
  </si>
  <si>
    <t>후속조치</t>
  </si>
  <si>
    <t>발견사항과 시정조치</t>
  </si>
  <si>
    <t>실제 발견사항만 등록합니다. 조치 완료와 효과검증·종결은 구분합니다. 기한은 기관 또는 사내 합의기한을 실제로 입력합니다.</t>
  </si>
  <si>
    <t>관리번호</t>
  </si>
  <si>
    <t>출처·일자</t>
  </si>
  <si>
    <t>발견사항·객관적 증거</t>
  </si>
  <si>
    <t>요구기준</t>
  </si>
  <si>
    <t>즉시 봉쇄</t>
  </si>
  <si>
    <t>근본원인</t>
  </si>
  <si>
    <t>영구조치</t>
  </si>
  <si>
    <t>담당</t>
  </si>
  <si>
    <t>기한</t>
  </si>
  <si>
    <t>완료일</t>
  </si>
  <si>
    <t>효과기준·관찰기간</t>
  </si>
  <si>
    <t>효과 결과·증빙</t>
  </si>
  <si>
    <t>검증자</t>
  </si>
  <si>
    <t>종결일</t>
  </si>
  <si>
    <t>NC01</t>
  </si>
  <si>
    <t>미등록</t>
  </si>
  <si>
    <t>NC02</t>
  </si>
  <si>
    <t>NC03</t>
  </si>
  <si>
    <t>NC04</t>
  </si>
  <si>
    <t>NC05</t>
  </si>
  <si>
    <t>NC06</t>
  </si>
  <si>
    <t>NC07</t>
  </si>
  <si>
    <t>NC08</t>
  </si>
  <si>
    <t>NC09</t>
  </si>
  <si>
    <t>NC10</t>
  </si>
  <si>
    <t>NC11</t>
  </si>
  <si>
    <t>NC12</t>
  </si>
  <si>
    <t>NC13</t>
  </si>
  <si>
    <t>NC14</t>
  </si>
  <si>
    <t>NC15</t>
  </si>
  <si>
    <t>최종 준비조건과 제출 판정</t>
  </si>
  <si>
    <t>계산 결과는 점검 누락을 찾는 용도입니다. 실제 제출·배포는 승인권자가 근거를 검토한 후 판정합니다.</t>
  </si>
  <si>
    <t>완료 조건</t>
  </si>
  <si>
    <t>현재 값</t>
  </si>
  <si>
    <t>판정</t>
  </si>
  <si>
    <t>사용자 정리</t>
  </si>
  <si>
    <t>14개 항목 모두 근거·담당·확인일·확인자 확인</t>
  </si>
  <si>
    <t>운영증빙</t>
  </si>
  <si>
    <t>20개 영역 실제 증빙 또는 비적용 근거 확인</t>
  </si>
  <si>
    <t>모의심사</t>
  </si>
  <si>
    <t>20개 항목 실시·증빙·확인자 확인</t>
  </si>
  <si>
    <t>미종결 조치</t>
  </si>
  <si>
    <t>등록된 실제 발견사항 중 미종결 0건</t>
  </si>
  <si>
    <t>종합 확인</t>
  </si>
  <si>
    <t>최종 실제 판정</t>
  </si>
  <si>
    <t>판정일</t>
  </si>
  <si>
    <t>판정자</t>
  </si>
  <si>
    <t>근거·남은 조건</t>
  </si>
  <si>
    <t>배포본 경로</t>
  </si>
  <si>
    <t>배포일</t>
  </si>
  <si>
    <t>배포 담당</t>
  </si>
  <si>
    <t>구본회수 근거</t>
  </si>
  <si>
    <t>제출대상·자료목록</t>
  </si>
  <si>
    <t>제출일</t>
  </si>
  <si>
    <t>제출 담당</t>
  </si>
  <si>
    <t>기관 수령확인</t>
  </si>
  <si>
    <t>변경 반영내역</t>
  </si>
  <si>
    <t>이번 수정본 4개만 변경내역을 검토합니다. 개정번호 Rev.03·Rev.00은 원본 기준 식별이며 새로운 공식 개정을 임의 부여하지 않았습니다.</t>
  </si>
  <si>
    <t>수정본</t>
  </si>
  <si>
    <t>이번 반영내용</t>
  </si>
  <si>
    <t>작성 상태</t>
  </si>
  <si>
    <t>사용자 확인·승인</t>
  </si>
  <si>
    <t>파일명</t>
  </si>
  <si>
    <t>C01</t>
  </si>
  <si>
    <t>통합본 Rev.03 검토수정본</t>
  </si>
  <si>
    <t>QP002 관련기록 표현 / QP018 7.4.3·7.4.9 / 목차 24항목 페이지 중복 해소</t>
  </si>
  <si>
    <t>내용 반영 완료</t>
  </si>
  <si>
    <t>실제 변경 승인·시행·배포</t>
  </si>
  <si>
    <t>SH_QMS_Integrated_Rev03_REVIEW_20261026.docx</t>
  </si>
  <si>
    <t>C02</t>
  </si>
  <si>
    <t>QP002 Rev.03 검토수정본</t>
  </si>
  <si>
    <t>8절 문서관리 기록과 도면일치성 기준문서 참조 구분</t>
  </si>
  <si>
    <t>SH_QP002_Rev03_REVIEW_20261026.docx</t>
  </si>
  <si>
    <t>C03</t>
  </si>
  <si>
    <t>FM122 Rev.00 검토수정본</t>
  </si>
  <si>
    <t>FM101~121 Rev.03 대조 / 파일연결 / 승인상태 / 기록 보존기준 안내</t>
  </si>
  <si>
    <t>실제 담당·운영일·개별 보존기준·결재 근거</t>
  </si>
  <si>
    <t>SH_FM122_Rev00_REVIEW_20261026.xlsx</t>
  </si>
  <si>
    <t>C04</t>
  </si>
  <si>
    <t>FM101~121 Rev.03 검토수정본</t>
  </si>
  <si>
    <t>안내 시트의 보존기준·연계목록·검토수정본 상태 정리. 21개 개별 양식 데이터·서식 보존</t>
  </si>
  <si>
    <t>실제 검사기준·담당자·운영기록·승인</t>
  </si>
  <si>
    <t>SH_FM101_121_Rev03_REVIEW_20261026.xlsx</t>
  </si>
  <si>
    <t>심사자료 제출 준비목록</t>
  </si>
  <si>
    <t>119개 편집본 기준입니다. 수정본 4개는 이번 묶음에, 나머지는 보존한 원본 ZIP에 있습니다. 실제 제출은 승인된 버전을 선택합니다.</t>
  </si>
  <si>
    <t>순번</t>
  </si>
  <si>
    <t>원본 ZIP 내부 경로</t>
  </si>
  <si>
    <t>개정 식별</t>
  </si>
  <si>
    <t>확인·변경사항</t>
  </si>
  <si>
    <t>이번 묶음 내 위치</t>
  </si>
  <si>
    <t>실제 승인근거</t>
  </si>
  <si>
    <t>제출 확인</t>
  </si>
  <si>
    <t>QP</t>
  </si>
  <si>
    <t>02_절차서_QP/원본_편집용/001_SH-QP-001_경영검토절차서_Rev03_수정본2.docx</t>
  </si>
  <si>
    <t>Rev.03 (본문·파일 기준)</t>
  </si>
  <si>
    <t>본문 텍스트·참조 추출 확인</t>
  </si>
  <si>
    <t>03_Reference_Original/SH_QMS_Source_20261013_v2.zip 내부 원경로</t>
  </si>
  <si>
    <t>02_절차서_QP/원본_편집용/002_SH-QP-002_문서화된정보관리절차서_Rev03_수정본8.docx</t>
  </si>
  <si>
    <t>이번 변경 반영 / 변경 승인대기</t>
  </si>
  <si>
    <t>01_Review_Documents/SH_QP002_Rev03_REVIEW_20261026.docx</t>
  </si>
  <si>
    <t>02_절차서_QP/원본_편집용/003_SH-QP-003_기록관리절차서_Rev03_수정본3.docx</t>
  </si>
  <si>
    <t>02_절차서_QP/원본_편집용/004_SH-QP-004_리스크및기회관리절차서_Rev03_수정본2.docx</t>
  </si>
  <si>
    <t>02_절차서_QP/원본_편집용/005_SH-QP-005_내부심사절차서_Rev03_수정본2.docx</t>
  </si>
  <si>
    <t>02_절차서_QP/원본_편집용/006_SH-QP-006_교육훈련및역량관리절차서_Rev03_수정본2.docx</t>
  </si>
  <si>
    <t>02_절차서_QP/원본_편집용/007_SH-QP-007_설비및예방보전관리절차서_Rev03_수정본2.docx</t>
  </si>
  <si>
    <t>02_절차서_QP/원본_편집용/008_SH-QP-008_모니터링및측정자원관리절차서_Rev03_수정본2.docx</t>
  </si>
  <si>
    <t>02_절차서_QP/원본_편집용/009_SH-QP-009_고객요구사항및계약검토절차서_Rev03_수정본2.docx</t>
  </si>
  <si>
    <t>02_절차서_QP/원본_편집용/010_SH-QP-010_APQP및PPAP관리절차서_Rev03_수정본2.docx</t>
  </si>
  <si>
    <t>02_절차서_QP/원본_편집용/011_SH-QP-011_구매및협력사관리절차서_Rev03_수정본2.docx</t>
  </si>
  <si>
    <t>02_절차서_QP/원본_편집용/012_SH-QP-012_생산및공정관리절차서_Rev03_수정본2.docx</t>
  </si>
  <si>
    <t>02_절차서_QP/원본_편집용/013_SH-QP-013_검사및시험관리절차서_Rev03_수정본2.docx</t>
  </si>
  <si>
    <t>02_절차서_QP/원본_편집용/014_SH-QP-014_부적합품및재작업관리절차서_Rev03_수정본2.docx</t>
  </si>
  <si>
    <t>02_절차서_QP/원본_편집용/015_SH-QP-015_변경관리절차서_Rev03_수정본2.docx</t>
  </si>
  <si>
    <t>02_절차서_QP/원본_편집용/016_SH-QP-016_시정조치및문제해결절차서_Rev03_수정본2.docx</t>
  </si>
  <si>
    <t>02_절차서_QP/원본_편집용/017_SH-QP-017_고객불만및보증관리절차서_Rev03_수정본2.docx</t>
  </si>
  <si>
    <t>02_절차서_QP/원본_편집용/018_SH-QP-018_식별및추적성관리절차서_Rev03_수정본18.docx</t>
  </si>
  <si>
    <t>02_절차서_QP/원본_편집용/019_SH-QP-019_보관·포장및출하관리절차서_Rev03_수정본2.docx</t>
  </si>
  <si>
    <t>02_절차서_QP/원본_편집용/020_SH-QP-020_비상계획및공급연속성절차서_Rev03_수정본2.docx</t>
  </si>
  <si>
    <t>02_절차서_QP/원본_편집용/021_SH-QP-021_품질목표및KPI관리절차서_Rev03_수정본2.docx</t>
  </si>
  <si>
    <t>02_절차서_QP/원본_편집용/022_SH-QP-022_제품안전관리절차서_Rev03_수정본2.docx</t>
  </si>
  <si>
    <t>02_절차서_QP/원본_편집용/023_SH-QP-023_통계적공정관리(SPC)절차서_Rev03_수정본2.docx</t>
  </si>
  <si>
    <t>02_절차서_QP/원본_편집용/024_SH-QP-024_품질비용및지속적개선절차서_Rev03_수정본2.docx</t>
  </si>
  <si>
    <t>02_절차서_QP/원본_편집용/025_SH-QP-025_고객별요구사항(CSR)관리절차서_Rev03_수정본2.docx</t>
  </si>
  <si>
    <t>WI</t>
  </si>
  <si>
    <t>03_작업표준서_WI/원본_편집용/001_SH-WI-001_생산작업준비및초품확인표준_Rev03_수정본2.docx</t>
  </si>
  <si>
    <t>03_작업표준서_WI/원본_편집용/002_SH-WI-002_공정검사및특수특성관리표준_Rev03_수정본2.docx</t>
  </si>
  <si>
    <t>03_작업표준서_WI/원본_편집용/003_SH-WI-003_부적합품식별·격리및재작업표준_Rev03_수정본2.docx</t>
  </si>
  <si>
    <t>03_작업표준서_WI/원본_편집용/004_SH-WI-004_설비일상점검및이상대응표준_Rev03_수정본2.docx</t>
  </si>
  <si>
    <t>03_작업표준서_WI/원본_편집용/005_SH-WI-005_제품식별·LOT추적및출하표준_Rev03_수정본2.docx</t>
  </si>
  <si>
    <t>03_작업표준서_WI/원본_편집용/006_SH-WI-006_계측기사용및일상점검표준_Rev03_수정본2.docx</t>
  </si>
  <si>
    <t>03_작업표준서_WI/원본_편집용/007_SH-WI-007_검사구및GaugeR&amp;R수행표준_Rev03_수정본2.docx</t>
  </si>
  <si>
    <t>03_작업표준서_WI/원본_편집용/008_SH-WI-008_금형·치공구교환및관리표준_Rev03_수정본2.docx</t>
  </si>
  <si>
    <t>03_작업표준서_WI/원본_편집용/009_SH-WI-009_자재입고·보관·불출관리표준_Rev03_수정본2.docx</t>
  </si>
  <si>
    <t>03_작업표준서_WI/원본_편집용/010_SH-WI-010_포장·라벨및출하검증표준_Rev03_수정본2.docx</t>
  </si>
  <si>
    <t>03_작업표준서_WI/원본_편집용/011_SH-WI-011_공정조건설정및변경관리표준_Rev03_수정본2.docx</t>
  </si>
  <si>
    <t>03_작업표준서_WI/원본_편집용/012_SH-WI-012_오류방지(Poka-Yoke)점검표준_Rev03_수정본2.docx</t>
  </si>
  <si>
    <t>03_작업표준서_WI/원본_편집용/013_SH-WI-013_라인클리어런스및품번전환표준_Rev03_수정본2.docx</t>
  </si>
  <si>
    <t>03_작업표준서_WI/원본_편집용/014_SH-WI-014_선별검사및특별검사표준_Rev03_수정본2.docx</t>
  </si>
  <si>
    <t>03_작업표준서_WI/원본_편집용/015_SH-WI-015_작업자표준작업및교대인수인계표준_Rev03_수정본2.docx</t>
  </si>
  <si>
    <t>03_작업표준서_WI/원본_편집용/016_SH-WI-016_예방보전및설비점검작업표준_Rev03_수정본2.docx</t>
  </si>
  <si>
    <t>03_작업표준서_WI/원본_편집용/017_SH-WI-017_청정도및이물관리작업표준_Rev03_수정본2.docx</t>
  </si>
  <si>
    <t>03_작업표준서_WI/원본_편집용/018_SH-WI-018_재작업및수리작업표준_Rev03_수정본2.docx</t>
  </si>
  <si>
    <t>03_작업표준서_WI/원본_편집용/019_SH-WI-019_제품안전특성작업관리표준_Rev03_수정본2.docx</t>
  </si>
  <si>
    <t>03_작업표준서_WI/원본_편집용/020_SH-WI-020_비상상황생산복구작업표준_Rev03_수정본2.docx</t>
  </si>
  <si>
    <t>03_작업표준서_WI/원본_편집용/021_SH-WI-021_공정감사및LayeredProcessAudit실행표준_Rev03_수정본2.docx</t>
  </si>
  <si>
    <t>03_작업표준서_WI/원본_편집용/022_SH-WI-022_변경초기유동및강화검사작업표준_Rev03_수정본2.docx</t>
  </si>
  <si>
    <t>03_작업표준서_WI/원본_편집용/023_SH-WI-023_고객불만긴급봉쇄및현장대응표준_Rev03_수정본2.docx</t>
  </si>
  <si>
    <t>03_작업표준서_WI/원본_편집용/024_SH-WI-024_공급자입고품이상및긴급대응표준_Rev03_수정본2.docx</t>
  </si>
  <si>
    <t>03_작업표준서_WI/원본_편집용/025_SH-WI-025_품질이상정지·보고·재가동표준_Rev03_수정본2.docx</t>
  </si>
  <si>
    <t>03_작업표준서_WI/원본_편집용/026_SH-WI-026_고객특별상태및품질주의관리표준_Rev03_수정본2.docx</t>
  </si>
  <si>
    <t>03_작업표준서_WI/원본_편집용/027_SH-WI-027_검사성적서및품질기록작성표준_Rev03_수정본2.docx</t>
  </si>
  <si>
    <t>03_작업표준서_WI/원본_편집용/028_SH-WI-028_장기재고및유효기간관리표준_Rev03_수정본2.docx</t>
  </si>
  <si>
    <t>03_작업표준서_WI/원본_편집용/029_SH-WI-029_공급자변경품및초도품확인표준_Rev03_수정본2.docx</t>
  </si>
  <si>
    <t>03_작업표준서_WI/원본_편집용/030_SH-WI-030_고객감사·인증심사현장대응표준_Rev03_수정본2.docx</t>
  </si>
  <si>
    <t>QM</t>
  </si>
  <si>
    <t>01_매뉴얼_QM/원본_편집용/001_SH-QM-001_품질경영매뉴얼_Rev03_수정본7.docx</t>
  </si>
  <si>
    <t>통합본</t>
  </si>
  <si>
    <t>05_통합문서_QM_QP_WI_공식관리본/SH_QMS_통합문서_Rev03_20260929_수정본16.docx</t>
  </si>
  <si>
    <t>01_Review_Documents/SH_QMS_Integrated_Rev03_REVIEW_20261026.docx</t>
  </si>
  <si>
    <t>FM 워크북</t>
  </si>
  <si>
    <t>04_기록양식_FM/원본_편집용/001_SH-FM-045_APQP개발일정계획서_Rev00_수정본2.xlsx</t>
  </si>
  <si>
    <t>Rev00</t>
  </si>
  <si>
    <t>시트구성 확인 / 1시트</t>
  </si>
  <si>
    <t>04_기록양식_FM/원본_편집용/002_SH-FM-066-069_078-080_094_096_공식양식_Rev00_수정본2.xlsx</t>
  </si>
  <si>
    <t>시트구성 확인 / 10시트</t>
  </si>
  <si>
    <t>04_기록양식_FM/원본_편집용/003_SH-FM-071_부적합품관련관리기록_Rev00_수정본4.xlsx</t>
  </si>
  <si>
    <t>04_기록양식_FM/원본_편집용/004_SH-FM-101-121_현장작성양식_Rev03_수정본11.xlsx</t>
  </si>
  <si>
    <t>Rev03</t>
  </si>
  <si>
    <t>01_Review_Documents/SH_FM101_121_Rev03_REVIEW_20261026.xlsx</t>
  </si>
  <si>
    <t>04_기록양식_FM/원본_편집용/005_SH-FM-122_현장양식목록_작성계획_Rev00_수정본5.xlsx</t>
  </si>
  <si>
    <t>01_Review_Documents/SH_FM122_Rev00_REVIEW_20261026.xlsx</t>
  </si>
  <si>
    <t>04_기록양식_FM/원본_편집용/006_SH-FM-123-125_SQ보통_양식초안_Rev00_수정본3.xlsx</t>
  </si>
  <si>
    <t>시트구성 확인 / 4시트</t>
  </si>
  <si>
    <t>04_기록양식_FM/원본_편집용/007_SH-FM-127-128_SQ보통_양식초안_Rev00_수정본3.xlsx</t>
  </si>
  <si>
    <t>시트구성 확인 / 3시트</t>
  </si>
  <si>
    <t>04_기록양식_FM/원본_편집용/008_SH-FM-130-132_SQ보통_양식초안_Rev00_수정본3.xlsx</t>
  </si>
  <si>
    <t>04_기록양식_FM/원본_편집용/009_SH-FM-133-137_SQ낮음_양식초안_Rev00_수정본3.xlsx</t>
  </si>
  <si>
    <t>시트구성 확인 / 6시트</t>
  </si>
  <si>
    <t>04_기록양식_FM/원본_편집용/010_SH-FM-138-140_SQ보통_양식초안_Rev00_수정본3.xlsx</t>
  </si>
  <si>
    <t>04_기록양식_FM/원본_편집용/011_SH-FM-142-143_SQ보통_양식초안_Rev00_수정본3.xlsx</t>
  </si>
  <si>
    <t>04_기록양식_FM/원본_편집용/012_SH-FM-144_SQ높음_양식초안_Rev00_수정본2.xlsx</t>
  </si>
  <si>
    <t>시트구성 확인 / 2시트</t>
  </si>
  <si>
    <t>04_기록양식_FM/원본_편집용/013_SH-FM-145_SQ높음_양식초안_Rev00_수정본3.xlsx</t>
  </si>
  <si>
    <t>04_기록양식_FM/원본_편집용/014_SH-FM-147-148_SQ높음_양식초안_Rev00_수정본2.xlsx</t>
  </si>
  <si>
    <t>04_기록양식_FM/원본_편집용/015_SH-FM-149-151_SQ높음_양식초안_Rev00_수정본3.xlsx</t>
  </si>
  <si>
    <t>04_기록양식_FM/원본_편집용/016_SH-FM-152-159_SQ높음_양식초안_Rev00_수정본3.xlsx</t>
  </si>
  <si>
    <t>시트구성 확인 / 9시트</t>
  </si>
  <si>
    <t>04_기록양식_FM/원본_편집용/017_SH-FM-160-166_SQ보통_양식초안_Rev00_수정본3.xlsx</t>
  </si>
  <si>
    <t>시트구성 확인 / 8시트</t>
  </si>
  <si>
    <t>04_기록양식_FM/원본_편집용/018_SH-FM-168_SQ보통_양식초안_Rev00_수정본3.xlsx</t>
  </si>
  <si>
    <t>04_기록양식_FM/원본_편집용/019_SH-FM-169-170_SQ보통_양식초안_Rev00_수정본2.xlsx</t>
  </si>
  <si>
    <t>04_기록양식_FM/원본_편집용/020_SH-FM-171-172_SQ보통_양식초안_Rev00_수정본3.xlsx</t>
  </si>
  <si>
    <t>04_기록양식_FM/원본_편집용/021_SH-FM-174-186_SQ보통_양식초안_Rev00_수정본3.xlsx</t>
  </si>
  <si>
    <t>시트구성 확인 / 14시트</t>
  </si>
  <si>
    <t>04_기록양식_FM/원본_편집용/022_SH-FM-187-189_SQ높음_양식초안_Rev00_수정본2.xlsx</t>
  </si>
  <si>
    <t>04_기록양식_FM/원본_편집용/023_SH-FM-190_SQ높음_양식초안_Rev00_수정본3.xlsx</t>
  </si>
  <si>
    <t>04_기록양식_FM/원본_편집용/024_SH-FM-192_SQ높음_양식초안_Rev00_수정본2.xlsx</t>
  </si>
  <si>
    <t>04_기록양식_FM/원본_편집용/025_SH-FM-194-196_SQ높음_양식초안_Rev00_수정본3.xlsx</t>
  </si>
  <si>
    <t>04_기록양식_FM/원본_편집용/026_SH-FM-200-201_SQ높음_양식초안_Rev00_수정본3.xlsx</t>
  </si>
  <si>
    <t>04_기록양식_FM/원본_편집용/027_SH-FM-203-204_SQ높음_양식초안_Rev00_수정본3.xlsx</t>
  </si>
  <si>
    <t>04_기록양식_FM/원본_편집용/028_SH-FM-207-209_SQ보통_양식초안_Rev00_수정본3.xlsx</t>
  </si>
  <si>
    <t>04_기록양식_FM/원본_편집용/029_SH-FM-211-220_SQ보통_양식초안_Rev00_수정본3.xlsx</t>
  </si>
  <si>
    <t>시트구성 확인 / 11시트</t>
  </si>
  <si>
    <t>04_기록양식_FM/원본_편집용/030_SH-FM-222-223_SQ보통_양식초안_Rev00_수정본2.xlsx</t>
  </si>
  <si>
    <t>04_기록양식_FM/원본_편집용/031_SH-FM-225_SQ보통_양식초안_Rev00_수정본3.xlsx</t>
  </si>
  <si>
    <t>04_기록양식_FM/원본_편집용/032_SH-FM-230_SQ보통_양식초안_Rev00_수정본2.xlsx</t>
  </si>
  <si>
    <t>04_기록양식_FM/원본_편집용/033_SH-FM-231-234_SQ보통_양식초안_Rev00_수정본3.xlsx</t>
  </si>
  <si>
    <t>시트구성 확인 / 5시트</t>
  </si>
  <si>
    <t>04_기록양식_FM/원본_편집용/034_SH-FM-235_SQ보통_양식초안_Rev00_수정본2.xlsx</t>
  </si>
  <si>
    <t>04_기록양식_FM/원본_편집용/035_SH-FM-236-244_SQ보통_양식초안_Rev00_수정본3.xlsx</t>
  </si>
  <si>
    <t>04_기록양식_FM/원본_편집용/036_SH-FM-246-247_SQ낮음_양식초안_Rev00_수정본3.xlsx</t>
  </si>
  <si>
    <t>04_기록양식_FM/원본_편집용/037_SH-FM-249-253_SQ낮음_양식초안_Rev00_수정본3.xlsx</t>
  </si>
  <si>
    <t>04_기록양식_FM/원본_편집용/038_SH-FM-254_SQ보통_양식초안_Rev00_수정본3.xlsx</t>
  </si>
  <si>
    <t>04_기록양식_FM/원본_편집용/039_SH-FM-256_SQ보통_양식초안_Rev00_수정본3.xlsx</t>
  </si>
  <si>
    <t>04_기록양식_FM/원본_편집용/040_SH-FM-259-261_SQ보통_양식초안_Rev00_수정본3.xlsx</t>
  </si>
  <si>
    <t>04_기록양식_FM/원본_편집용/041_SH-FM-263_SQ보통_양식초안_Rev00_수정본3.xlsx</t>
  </si>
  <si>
    <t>04_기록양식_FM/원본_편집용/042_SH-FM-266-268_SQ보통_양식초안_Rev00_수정본3.xlsx</t>
  </si>
  <si>
    <t>04_기록양식_FM/원본_편집용/043_SH-FM-270-272_SQ보통_양식초안_Rev00_수정본3.xlsx</t>
  </si>
  <si>
    <t>04_기록양식_FM/원본_편집용/044_SH-FM-274-276_SQ보통_양식초안_Rev00_수정본3.xlsx</t>
  </si>
  <si>
    <t>04_기록양식_FM/원본_편집용/045_SH-FM-281-291_SQ보통_양식초안_Rev00_수정본3.xlsx</t>
  </si>
  <si>
    <t>시트구성 확인 / 12시트</t>
  </si>
  <si>
    <t>04_기록양식_FM/원본_편집용/046_SH-FM-293-307_SQ보통_양식초안_Rev00_수정본3.xlsx</t>
  </si>
  <si>
    <t>시트구성 확인 / 16시트</t>
  </si>
  <si>
    <t>04_기록양식_FM/원본_편집용/047_SH-FM-308-311_SQ낮음_양식초안_Rev00_수정본3.xlsx</t>
  </si>
  <si>
    <t>04_기록양식_FM/원본_편집용/048_SH-FM-312_SQ낮음_양식초안_Rev00_수정본2.xlsx</t>
  </si>
  <si>
    <t>04_기록양식_FM/원본_편집용/049_SH-FM-313-318_SQ보통_양식초안_Rev00_수정본3.xlsx</t>
  </si>
  <si>
    <t>시트구성 확인 / 7시트</t>
  </si>
  <si>
    <t>04_기록양식_FM/원본_편집용/050_SH-FM-320-322_SQ보통_양식초안_Rev00_수정본3.xlsx</t>
  </si>
  <si>
    <t>04_기록양식_FM/원본_편집용/051_SH-FM-323-326_SQ낮음_양식초안_Rev00_수정본3.xlsx</t>
  </si>
  <si>
    <t>04_기록양식_FM/원본_편집용/052_SH-FM-327-336_SQ보통_양식초안_Rev00_수정본3.xlsx</t>
  </si>
  <si>
    <t>04_기록양식_FM/원본_편집용/053_SH-FM-337-345_SQ낮음_양식초안_Rev00_수정본3.xlsx</t>
  </si>
  <si>
    <t>04_기록양식_FM/원본_편집용/054_SH-FM-347-354_SQ낮음_양식초안_Rev00_수정본3.xlsx</t>
  </si>
  <si>
    <t>04_기록양식_FM/원본_편집용/055_SH-FM-356_SQ낮음_양식초안_Rev00_수정본3.xlsx</t>
  </si>
  <si>
    <t>04_기록양식_FM/원본_편집용/056_SH-FM-357-362_SQ보통_양식초안_Rev00_수정본3.xlsx</t>
  </si>
  <si>
    <t>04_기록양식_FM/원본_편집용/057_SH-FM-363_기록인계대장_Rev00_수정본12.xlsx</t>
  </si>
  <si>
    <t>04_기록양식_FM/원본_편집용/058_SH-FM-364_백업복구점검기록_Rev00_수정본12.xlsx</t>
  </si>
  <si>
    <t>04_기록양식_FM/원본_편집용/059_SH-FM-365_공급자신규평가표_Rev00_수정본2.xlsx</t>
  </si>
  <si>
    <t>04_기록양식_FM/원본_편집용/060_SH-FM-366_공급자정기평가표_Rev00_수정본2.xlsx</t>
  </si>
  <si>
    <t>04_기록양식_FM/원본_편집용/061_SH-FM-367_용접부자재관리대장_Rev00_수정본4.xlsx</t>
  </si>
  <si>
    <t>04_기록양식_FM/원본_편집용/062_SH-FM-368_사내자재코드표_Rev00_수정본2.xlsx</t>
  </si>
  <si>
    <t>FM 참조 연결과 추가 확인</t>
  </si>
  <si>
    <t>식별자 직접 매칭이 안 된 경우에도 양식 부재로 단정하지 않습니다. 범위표현·별도 원본·대체양식을 확인하고 근거를 입력합니다.</t>
  </si>
  <si>
    <t>FM번호</t>
  </si>
  <si>
    <t>참조문서 수</t>
  </si>
  <si>
    <t>참조 문서 표본</t>
  </si>
  <si>
    <t>식별 연결된 워크북</t>
  </si>
  <si>
    <t>대조 상태</t>
  </si>
  <si>
    <t>판정 범위</t>
  </si>
  <si>
    <t>추가 확인 근거</t>
  </si>
  <si>
    <t>SH-FM-001</t>
  </si>
  <si>
    <t>002_SH-QP-002_문서화된정보관리절차서_Rev03_수정본8.docx
021_SH-QP-021_품질목표및KPI관리절차서_Rev03_수정본2.docx
001_SH-QM-001_품질경영매뉴얼_Rev03_수정본7.docx
외 1개</t>
  </si>
  <si>
    <t>제목・시트명·파일명에서 직접 매칭되지 않음</t>
  </si>
  <si>
    <t>실물 대조 필요</t>
  </si>
  <si>
    <t>연결은 양식 식별 기준이며 실제 작성·승인 확인과 별개</t>
  </si>
  <si>
    <t>SH-FM-013</t>
  </si>
  <si>
    <t>SH_QMS_통합문서_Rev03_20260929_수정본16.docx</t>
  </si>
  <si>
    <t>SH-FM-015</t>
  </si>
  <si>
    <t>SH-FM-018</t>
  </si>
  <si>
    <t>SH-FM-025</t>
  </si>
  <si>
    <t>SH-FM-026</t>
  </si>
  <si>
    <t>SH-FM-027</t>
  </si>
  <si>
    <t>SH-FM-028</t>
  </si>
  <si>
    <t>SH-FM-041</t>
  </si>
  <si>
    <t>SH-FM-043</t>
  </si>
  <si>
    <t>SH-FM-044</t>
  </si>
  <si>
    <t>SH-FM-051</t>
  </si>
  <si>
    <t>SH-FM-052</t>
  </si>
  <si>
    <t>022_SH-WI-022_변경초기유동및강화검사작업표준_Rev03_수정본2.docx
SH_QMS_통합문서_Rev03_20260929_수정본16.docx</t>
  </si>
  <si>
    <t>SH-FM-058</t>
  </si>
  <si>
    <t>SH-FM-059</t>
  </si>
  <si>
    <t>SH-FM-065</t>
  </si>
  <si>
    <t>SH-FM-066</t>
  </si>
  <si>
    <t>022_SH-QP-022_제품안전관리절차서_Rev03_수정본2.docx
SH_QMS_통합문서_Rev03_20260929_수정본16.docx</t>
  </si>
  <si>
    <t>002_SH-FM-066-069_078-080_094_096_공식양식_Rev00_수정본2.xlsx</t>
  </si>
  <si>
    <t>식별 연결 확인</t>
  </si>
  <si>
    <t>SH-FM-067</t>
  </si>
  <si>
    <t>SH-FM-068</t>
  </si>
  <si>
    <t>SH-FM-069</t>
  </si>
  <si>
    <t>SH-FM-070</t>
  </si>
  <si>
    <t>SH-FM-071</t>
  </si>
  <si>
    <t>003_SH-WI-003_부적합품식별·격리및재작업표준_Rev03_수정본2.docx
SH_QMS_통합문서_Rev03_20260929_수정본16.docx</t>
  </si>
  <si>
    <t>003_SH-FM-071_부적합품관련관리기록_Rev00_수정본4.xlsx</t>
  </si>
  <si>
    <t>SH-FM-072</t>
  </si>
  <si>
    <t>SH-FM-078</t>
  </si>
  <si>
    <t>023_SH-QP-023_통계적공정관리(SPC)절차서_Rev03_수정본2.docx
SH_QMS_통합문서_Rev03_20260929_수정본16.docx</t>
  </si>
  <si>
    <t>SH-FM-079</t>
  </si>
  <si>
    <t>SH-FM-080</t>
  </si>
  <si>
    <t>SH-FM-089</t>
  </si>
  <si>
    <t>SH-FM-094</t>
  </si>
  <si>
    <t>024_SH-QP-024_품질비용및지속적개선절차서_Rev03_수정본2.docx
SH_QMS_통합문서_Rev03_20260929_수정본16.docx</t>
  </si>
  <si>
    <t>SH-FM-096</t>
  </si>
  <si>
    <t>SH-FM-101</t>
  </si>
  <si>
    <t>018_SH-QP-018_식별및추적성관리절차서_Rev03_수정본18.docx</t>
  </si>
  <si>
    <t>004_SH-FM-101-121_현장작성양식_Rev03_수정본11.xlsx</t>
  </si>
  <si>
    <t>SH-FM-102</t>
  </si>
  <si>
    <t>018_SH-QP-018_식별및추적성관리절차서_Rev03_수정본18.docx
005_SH-WI-005_제품식별·LOT추적및출하표준_Rev03_수정본2.docx
SH_QMS_통합문서_Rev03_20260929_수정본16.docx</t>
  </si>
  <si>
    <t>SH-FM-104</t>
  </si>
  <si>
    <t>SH-FM-106</t>
  </si>
  <si>
    <t>001_SH-WI-001_생산작업준비및초품확인표준_Rev03_수정본2.docx
SH_QMS_통합문서_Rev03_20260929_수정본16.docx</t>
  </si>
  <si>
    <t>SH-FM-117</t>
  </si>
  <si>
    <t>002_SH-WI-002_공정검사및특수특성관리표준_Rev03_수정본2.docx
SH_QMS_통합문서_Rev03_20260929_수정본16.docx</t>
  </si>
  <si>
    <t>SH-FM-138</t>
  </si>
  <si>
    <t>012_SH-QP-012_생산및공정관리절차서_Rev03_수정본2.docx
SH_QMS_통합문서_Rev03_20260929_수정본16.docx</t>
  </si>
  <si>
    <t>010_SH-FM-138-140_SQ보통_양식초안_Rev00_수정본3.xlsx</t>
  </si>
  <si>
    <t>SH-FM-143</t>
  </si>
  <si>
    <t>011_SH-FM-142-143_SQ보통_양식초안_Rev00_수정본3.xlsx</t>
  </si>
  <si>
    <t>SH-FM-149</t>
  </si>
  <si>
    <t>011_SH-WI-011_공정조건설정및변경관리표준_Rev03_수정본2.docx
SH_QMS_통합문서_Rev03_20260929_수정본16.docx</t>
  </si>
  <si>
    <t>015_SH-FM-149-151_SQ높음_양식초안_Rev00_수정본3.xlsx</t>
  </si>
  <si>
    <t>SH-FM-150</t>
  </si>
  <si>
    <t>SH-FM-151</t>
  </si>
  <si>
    <t>SH-FM-165</t>
  </si>
  <si>
    <t>013_SH-QP-013_검사및시험관리절차서_Rev03_수정본2.docx
SH_QMS_통합문서_Rev03_20260929_수정본16.docx</t>
  </si>
  <si>
    <t>017_SH-FM-160-166_SQ보통_양식초안_Rev00_수정본3.xlsx</t>
  </si>
  <si>
    <t>SH-FM-190</t>
  </si>
  <si>
    <t>017_SH-WI-017_청정도및이물관리작업표준_Rev03_수정본2.docx
SH_QMS_통합문서_Rev03_20260929_수정본16.docx</t>
  </si>
  <si>
    <t>023_SH-FM-190_SQ높음_양식초안_Rev00_수정본3.xlsx</t>
  </si>
  <si>
    <t>SH-FM-200</t>
  </si>
  <si>
    <t>026_SH-FM-200-201_SQ높음_양식초안_Rev00_수정본3.xlsx</t>
  </si>
  <si>
    <t>SH-FM-201</t>
  </si>
  <si>
    <t>SH-FM-203</t>
  </si>
  <si>
    <t>027_SH-FM-203-204_SQ높음_양식초안_Rev00_수정본3.xlsx</t>
  </si>
  <si>
    <t>SH-FM-204</t>
  </si>
  <si>
    <t>SH-FM-220</t>
  </si>
  <si>
    <t>016_SH-WI-016_예방보전및설비점검작업표준_Rev03_수정본2.docx
SH_QMS_통합문서_Rev03_20260929_수정본16.docx</t>
  </si>
  <si>
    <t>029_SH-FM-211-220_SQ보통_양식초안_Rev00_수정본3.xlsx</t>
  </si>
  <si>
    <t>SH-FM-225</t>
  </si>
  <si>
    <t>031_SH-FM-225_SQ보통_양식초안_Rev00_수정본3.xlsx</t>
  </si>
  <si>
    <t>SH-FM-231</t>
  </si>
  <si>
    <t>033_SH-FM-231-234_SQ보통_양식초안_Rev00_수정본3.xlsx</t>
  </si>
  <si>
    <t>SH-FM-232</t>
  </si>
  <si>
    <t>SH-FM-233</t>
  </si>
  <si>
    <t>SH-FM-234</t>
  </si>
  <si>
    <t>SH-FM-281</t>
  </si>
  <si>
    <t>019_SH-QP-019_보관·포장및출하관리절차서_Rev03_수정본2.docx
SH_QMS_통합문서_Rev03_20260929_수정본16.docx</t>
  </si>
  <si>
    <t>045_SH-FM-281-291_SQ보통_양식초안_Rev00_수정본3.xlsx</t>
  </si>
  <si>
    <t>SH-FM-282</t>
  </si>
  <si>
    <t>SH-FM-288</t>
  </si>
  <si>
    <t>001_SH-QM-001_품질경영매뉴얼_Rev03_수정본7.docx
SH_QMS_통합문서_Rev03_20260929_수정본16.docx</t>
  </si>
  <si>
    <t>SH-FM-289</t>
  </si>
  <si>
    <t>SH-FM-292</t>
  </si>
  <si>
    <t>SH-FM-293</t>
  </si>
  <si>
    <t>046_SH-FM-293-307_SQ보통_양식초안_Rev00_수정본3.xlsx</t>
  </si>
  <si>
    <t>SH-FM-296</t>
  </si>
  <si>
    <t>SH-FM-298</t>
  </si>
  <si>
    <t>SH-FM-303</t>
  </si>
  <si>
    <t>002_SH-QP-002_문서화된정보관리절차서_Rev03_수정본8.docx
SH_QMS_통합문서_Rev03_20260929_수정본16.docx</t>
  </si>
  <si>
    <t>SH-FM-313</t>
  </si>
  <si>
    <t>006_SH-QP-006_교육훈련및역량관리절차서_Rev03_수정본2.docx
SH_QMS_통합문서_Rev03_20260929_수정본16.docx</t>
  </si>
  <si>
    <t>049_SH-FM-313-318_SQ보통_양식초안_Rev00_수정본3.xlsx</t>
  </si>
  <si>
    <t>SH-FM-316</t>
  </si>
  <si>
    <t>007_SH-WI-007_검사구및GaugeR&amp;R수행표준_Rev03_수정본2.docx
SH_QMS_통합문서_Rev03_20260929_수정본16.docx</t>
  </si>
  <si>
    <t>SH-FM-317</t>
  </si>
  <si>
    <t>SH-FM-336</t>
  </si>
  <si>
    <t>016_SH-QP-016_시정조치및문제해결절차서_Rev03_수정본2.docx
SH_QMS_통합문서_Rev03_20260929_수정본16.docx</t>
  </si>
  <si>
    <t>052_SH-FM-327-336_SQ보통_양식초안_Rev00_수정본3.xlsx</t>
  </si>
  <si>
    <t>SH-FM-337</t>
  </si>
  <si>
    <t>053_SH-FM-337-345_SQ낮음_양식초안_Rev00_수정본3.xlsx</t>
  </si>
  <si>
    <t>SH-FM-339</t>
  </si>
  <si>
    <t>SH-FM-340</t>
  </si>
  <si>
    <t>SH-FM-343</t>
  </si>
  <si>
    <t>021_SH-WI-021_공정감사및LayeredProcessAudit실행표준_Rev03_수정본2.docx
SH_QMS_통합문서_Rev03_20260929_수정본16.docx</t>
  </si>
  <si>
    <t>SH-FM-345</t>
  </si>
  <si>
    <t>SH-FM-348</t>
  </si>
  <si>
    <t>054_SH-FM-347-354_SQ낮음_양식초안_Rev00_수정본3.xlsx</t>
  </si>
  <si>
    <t>SH-FM-357</t>
  </si>
  <si>
    <t>056_SH-FM-357-362_SQ보통_양식초안_Rev00_수정본3.xlsx</t>
  </si>
  <si>
    <t>SH-FM-358</t>
  </si>
  <si>
    <t>SH-FM-359</t>
  </si>
  <si>
    <t>SH-FM-360</t>
  </si>
  <si>
    <t>SH-FM-362</t>
  </si>
  <si>
    <t>SH-FM-363</t>
  </si>
  <si>
    <t>057_SH-FM-363_기록인계대장_Rev00_수정본12.xlsx</t>
  </si>
  <si>
    <t>SH-FM-364</t>
  </si>
  <si>
    <t>058_SH-FM-364_백업복구점검기록_Rev00_수정본12.xlsx</t>
  </si>
  <si>
    <t>SH-FM-365</t>
  </si>
  <si>
    <t>059_SH-FM-365_공급자신규평가표_Rev00_수정본2.xlsx</t>
  </si>
  <si>
    <t>SH-FM-366</t>
  </si>
  <si>
    <t>060_SH-FM-366_공급자정기평가표_Rev00_수정본2.xlsx</t>
  </si>
  <si>
    <t>비용과 지급일 확인</t>
  </si>
  <si>
    <t>청구서 NQA202610-2101(2026-10-21) 및 기안 작성본 기준. 숙박비·수수료는 별도이며 실제 지급·승인 근거가 필요합니다.</t>
  </si>
  <si>
    <t>항목</t>
  </si>
  <si>
    <t>금액·입력값</t>
  </si>
  <si>
    <t>조건·근거</t>
  </si>
  <si>
    <t>기획검토 비용</t>
  </si>
  <si>
    <t>청구 확인</t>
  </si>
  <si>
    <t>사후심사 비용</t>
  </si>
  <si>
    <t>등록 유지비</t>
  </si>
  <si>
    <t>출장비</t>
  </si>
  <si>
    <t>심사비 네고</t>
  </si>
  <si>
    <t>차감</t>
  </si>
  <si>
    <t>공급가액</t>
  </si>
  <si>
    <t>세부항목 합계</t>
  </si>
  <si>
    <t>VAT</t>
  </si>
  <si>
    <t>10%</t>
  </si>
  <si>
    <t>청구 총액</t>
  </si>
  <si>
    <t>VAT 포함</t>
  </si>
  <si>
    <t>숙박비</t>
  </si>
  <si>
    <t>실제 필요·금액 확인</t>
  </si>
  <si>
    <t>이체수수료</t>
  </si>
  <si>
    <t>실제 금액 확인</t>
  </si>
  <si>
    <t>심사 시작일</t>
  </si>
  <si>
    <t>일정통보서 기준 입력</t>
  </si>
  <si>
    <t>지급기한</t>
  </si>
  <si>
    <t>시작일 7일 전</t>
  </si>
  <si>
    <t>실제 지급일</t>
  </si>
  <si>
    <t>실제 송금일 입력</t>
  </si>
  <si>
    <t>지급·승인 근거</t>
  </si>
  <si>
    <t>결재·세금계산서·전표 경로</t>
  </si>
  <si>
    <t>지급기한 상태</t>
  </si>
  <si>
    <t>실제 지급근거와 함께 검토</t>
  </si>
  <si>
    <t>IATF 16949 심사 준비 실행관리</t>
  </si>
  <si>
    <t>(주)신화에이치앤티   첨부 서식 기준 실행관리 보완   2026-10-27   Rev.01</t>
  </si>
  <si>
    <t>진행 순서: 01 담당·목표일 → 02 실제 증빙 → 03 모의심사·선행증빙 → 05 시정조치 → 06 최종판정</t>
  </si>
  <si>
    <t>점검 기준일</t>
  </si>
  <si>
    <t>기한판정 기준일입니다. 실제 결재·완료일과 구분합니다.</t>
  </si>
  <si>
    <t>미확인 실행항목</t>
  </si>
  <si>
    <t>01 시트 최종상태 기준</t>
  </si>
  <si>
    <t>목표일 지난 항목</t>
  </si>
  <si>
    <t>01 시트 기한판정 기준</t>
  </si>
  <si>
    <t>현재 우선작업</t>
  </si>
  <si>
    <t>U01~U06 담당·일정·행정증빙 확인</t>
  </si>
  <si>
    <t>01 시트 P열의 다음 확인사항을 따릅니다.</t>
  </si>
  <si>
    <t>기존 H~L 입력칸 유지. N 완료목표일 입력 / O 기한판정 / P 다음 확인사항. U04 목표일은 10_비용일정의 지급기한과 연결됩니다.</t>
  </si>
  <si>
    <t>완료목표일</t>
  </si>
  <si>
    <t>기한판정</t>
  </si>
  <si>
    <t>다음 확인사항</t>
  </si>
  <si>
    <t>연계 모의심사</t>
  </si>
  <si>
    <t>M06·M20</t>
  </si>
  <si>
    <t>M07·M17</t>
  </si>
  <si>
    <t>M15·M16</t>
  </si>
  <si>
    <t>M17·M18·M19</t>
  </si>
  <si>
    <t>M16·M20</t>
  </si>
  <si>
    <t>기존 실제 결과 입력칸 유지. M열에서 해당 질문의 운영증빙 또는 신청자료 확인상태를 자동 대조합니다. 실제 실시 결과와 구분합니다.</t>
  </si>
  <si>
    <t>선행 증빙 상태</t>
  </si>
  <si>
    <t>상기 네 조건과 모의심사 선행증빙 20항목 확인 후 승인권자 검토</t>
  </si>
  <si>
    <t>박철호</t>
    <phoneticPr fontId="7" type="noConversion"/>
  </si>
  <si>
    <t>안혜정</t>
    <phoneticPr fontId="7" type="noConversion"/>
  </si>
  <si>
    <t>26.11.02</t>
    <phoneticPr fontId="7" type="noConversion"/>
  </si>
  <si>
    <t>26.11.06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</si>
</sst>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name val="Carlito"/>
    </font>
    <font>
      <sz val="13"/>
      <color rgb="FF172B40"/>
      <name val="NanumGothic"/>
    </font>
    <font>
      <b/>
      <sz val="22"/>
      <color rgb="FF17365D"/>
      <name val="NanumGothic"/>
    </font>
    <font>
      <b/>
      <sz val="13"/>
      <color rgb="FFFFFFFF"/>
      <name val="NanumGothic"/>
    </font>
    <font>
      <sz val="13"/>
      <name val="NanumGothic"/>
    </font>
    <font>
      <sz val="11"/>
      <name val="Carlito"/>
      <family val="2"/>
    </font>
    <font>
      <b/>
      <sz val="13"/>
      <color theme="0"/>
      <name val="NanumGothic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1F5F9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176" fontId="1" fillId="5" borderId="1" xfId="1" applyNumberFormat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176" fontId="0" fillId="5" borderId="1" xfId="1" applyNumberFormat="1" applyFont="1" applyFill="1" applyBorder="1" applyAlignment="1">
      <alignment horizontal="center" vertical="center"/>
    </xf>
    <xf numFmtId="3" fontId="1" fillId="0" borderId="1" xfId="1" applyNumberFormat="1" applyFont="1" applyBorder="1" applyAlignment="1">
      <alignment horizontal="center" vertical="center" wrapText="1"/>
    </xf>
    <xf numFmtId="3" fontId="1" fillId="3" borderId="1" xfId="1" applyNumberFormat="1" applyFont="1" applyFill="1" applyBorder="1" applyAlignment="1">
      <alignment horizontal="center" vertical="center" wrapText="1"/>
    </xf>
    <xf numFmtId="3" fontId="1" fillId="5" borderId="1" xfId="1" applyNumberFormat="1" applyFont="1" applyFill="1" applyBorder="1" applyAlignment="1">
      <alignment horizontal="center" vertical="center" wrapText="1"/>
    </xf>
    <xf numFmtId="176" fontId="1" fillId="3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6">
    <dxf>
      <font>
        <color rgb="FF9C0006"/>
      </font>
      <fill>
        <patternFill patternType="solid"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C30"/>
  <sheetViews>
    <sheetView showGridLines="0" topLeftCell="A10" workbookViewId="0">
      <selection activeCell="B33" sqref="B33"/>
    </sheetView>
  </sheetViews>
  <sheetFormatPr defaultRowHeight="15" x14ac:dyDescent="0.25"/>
  <cols>
    <col min="1" max="1" width="22" customWidth="1"/>
    <col min="2" max="2" width="88" customWidth="1"/>
    <col min="3" max="3" width="100" customWidth="1"/>
  </cols>
  <sheetData>
    <row r="1" spans="1:3" ht="15.75" x14ac:dyDescent="0.25">
      <c r="A1" s="1"/>
      <c r="B1" s="1"/>
      <c r="C1" s="1"/>
    </row>
    <row r="2" spans="1:3" ht="33.950000000000003" customHeight="1" x14ac:dyDescent="0.25">
      <c r="A2" s="2" t="s">
        <v>779</v>
      </c>
      <c r="B2" s="1"/>
      <c r="C2" s="1"/>
    </row>
    <row r="3" spans="1:3" ht="27.95" customHeight="1" x14ac:dyDescent="0.25">
      <c r="A3" s="1" t="s">
        <v>780</v>
      </c>
      <c r="B3" s="1"/>
      <c r="C3" s="1"/>
    </row>
    <row r="4" spans="1:3" ht="15.75" x14ac:dyDescent="0.25">
      <c r="A4" s="1"/>
      <c r="B4" s="1"/>
      <c r="C4" s="1"/>
    </row>
    <row r="5" spans="1:3" ht="33.950000000000003" customHeight="1" x14ac:dyDescent="0.25">
      <c r="A5" s="4" t="s">
        <v>0</v>
      </c>
      <c r="B5" s="4" t="s">
        <v>1</v>
      </c>
      <c r="C5" s="4" t="s">
        <v>2</v>
      </c>
    </row>
    <row r="6" spans="1:3" ht="34.5" customHeight="1" x14ac:dyDescent="0.25">
      <c r="A6" s="5" t="s">
        <v>3</v>
      </c>
      <c r="B6" s="5" t="s">
        <v>4</v>
      </c>
      <c r="C6" s="5" t="s">
        <v>5</v>
      </c>
    </row>
    <row r="7" spans="1:3" ht="34.5" customHeight="1" x14ac:dyDescent="0.25">
      <c r="A7" s="6" t="s">
        <v>6</v>
      </c>
      <c r="B7" s="6" t="s">
        <v>7</v>
      </c>
      <c r="C7" s="6" t="s">
        <v>8</v>
      </c>
    </row>
    <row r="8" spans="1:3" ht="34.5" customHeight="1" x14ac:dyDescent="0.25">
      <c r="A8" s="5" t="s">
        <v>9</v>
      </c>
      <c r="B8" s="5" t="s">
        <v>10</v>
      </c>
      <c r="C8" s="5" t="s">
        <v>11</v>
      </c>
    </row>
    <row r="9" spans="1:3" ht="34.5" customHeight="1" x14ac:dyDescent="0.25">
      <c r="A9" s="6" t="s">
        <v>12</v>
      </c>
      <c r="B9" s="6" t="s">
        <v>13</v>
      </c>
      <c r="C9" s="6" t="s">
        <v>14</v>
      </c>
    </row>
    <row r="10" spans="1:3" ht="34.5" customHeight="1" x14ac:dyDescent="0.25">
      <c r="A10" s="5" t="s">
        <v>15</v>
      </c>
      <c r="B10" s="5" t="s">
        <v>16</v>
      </c>
      <c r="C10" s="5" t="s">
        <v>17</v>
      </c>
    </row>
    <row r="11" spans="1:3" ht="34.5" customHeight="1" x14ac:dyDescent="0.25">
      <c r="A11" s="6" t="s">
        <v>18</v>
      </c>
      <c r="B11" s="6" t="s">
        <v>19</v>
      </c>
      <c r="C11" s="6" t="s">
        <v>20</v>
      </c>
    </row>
    <row r="12" spans="1:3" ht="34.5" customHeight="1" x14ac:dyDescent="0.25">
      <c r="A12" s="5" t="s">
        <v>21</v>
      </c>
      <c r="B12" s="5" t="s">
        <v>22</v>
      </c>
      <c r="C12" s="5" t="s">
        <v>23</v>
      </c>
    </row>
    <row r="13" spans="1:3" ht="34.5" customHeight="1" x14ac:dyDescent="0.25">
      <c r="A13" s="6" t="s">
        <v>24</v>
      </c>
      <c r="B13" s="6" t="s">
        <v>25</v>
      </c>
      <c r="C13" s="6" t="s">
        <v>26</v>
      </c>
    </row>
    <row r="14" spans="1:3" ht="15.75" x14ac:dyDescent="0.25">
      <c r="A14" s="1"/>
      <c r="B14" s="1"/>
      <c r="C14" s="1"/>
    </row>
    <row r="16" spans="1:3" ht="32.1" customHeight="1" x14ac:dyDescent="0.25">
      <c r="A16" s="7" t="s">
        <v>27</v>
      </c>
      <c r="B16" s="7" t="s">
        <v>28</v>
      </c>
      <c r="C16" s="7" t="s">
        <v>29</v>
      </c>
    </row>
    <row r="17" spans="1:3" ht="32.1" customHeight="1" x14ac:dyDescent="0.25">
      <c r="A17" s="8" t="s">
        <v>30</v>
      </c>
      <c r="B17" s="8">
        <f>COUNTIF('01_사용자정리'!M6:M19,"완료")</f>
        <v>0</v>
      </c>
      <c r="C17" s="8">
        <v>14</v>
      </c>
    </row>
    <row r="18" spans="1:3" ht="32.1" customHeight="1" x14ac:dyDescent="0.25">
      <c r="A18" s="8" t="s">
        <v>31</v>
      </c>
      <c r="B18" s="8">
        <f>COUNTIF('02_운영증빙'!N6:N25,"확인")</f>
        <v>0</v>
      </c>
      <c r="C18" s="8">
        <v>20</v>
      </c>
    </row>
    <row r="19" spans="1:3" ht="32.1" customHeight="1" x14ac:dyDescent="0.25">
      <c r="A19" s="8" t="s">
        <v>32</v>
      </c>
      <c r="B19" s="8">
        <f>COUNTIF('03_모의심사'!L6:L25,"확인")</f>
        <v>0</v>
      </c>
      <c r="C19" s="8">
        <v>20</v>
      </c>
    </row>
    <row r="22" spans="1:3" x14ac:dyDescent="0.25">
      <c r="A22" t="s">
        <v>33</v>
      </c>
    </row>
    <row r="24" spans="1:3" x14ac:dyDescent="0.25">
      <c r="A24" t="s">
        <v>781</v>
      </c>
    </row>
    <row r="26" spans="1:3" ht="38.1" customHeight="1" x14ac:dyDescent="0.25">
      <c r="A26" s="8" t="s">
        <v>782</v>
      </c>
      <c r="B26" s="21">
        <v>46322</v>
      </c>
      <c r="C26" s="8" t="s">
        <v>783</v>
      </c>
    </row>
    <row r="28" spans="1:3" ht="48" customHeight="1" x14ac:dyDescent="0.25">
      <c r="A28" s="8" t="s">
        <v>784</v>
      </c>
      <c r="B28" s="8">
        <f>14-COUNTIF('01_사용자정리'!M6:M19,"완료")</f>
        <v>14</v>
      </c>
      <c r="C28" s="8" t="s">
        <v>785</v>
      </c>
    </row>
    <row r="29" spans="1:3" ht="48" customHeight="1" x14ac:dyDescent="0.25">
      <c r="A29" s="8" t="s">
        <v>786</v>
      </c>
      <c r="B29" s="8">
        <f>COUNTIF('01_사용자정리'!O6:O19,"기한초과")</f>
        <v>0</v>
      </c>
      <c r="C29" s="8" t="s">
        <v>787</v>
      </c>
    </row>
    <row r="30" spans="1:3" ht="48" customHeight="1" x14ac:dyDescent="0.25">
      <c r="A30" s="8" t="s">
        <v>788</v>
      </c>
      <c r="B30" s="23" t="s">
        <v>789</v>
      </c>
      <c r="C30" s="8" t="s">
        <v>790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9325"/>
  </sheetPr>
  <dimension ref="A1:P20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P7" sqref="P7"/>
    </sheetView>
  </sheetViews>
  <sheetFormatPr defaultRowHeight="15" x14ac:dyDescent="0.25"/>
  <cols>
    <col min="1" max="1" width="10" customWidth="1"/>
    <col min="2" max="2" width="12.625" customWidth="1"/>
    <col min="3" max="3" width="29.125" customWidth="1"/>
    <col min="4" max="4" width="26.875" customWidth="1"/>
    <col min="5" max="5" width="50.375" customWidth="1"/>
    <col min="6" max="6" width="25.875" customWidth="1"/>
    <col min="7" max="7" width="21.5" customWidth="1"/>
    <col min="8" max="8" width="16.625" customWidth="1"/>
    <col min="9" max="9" width="20.625" customWidth="1"/>
    <col min="10" max="10" width="11.125" customWidth="1"/>
    <col min="11" max="11" width="11.625" customWidth="1"/>
    <col min="12" max="12" width="12.625" customWidth="1"/>
    <col min="13" max="13" width="12.25" customWidth="1"/>
    <col min="14" max="14" width="20" customWidth="1"/>
    <col min="15" max="15" width="25" customWidth="1"/>
    <col min="16" max="16" width="52" customWidth="1"/>
  </cols>
  <sheetData>
    <row r="1" spans="1:16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33.950000000000003" customHeight="1" x14ac:dyDescent="0.25">
      <c r="A2" s="2" t="s">
        <v>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27.95" customHeight="1" x14ac:dyDescent="0.25">
      <c r="A3" s="1" t="s">
        <v>791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6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6" ht="33.950000000000003" customHeight="1" x14ac:dyDescent="0.2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20" t="s">
        <v>41</v>
      </c>
      <c r="H5" s="20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792</v>
      </c>
      <c r="O5" s="4" t="s">
        <v>793</v>
      </c>
      <c r="P5" s="4" t="s">
        <v>794</v>
      </c>
    </row>
    <row r="6" spans="1:16" ht="43.5" customHeight="1" x14ac:dyDescent="0.25">
      <c r="A6" s="9" t="s">
        <v>48</v>
      </c>
      <c r="B6" s="9" t="s">
        <v>49</v>
      </c>
      <c r="C6" s="9" t="s">
        <v>50</v>
      </c>
      <c r="D6" s="9" t="s">
        <v>51</v>
      </c>
      <c r="E6" s="9" t="s">
        <v>52</v>
      </c>
      <c r="F6" s="9" t="s">
        <v>53</v>
      </c>
      <c r="G6" s="9" t="s">
        <v>54</v>
      </c>
      <c r="H6" s="10" t="s">
        <v>804</v>
      </c>
      <c r="I6" s="10"/>
      <c r="J6" s="11"/>
      <c r="K6" s="10" t="s">
        <v>55</v>
      </c>
      <c r="L6" s="10"/>
      <c r="M6" s="9" t="str">
        <f t="shared" ref="M6:M19" si="0">IF(OR(K6="완료",K6="비적용"),IF(AND(H6&lt;&gt;"",I6&lt;&gt;"",ISNUMBER(J6),L6&lt;&gt;""),"완료","근거 확인 필요"),K6)</f>
        <v>미확인</v>
      </c>
      <c r="N6" s="22" t="s">
        <v>806</v>
      </c>
      <c r="O6" s="9" t="str">
        <f>IF(NOT(ISNUMBER(N6)),"목표일 미입력",IF(M6="완료",IF(J6&lt;=N6,"기한 내 확인","기한 후 확인"),IF(N6&lt;'00_최종안내'!$B$26,"기한초과",IF(N6-'00_최종안내'!$B$26&lt;=3,"3일 이내","기한 내 진행"))))</f>
        <v>목표일 미입력</v>
      </c>
      <c r="P6" s="9" t="str">
        <f>IF(M6="완료","완료",IF(H6="","실제 담당자 지정",IF(I6="","증빙 경로 등록",IF(NOT(ISNUMBER(J6)),"확인일 입력",IF(L6="","확인자 입력","입력 상태 검토")))))</f>
        <v>증빙 경로 등록</v>
      </c>
    </row>
    <row r="7" spans="1:16" ht="43.5" customHeight="1" x14ac:dyDescent="0.25">
      <c r="A7" s="12" t="s">
        <v>56</v>
      </c>
      <c r="B7" s="12" t="s">
        <v>49</v>
      </c>
      <c r="C7" s="12" t="s">
        <v>57</v>
      </c>
      <c r="D7" s="12" t="s">
        <v>58</v>
      </c>
      <c r="E7" s="12" t="s">
        <v>59</v>
      </c>
      <c r="F7" s="12" t="s">
        <v>60</v>
      </c>
      <c r="G7" s="12" t="s">
        <v>61</v>
      </c>
      <c r="H7" s="10" t="s">
        <v>804</v>
      </c>
      <c r="I7" s="10"/>
      <c r="J7" s="11"/>
      <c r="K7" s="10" t="s">
        <v>55</v>
      </c>
      <c r="L7" s="10"/>
      <c r="M7" s="12" t="str">
        <f t="shared" si="0"/>
        <v>미확인</v>
      </c>
      <c r="N7" s="22" t="s">
        <v>806</v>
      </c>
      <c r="O7" s="12" t="str">
        <f>IF(NOT(ISNUMBER(N7)),"목표일 미입력",IF(M7="완료",IF(J7&lt;=N7,"기한 내 확인","기한 후 확인"),IF(N7&lt;'00_최종안내'!$B$26,"기한초과",IF(N7-'00_최종안내'!$B$26&lt;=3,"3일 이내","기한 내 진행"))))</f>
        <v>목표일 미입력</v>
      </c>
      <c r="P7" s="12" t="str">
        <f>IF(M7="완료","완료",IF(H7="","실제 담당자 지정",IF(I7="","증빙 경로 등록",IF(NOT(ISNUMBER(J7)),"확인일 입력",IF(L7="","확인자 입력","입력 상태 검토")))))</f>
        <v>증빙 경로 등록</v>
      </c>
    </row>
    <row r="8" spans="1:16" ht="43.5" customHeight="1" x14ac:dyDescent="0.25">
      <c r="A8" s="9" t="s">
        <v>62</v>
      </c>
      <c r="B8" s="9" t="s">
        <v>49</v>
      </c>
      <c r="C8" s="9" t="s">
        <v>63</v>
      </c>
      <c r="D8" s="9" t="s">
        <v>64</v>
      </c>
      <c r="E8" s="9" t="s">
        <v>65</v>
      </c>
      <c r="F8" s="9" t="s">
        <v>66</v>
      </c>
      <c r="G8" s="9" t="s">
        <v>67</v>
      </c>
      <c r="H8" s="10" t="s">
        <v>804</v>
      </c>
      <c r="I8" s="10"/>
      <c r="J8" s="11"/>
      <c r="K8" s="10" t="s">
        <v>55</v>
      </c>
      <c r="L8" s="10"/>
      <c r="M8" s="9" t="str">
        <f t="shared" si="0"/>
        <v>미확인</v>
      </c>
      <c r="N8" s="22" t="s">
        <v>806</v>
      </c>
      <c r="O8" s="9" t="str">
        <f>IF(NOT(ISNUMBER(N8)),"목표일 미입력",IF(M8="완료",IF(J8&lt;=N8,"기한 내 확인","기한 후 확인"),IF(N8&lt;'00_최종안내'!$B$26,"기한초과",IF(N8-'00_최종안내'!$B$26&lt;=3,"3일 이내","기한 내 진행"))))</f>
        <v>목표일 미입력</v>
      </c>
      <c r="P8" s="9" t="str">
        <f>IF(M8="완료","완료",IF(H8="","실제 담당자 지정",IF(I8="","증빙 경로 등록",IF(NOT(ISNUMBER(J8)),"확인일 입력",IF(L8="","확인자 입력","입력 상태 검토")))))</f>
        <v>증빙 경로 등록</v>
      </c>
    </row>
    <row r="9" spans="1:16" ht="43.5" customHeight="1" x14ac:dyDescent="0.25">
      <c r="A9" s="12" t="s">
        <v>68</v>
      </c>
      <c r="B9" s="12" t="s">
        <v>49</v>
      </c>
      <c r="C9" s="12" t="s">
        <v>69</v>
      </c>
      <c r="D9" s="12" t="s">
        <v>70</v>
      </c>
      <c r="E9" s="12" t="s">
        <v>71</v>
      </c>
      <c r="F9" s="12" t="s">
        <v>72</v>
      </c>
      <c r="G9" s="12" t="s">
        <v>73</v>
      </c>
      <c r="H9" s="10" t="s">
        <v>805</v>
      </c>
      <c r="I9" s="10"/>
      <c r="J9" s="11"/>
      <c r="K9" s="10" t="s">
        <v>55</v>
      </c>
      <c r="L9" s="10"/>
      <c r="M9" s="12" t="str">
        <f t="shared" si="0"/>
        <v>미확인</v>
      </c>
      <c r="N9" s="22" t="s">
        <v>807</v>
      </c>
      <c r="O9" s="12" t="str">
        <f>IF(NOT(ISNUMBER(N9)),"목표일 미입력",IF(M9="완료",IF(J9&lt;=N9,"기한 내 확인","기한 후 확인"),IF(N9&lt;'00_최종안내'!$B$26,"기한초과",IF(N9-'00_최종안내'!$B$26&lt;=3,"3일 이내","기한 내 진행"))))</f>
        <v>목표일 미입력</v>
      </c>
      <c r="P9" s="12" t="str">
        <f>IF(M9="완료","완료",IF(AND(M6="완료",M8="완료"),IF(H9="","실제 담당자 지정",IF(I9="","증빙 경로 등록",IF(NOT(ISNUMBER(J9)),"확인일 입력",IF(L9="","확인자 입력","입력 상태 검토")))),"선행항목 확인: U01·U03"))</f>
        <v>선행항목 확인: U01·U03</v>
      </c>
    </row>
    <row r="10" spans="1:16" ht="43.5" customHeight="1" x14ac:dyDescent="0.25">
      <c r="A10" s="9" t="s">
        <v>74</v>
      </c>
      <c r="B10" s="9" t="s">
        <v>75</v>
      </c>
      <c r="C10" s="9" t="s">
        <v>76</v>
      </c>
      <c r="D10" s="9" t="s">
        <v>77</v>
      </c>
      <c r="E10" s="9" t="s">
        <v>78</v>
      </c>
      <c r="F10" s="9" t="s">
        <v>79</v>
      </c>
      <c r="G10" s="9" t="s">
        <v>80</v>
      </c>
      <c r="H10" s="10" t="s">
        <v>805</v>
      </c>
      <c r="I10" s="10"/>
      <c r="J10" s="11"/>
      <c r="K10" s="10" t="s">
        <v>55</v>
      </c>
      <c r="L10" s="10"/>
      <c r="M10" s="9" t="str">
        <f t="shared" si="0"/>
        <v>미확인</v>
      </c>
      <c r="N10" s="22" t="s">
        <v>807</v>
      </c>
      <c r="O10" s="9" t="str">
        <f>IF(NOT(ISNUMBER(N10)),"목표일 미입력",IF(M10="완료",IF(J10&lt;=N10,"기한 내 확인","기한 후 확인"),IF(N10&lt;'00_최종안내'!$B$26,"기한초과",IF(N10-'00_최종안내'!$B$26&lt;=3,"3일 이내","기한 내 진행"))))</f>
        <v>목표일 미입력</v>
      </c>
      <c r="P10" s="9" t="str">
        <f>IF(M10="완료","완료",IF(AND(M6="완료"),IF(H10="","실제 담당자 지정",IF(I10="","증빙 경로 등록",IF(NOT(ISNUMBER(J10)),"확인일 입력",IF(L10="","확인자 입력","입력 상태 검토")))),"선행항목 확인: U01"))</f>
        <v>선행항목 확인: U01</v>
      </c>
    </row>
    <row r="11" spans="1:16" ht="43.5" customHeight="1" x14ac:dyDescent="0.25">
      <c r="A11" s="12" t="s">
        <v>81</v>
      </c>
      <c r="B11" s="12" t="s">
        <v>75</v>
      </c>
      <c r="C11" s="12" t="s">
        <v>82</v>
      </c>
      <c r="D11" s="12" t="s">
        <v>83</v>
      </c>
      <c r="E11" s="12" t="s">
        <v>84</v>
      </c>
      <c r="F11" s="12" t="s">
        <v>85</v>
      </c>
      <c r="G11" s="12" t="s">
        <v>86</v>
      </c>
      <c r="H11" s="10" t="s">
        <v>804</v>
      </c>
      <c r="I11" s="10"/>
      <c r="J11" s="11"/>
      <c r="K11" s="10" t="s">
        <v>55</v>
      </c>
      <c r="L11" s="10"/>
      <c r="M11" s="12" t="str">
        <f t="shared" si="0"/>
        <v>미확인</v>
      </c>
      <c r="N11" s="22" t="s">
        <v>807</v>
      </c>
      <c r="O11" s="12" t="str">
        <f>IF(NOT(ISNUMBER(N11)),"목표일 미입력",IF(M11="완료",IF(J11&lt;=N11,"기한 내 확인","기한 후 확인"),IF(N11&lt;'00_최종안내'!$B$26,"기한초과",IF(N11-'00_최종안내'!$B$26&lt;=3,"3일 이내","기한 내 진행"))))</f>
        <v>목표일 미입력</v>
      </c>
      <c r="P11" s="12" t="str">
        <f>IF(M11="완료","완료",IF(H11="","실제 담당자 지정",IF(I11="","증빙 경로 등록",IF(NOT(ISNUMBER(J11)),"확인일 입력",IF(L11="","확인자 입력","입력 상태 검토")))))</f>
        <v>증빙 경로 등록</v>
      </c>
    </row>
    <row r="12" spans="1:16" ht="43.5" customHeight="1" x14ac:dyDescent="0.25">
      <c r="A12" s="9" t="s">
        <v>87</v>
      </c>
      <c r="B12" s="9" t="s">
        <v>75</v>
      </c>
      <c r="C12" s="9" t="s">
        <v>88</v>
      </c>
      <c r="D12" s="9" t="s">
        <v>89</v>
      </c>
      <c r="E12" s="9" t="s">
        <v>90</v>
      </c>
      <c r="F12" s="9" t="s">
        <v>91</v>
      </c>
      <c r="G12" s="9" t="s">
        <v>92</v>
      </c>
      <c r="H12" s="10" t="s">
        <v>804</v>
      </c>
      <c r="I12" s="10"/>
      <c r="J12" s="11"/>
      <c r="K12" s="10" t="s">
        <v>55</v>
      </c>
      <c r="L12" s="10"/>
      <c r="M12" s="9" t="str">
        <f t="shared" si="0"/>
        <v>미확인</v>
      </c>
      <c r="N12" s="22" t="s">
        <v>807</v>
      </c>
      <c r="O12" s="9" t="str">
        <f>IF(NOT(ISNUMBER(N12)),"목표일 미입력",IF(M12="완료",IF(J12&lt;=N12,"기한 내 확인","기한 후 확인"),IF(N12&lt;'00_최종안내'!$B$26,"기한초과",IF(N12-'00_최종안내'!$B$26&lt;=3,"3일 이내","기한 내 진행"))))</f>
        <v>목표일 미입력</v>
      </c>
      <c r="P12" s="9" t="str">
        <f>IF(M12="완료","완료",IF(AND(M11="완료"),IF(H12="","실제 담당자 지정",IF(I12="","증빙 경로 등록",IF(NOT(ISNUMBER(J12)),"확인일 입력",IF(L12="","확인자 입력","입력 상태 검토")))),"선행항목 확인: U06"))</f>
        <v>선행항목 확인: U06</v>
      </c>
    </row>
    <row r="13" spans="1:16" ht="43.5" customHeight="1" x14ac:dyDescent="0.25">
      <c r="A13" s="12" t="s">
        <v>93</v>
      </c>
      <c r="B13" s="12" t="s">
        <v>75</v>
      </c>
      <c r="C13" s="12" t="s">
        <v>94</v>
      </c>
      <c r="D13" s="12" t="s">
        <v>95</v>
      </c>
      <c r="E13" s="12" t="s">
        <v>96</v>
      </c>
      <c r="F13" s="12" t="s">
        <v>97</v>
      </c>
      <c r="G13" s="12" t="s">
        <v>98</v>
      </c>
      <c r="H13" s="10" t="s">
        <v>804</v>
      </c>
      <c r="I13" s="10"/>
      <c r="J13" s="11"/>
      <c r="K13" s="10" t="s">
        <v>55</v>
      </c>
      <c r="L13" s="10"/>
      <c r="M13" s="12" t="str">
        <f t="shared" si="0"/>
        <v>미확인</v>
      </c>
      <c r="N13" s="22" t="s">
        <v>807</v>
      </c>
      <c r="O13" s="12" t="str">
        <f>IF(NOT(ISNUMBER(N13)),"목표일 미입력",IF(M13="완료",IF(J13&lt;=N13,"기한 내 확인","기한 후 확인"),IF(N13&lt;'00_최종안내'!$B$26,"기한초과",IF(N13-'00_최종안내'!$B$26&lt;=3,"3일 이내","기한 내 진행"))))</f>
        <v>목표일 미입력</v>
      </c>
      <c r="P13" s="12" t="str">
        <f>IF(M13="완료","완료",IF(AND(M12="완료"),IF(H13="","실제 담당자 지정",IF(I13="","증빙 경로 등록",IF(NOT(ISNUMBER(J13)),"확인일 입력",IF(L13="","확인자 입력","입력 상태 검토")))),"선행항목 확인: U07"))</f>
        <v>선행항목 확인: U07</v>
      </c>
    </row>
    <row r="14" spans="1:16" ht="43.5" customHeight="1" x14ac:dyDescent="0.25">
      <c r="A14" s="9" t="s">
        <v>99</v>
      </c>
      <c r="B14" s="9" t="s">
        <v>75</v>
      </c>
      <c r="C14" s="9" t="s">
        <v>100</v>
      </c>
      <c r="D14" s="9" t="s">
        <v>101</v>
      </c>
      <c r="E14" s="9" t="s">
        <v>102</v>
      </c>
      <c r="F14" s="9" t="s">
        <v>103</v>
      </c>
      <c r="G14" s="9" t="s">
        <v>104</v>
      </c>
      <c r="H14" s="10" t="s">
        <v>804</v>
      </c>
      <c r="I14" s="10"/>
      <c r="J14" s="11"/>
      <c r="K14" s="10" t="s">
        <v>55</v>
      </c>
      <c r="L14" s="10"/>
      <c r="M14" s="9" t="str">
        <f t="shared" si="0"/>
        <v>미확인</v>
      </c>
      <c r="N14" s="22" t="s">
        <v>807</v>
      </c>
      <c r="O14" s="9" t="str">
        <f>IF(NOT(ISNUMBER(N14)),"목표일 미입력",IF(M14="완료",IF(J14&lt;=N14,"기한 내 확인","기한 후 확인"),IF(N14&lt;'00_최종안내'!$B$26,"기한초과",IF(N14-'00_최종안내'!$B$26&lt;=3,"3일 이내","기한 내 진행"))))</f>
        <v>목표일 미입력</v>
      </c>
      <c r="P14" s="9" t="str">
        <f>IF(M14="완료","완료",IF(AND(M13="완료"),IF(H14="","실제 담당자 지정",IF(I14="","증빙 경로 등록",IF(NOT(ISNUMBER(J14)),"확인일 입력",IF(L14="","확인자 입력","입력 상태 검토")))),"선행항목 확인: U08"))</f>
        <v>선행항목 확인: U08</v>
      </c>
    </row>
    <row r="15" spans="1:16" ht="43.5" customHeight="1" x14ac:dyDescent="0.25">
      <c r="A15" s="12" t="s">
        <v>105</v>
      </c>
      <c r="B15" s="12" t="s">
        <v>75</v>
      </c>
      <c r="C15" s="12" t="s">
        <v>106</v>
      </c>
      <c r="D15" s="12" t="s">
        <v>107</v>
      </c>
      <c r="E15" s="12" t="s">
        <v>108</v>
      </c>
      <c r="F15" s="12" t="s">
        <v>109</v>
      </c>
      <c r="G15" s="12" t="s">
        <v>110</v>
      </c>
      <c r="H15" s="10" t="s">
        <v>804</v>
      </c>
      <c r="I15" s="10"/>
      <c r="J15" s="11"/>
      <c r="K15" s="10" t="s">
        <v>55</v>
      </c>
      <c r="L15" s="10"/>
      <c r="M15" s="12" t="str">
        <f t="shared" si="0"/>
        <v>미확인</v>
      </c>
      <c r="N15" s="22" t="s">
        <v>807</v>
      </c>
      <c r="O15" s="12" t="str">
        <f>IF(NOT(ISNUMBER(N15)),"목표일 미입력",IF(M15="완료",IF(J15&lt;=N15,"기한 내 확인","기한 후 확인"),IF(N15&lt;'00_최종안내'!$B$26,"기한초과",IF(N15-'00_최종안내'!$B$26&lt;=3,"3일 이내","기한 내 진행"))))</f>
        <v>목표일 미입력</v>
      </c>
      <c r="P15" s="12" t="str">
        <f>IF(M15="완료","완료",IF(AND(M13="완료",M14="완료"),IF(H15="","실제 담당자 지정",IF(I15="","증빙 경로 등록",IF(NOT(ISNUMBER(J15)),"확인일 입력",IF(L15="","확인자 입력","입력 상태 검토")))),"선행항목 확인: U08·U09"))</f>
        <v>선행항목 확인: U08·U09</v>
      </c>
    </row>
    <row r="16" spans="1:16" ht="43.5" customHeight="1" x14ac:dyDescent="0.25">
      <c r="A16" s="9" t="s">
        <v>111</v>
      </c>
      <c r="B16" s="9" t="s">
        <v>75</v>
      </c>
      <c r="C16" s="9" t="s">
        <v>112</v>
      </c>
      <c r="D16" s="9" t="s">
        <v>113</v>
      </c>
      <c r="E16" s="9" t="s">
        <v>114</v>
      </c>
      <c r="F16" s="9" t="s">
        <v>115</v>
      </c>
      <c r="G16" s="9" t="s">
        <v>110</v>
      </c>
      <c r="H16" s="10" t="s">
        <v>804</v>
      </c>
      <c r="I16" s="10"/>
      <c r="J16" s="11"/>
      <c r="K16" s="10" t="s">
        <v>55</v>
      </c>
      <c r="L16" s="10"/>
      <c r="M16" s="9" t="str">
        <f t="shared" si="0"/>
        <v>미확인</v>
      </c>
      <c r="N16" s="22" t="s">
        <v>807</v>
      </c>
      <c r="O16" s="9" t="str">
        <f>IF(NOT(ISNUMBER(N16)),"목표일 미입력",IF(M16="완료",IF(J16&lt;=N16,"기한 내 확인","기한 후 확인"),IF(N16&lt;'00_최종안내'!$B$26,"기한초과",IF(N16-'00_최종안내'!$B$26&lt;=3,"3일 이내","기한 내 진행"))))</f>
        <v>목표일 미입력</v>
      </c>
      <c r="P16" s="9" t="str">
        <f>IF(M16="완료","완료",IF(H16="","실제 담당자 지정",IF(I16="","증빙 경로 등록",IF(NOT(ISNUMBER(J16)),"확인일 입력",IF(L16="","확인자 입력","입력 상태 검토")))))</f>
        <v>증빙 경로 등록</v>
      </c>
    </row>
    <row r="17" spans="1:16" ht="43.5" customHeight="1" x14ac:dyDescent="0.25">
      <c r="A17" s="12" t="s">
        <v>116</v>
      </c>
      <c r="B17" s="12" t="s">
        <v>75</v>
      </c>
      <c r="C17" s="12" t="s">
        <v>117</v>
      </c>
      <c r="D17" s="12" t="s">
        <v>118</v>
      </c>
      <c r="E17" s="12" t="s">
        <v>119</v>
      </c>
      <c r="F17" s="12" t="s">
        <v>120</v>
      </c>
      <c r="G17" s="12" t="s">
        <v>121</v>
      </c>
      <c r="H17" s="10" t="s">
        <v>804</v>
      </c>
      <c r="I17" s="10"/>
      <c r="J17" s="11"/>
      <c r="K17" s="10" t="s">
        <v>55</v>
      </c>
      <c r="L17" s="10"/>
      <c r="M17" s="12" t="str">
        <f t="shared" si="0"/>
        <v>미확인</v>
      </c>
      <c r="N17" s="22" t="s">
        <v>807</v>
      </c>
      <c r="O17" s="12" t="str">
        <f>IF(NOT(ISNUMBER(N17)),"목표일 미입력",IF(M17="완료",IF(J17&lt;=N17,"기한 내 확인","기한 후 확인"),IF(N17&lt;'00_최종안내'!$B$26,"기한초과",IF(N17-'00_최종안내'!$B$26&lt;=3,"3일 이내","기한 내 진행"))))</f>
        <v>목표일 미입력</v>
      </c>
      <c r="P17" s="12" t="str">
        <f>IF(M17="완료","완료",IF(AND(M15="완료",M16="완료"),IF(H17="","실제 담당자 지정",IF(I17="","증빙 경로 등록",IF(NOT(ISNUMBER(J17)),"확인일 입력",IF(L17="","확인자 입력","입력 상태 검토")))),"선행항목 확인: U10·U11"))</f>
        <v>선행항목 확인: U10·U11</v>
      </c>
    </row>
    <row r="18" spans="1:16" ht="43.5" customHeight="1" x14ac:dyDescent="0.25">
      <c r="A18" s="9" t="s">
        <v>122</v>
      </c>
      <c r="B18" s="9" t="s">
        <v>75</v>
      </c>
      <c r="C18" s="9" t="s">
        <v>123</v>
      </c>
      <c r="D18" s="9" t="s">
        <v>124</v>
      </c>
      <c r="E18" s="9" t="s">
        <v>125</v>
      </c>
      <c r="F18" s="9" t="s">
        <v>126</v>
      </c>
      <c r="G18" s="9" t="s">
        <v>127</v>
      </c>
      <c r="H18" s="10" t="s">
        <v>804</v>
      </c>
      <c r="I18" s="10"/>
      <c r="J18" s="11"/>
      <c r="K18" s="10" t="s">
        <v>55</v>
      </c>
      <c r="L18" s="10"/>
      <c r="M18" s="9" t="str">
        <f t="shared" si="0"/>
        <v>미확인</v>
      </c>
      <c r="N18" s="22" t="s">
        <v>807</v>
      </c>
      <c r="O18" s="9" t="str">
        <f>IF(NOT(ISNUMBER(N18)),"목표일 미입력",IF(M18="완료",IF(J18&lt;=N18,"기한 내 확인","기한 후 확인"),IF(N18&lt;'00_최종안내'!$B$26,"기한초과",IF(N18-'00_최종안내'!$B$26&lt;=3,"3일 이내","기한 내 진행"))))</f>
        <v>목표일 미입력</v>
      </c>
      <c r="P18" s="9" t="str">
        <f>IF(M18="완료","완료",IF(AND(M17="완료"),IF(H18="","실제 담당자 지정",IF(I18="","증빙 경로 등록",IF(NOT(ISNUMBER(J18)),"확인일 입력",IF(L18="","확인자 입력","입력 상태 검토")))),"선행항목 확인: U12"))</f>
        <v>선행항목 확인: U12</v>
      </c>
    </row>
    <row r="19" spans="1:16" ht="43.5" customHeight="1" x14ac:dyDescent="0.25">
      <c r="A19" s="12" t="s">
        <v>128</v>
      </c>
      <c r="B19" s="12" t="s">
        <v>129</v>
      </c>
      <c r="C19" s="12" t="s">
        <v>130</v>
      </c>
      <c r="D19" s="12" t="s">
        <v>131</v>
      </c>
      <c r="E19" s="12" t="s">
        <v>132</v>
      </c>
      <c r="F19" s="12" t="s">
        <v>133</v>
      </c>
      <c r="G19" s="12" t="s">
        <v>134</v>
      </c>
      <c r="H19" s="10" t="s">
        <v>804</v>
      </c>
      <c r="I19" s="10"/>
      <c r="J19" s="11"/>
      <c r="K19" s="10" t="s">
        <v>55</v>
      </c>
      <c r="L19" s="10"/>
      <c r="M19" s="12" t="str">
        <f t="shared" si="0"/>
        <v>미확인</v>
      </c>
      <c r="N19" s="22" t="s">
        <v>807</v>
      </c>
      <c r="O19" s="12" t="str">
        <f>IF(NOT(ISNUMBER(N19)),"목표일 미입력",IF(M19="완료",IF(J19&lt;=N19,"기한 내 확인","기한 후 확인"),IF(N19&lt;'00_최종안내'!$B$26,"기한초과",IF(N19-'00_최종안내'!$B$26&lt;=3,"3일 이내","기한 내 진행"))))</f>
        <v>목표일 미입력</v>
      </c>
      <c r="P19" s="12" t="str">
        <f>IF(M19="완료","완료",IF(AND(M12="완료",M15="완료",M17="완료",M18="완료"),IF(H19="","실제 담당자 지정",IF(I19="","증빙 경로 등록",IF(NOT(ISNUMBER(J19)),"확인일 입력",IF(L19="","확인자 입력","입력 상태 검토")))),"선행항목 확인: U07·U10·U12·U13"))</f>
        <v>선행항목 확인: U07·U10·U12·U13</v>
      </c>
    </row>
    <row r="20" spans="1:16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phoneticPr fontId="7" type="noConversion"/>
  <conditionalFormatting sqref="M6:M19">
    <cfRule type="containsText" dxfId="5" priority="1" operator="containsText" text="필요"/>
  </conditionalFormatting>
  <conditionalFormatting sqref="O6:O19">
    <cfRule type="containsText" dxfId="4" priority="2" operator="containsText" text="초과"/>
    <cfRule type="containsText" dxfId="3" priority="3" operator="containsText" text="3일"/>
  </conditionalFormatting>
  <dataValidations count="1">
    <dataValidation type="list" sqref="K6:K19" xr:uid="{00000000-0002-0000-0100-000000000000}">
      <formula1>"미확인,진행중,완료,비적용"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"/>
  <sheetViews>
    <sheetView showGridLines="0" workbookViewId="0">
      <pane xSplit="2" ySplit="5" topLeftCell="C13" activePane="bottomRight" state="frozen"/>
      <selection pane="topRight"/>
      <selection pane="bottomLeft"/>
      <selection pane="bottomRight" activeCell="D21" sqref="D21"/>
    </sheetView>
  </sheetViews>
  <sheetFormatPr defaultRowHeight="15" x14ac:dyDescent="0.25"/>
  <cols>
    <col min="1" max="1" width="10" customWidth="1"/>
    <col min="2" max="2" width="17" customWidth="1"/>
    <col min="3" max="3" width="34.375" customWidth="1"/>
    <col min="4" max="4" width="41.625" customWidth="1"/>
    <col min="5" max="5" width="25.25" customWidth="1"/>
    <col min="6" max="6" width="36.875" customWidth="1"/>
    <col min="7" max="7" width="14.25" customWidth="1"/>
    <col min="8" max="8" width="14" customWidth="1"/>
    <col min="9" max="9" width="21" customWidth="1"/>
    <col min="10" max="10" width="15.5" customWidth="1"/>
    <col min="11" max="11" width="22.25" customWidth="1"/>
    <col min="12" max="12" width="12.75" customWidth="1"/>
    <col min="13" max="13" width="10.5" customWidth="1"/>
    <col min="14" max="14" width="15" customWidth="1"/>
    <col min="15" max="15" width="26" customWidth="1"/>
    <col min="16" max="16" width="50" customWidth="1"/>
  </cols>
  <sheetData>
    <row r="1" spans="1:16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ht="33.950000000000003" customHeight="1" x14ac:dyDescent="0.25">
      <c r="A2" s="2" t="s">
        <v>135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ht="27.95" customHeight="1" x14ac:dyDescent="0.25">
      <c r="A3" s="1" t="s">
        <v>136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6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33.950000000000003" customHeight="1" x14ac:dyDescent="0.25">
      <c r="A5" s="4" t="s">
        <v>35</v>
      </c>
      <c r="B5" s="4" t="s">
        <v>137</v>
      </c>
      <c r="C5" s="4" t="s">
        <v>138</v>
      </c>
      <c r="D5" s="4" t="s">
        <v>139</v>
      </c>
      <c r="E5" s="4" t="s">
        <v>140</v>
      </c>
      <c r="F5" s="4" t="s">
        <v>141</v>
      </c>
      <c r="G5" s="4" t="s">
        <v>45</v>
      </c>
      <c r="H5" s="4" t="s">
        <v>42</v>
      </c>
      <c r="I5" s="4" t="s">
        <v>142</v>
      </c>
      <c r="J5" s="4" t="s">
        <v>143</v>
      </c>
      <c r="K5" s="4" t="s">
        <v>144</v>
      </c>
      <c r="L5" s="4" t="s">
        <v>145</v>
      </c>
      <c r="M5" s="4" t="s">
        <v>44</v>
      </c>
      <c r="N5" s="4" t="s">
        <v>47</v>
      </c>
      <c r="O5" s="4" t="s">
        <v>795</v>
      </c>
      <c r="P5" s="4" t="s">
        <v>794</v>
      </c>
    </row>
    <row r="6" spans="1:16" ht="31.5" customHeight="1" x14ac:dyDescent="0.25">
      <c r="A6" s="9" t="s">
        <v>146</v>
      </c>
      <c r="B6" s="9" t="s">
        <v>147</v>
      </c>
      <c r="C6" s="9" t="s">
        <v>148</v>
      </c>
      <c r="D6" s="9" t="s">
        <v>149</v>
      </c>
      <c r="E6" s="9" t="s">
        <v>150</v>
      </c>
      <c r="F6" s="9" t="s">
        <v>151</v>
      </c>
      <c r="G6" s="10" t="s">
        <v>55</v>
      </c>
      <c r="H6" s="10"/>
      <c r="I6" s="10"/>
      <c r="J6" s="10"/>
      <c r="K6" s="10"/>
      <c r="L6" s="10"/>
      <c r="M6" s="11"/>
      <c r="N6" s="9" t="str">
        <f t="shared" ref="N6:N25" si="0">IF(OR(G6="증빙 확인",G6="비적용"),IF(AND(H6&lt;&gt;"",I6&lt;&gt;"",J6&lt;&gt;"",K6&lt;&gt;"",L6&lt;&gt;"",ISNUMBER(M6)),"확인","근거 확인 필요"),G6)</f>
        <v>미확인</v>
      </c>
      <c r="O6" s="9" t="s">
        <v>273</v>
      </c>
      <c r="P6" s="9" t="str">
        <f t="shared" ref="P6:P25" si="1">IF(N6="확인","확인",IF(H6="","실제 담당자 지정",IF(I6="","원본 경로 등록",IF(J6="","대상기간 입력",IF(K6="","기록번호·비적용 근거 입력",IF(L6="","검토자 입력",IF(NOT(ISNUMBER(M6)),"확인일 입력","입력 상태 검토")))))))</f>
        <v>실제 담당자 지정</v>
      </c>
    </row>
    <row r="7" spans="1:16" ht="31.5" customHeight="1" x14ac:dyDescent="0.25">
      <c r="A7" s="12" t="s">
        <v>152</v>
      </c>
      <c r="B7" s="12" t="s">
        <v>153</v>
      </c>
      <c r="C7" s="12" t="s">
        <v>154</v>
      </c>
      <c r="D7" s="12" t="s">
        <v>155</v>
      </c>
      <c r="E7" s="12" t="s">
        <v>156</v>
      </c>
      <c r="F7" s="12" t="s">
        <v>157</v>
      </c>
      <c r="G7" s="10" t="s">
        <v>55</v>
      </c>
      <c r="H7" s="10"/>
      <c r="I7" s="10"/>
      <c r="J7" s="10"/>
      <c r="K7" s="10"/>
      <c r="L7" s="10"/>
      <c r="M7" s="11"/>
      <c r="N7" s="12" t="str">
        <f t="shared" si="0"/>
        <v>미확인</v>
      </c>
      <c r="O7" s="12" t="s">
        <v>273</v>
      </c>
      <c r="P7" s="12" t="str">
        <f t="shared" si="1"/>
        <v>실제 담당자 지정</v>
      </c>
    </row>
    <row r="8" spans="1:16" ht="31.5" customHeight="1" x14ac:dyDescent="0.25">
      <c r="A8" s="9" t="s">
        <v>158</v>
      </c>
      <c r="B8" s="9" t="s">
        <v>159</v>
      </c>
      <c r="C8" s="9" t="s">
        <v>160</v>
      </c>
      <c r="D8" s="9" t="s">
        <v>161</v>
      </c>
      <c r="E8" s="9" t="s">
        <v>162</v>
      </c>
      <c r="F8" s="9" t="s">
        <v>163</v>
      </c>
      <c r="G8" s="10" t="s">
        <v>55</v>
      </c>
      <c r="H8" s="10"/>
      <c r="I8" s="10"/>
      <c r="J8" s="10"/>
      <c r="K8" s="10"/>
      <c r="L8" s="10"/>
      <c r="M8" s="11"/>
      <c r="N8" s="9" t="str">
        <f t="shared" si="0"/>
        <v>미확인</v>
      </c>
      <c r="O8" s="9" t="s">
        <v>273</v>
      </c>
      <c r="P8" s="9" t="str">
        <f t="shared" si="1"/>
        <v>실제 담당자 지정</v>
      </c>
    </row>
    <row r="9" spans="1:16" ht="31.5" customHeight="1" x14ac:dyDescent="0.25">
      <c r="A9" s="12" t="s">
        <v>164</v>
      </c>
      <c r="B9" s="12" t="s">
        <v>165</v>
      </c>
      <c r="C9" s="12" t="s">
        <v>166</v>
      </c>
      <c r="D9" s="12" t="s">
        <v>167</v>
      </c>
      <c r="E9" s="12" t="s">
        <v>168</v>
      </c>
      <c r="F9" s="12" t="s">
        <v>169</v>
      </c>
      <c r="G9" s="10" t="s">
        <v>55</v>
      </c>
      <c r="H9" s="10"/>
      <c r="I9" s="10"/>
      <c r="J9" s="10"/>
      <c r="K9" s="10"/>
      <c r="L9" s="10"/>
      <c r="M9" s="11"/>
      <c r="N9" s="12" t="str">
        <f t="shared" si="0"/>
        <v>미확인</v>
      </c>
      <c r="O9" s="12" t="s">
        <v>273</v>
      </c>
      <c r="P9" s="12" t="str">
        <f t="shared" si="1"/>
        <v>실제 담당자 지정</v>
      </c>
    </row>
    <row r="10" spans="1:16" ht="31.5" customHeight="1" x14ac:dyDescent="0.25">
      <c r="A10" s="9" t="s">
        <v>170</v>
      </c>
      <c r="B10" s="9" t="s">
        <v>171</v>
      </c>
      <c r="C10" s="9" t="s">
        <v>172</v>
      </c>
      <c r="D10" s="9" t="s">
        <v>173</v>
      </c>
      <c r="E10" s="9" t="s">
        <v>174</v>
      </c>
      <c r="F10" s="9" t="s">
        <v>175</v>
      </c>
      <c r="G10" s="10" t="s">
        <v>55</v>
      </c>
      <c r="H10" s="10"/>
      <c r="I10" s="10"/>
      <c r="J10" s="10"/>
      <c r="K10" s="10"/>
      <c r="L10" s="10"/>
      <c r="M10" s="11"/>
      <c r="N10" s="9" t="str">
        <f t="shared" si="0"/>
        <v>미확인</v>
      </c>
      <c r="O10" s="9" t="s">
        <v>273</v>
      </c>
      <c r="P10" s="9" t="str">
        <f t="shared" si="1"/>
        <v>실제 담당자 지정</v>
      </c>
    </row>
    <row r="11" spans="1:16" ht="31.5" customHeight="1" x14ac:dyDescent="0.25">
      <c r="A11" s="12" t="s">
        <v>176</v>
      </c>
      <c r="B11" s="12" t="s">
        <v>177</v>
      </c>
      <c r="C11" s="12" t="s">
        <v>178</v>
      </c>
      <c r="D11" s="12" t="s">
        <v>179</v>
      </c>
      <c r="E11" s="12" t="s">
        <v>180</v>
      </c>
      <c r="F11" s="12" t="s">
        <v>181</v>
      </c>
      <c r="G11" s="10" t="s">
        <v>55</v>
      </c>
      <c r="H11" s="10"/>
      <c r="I11" s="10"/>
      <c r="J11" s="10"/>
      <c r="K11" s="10"/>
      <c r="L11" s="10"/>
      <c r="M11" s="11"/>
      <c r="N11" s="12" t="str">
        <f t="shared" si="0"/>
        <v>미확인</v>
      </c>
      <c r="O11" s="12" t="s">
        <v>304</v>
      </c>
      <c r="P11" s="12" t="str">
        <f t="shared" si="1"/>
        <v>실제 담당자 지정</v>
      </c>
    </row>
    <row r="12" spans="1:16" ht="31.5" customHeight="1" x14ac:dyDescent="0.25">
      <c r="A12" s="9" t="s">
        <v>182</v>
      </c>
      <c r="B12" s="9" t="s">
        <v>183</v>
      </c>
      <c r="C12" s="9" t="s">
        <v>184</v>
      </c>
      <c r="D12" s="9" t="s">
        <v>185</v>
      </c>
      <c r="E12" s="9" t="s">
        <v>186</v>
      </c>
      <c r="F12" s="9" t="s">
        <v>187</v>
      </c>
      <c r="G12" s="10" t="s">
        <v>55</v>
      </c>
      <c r="H12" s="10"/>
      <c r="I12" s="10"/>
      <c r="J12" s="10"/>
      <c r="K12" s="10"/>
      <c r="L12" s="10"/>
      <c r="M12" s="11"/>
      <c r="N12" s="9" t="str">
        <f t="shared" si="0"/>
        <v>미확인</v>
      </c>
      <c r="O12" s="9" t="s">
        <v>308</v>
      </c>
      <c r="P12" s="9" t="str">
        <f t="shared" si="1"/>
        <v>실제 담당자 지정</v>
      </c>
    </row>
    <row r="13" spans="1:16" ht="31.5" customHeight="1" x14ac:dyDescent="0.25">
      <c r="A13" s="12" t="s">
        <v>188</v>
      </c>
      <c r="B13" s="12" t="s">
        <v>189</v>
      </c>
      <c r="C13" s="12" t="s">
        <v>190</v>
      </c>
      <c r="D13" s="12" t="s">
        <v>191</v>
      </c>
      <c r="E13" s="12" t="s">
        <v>192</v>
      </c>
      <c r="F13" s="12" t="s">
        <v>193</v>
      </c>
      <c r="G13" s="10" t="s">
        <v>55</v>
      </c>
      <c r="H13" s="10"/>
      <c r="I13" s="10"/>
      <c r="J13" s="10"/>
      <c r="K13" s="10"/>
      <c r="L13" s="10"/>
      <c r="M13" s="11"/>
      <c r="N13" s="12" t="str">
        <f t="shared" si="0"/>
        <v>미확인</v>
      </c>
      <c r="O13" s="12" t="s">
        <v>312</v>
      </c>
      <c r="P13" s="12" t="str">
        <f t="shared" si="1"/>
        <v>실제 담당자 지정</v>
      </c>
    </row>
    <row r="14" spans="1:16" ht="31.5" customHeight="1" x14ac:dyDescent="0.25">
      <c r="A14" s="9" t="s">
        <v>194</v>
      </c>
      <c r="B14" s="9" t="s">
        <v>195</v>
      </c>
      <c r="C14" s="9" t="s">
        <v>196</v>
      </c>
      <c r="D14" s="9" t="s">
        <v>197</v>
      </c>
      <c r="E14" s="9" t="s">
        <v>198</v>
      </c>
      <c r="F14" s="9" t="s">
        <v>199</v>
      </c>
      <c r="G14" s="10" t="s">
        <v>55</v>
      </c>
      <c r="H14" s="10"/>
      <c r="I14" s="10"/>
      <c r="J14" s="10"/>
      <c r="K14" s="10"/>
      <c r="L14" s="10"/>
      <c r="M14" s="11"/>
      <c r="N14" s="9" t="str">
        <f t="shared" si="0"/>
        <v>미확인</v>
      </c>
      <c r="O14" s="9" t="s">
        <v>284</v>
      </c>
      <c r="P14" s="9" t="str">
        <f t="shared" si="1"/>
        <v>실제 담당자 지정</v>
      </c>
    </row>
    <row r="15" spans="1:16" ht="31.5" customHeight="1" x14ac:dyDescent="0.25">
      <c r="A15" s="12" t="s">
        <v>200</v>
      </c>
      <c r="B15" s="12" t="s">
        <v>201</v>
      </c>
      <c r="C15" s="12" t="s">
        <v>202</v>
      </c>
      <c r="D15" s="12" t="s">
        <v>203</v>
      </c>
      <c r="E15" s="12" t="s">
        <v>204</v>
      </c>
      <c r="F15" s="12" t="s">
        <v>205</v>
      </c>
      <c r="G15" s="10" t="s">
        <v>55</v>
      </c>
      <c r="H15" s="10"/>
      <c r="I15" s="10"/>
      <c r="J15" s="10"/>
      <c r="K15" s="10"/>
      <c r="L15" s="10"/>
      <c r="M15" s="11"/>
      <c r="N15" s="12" t="str">
        <f t="shared" si="0"/>
        <v>미확인</v>
      </c>
      <c r="O15" s="12" t="s">
        <v>288</v>
      </c>
      <c r="P15" s="12" t="str">
        <f t="shared" si="1"/>
        <v>실제 담당자 지정</v>
      </c>
    </row>
    <row r="16" spans="1:16" ht="31.5" customHeight="1" x14ac:dyDescent="0.25">
      <c r="A16" s="9" t="s">
        <v>206</v>
      </c>
      <c r="B16" s="9" t="s">
        <v>207</v>
      </c>
      <c r="C16" s="9" t="s">
        <v>208</v>
      </c>
      <c r="D16" s="9" t="s">
        <v>209</v>
      </c>
      <c r="E16" s="9" t="s">
        <v>210</v>
      </c>
      <c r="F16" s="9" t="s">
        <v>211</v>
      </c>
      <c r="G16" s="10" t="s">
        <v>55</v>
      </c>
      <c r="H16" s="10"/>
      <c r="I16" s="10"/>
      <c r="J16" s="10"/>
      <c r="K16" s="10"/>
      <c r="L16" s="10"/>
      <c r="M16" s="11"/>
      <c r="N16" s="9" t="str">
        <f t="shared" si="0"/>
        <v>미확인</v>
      </c>
      <c r="O16" s="9" t="s">
        <v>292</v>
      </c>
      <c r="P16" s="9" t="str">
        <f t="shared" si="1"/>
        <v>실제 담당자 지정</v>
      </c>
    </row>
    <row r="17" spans="1:16" ht="31.5" customHeight="1" x14ac:dyDescent="0.25">
      <c r="A17" s="12" t="s">
        <v>212</v>
      </c>
      <c r="B17" s="12" t="s">
        <v>213</v>
      </c>
      <c r="C17" s="12" t="s">
        <v>214</v>
      </c>
      <c r="D17" s="12" t="s">
        <v>215</v>
      </c>
      <c r="E17" s="12" t="s">
        <v>216</v>
      </c>
      <c r="F17" s="12" t="s">
        <v>217</v>
      </c>
      <c r="G17" s="10" t="s">
        <v>55</v>
      </c>
      <c r="H17" s="10"/>
      <c r="I17" s="10"/>
      <c r="J17" s="10"/>
      <c r="K17" s="10"/>
      <c r="L17" s="10"/>
      <c r="M17" s="11"/>
      <c r="N17" s="12" t="str">
        <f t="shared" si="0"/>
        <v>미확인</v>
      </c>
      <c r="O17" s="12" t="s">
        <v>796</v>
      </c>
      <c r="P17" s="12" t="str">
        <f t="shared" si="1"/>
        <v>실제 담당자 지정</v>
      </c>
    </row>
    <row r="18" spans="1:16" ht="31.5" customHeight="1" x14ac:dyDescent="0.25">
      <c r="A18" s="9" t="s">
        <v>218</v>
      </c>
      <c r="B18" s="9" t="s">
        <v>219</v>
      </c>
      <c r="C18" s="9" t="s">
        <v>220</v>
      </c>
      <c r="D18" s="9" t="s">
        <v>221</v>
      </c>
      <c r="E18" s="9" t="s">
        <v>222</v>
      </c>
      <c r="F18" s="9" t="s">
        <v>223</v>
      </c>
      <c r="G18" s="10" t="s">
        <v>55</v>
      </c>
      <c r="H18" s="10"/>
      <c r="I18" s="10"/>
      <c r="J18" s="10"/>
      <c r="K18" s="10"/>
      <c r="L18" s="10"/>
      <c r="M18" s="11"/>
      <c r="N18" s="9" t="str">
        <f t="shared" si="0"/>
        <v>미확인</v>
      </c>
      <c r="O18" s="9" t="s">
        <v>797</v>
      </c>
      <c r="P18" s="9" t="str">
        <f t="shared" si="1"/>
        <v>실제 담당자 지정</v>
      </c>
    </row>
    <row r="19" spans="1:16" ht="31.5" customHeight="1" x14ac:dyDescent="0.25">
      <c r="A19" s="12" t="s">
        <v>224</v>
      </c>
      <c r="B19" s="12" t="s">
        <v>225</v>
      </c>
      <c r="C19" s="12" t="s">
        <v>226</v>
      </c>
      <c r="D19" s="12" t="s">
        <v>227</v>
      </c>
      <c r="E19" s="12" t="s">
        <v>198</v>
      </c>
      <c r="F19" s="12" t="s">
        <v>228</v>
      </c>
      <c r="G19" s="10" t="s">
        <v>55</v>
      </c>
      <c r="H19" s="10"/>
      <c r="I19" s="10"/>
      <c r="J19" s="10"/>
      <c r="K19" s="10"/>
      <c r="L19" s="10"/>
      <c r="M19" s="11"/>
      <c r="N19" s="12" t="str">
        <f t="shared" si="0"/>
        <v>미확인</v>
      </c>
      <c r="O19" s="12" t="s">
        <v>316</v>
      </c>
      <c r="P19" s="12" t="str">
        <f t="shared" si="1"/>
        <v>실제 담당자 지정</v>
      </c>
    </row>
    <row r="20" spans="1:16" ht="31.5" customHeight="1" x14ac:dyDescent="0.25">
      <c r="A20" s="9" t="s">
        <v>229</v>
      </c>
      <c r="B20" s="9" t="s">
        <v>230</v>
      </c>
      <c r="C20" s="9" t="s">
        <v>231</v>
      </c>
      <c r="D20" s="9" t="s">
        <v>232</v>
      </c>
      <c r="E20" s="9" t="s">
        <v>233</v>
      </c>
      <c r="F20" s="9" t="s">
        <v>234</v>
      </c>
      <c r="G20" s="10" t="s">
        <v>55</v>
      </c>
      <c r="H20" s="10"/>
      <c r="I20" s="10"/>
      <c r="J20" s="10"/>
      <c r="K20" s="10"/>
      <c r="L20" s="10"/>
      <c r="M20" s="11"/>
      <c r="N20" s="9" t="str">
        <f t="shared" si="0"/>
        <v>미확인</v>
      </c>
      <c r="O20" s="9" t="s">
        <v>319</v>
      </c>
      <c r="P20" s="9" t="str">
        <f t="shared" si="1"/>
        <v>실제 담당자 지정</v>
      </c>
    </row>
    <row r="21" spans="1:16" ht="31.5" customHeight="1" x14ac:dyDescent="0.25">
      <c r="A21" s="12" t="s">
        <v>235</v>
      </c>
      <c r="B21" s="12" t="s">
        <v>236</v>
      </c>
      <c r="C21" s="12" t="s">
        <v>237</v>
      </c>
      <c r="D21" s="12" t="s">
        <v>238</v>
      </c>
      <c r="E21" s="12" t="s">
        <v>239</v>
      </c>
      <c r="F21" s="12" t="s">
        <v>240</v>
      </c>
      <c r="G21" s="10" t="s">
        <v>55</v>
      </c>
      <c r="H21" s="10"/>
      <c r="I21" s="10"/>
      <c r="J21" s="10"/>
      <c r="K21" s="10"/>
      <c r="L21" s="10"/>
      <c r="M21" s="11"/>
      <c r="N21" s="12" t="str">
        <f t="shared" si="0"/>
        <v>미확인</v>
      </c>
      <c r="O21" s="12" t="s">
        <v>323</v>
      </c>
      <c r="P21" s="12" t="str">
        <f t="shared" si="1"/>
        <v>실제 담당자 지정</v>
      </c>
    </row>
    <row r="22" spans="1:16" ht="31.5" customHeight="1" x14ac:dyDescent="0.25">
      <c r="A22" s="9" t="s">
        <v>241</v>
      </c>
      <c r="B22" s="9" t="s">
        <v>242</v>
      </c>
      <c r="C22" s="9" t="s">
        <v>243</v>
      </c>
      <c r="D22" s="9" t="s">
        <v>244</v>
      </c>
      <c r="E22" s="9" t="s">
        <v>245</v>
      </c>
      <c r="F22" s="9" t="s">
        <v>246</v>
      </c>
      <c r="G22" s="10" t="s">
        <v>55</v>
      </c>
      <c r="H22" s="10"/>
      <c r="I22" s="10"/>
      <c r="J22" s="10"/>
      <c r="K22" s="10"/>
      <c r="L22" s="10"/>
      <c r="M22" s="11"/>
      <c r="N22" s="9" t="str">
        <f t="shared" si="0"/>
        <v>미확인</v>
      </c>
      <c r="O22" s="9" t="s">
        <v>327</v>
      </c>
      <c r="P22" s="9" t="str">
        <f t="shared" si="1"/>
        <v>실제 담당자 지정</v>
      </c>
    </row>
    <row r="23" spans="1:16" ht="31.5" customHeight="1" x14ac:dyDescent="0.25">
      <c r="A23" s="12" t="s">
        <v>247</v>
      </c>
      <c r="B23" s="12" t="s">
        <v>248</v>
      </c>
      <c r="C23" s="12" t="s">
        <v>249</v>
      </c>
      <c r="D23" s="12" t="s">
        <v>250</v>
      </c>
      <c r="E23" s="12" t="s">
        <v>186</v>
      </c>
      <c r="F23" s="12" t="s">
        <v>251</v>
      </c>
      <c r="G23" s="10" t="s">
        <v>55</v>
      </c>
      <c r="H23" s="10"/>
      <c r="I23" s="10"/>
      <c r="J23" s="10"/>
      <c r="K23" s="10"/>
      <c r="L23" s="10"/>
      <c r="M23" s="11"/>
      <c r="N23" s="12" t="str">
        <f t="shared" si="0"/>
        <v>미확인</v>
      </c>
      <c r="O23" s="12" t="s">
        <v>798</v>
      </c>
      <c r="P23" s="12" t="str">
        <f t="shared" si="1"/>
        <v>실제 담당자 지정</v>
      </c>
    </row>
    <row r="24" spans="1:16" ht="31.5" customHeight="1" x14ac:dyDescent="0.25">
      <c r="A24" s="9" t="s">
        <v>252</v>
      </c>
      <c r="B24" s="9" t="s">
        <v>253</v>
      </c>
      <c r="C24" s="9" t="s">
        <v>254</v>
      </c>
      <c r="D24" s="9" t="s">
        <v>255</v>
      </c>
      <c r="E24" s="9" t="s">
        <v>256</v>
      </c>
      <c r="F24" s="9" t="s">
        <v>257</v>
      </c>
      <c r="G24" s="10" t="s">
        <v>55</v>
      </c>
      <c r="H24" s="10"/>
      <c r="I24" s="10"/>
      <c r="J24" s="10"/>
      <c r="K24" s="10"/>
      <c r="L24" s="10"/>
      <c r="M24" s="11"/>
      <c r="N24" s="9" t="str">
        <f t="shared" si="0"/>
        <v>미확인</v>
      </c>
      <c r="O24" s="9" t="s">
        <v>799</v>
      </c>
      <c r="P24" s="9" t="str">
        <f t="shared" si="1"/>
        <v>실제 담당자 지정</v>
      </c>
    </row>
    <row r="25" spans="1:16" ht="31.5" customHeight="1" x14ac:dyDescent="0.25">
      <c r="A25" s="12" t="s">
        <v>258</v>
      </c>
      <c r="B25" s="12" t="s">
        <v>259</v>
      </c>
      <c r="C25" s="12" t="s">
        <v>260</v>
      </c>
      <c r="D25" s="12" t="s">
        <v>261</v>
      </c>
      <c r="E25" s="12" t="s">
        <v>198</v>
      </c>
      <c r="F25" s="12" t="s">
        <v>262</v>
      </c>
      <c r="G25" s="10" t="s">
        <v>55</v>
      </c>
      <c r="H25" s="10"/>
      <c r="I25" s="10"/>
      <c r="J25" s="10"/>
      <c r="K25" s="10"/>
      <c r="L25" s="10"/>
      <c r="M25" s="11"/>
      <c r="N25" s="12" t="str">
        <f t="shared" si="0"/>
        <v>미확인</v>
      </c>
      <c r="O25" s="12" t="s">
        <v>800</v>
      </c>
      <c r="P25" s="12" t="str">
        <f t="shared" si="1"/>
        <v>실제 담당자 지정</v>
      </c>
    </row>
    <row r="26" spans="1:16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</sheetData>
  <phoneticPr fontId="7" type="noConversion"/>
  <conditionalFormatting sqref="N6:N25">
    <cfRule type="containsText" dxfId="2" priority="1" operator="containsText" text="필요"/>
  </conditionalFormatting>
  <dataValidations count="1">
    <dataValidation type="list" sqref="G6:G25" xr:uid="{00000000-0002-0000-0200-000000000000}">
      <formula1>"미확인,확보중,검토중,증빙 확인,비적용"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14" sqref="C14"/>
    </sheetView>
  </sheetViews>
  <sheetFormatPr defaultRowHeight="15" x14ac:dyDescent="0.25"/>
  <cols>
    <col min="1" max="1" width="10" customWidth="1"/>
    <col min="2" max="2" width="41.5" customWidth="1"/>
    <col min="3" max="3" width="47.875" customWidth="1"/>
    <col min="4" max="4" width="21.125" customWidth="1"/>
    <col min="5" max="5" width="14.875" customWidth="1"/>
    <col min="6" max="6" width="13" customWidth="1"/>
    <col min="7" max="7" width="11.625" customWidth="1"/>
    <col min="8" max="8" width="11.25" customWidth="1"/>
    <col min="9" max="9" width="24.625" customWidth="1"/>
    <col min="10" max="10" width="12.75" customWidth="1"/>
    <col min="11" max="11" width="16.625" customWidth="1"/>
    <col min="12" max="12" width="16.375" customWidth="1"/>
    <col min="13" max="13" width="30" customWidth="1"/>
  </cols>
  <sheetData>
    <row r="1" spans="1:13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33.950000000000003" customHeight="1" x14ac:dyDescent="0.25">
      <c r="A2" s="2" t="s">
        <v>263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 ht="27.95" customHeight="1" x14ac:dyDescent="0.25">
      <c r="A3" s="1" t="s">
        <v>801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3" ht="33.950000000000003" customHeight="1" x14ac:dyDescent="0.25">
      <c r="A5" s="4" t="s">
        <v>35</v>
      </c>
      <c r="B5" s="4" t="s">
        <v>264</v>
      </c>
      <c r="C5" s="4" t="s">
        <v>265</v>
      </c>
      <c r="D5" s="4" t="s">
        <v>266</v>
      </c>
      <c r="E5" s="4" t="s">
        <v>267</v>
      </c>
      <c r="F5" s="4" t="s">
        <v>268</v>
      </c>
      <c r="G5" s="4" t="s">
        <v>269</v>
      </c>
      <c r="H5" s="4" t="s">
        <v>270</v>
      </c>
      <c r="I5" s="4" t="s">
        <v>271</v>
      </c>
      <c r="J5" s="4" t="s">
        <v>46</v>
      </c>
      <c r="K5" s="4" t="s">
        <v>272</v>
      </c>
      <c r="L5" s="4" t="s">
        <v>47</v>
      </c>
      <c r="M5" s="4" t="s">
        <v>802</v>
      </c>
    </row>
    <row r="6" spans="1:13" ht="33" customHeight="1" x14ac:dyDescent="0.25">
      <c r="A6" s="9" t="s">
        <v>273</v>
      </c>
      <c r="B6" s="9" t="s">
        <v>274</v>
      </c>
      <c r="C6" s="9" t="s">
        <v>275</v>
      </c>
      <c r="D6" s="9" t="s">
        <v>276</v>
      </c>
      <c r="E6" s="9" t="s">
        <v>277</v>
      </c>
      <c r="F6" s="10" t="s">
        <v>278</v>
      </c>
      <c r="G6" s="11"/>
      <c r="H6" s="10"/>
      <c r="I6" s="10"/>
      <c r="J6" s="10"/>
      <c r="K6" s="10"/>
      <c r="L6" s="9" t="str">
        <f t="shared" ref="L6:L25" si="0">IF(OR(F6="적합",F6="비적용"),IF(AND(ISNUMBER(G6),H6&lt;&gt;"",I6&lt;&gt;"",J6&lt;&gt;""),"확인","근거 확인 필요"),F6)</f>
        <v>미실시</v>
      </c>
      <c r="M6" s="9" t="str">
        <f>IF(AND('02_운영증빙'!N6="확인",'02_운영증빙'!N7="확인",'02_운영증빙'!N8="확인",'02_운영증빙'!N9="확인",'02_운영증빙'!N10="확인"),"선행증빙 확인","원본 확인 대기")</f>
        <v>원본 확인 대기</v>
      </c>
    </row>
    <row r="7" spans="1:13" ht="33" customHeight="1" x14ac:dyDescent="0.25">
      <c r="A7" s="12" t="s">
        <v>279</v>
      </c>
      <c r="B7" s="12" t="s">
        <v>280</v>
      </c>
      <c r="C7" s="12" t="s">
        <v>281</v>
      </c>
      <c r="D7" s="12" t="s">
        <v>282</v>
      </c>
      <c r="E7" s="12" t="s">
        <v>283</v>
      </c>
      <c r="F7" s="10" t="s">
        <v>278</v>
      </c>
      <c r="G7" s="11"/>
      <c r="H7" s="10"/>
      <c r="I7" s="10"/>
      <c r="J7" s="10"/>
      <c r="K7" s="10"/>
      <c r="L7" s="12" t="str">
        <f t="shared" si="0"/>
        <v>미실시</v>
      </c>
      <c r="M7" s="12" t="str">
        <f>IF(AND('01_사용자정리'!M6="완료",'01_사용자정리'!M7="완료"),"선행증빙 확인","원본 확인 대기")</f>
        <v>원본 확인 대기</v>
      </c>
    </row>
    <row r="8" spans="1:13" ht="33" customHeight="1" x14ac:dyDescent="0.25">
      <c r="A8" s="9" t="s">
        <v>284</v>
      </c>
      <c r="B8" s="9" t="s">
        <v>285</v>
      </c>
      <c r="C8" s="9" t="s">
        <v>286</v>
      </c>
      <c r="D8" s="9" t="s">
        <v>287</v>
      </c>
      <c r="E8" s="9" t="s">
        <v>194</v>
      </c>
      <c r="F8" s="10" t="s">
        <v>278</v>
      </c>
      <c r="G8" s="11"/>
      <c r="H8" s="10"/>
      <c r="I8" s="10"/>
      <c r="J8" s="10"/>
      <c r="K8" s="10"/>
      <c r="L8" s="9" t="str">
        <f t="shared" si="0"/>
        <v>미실시</v>
      </c>
      <c r="M8" s="9" t="str">
        <f>IF(AND('02_운영증빙'!N14="확인"),"선행증빙 확인","원본 확인 대기")</f>
        <v>원본 확인 대기</v>
      </c>
    </row>
    <row r="9" spans="1:13" ht="33" customHeight="1" x14ac:dyDescent="0.25">
      <c r="A9" s="12" t="s">
        <v>288</v>
      </c>
      <c r="B9" s="12" t="s">
        <v>289</v>
      </c>
      <c r="C9" s="12" t="s">
        <v>290</v>
      </c>
      <c r="D9" s="12" t="s">
        <v>291</v>
      </c>
      <c r="E9" s="12" t="s">
        <v>200</v>
      </c>
      <c r="F9" s="10" t="s">
        <v>278</v>
      </c>
      <c r="G9" s="11"/>
      <c r="H9" s="10"/>
      <c r="I9" s="10"/>
      <c r="J9" s="10"/>
      <c r="K9" s="10"/>
      <c r="L9" s="12" t="str">
        <f t="shared" si="0"/>
        <v>미실시</v>
      </c>
      <c r="M9" s="12" t="str">
        <f>IF(AND('02_운영증빙'!N15="확인"),"선행증빙 확인","원본 확인 대기")</f>
        <v>원본 확인 대기</v>
      </c>
    </row>
    <row r="10" spans="1:13" ht="33" customHeight="1" x14ac:dyDescent="0.25">
      <c r="A10" s="9" t="s">
        <v>292</v>
      </c>
      <c r="B10" s="9" t="s">
        <v>293</v>
      </c>
      <c r="C10" s="9" t="s">
        <v>294</v>
      </c>
      <c r="D10" s="9" t="s">
        <v>295</v>
      </c>
      <c r="E10" s="9" t="s">
        <v>206</v>
      </c>
      <c r="F10" s="10" t="s">
        <v>278</v>
      </c>
      <c r="G10" s="11"/>
      <c r="H10" s="10"/>
      <c r="I10" s="10"/>
      <c r="J10" s="10"/>
      <c r="K10" s="10"/>
      <c r="L10" s="9" t="str">
        <f t="shared" si="0"/>
        <v>미실시</v>
      </c>
      <c r="M10" s="9" t="str">
        <f>IF(AND('02_운영증빙'!N16="확인"),"선행증빙 확인","원본 확인 대기")</f>
        <v>원본 확인 대기</v>
      </c>
    </row>
    <row r="11" spans="1:13" ht="33" customHeight="1" x14ac:dyDescent="0.25">
      <c r="A11" s="12" t="s">
        <v>296</v>
      </c>
      <c r="B11" s="12" t="s">
        <v>297</v>
      </c>
      <c r="C11" s="12" t="s">
        <v>298</v>
      </c>
      <c r="D11" s="12" t="s">
        <v>299</v>
      </c>
      <c r="E11" s="12" t="s">
        <v>212</v>
      </c>
      <c r="F11" s="10" t="s">
        <v>278</v>
      </c>
      <c r="G11" s="11"/>
      <c r="H11" s="10"/>
      <c r="I11" s="10"/>
      <c r="J11" s="10"/>
      <c r="K11" s="10"/>
      <c r="L11" s="12" t="str">
        <f t="shared" si="0"/>
        <v>미실시</v>
      </c>
      <c r="M11" s="12" t="str">
        <f>IF(AND('02_운영증빙'!N17="확인"),"선행증빙 확인","원본 확인 대기")</f>
        <v>원본 확인 대기</v>
      </c>
    </row>
    <row r="12" spans="1:13" ht="33" customHeight="1" x14ac:dyDescent="0.25">
      <c r="A12" s="9" t="s">
        <v>300</v>
      </c>
      <c r="B12" s="9" t="s">
        <v>301</v>
      </c>
      <c r="C12" s="9" t="s">
        <v>302</v>
      </c>
      <c r="D12" s="9" t="s">
        <v>303</v>
      </c>
      <c r="E12" s="9" t="s">
        <v>218</v>
      </c>
      <c r="F12" s="10" t="s">
        <v>278</v>
      </c>
      <c r="G12" s="11"/>
      <c r="H12" s="10"/>
      <c r="I12" s="10"/>
      <c r="J12" s="10"/>
      <c r="K12" s="10"/>
      <c r="L12" s="9" t="str">
        <f t="shared" si="0"/>
        <v>미실시</v>
      </c>
      <c r="M12" s="9" t="str">
        <f>IF(AND('02_운영증빙'!N18="확인"),"선행증빙 확인","원본 확인 대기")</f>
        <v>원본 확인 대기</v>
      </c>
    </row>
    <row r="13" spans="1:13" ht="33" customHeight="1" x14ac:dyDescent="0.25">
      <c r="A13" s="12" t="s">
        <v>304</v>
      </c>
      <c r="B13" s="12" t="s">
        <v>305</v>
      </c>
      <c r="C13" s="12" t="s">
        <v>306</v>
      </c>
      <c r="D13" s="12" t="s">
        <v>307</v>
      </c>
      <c r="E13" s="12" t="s">
        <v>176</v>
      </c>
      <c r="F13" s="10" t="s">
        <v>278</v>
      </c>
      <c r="G13" s="11"/>
      <c r="H13" s="10"/>
      <c r="I13" s="10"/>
      <c r="J13" s="10"/>
      <c r="K13" s="10"/>
      <c r="L13" s="12" t="str">
        <f t="shared" si="0"/>
        <v>미실시</v>
      </c>
      <c r="M13" s="12" t="str">
        <f>IF(AND('02_운영증빙'!N11="확인"),"선행증빙 확인","원본 확인 대기")</f>
        <v>원본 확인 대기</v>
      </c>
    </row>
    <row r="14" spans="1:13" ht="33" customHeight="1" x14ac:dyDescent="0.25">
      <c r="A14" s="9" t="s">
        <v>308</v>
      </c>
      <c r="B14" s="9" t="s">
        <v>309</v>
      </c>
      <c r="C14" s="9" t="s">
        <v>310</v>
      </c>
      <c r="D14" s="9" t="s">
        <v>311</v>
      </c>
      <c r="E14" s="9" t="s">
        <v>182</v>
      </c>
      <c r="F14" s="10" t="s">
        <v>278</v>
      </c>
      <c r="G14" s="11"/>
      <c r="H14" s="10"/>
      <c r="I14" s="10"/>
      <c r="J14" s="10"/>
      <c r="K14" s="10"/>
      <c r="L14" s="9" t="str">
        <f t="shared" si="0"/>
        <v>미실시</v>
      </c>
      <c r="M14" s="9" t="str">
        <f>IF(AND('02_운영증빙'!N12="확인"),"선행증빙 확인","원본 확인 대기")</f>
        <v>원본 확인 대기</v>
      </c>
    </row>
    <row r="15" spans="1:13" ht="33" customHeight="1" x14ac:dyDescent="0.25">
      <c r="A15" s="12" t="s">
        <v>312</v>
      </c>
      <c r="B15" s="12" t="s">
        <v>313</v>
      </c>
      <c r="C15" s="12" t="s">
        <v>314</v>
      </c>
      <c r="D15" s="12" t="s">
        <v>315</v>
      </c>
      <c r="E15" s="12" t="s">
        <v>188</v>
      </c>
      <c r="F15" s="10" t="s">
        <v>278</v>
      </c>
      <c r="G15" s="11"/>
      <c r="H15" s="10"/>
      <c r="I15" s="10"/>
      <c r="J15" s="10"/>
      <c r="K15" s="10"/>
      <c r="L15" s="12" t="str">
        <f t="shared" si="0"/>
        <v>미실시</v>
      </c>
      <c r="M15" s="12" t="str">
        <f>IF(AND('02_운영증빙'!N13="확인"),"선행증빙 확인","원본 확인 대기")</f>
        <v>원본 확인 대기</v>
      </c>
    </row>
    <row r="16" spans="1:13" ht="33" customHeight="1" x14ac:dyDescent="0.25">
      <c r="A16" s="9" t="s">
        <v>316</v>
      </c>
      <c r="B16" s="9" t="s">
        <v>317</v>
      </c>
      <c r="C16" s="9" t="s">
        <v>318</v>
      </c>
      <c r="D16" s="9" t="s">
        <v>287</v>
      </c>
      <c r="E16" s="9" t="s">
        <v>224</v>
      </c>
      <c r="F16" s="10" t="s">
        <v>278</v>
      </c>
      <c r="G16" s="11"/>
      <c r="H16" s="10"/>
      <c r="I16" s="10"/>
      <c r="J16" s="10"/>
      <c r="K16" s="10"/>
      <c r="L16" s="9" t="str">
        <f t="shared" si="0"/>
        <v>미실시</v>
      </c>
      <c r="M16" s="9" t="str">
        <f>IF(AND('02_운영증빙'!N19="확인"),"선행증빙 확인","원본 확인 대기")</f>
        <v>원본 확인 대기</v>
      </c>
    </row>
    <row r="17" spans="1:13" ht="33" customHeight="1" x14ac:dyDescent="0.25">
      <c r="A17" s="12" t="s">
        <v>319</v>
      </c>
      <c r="B17" s="12" t="s">
        <v>320</v>
      </c>
      <c r="C17" s="12" t="s">
        <v>321</v>
      </c>
      <c r="D17" s="12" t="s">
        <v>322</v>
      </c>
      <c r="E17" s="12" t="s">
        <v>229</v>
      </c>
      <c r="F17" s="10" t="s">
        <v>278</v>
      </c>
      <c r="G17" s="11"/>
      <c r="H17" s="10"/>
      <c r="I17" s="10"/>
      <c r="J17" s="10"/>
      <c r="K17" s="10"/>
      <c r="L17" s="12" t="str">
        <f t="shared" si="0"/>
        <v>미실시</v>
      </c>
      <c r="M17" s="12" t="str">
        <f>IF(AND('02_운영증빙'!N20="확인"),"선행증빙 확인","원본 확인 대기")</f>
        <v>원본 확인 대기</v>
      </c>
    </row>
    <row r="18" spans="1:13" ht="33" customHeight="1" x14ac:dyDescent="0.25">
      <c r="A18" s="9" t="s">
        <v>323</v>
      </c>
      <c r="B18" s="9" t="s">
        <v>324</v>
      </c>
      <c r="C18" s="9" t="s">
        <v>325</v>
      </c>
      <c r="D18" s="9" t="s">
        <v>326</v>
      </c>
      <c r="E18" s="9" t="s">
        <v>235</v>
      </c>
      <c r="F18" s="10" t="s">
        <v>278</v>
      </c>
      <c r="G18" s="11"/>
      <c r="H18" s="10"/>
      <c r="I18" s="10"/>
      <c r="J18" s="10"/>
      <c r="K18" s="10"/>
      <c r="L18" s="9" t="str">
        <f t="shared" si="0"/>
        <v>미실시</v>
      </c>
      <c r="M18" s="9" t="str">
        <f>IF(AND('02_운영증빙'!N21="확인"),"선행증빙 확인","원본 확인 대기")</f>
        <v>원본 확인 대기</v>
      </c>
    </row>
    <row r="19" spans="1:13" ht="33" customHeight="1" x14ac:dyDescent="0.25">
      <c r="A19" s="12" t="s">
        <v>327</v>
      </c>
      <c r="B19" s="12" t="s">
        <v>328</v>
      </c>
      <c r="C19" s="12" t="s">
        <v>329</v>
      </c>
      <c r="D19" s="12" t="s">
        <v>330</v>
      </c>
      <c r="E19" s="12" t="s">
        <v>241</v>
      </c>
      <c r="F19" s="10" t="s">
        <v>278</v>
      </c>
      <c r="G19" s="11"/>
      <c r="H19" s="10"/>
      <c r="I19" s="10"/>
      <c r="J19" s="10"/>
      <c r="K19" s="10"/>
      <c r="L19" s="12" t="str">
        <f t="shared" si="0"/>
        <v>미실시</v>
      </c>
      <c r="M19" s="12" t="str">
        <f>IF(AND('02_운영증빙'!N22="확인"),"선행증빙 확인","원본 확인 대기")</f>
        <v>원본 확인 대기</v>
      </c>
    </row>
    <row r="20" spans="1:13" ht="33" customHeight="1" x14ac:dyDescent="0.25">
      <c r="A20" s="9" t="s">
        <v>331</v>
      </c>
      <c r="B20" s="9" t="s">
        <v>332</v>
      </c>
      <c r="C20" s="9" t="s">
        <v>333</v>
      </c>
      <c r="D20" s="9" t="s">
        <v>311</v>
      </c>
      <c r="E20" s="9" t="s">
        <v>247</v>
      </c>
      <c r="F20" s="10" t="s">
        <v>278</v>
      </c>
      <c r="G20" s="11"/>
      <c r="H20" s="10"/>
      <c r="I20" s="10"/>
      <c r="J20" s="10"/>
      <c r="K20" s="10"/>
      <c r="L20" s="9" t="str">
        <f t="shared" si="0"/>
        <v>미실시</v>
      </c>
      <c r="M20" s="9" t="str">
        <f>IF(AND('02_운영증빙'!N23="확인"),"선행증빙 확인","원본 확인 대기")</f>
        <v>원본 확인 대기</v>
      </c>
    </row>
    <row r="21" spans="1:13" ht="33" customHeight="1" x14ac:dyDescent="0.25">
      <c r="A21" s="12" t="s">
        <v>334</v>
      </c>
      <c r="B21" s="12" t="s">
        <v>335</v>
      </c>
      <c r="C21" s="12" t="s">
        <v>336</v>
      </c>
      <c r="D21" s="12" t="s">
        <v>287</v>
      </c>
      <c r="E21" s="12" t="s">
        <v>337</v>
      </c>
      <c r="F21" s="10" t="s">
        <v>278</v>
      </c>
      <c r="G21" s="11"/>
      <c r="H21" s="10"/>
      <c r="I21" s="10"/>
      <c r="J21" s="10"/>
      <c r="K21" s="10"/>
      <c r="L21" s="12" t="str">
        <f t="shared" si="0"/>
        <v>미실시</v>
      </c>
      <c r="M21" s="12" t="str">
        <f>IF(AND('02_운영증빙'!N23="확인",'02_운영증빙'!N25="확인"),"선행증빙 확인","원본 확인 대기")</f>
        <v>원본 확인 대기</v>
      </c>
    </row>
    <row r="22" spans="1:13" ht="33" customHeight="1" x14ac:dyDescent="0.25">
      <c r="A22" s="9" t="s">
        <v>338</v>
      </c>
      <c r="B22" s="9" t="s">
        <v>339</v>
      </c>
      <c r="C22" s="9" t="s">
        <v>340</v>
      </c>
      <c r="D22" s="9" t="s">
        <v>341</v>
      </c>
      <c r="E22" s="9" t="s">
        <v>342</v>
      </c>
      <c r="F22" s="10" t="s">
        <v>278</v>
      </c>
      <c r="G22" s="11"/>
      <c r="H22" s="10"/>
      <c r="I22" s="10"/>
      <c r="J22" s="10"/>
      <c r="K22" s="10"/>
      <c r="L22" s="9" t="str">
        <f t="shared" si="0"/>
        <v>미실시</v>
      </c>
      <c r="M22" s="9" t="str">
        <f>IF(AND('02_운영증빙'!N18="확인",'02_운영증빙'!N24="확인"),"선행증빙 확인","원본 확인 대기")</f>
        <v>원본 확인 대기</v>
      </c>
    </row>
    <row r="23" spans="1:13" ht="33" customHeight="1" x14ac:dyDescent="0.25">
      <c r="A23" s="12" t="s">
        <v>343</v>
      </c>
      <c r="B23" s="12" t="s">
        <v>344</v>
      </c>
      <c r="C23" s="12" t="s">
        <v>345</v>
      </c>
      <c r="D23" s="12" t="s">
        <v>346</v>
      </c>
      <c r="E23" s="12" t="s">
        <v>252</v>
      </c>
      <c r="F23" s="10" t="s">
        <v>278</v>
      </c>
      <c r="G23" s="11"/>
      <c r="H23" s="10"/>
      <c r="I23" s="10"/>
      <c r="J23" s="10"/>
      <c r="K23" s="10"/>
      <c r="L23" s="12" t="str">
        <f t="shared" si="0"/>
        <v>미실시</v>
      </c>
      <c r="M23" s="12" t="str">
        <f>IF(AND('02_운영증빙'!N24="확인"),"선행증빙 확인","원본 확인 대기")</f>
        <v>원본 확인 대기</v>
      </c>
    </row>
    <row r="24" spans="1:13" ht="33" customHeight="1" x14ac:dyDescent="0.25">
      <c r="A24" s="9" t="s">
        <v>347</v>
      </c>
      <c r="B24" s="9" t="s">
        <v>348</v>
      </c>
      <c r="C24" s="9" t="s">
        <v>349</v>
      </c>
      <c r="D24" s="9" t="s">
        <v>311</v>
      </c>
      <c r="E24" s="9" t="s">
        <v>252</v>
      </c>
      <c r="F24" s="10" t="s">
        <v>278</v>
      </c>
      <c r="G24" s="11"/>
      <c r="H24" s="10"/>
      <c r="I24" s="10"/>
      <c r="J24" s="10"/>
      <c r="K24" s="10"/>
      <c r="L24" s="9" t="str">
        <f t="shared" si="0"/>
        <v>미실시</v>
      </c>
      <c r="M24" s="9" t="str">
        <f>IF(AND('02_운영증빙'!N24="확인"),"선행증빙 확인","원본 확인 대기")</f>
        <v>원본 확인 대기</v>
      </c>
    </row>
    <row r="25" spans="1:13" ht="33" customHeight="1" x14ac:dyDescent="0.25">
      <c r="A25" s="12" t="s">
        <v>350</v>
      </c>
      <c r="B25" s="12" t="s">
        <v>351</v>
      </c>
      <c r="C25" s="12" t="s">
        <v>352</v>
      </c>
      <c r="D25" s="12" t="s">
        <v>353</v>
      </c>
      <c r="E25" s="12" t="s">
        <v>354</v>
      </c>
      <c r="F25" s="10" t="s">
        <v>278</v>
      </c>
      <c r="G25" s="11"/>
      <c r="H25" s="10"/>
      <c r="I25" s="10"/>
      <c r="J25" s="10"/>
      <c r="K25" s="10"/>
      <c r="L25" s="12" t="str">
        <f t="shared" si="0"/>
        <v>미실시</v>
      </c>
      <c r="M25" s="12" t="str">
        <f>IF(AND('02_운영증빙'!N25="확인",'02_운영증빙'!N17="확인"),"선행증빙 확인","원본 확인 대기")</f>
        <v>원본 확인 대기</v>
      </c>
    </row>
    <row r="26" spans="1:13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phoneticPr fontId="7" type="noConversion"/>
  <conditionalFormatting sqref="L6:L25">
    <cfRule type="containsText" dxfId="1" priority="1" operator="containsText" text="필요"/>
  </conditionalFormatting>
  <dataValidations count="1">
    <dataValidation type="list" sqref="F6:F25" xr:uid="{00000000-0002-0000-0300-000000000000}">
      <formula1>"미실시,적합,보완,비적용"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F11" sqref="F11"/>
    </sheetView>
  </sheetViews>
  <sheetFormatPr defaultRowHeight="15" x14ac:dyDescent="0.25"/>
  <cols>
    <col min="1" max="1" width="10" customWidth="1"/>
    <col min="2" max="2" width="12.625" customWidth="1"/>
    <col min="3" max="3" width="17" customWidth="1"/>
    <col min="4" max="4" width="28.25" customWidth="1"/>
    <col min="5" max="5" width="15.5" customWidth="1"/>
    <col min="6" max="6" width="28.75" customWidth="1"/>
    <col min="7" max="7" width="20.25" customWidth="1"/>
    <col min="8" max="8" width="18" customWidth="1"/>
    <col min="9" max="9" width="44.25" customWidth="1"/>
  </cols>
  <sheetData>
    <row r="1" spans="1:9" ht="15.75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33.950000000000003" customHeight="1" x14ac:dyDescent="0.25">
      <c r="A2" s="2" t="s">
        <v>355</v>
      </c>
      <c r="B2" s="1"/>
      <c r="C2" s="1"/>
      <c r="D2" s="1"/>
      <c r="E2" s="1"/>
      <c r="F2" s="1"/>
      <c r="G2" s="1"/>
      <c r="H2" s="1"/>
      <c r="I2" s="1"/>
    </row>
    <row r="3" spans="1:9" ht="27.95" customHeight="1" x14ac:dyDescent="0.25">
      <c r="A3" s="1" t="s">
        <v>356</v>
      </c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3.950000000000003" customHeight="1" x14ac:dyDescent="0.25">
      <c r="A5" s="4" t="s">
        <v>357</v>
      </c>
      <c r="B5" s="4" t="s">
        <v>358</v>
      </c>
      <c r="C5" s="4" t="s">
        <v>359</v>
      </c>
      <c r="D5" s="4" t="s">
        <v>360</v>
      </c>
      <c r="E5" s="4" t="s">
        <v>361</v>
      </c>
      <c r="F5" s="4" t="s">
        <v>362</v>
      </c>
      <c r="G5" s="4" t="s">
        <v>363</v>
      </c>
      <c r="H5" s="4" t="s">
        <v>364</v>
      </c>
      <c r="I5" s="4" t="s">
        <v>365</v>
      </c>
    </row>
    <row r="6" spans="1:9" ht="24.75" customHeight="1" x14ac:dyDescent="0.25">
      <c r="A6" s="9">
        <v>1</v>
      </c>
      <c r="B6" s="10"/>
      <c r="C6" s="10"/>
      <c r="D6" s="10"/>
      <c r="E6" s="10"/>
      <c r="F6" s="10"/>
      <c r="G6" s="10"/>
      <c r="H6" s="10"/>
      <c r="I6" s="10"/>
    </row>
    <row r="7" spans="1:9" ht="24.75" customHeight="1" x14ac:dyDescent="0.25">
      <c r="A7" s="12">
        <v>2</v>
      </c>
      <c r="B7" s="10"/>
      <c r="C7" s="10"/>
      <c r="D7" s="10"/>
      <c r="E7" s="10"/>
      <c r="F7" s="10"/>
      <c r="G7" s="10"/>
      <c r="H7" s="10"/>
      <c r="I7" s="10"/>
    </row>
    <row r="8" spans="1:9" ht="24.75" customHeight="1" x14ac:dyDescent="0.25">
      <c r="A8" s="9">
        <v>3</v>
      </c>
      <c r="B8" s="10"/>
      <c r="C8" s="10"/>
      <c r="D8" s="10"/>
      <c r="E8" s="10"/>
      <c r="F8" s="10"/>
      <c r="G8" s="10"/>
      <c r="H8" s="10"/>
      <c r="I8" s="10"/>
    </row>
    <row r="9" spans="1:9" ht="24.75" customHeight="1" x14ac:dyDescent="0.25">
      <c r="A9" s="12">
        <v>4</v>
      </c>
      <c r="B9" s="10"/>
      <c r="C9" s="10"/>
      <c r="D9" s="10"/>
      <c r="E9" s="10"/>
      <c r="F9" s="10"/>
      <c r="G9" s="10"/>
      <c r="H9" s="10"/>
      <c r="I9" s="10"/>
    </row>
    <row r="10" spans="1:9" ht="24.75" customHeight="1" x14ac:dyDescent="0.25">
      <c r="A10" s="9">
        <v>5</v>
      </c>
      <c r="B10" s="10"/>
      <c r="C10" s="10"/>
      <c r="D10" s="10"/>
      <c r="E10" s="10"/>
      <c r="F10" s="10"/>
      <c r="G10" s="10"/>
      <c r="H10" s="10"/>
      <c r="I10" s="10"/>
    </row>
    <row r="11" spans="1:9" ht="24.75" customHeight="1" x14ac:dyDescent="0.25">
      <c r="A11" s="12">
        <v>6</v>
      </c>
      <c r="B11" s="10"/>
      <c r="C11" s="10"/>
      <c r="D11" s="10"/>
      <c r="E11" s="10"/>
      <c r="F11" s="10"/>
      <c r="G11" s="10"/>
      <c r="H11" s="10"/>
      <c r="I11" s="10"/>
    </row>
    <row r="12" spans="1:9" ht="24.75" customHeight="1" x14ac:dyDescent="0.25">
      <c r="A12" s="9">
        <v>7</v>
      </c>
      <c r="B12" s="10"/>
      <c r="C12" s="10"/>
      <c r="D12" s="10"/>
      <c r="E12" s="10"/>
      <c r="F12" s="10"/>
      <c r="G12" s="10"/>
      <c r="H12" s="10"/>
      <c r="I12" s="10"/>
    </row>
    <row r="13" spans="1:9" ht="24.75" customHeight="1" x14ac:dyDescent="0.25">
      <c r="A13" s="12">
        <v>8</v>
      </c>
      <c r="B13" s="10"/>
      <c r="C13" s="10"/>
      <c r="D13" s="10"/>
      <c r="E13" s="10"/>
      <c r="F13" s="10"/>
      <c r="G13" s="10"/>
      <c r="H13" s="10"/>
      <c r="I13" s="10"/>
    </row>
    <row r="14" spans="1:9" ht="24.75" customHeight="1" x14ac:dyDescent="0.25">
      <c r="A14" s="9">
        <v>9</v>
      </c>
      <c r="B14" s="10"/>
      <c r="C14" s="10"/>
      <c r="D14" s="10"/>
      <c r="E14" s="10"/>
      <c r="F14" s="10"/>
      <c r="G14" s="10"/>
      <c r="H14" s="10"/>
      <c r="I14" s="10"/>
    </row>
    <row r="15" spans="1:9" ht="24.75" customHeight="1" x14ac:dyDescent="0.25">
      <c r="A15" s="12">
        <v>10</v>
      </c>
      <c r="B15" s="10"/>
      <c r="C15" s="10"/>
      <c r="D15" s="10"/>
      <c r="E15" s="10"/>
      <c r="F15" s="10"/>
      <c r="G15" s="10"/>
      <c r="H15" s="10"/>
      <c r="I15" s="10"/>
    </row>
    <row r="16" spans="1:9" ht="24.75" customHeight="1" x14ac:dyDescent="0.25">
      <c r="A16" s="9">
        <v>11</v>
      </c>
      <c r="B16" s="10"/>
      <c r="C16" s="10"/>
      <c r="D16" s="10"/>
      <c r="E16" s="10"/>
      <c r="F16" s="10"/>
      <c r="G16" s="10"/>
      <c r="H16" s="10"/>
      <c r="I16" s="10"/>
    </row>
    <row r="17" spans="1:9" ht="24.75" customHeight="1" x14ac:dyDescent="0.25">
      <c r="A17" s="12">
        <v>12</v>
      </c>
      <c r="B17" s="10"/>
      <c r="C17" s="10"/>
      <c r="D17" s="10"/>
      <c r="E17" s="10"/>
      <c r="F17" s="10"/>
      <c r="G17" s="10"/>
      <c r="H17" s="10"/>
      <c r="I17" s="10"/>
    </row>
    <row r="18" spans="1:9" ht="24.75" customHeight="1" x14ac:dyDescent="0.25">
      <c r="A18" s="9">
        <v>13</v>
      </c>
      <c r="B18" s="10"/>
      <c r="C18" s="10"/>
      <c r="D18" s="10"/>
      <c r="E18" s="10"/>
      <c r="F18" s="10"/>
      <c r="G18" s="10"/>
      <c r="H18" s="10"/>
      <c r="I18" s="10"/>
    </row>
    <row r="19" spans="1:9" ht="24.75" customHeight="1" x14ac:dyDescent="0.25">
      <c r="A19" s="12">
        <v>14</v>
      </c>
      <c r="B19" s="10"/>
      <c r="C19" s="10"/>
      <c r="D19" s="10"/>
      <c r="E19" s="10"/>
      <c r="F19" s="10"/>
      <c r="G19" s="10"/>
      <c r="H19" s="10"/>
      <c r="I19" s="10"/>
    </row>
    <row r="20" spans="1:9" ht="24.75" customHeight="1" x14ac:dyDescent="0.25">
      <c r="A20" s="9">
        <v>15</v>
      </c>
      <c r="B20" s="10"/>
      <c r="C20" s="10"/>
      <c r="D20" s="10"/>
      <c r="E20" s="10"/>
      <c r="F20" s="10"/>
      <c r="G20" s="10"/>
      <c r="H20" s="10"/>
      <c r="I20" s="10"/>
    </row>
    <row r="21" spans="1:9" ht="24.75" customHeight="1" x14ac:dyDescent="0.25">
      <c r="A21" s="12">
        <v>16</v>
      </c>
      <c r="B21" s="10"/>
      <c r="C21" s="10"/>
      <c r="D21" s="10"/>
      <c r="E21" s="10"/>
      <c r="F21" s="10"/>
      <c r="G21" s="10"/>
      <c r="H21" s="10"/>
      <c r="I21" s="10"/>
    </row>
    <row r="22" spans="1:9" ht="24.75" customHeight="1" x14ac:dyDescent="0.25">
      <c r="A22" s="9">
        <v>17</v>
      </c>
      <c r="B22" s="10"/>
      <c r="C22" s="10"/>
      <c r="D22" s="10"/>
      <c r="E22" s="10"/>
      <c r="F22" s="10"/>
      <c r="G22" s="10"/>
      <c r="H22" s="10"/>
      <c r="I22" s="10"/>
    </row>
    <row r="23" spans="1:9" ht="24.75" customHeight="1" x14ac:dyDescent="0.25">
      <c r="A23" s="12">
        <v>18</v>
      </c>
      <c r="B23" s="10"/>
      <c r="C23" s="10"/>
      <c r="D23" s="10"/>
      <c r="E23" s="10"/>
      <c r="F23" s="10"/>
      <c r="G23" s="10"/>
      <c r="H23" s="10"/>
      <c r="I23" s="10"/>
    </row>
    <row r="24" spans="1:9" ht="24.75" customHeight="1" x14ac:dyDescent="0.25">
      <c r="A24" s="9">
        <v>19</v>
      </c>
      <c r="B24" s="10"/>
      <c r="C24" s="10"/>
      <c r="D24" s="10"/>
      <c r="E24" s="10"/>
      <c r="F24" s="10"/>
      <c r="G24" s="10"/>
      <c r="H24" s="10"/>
      <c r="I24" s="10"/>
    </row>
    <row r="25" spans="1:9" ht="24.75" customHeight="1" x14ac:dyDescent="0.25">
      <c r="A25" s="12">
        <v>20</v>
      </c>
      <c r="B25" s="10"/>
      <c r="C25" s="10"/>
      <c r="D25" s="10"/>
      <c r="E25" s="10"/>
      <c r="F25" s="10"/>
      <c r="G25" s="10"/>
      <c r="H25" s="10"/>
      <c r="I25" s="10"/>
    </row>
    <row r="26" spans="1:9" ht="15.75" x14ac:dyDescent="0.25">
      <c r="A26" s="1"/>
      <c r="B26" s="1"/>
      <c r="C26" s="1"/>
      <c r="D26" s="1"/>
      <c r="E26" s="1"/>
      <c r="F26" s="1"/>
      <c r="G26" s="1"/>
      <c r="H26" s="1"/>
      <c r="I26" s="1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D19" sqref="D19"/>
    </sheetView>
  </sheetViews>
  <sheetFormatPr defaultRowHeight="15" x14ac:dyDescent="0.25"/>
  <cols>
    <col min="1" max="1" width="14" customWidth="1"/>
    <col min="2" max="2" width="16.75" customWidth="1"/>
    <col min="3" max="3" width="36.375" customWidth="1"/>
    <col min="4" max="4" width="25.25" customWidth="1"/>
    <col min="5" max="5" width="24.5" customWidth="1"/>
    <col min="6" max="6" width="29.375" customWidth="1"/>
    <col min="7" max="7" width="20.375" customWidth="1"/>
    <col min="8" max="8" width="10.75" customWidth="1"/>
    <col min="9" max="9" width="12.75" customWidth="1"/>
    <col min="10" max="10" width="12.375" customWidth="1"/>
    <col min="11" max="12" width="20.375" customWidth="1"/>
    <col min="13" max="13" width="12.375" customWidth="1"/>
    <col min="14" max="14" width="11.625" customWidth="1"/>
    <col min="15" max="16" width="15.625" customWidth="1"/>
    <col min="17" max="17" width="28" customWidth="1"/>
  </cols>
  <sheetData>
    <row r="1" spans="1:17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33.950000000000003" customHeight="1" x14ac:dyDescent="0.25">
      <c r="A2" s="2" t="s">
        <v>366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7" ht="27.95" customHeight="1" x14ac:dyDescent="0.25">
      <c r="A3" s="1" t="s">
        <v>367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7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 ht="33.950000000000003" customHeight="1" x14ac:dyDescent="0.25">
      <c r="A5" s="4" t="s">
        <v>368</v>
      </c>
      <c r="B5" s="4" t="s">
        <v>369</v>
      </c>
      <c r="C5" s="4" t="s">
        <v>370</v>
      </c>
      <c r="D5" s="4" t="s">
        <v>371</v>
      </c>
      <c r="E5" s="4" t="s">
        <v>372</v>
      </c>
      <c r="F5" s="4" t="s">
        <v>373</v>
      </c>
      <c r="G5" s="4" t="s">
        <v>374</v>
      </c>
      <c r="H5" s="4" t="s">
        <v>375</v>
      </c>
      <c r="I5" s="4" t="s">
        <v>376</v>
      </c>
      <c r="J5" s="4" t="s">
        <v>377</v>
      </c>
      <c r="K5" s="4" t="s">
        <v>378</v>
      </c>
      <c r="L5" s="4" t="s">
        <v>379</v>
      </c>
      <c r="M5" s="4" t="s">
        <v>380</v>
      </c>
      <c r="N5" s="4" t="s">
        <v>381</v>
      </c>
      <c r="O5" s="4" t="s">
        <v>45</v>
      </c>
      <c r="P5" s="4" t="s">
        <v>47</v>
      </c>
      <c r="Q5" s="4" t="s">
        <v>793</v>
      </c>
    </row>
    <row r="6" spans="1:17" ht="20.25" customHeight="1" x14ac:dyDescent="0.25">
      <c r="A6" s="9" t="s">
        <v>382</v>
      </c>
      <c r="B6" s="10"/>
      <c r="C6" s="10"/>
      <c r="D6" s="10"/>
      <c r="E6" s="10"/>
      <c r="F6" s="10"/>
      <c r="G6" s="10"/>
      <c r="H6" s="10"/>
      <c r="I6" s="11"/>
      <c r="J6" s="11"/>
      <c r="K6" s="10"/>
      <c r="L6" s="10"/>
      <c r="M6" s="10"/>
      <c r="N6" s="11"/>
      <c r="O6" s="10" t="s">
        <v>383</v>
      </c>
      <c r="P6" s="9" t="str">
        <f t="shared" ref="P6:P20" si="0">IF(C6="","미등록",IF(O6="종결",IF(AND(E6&lt;&gt;"",F6&lt;&gt;"",G6&lt;&gt;"",H6&lt;&gt;"",ISNUMBER(J6),K6&lt;&gt;"",L6&lt;&gt;"",M6&lt;&gt;"",ISNUMBER(N6)),"종결","종결근거 확인 필요"),IF(O6="미등록","진행중",O6)))</f>
        <v>미등록</v>
      </c>
      <c r="Q6" s="9" t="str">
        <f>IF(C6="","미등록",IF(NOT(ISNUMBER(I6)),"기한 미입력",IF(P6="종결",IF(N6&lt;=I6,"기한 내 종결","기한 후 종결"),IF(I6&lt;'00_최종안내'!$B$26,"기한초과",IF(I6-'00_최종안내'!$B$26&lt;=3,"3일 이내","기한 내 진행")))))</f>
        <v>미등록</v>
      </c>
    </row>
    <row r="7" spans="1:17" ht="20.25" customHeight="1" x14ac:dyDescent="0.25">
      <c r="A7" s="12" t="s">
        <v>384</v>
      </c>
      <c r="B7" s="10"/>
      <c r="C7" s="10"/>
      <c r="D7" s="10"/>
      <c r="E7" s="10"/>
      <c r="F7" s="10"/>
      <c r="G7" s="10"/>
      <c r="H7" s="10"/>
      <c r="I7" s="11"/>
      <c r="J7" s="11"/>
      <c r="K7" s="10"/>
      <c r="L7" s="10"/>
      <c r="M7" s="10"/>
      <c r="N7" s="11"/>
      <c r="O7" s="10" t="s">
        <v>383</v>
      </c>
      <c r="P7" s="12" t="str">
        <f t="shared" si="0"/>
        <v>미등록</v>
      </c>
      <c r="Q7" s="12" t="str">
        <f>IF(C7="","미등록",IF(NOT(ISNUMBER(I7)),"기한 미입력",IF(P7="종결",IF(N7&lt;=I7,"기한 내 종결","기한 후 종결"),IF(I7&lt;'00_최종안내'!$B$26,"기한초과",IF(I7-'00_최종안내'!$B$26&lt;=3,"3일 이내","기한 내 진행")))))</f>
        <v>미등록</v>
      </c>
    </row>
    <row r="8" spans="1:17" ht="20.25" customHeight="1" x14ac:dyDescent="0.25">
      <c r="A8" s="9" t="s">
        <v>385</v>
      </c>
      <c r="B8" s="10"/>
      <c r="C8" s="10"/>
      <c r="D8" s="10"/>
      <c r="E8" s="10"/>
      <c r="F8" s="10"/>
      <c r="G8" s="10"/>
      <c r="H8" s="10"/>
      <c r="I8" s="11"/>
      <c r="J8" s="11"/>
      <c r="K8" s="10"/>
      <c r="L8" s="10"/>
      <c r="M8" s="10"/>
      <c r="N8" s="11"/>
      <c r="O8" s="10" t="s">
        <v>383</v>
      </c>
      <c r="P8" s="9" t="str">
        <f t="shared" si="0"/>
        <v>미등록</v>
      </c>
      <c r="Q8" s="9" t="str">
        <f>IF(C8="","미등록",IF(NOT(ISNUMBER(I8)),"기한 미입력",IF(P8="종결",IF(N8&lt;=I8,"기한 내 종결","기한 후 종결"),IF(I8&lt;'00_최종안내'!$B$26,"기한초과",IF(I8-'00_최종안내'!$B$26&lt;=3,"3일 이내","기한 내 진행")))))</f>
        <v>미등록</v>
      </c>
    </row>
    <row r="9" spans="1:17" ht="20.25" customHeight="1" x14ac:dyDescent="0.25">
      <c r="A9" s="12" t="s">
        <v>386</v>
      </c>
      <c r="B9" s="10"/>
      <c r="C9" s="10"/>
      <c r="D9" s="10"/>
      <c r="E9" s="10"/>
      <c r="F9" s="10"/>
      <c r="G9" s="10"/>
      <c r="H9" s="10"/>
      <c r="I9" s="11"/>
      <c r="J9" s="11"/>
      <c r="K9" s="10"/>
      <c r="L9" s="10"/>
      <c r="M9" s="10"/>
      <c r="N9" s="11"/>
      <c r="O9" s="10" t="s">
        <v>383</v>
      </c>
      <c r="P9" s="12" t="str">
        <f t="shared" si="0"/>
        <v>미등록</v>
      </c>
      <c r="Q9" s="12" t="str">
        <f>IF(C9="","미등록",IF(NOT(ISNUMBER(I9)),"기한 미입력",IF(P9="종결",IF(N9&lt;=I9,"기한 내 종결","기한 후 종결"),IF(I9&lt;'00_최종안내'!$B$26,"기한초과",IF(I9-'00_최종안내'!$B$26&lt;=3,"3일 이내","기한 내 진행")))))</f>
        <v>미등록</v>
      </c>
    </row>
    <row r="10" spans="1:17" ht="20.25" customHeight="1" x14ac:dyDescent="0.25">
      <c r="A10" s="9" t="s">
        <v>387</v>
      </c>
      <c r="B10" s="10"/>
      <c r="C10" s="10"/>
      <c r="D10" s="10"/>
      <c r="E10" s="10"/>
      <c r="F10" s="10"/>
      <c r="G10" s="10"/>
      <c r="H10" s="10"/>
      <c r="I10" s="11"/>
      <c r="J10" s="11"/>
      <c r="K10" s="10"/>
      <c r="L10" s="10"/>
      <c r="M10" s="10"/>
      <c r="N10" s="11"/>
      <c r="O10" s="10" t="s">
        <v>383</v>
      </c>
      <c r="P10" s="9" t="str">
        <f t="shared" si="0"/>
        <v>미등록</v>
      </c>
      <c r="Q10" s="9" t="str">
        <f>IF(C10="","미등록",IF(NOT(ISNUMBER(I10)),"기한 미입력",IF(P10="종결",IF(N10&lt;=I10,"기한 내 종결","기한 후 종결"),IF(I10&lt;'00_최종안내'!$B$26,"기한초과",IF(I10-'00_최종안내'!$B$26&lt;=3,"3일 이내","기한 내 진행")))))</f>
        <v>미등록</v>
      </c>
    </row>
    <row r="11" spans="1:17" ht="20.25" customHeight="1" x14ac:dyDescent="0.25">
      <c r="A11" s="12" t="s">
        <v>388</v>
      </c>
      <c r="B11" s="10"/>
      <c r="C11" s="10"/>
      <c r="D11" s="10"/>
      <c r="E11" s="10"/>
      <c r="F11" s="10"/>
      <c r="G11" s="10"/>
      <c r="H11" s="10"/>
      <c r="I11" s="11"/>
      <c r="J11" s="11"/>
      <c r="K11" s="10"/>
      <c r="L11" s="10"/>
      <c r="M11" s="10"/>
      <c r="N11" s="11"/>
      <c r="O11" s="10" t="s">
        <v>383</v>
      </c>
      <c r="P11" s="12" t="str">
        <f t="shared" si="0"/>
        <v>미등록</v>
      </c>
      <c r="Q11" s="12" t="str">
        <f>IF(C11="","미등록",IF(NOT(ISNUMBER(I11)),"기한 미입력",IF(P11="종결",IF(N11&lt;=I11,"기한 내 종결","기한 후 종결"),IF(I11&lt;'00_최종안내'!$B$26,"기한초과",IF(I11-'00_최종안내'!$B$26&lt;=3,"3일 이내","기한 내 진행")))))</f>
        <v>미등록</v>
      </c>
    </row>
    <row r="12" spans="1:17" ht="20.25" customHeight="1" x14ac:dyDescent="0.25">
      <c r="A12" s="9" t="s">
        <v>389</v>
      </c>
      <c r="B12" s="10"/>
      <c r="C12" s="10"/>
      <c r="D12" s="10"/>
      <c r="E12" s="10"/>
      <c r="F12" s="10"/>
      <c r="G12" s="10"/>
      <c r="H12" s="10"/>
      <c r="I12" s="11"/>
      <c r="J12" s="11"/>
      <c r="K12" s="10"/>
      <c r="L12" s="10"/>
      <c r="M12" s="10"/>
      <c r="N12" s="11"/>
      <c r="O12" s="10" t="s">
        <v>383</v>
      </c>
      <c r="P12" s="9" t="str">
        <f t="shared" si="0"/>
        <v>미등록</v>
      </c>
      <c r="Q12" s="9" t="str">
        <f>IF(C12="","미등록",IF(NOT(ISNUMBER(I12)),"기한 미입력",IF(P12="종결",IF(N12&lt;=I12,"기한 내 종결","기한 후 종결"),IF(I12&lt;'00_최종안내'!$B$26,"기한초과",IF(I12-'00_최종안내'!$B$26&lt;=3,"3일 이내","기한 내 진행")))))</f>
        <v>미등록</v>
      </c>
    </row>
    <row r="13" spans="1:17" ht="20.25" customHeight="1" x14ac:dyDescent="0.25">
      <c r="A13" s="12" t="s">
        <v>390</v>
      </c>
      <c r="B13" s="10"/>
      <c r="C13" s="10"/>
      <c r="D13" s="10"/>
      <c r="E13" s="10"/>
      <c r="F13" s="10"/>
      <c r="G13" s="10"/>
      <c r="H13" s="10"/>
      <c r="I13" s="11"/>
      <c r="J13" s="11"/>
      <c r="K13" s="10"/>
      <c r="L13" s="10"/>
      <c r="M13" s="10"/>
      <c r="N13" s="11"/>
      <c r="O13" s="10" t="s">
        <v>383</v>
      </c>
      <c r="P13" s="12" t="str">
        <f t="shared" si="0"/>
        <v>미등록</v>
      </c>
      <c r="Q13" s="12" t="str">
        <f>IF(C13="","미등록",IF(NOT(ISNUMBER(I13)),"기한 미입력",IF(P13="종결",IF(N13&lt;=I13,"기한 내 종결","기한 후 종결"),IF(I13&lt;'00_최종안내'!$B$26,"기한초과",IF(I13-'00_최종안내'!$B$26&lt;=3,"3일 이내","기한 내 진행")))))</f>
        <v>미등록</v>
      </c>
    </row>
    <row r="14" spans="1:17" ht="20.25" customHeight="1" x14ac:dyDescent="0.25">
      <c r="A14" s="9" t="s">
        <v>391</v>
      </c>
      <c r="B14" s="10"/>
      <c r="C14" s="10"/>
      <c r="D14" s="10"/>
      <c r="E14" s="10"/>
      <c r="F14" s="10"/>
      <c r="G14" s="10"/>
      <c r="H14" s="10"/>
      <c r="I14" s="11"/>
      <c r="J14" s="11"/>
      <c r="K14" s="10"/>
      <c r="L14" s="10"/>
      <c r="M14" s="10"/>
      <c r="N14" s="11"/>
      <c r="O14" s="10" t="s">
        <v>383</v>
      </c>
      <c r="P14" s="9" t="str">
        <f t="shared" si="0"/>
        <v>미등록</v>
      </c>
      <c r="Q14" s="9" t="str">
        <f>IF(C14="","미등록",IF(NOT(ISNUMBER(I14)),"기한 미입력",IF(P14="종결",IF(N14&lt;=I14,"기한 내 종결","기한 후 종결"),IF(I14&lt;'00_최종안내'!$B$26,"기한초과",IF(I14-'00_최종안내'!$B$26&lt;=3,"3일 이내","기한 내 진행")))))</f>
        <v>미등록</v>
      </c>
    </row>
    <row r="15" spans="1:17" ht="20.25" customHeight="1" x14ac:dyDescent="0.25">
      <c r="A15" s="12" t="s">
        <v>392</v>
      </c>
      <c r="B15" s="10"/>
      <c r="C15" s="10"/>
      <c r="D15" s="10"/>
      <c r="E15" s="10"/>
      <c r="F15" s="10"/>
      <c r="G15" s="10"/>
      <c r="H15" s="10"/>
      <c r="I15" s="11"/>
      <c r="J15" s="11"/>
      <c r="K15" s="10"/>
      <c r="L15" s="10"/>
      <c r="M15" s="10"/>
      <c r="N15" s="11"/>
      <c r="O15" s="10" t="s">
        <v>383</v>
      </c>
      <c r="P15" s="12" t="str">
        <f t="shared" si="0"/>
        <v>미등록</v>
      </c>
      <c r="Q15" s="12" t="str">
        <f>IF(C15="","미등록",IF(NOT(ISNUMBER(I15)),"기한 미입력",IF(P15="종결",IF(N15&lt;=I15,"기한 내 종결","기한 후 종결"),IF(I15&lt;'00_최종안내'!$B$26,"기한초과",IF(I15-'00_최종안내'!$B$26&lt;=3,"3일 이내","기한 내 진행")))))</f>
        <v>미등록</v>
      </c>
    </row>
    <row r="16" spans="1:17" ht="20.25" customHeight="1" x14ac:dyDescent="0.25">
      <c r="A16" s="9" t="s">
        <v>393</v>
      </c>
      <c r="B16" s="10"/>
      <c r="C16" s="10"/>
      <c r="D16" s="10"/>
      <c r="E16" s="10"/>
      <c r="F16" s="10"/>
      <c r="G16" s="10"/>
      <c r="H16" s="10"/>
      <c r="I16" s="11"/>
      <c r="J16" s="11"/>
      <c r="K16" s="10"/>
      <c r="L16" s="10"/>
      <c r="M16" s="10"/>
      <c r="N16" s="11"/>
      <c r="O16" s="10" t="s">
        <v>383</v>
      </c>
      <c r="P16" s="9" t="str">
        <f t="shared" si="0"/>
        <v>미등록</v>
      </c>
      <c r="Q16" s="9" t="str">
        <f>IF(C16="","미등록",IF(NOT(ISNUMBER(I16)),"기한 미입력",IF(P16="종결",IF(N16&lt;=I16,"기한 내 종결","기한 후 종결"),IF(I16&lt;'00_최종안내'!$B$26,"기한초과",IF(I16-'00_최종안내'!$B$26&lt;=3,"3일 이내","기한 내 진행")))))</f>
        <v>미등록</v>
      </c>
    </row>
    <row r="17" spans="1:17" ht="20.25" customHeight="1" x14ac:dyDescent="0.25">
      <c r="A17" s="12" t="s">
        <v>394</v>
      </c>
      <c r="B17" s="10"/>
      <c r="C17" s="10"/>
      <c r="D17" s="10"/>
      <c r="E17" s="10"/>
      <c r="F17" s="10"/>
      <c r="G17" s="10"/>
      <c r="H17" s="10"/>
      <c r="I17" s="11"/>
      <c r="J17" s="11"/>
      <c r="K17" s="10"/>
      <c r="L17" s="10"/>
      <c r="M17" s="10"/>
      <c r="N17" s="11"/>
      <c r="O17" s="10" t="s">
        <v>383</v>
      </c>
      <c r="P17" s="12" t="str">
        <f t="shared" si="0"/>
        <v>미등록</v>
      </c>
      <c r="Q17" s="12" t="str">
        <f>IF(C17="","미등록",IF(NOT(ISNUMBER(I17)),"기한 미입력",IF(P17="종결",IF(N17&lt;=I17,"기한 내 종결","기한 후 종결"),IF(I17&lt;'00_최종안내'!$B$26,"기한초과",IF(I17-'00_최종안내'!$B$26&lt;=3,"3일 이내","기한 내 진행")))))</f>
        <v>미등록</v>
      </c>
    </row>
    <row r="18" spans="1:17" ht="20.25" customHeight="1" x14ac:dyDescent="0.25">
      <c r="A18" s="9" t="s">
        <v>395</v>
      </c>
      <c r="B18" s="10"/>
      <c r="C18" s="10"/>
      <c r="D18" s="10"/>
      <c r="E18" s="10"/>
      <c r="F18" s="10"/>
      <c r="G18" s="10"/>
      <c r="H18" s="10"/>
      <c r="I18" s="11"/>
      <c r="J18" s="11"/>
      <c r="K18" s="10"/>
      <c r="L18" s="10"/>
      <c r="M18" s="10"/>
      <c r="N18" s="11"/>
      <c r="O18" s="10" t="s">
        <v>383</v>
      </c>
      <c r="P18" s="9" t="str">
        <f t="shared" si="0"/>
        <v>미등록</v>
      </c>
      <c r="Q18" s="9" t="str">
        <f>IF(C18="","미등록",IF(NOT(ISNUMBER(I18)),"기한 미입력",IF(P18="종결",IF(N18&lt;=I18,"기한 내 종결","기한 후 종결"),IF(I18&lt;'00_최종안내'!$B$26,"기한초과",IF(I18-'00_최종안내'!$B$26&lt;=3,"3일 이내","기한 내 진행")))))</f>
        <v>미등록</v>
      </c>
    </row>
    <row r="19" spans="1:17" ht="20.25" customHeight="1" x14ac:dyDescent="0.25">
      <c r="A19" s="12" t="s">
        <v>396</v>
      </c>
      <c r="B19" s="10"/>
      <c r="C19" s="10"/>
      <c r="D19" s="10"/>
      <c r="E19" s="10"/>
      <c r="F19" s="10"/>
      <c r="G19" s="10"/>
      <c r="H19" s="10"/>
      <c r="I19" s="11"/>
      <c r="J19" s="11"/>
      <c r="K19" s="10"/>
      <c r="L19" s="10"/>
      <c r="M19" s="10"/>
      <c r="N19" s="11"/>
      <c r="O19" s="10" t="s">
        <v>383</v>
      </c>
      <c r="P19" s="12" t="str">
        <f t="shared" si="0"/>
        <v>미등록</v>
      </c>
      <c r="Q19" s="12" t="str">
        <f>IF(C19="","미등록",IF(NOT(ISNUMBER(I19)),"기한 미입력",IF(P19="종결",IF(N19&lt;=I19,"기한 내 종결","기한 후 종결"),IF(I19&lt;'00_최종안내'!$B$26,"기한초과",IF(I19-'00_최종안내'!$B$26&lt;=3,"3일 이내","기한 내 진행")))))</f>
        <v>미등록</v>
      </c>
    </row>
    <row r="20" spans="1:17" ht="20.25" customHeight="1" x14ac:dyDescent="0.25">
      <c r="A20" s="9" t="s">
        <v>397</v>
      </c>
      <c r="B20" s="10"/>
      <c r="C20" s="10"/>
      <c r="D20" s="10"/>
      <c r="E20" s="10"/>
      <c r="F20" s="10"/>
      <c r="G20" s="10"/>
      <c r="H20" s="10"/>
      <c r="I20" s="11"/>
      <c r="J20" s="11"/>
      <c r="K20" s="10"/>
      <c r="L20" s="10"/>
      <c r="M20" s="10"/>
      <c r="N20" s="11"/>
      <c r="O20" s="10" t="s">
        <v>383</v>
      </c>
      <c r="P20" s="9" t="str">
        <f t="shared" si="0"/>
        <v>미등록</v>
      </c>
      <c r="Q20" s="9" t="str">
        <f>IF(C20="","미등록",IF(NOT(ISNUMBER(I20)),"기한 미입력",IF(P20="종결",IF(N20&lt;=I20,"기한 내 종결","기한 후 종결"),IF(I20&lt;'00_최종안내'!$B$26,"기한초과",IF(I20-'00_최종안내'!$B$26&lt;=3,"3일 이내","기한 내 진행")))))</f>
        <v>미등록</v>
      </c>
    </row>
    <row r="21" spans="1:17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</sheetData>
  <phoneticPr fontId="7" type="noConversion"/>
  <conditionalFormatting sqref="Q6:Q20">
    <cfRule type="containsText" dxfId="0" priority="1" operator="containsText" text="초과"/>
  </conditionalFormatting>
  <dataValidations count="1">
    <dataValidation type="list" sqref="O6:O20" xr:uid="{00000000-0002-0000-0500-000000000000}">
      <formula1>"미등록,진행중,조치완료,종결"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showGridLines="0" workbookViewId="0">
      <selection activeCell="B14" sqref="B14"/>
    </sheetView>
  </sheetViews>
  <sheetFormatPr defaultRowHeight="15" x14ac:dyDescent="0.25"/>
  <cols>
    <col min="1" max="1" width="26" customWidth="1"/>
    <col min="2" max="2" width="85" customWidth="1"/>
    <col min="3" max="3" width="30" customWidth="1"/>
    <col min="4" max="4" width="45" customWidth="1"/>
  </cols>
  <sheetData>
    <row r="1" spans="1:4" ht="15.75" x14ac:dyDescent="0.25">
      <c r="A1" s="1"/>
      <c r="B1" s="1"/>
      <c r="C1" s="1"/>
      <c r="D1" s="1"/>
    </row>
    <row r="2" spans="1:4" ht="33.950000000000003" customHeight="1" x14ac:dyDescent="0.25">
      <c r="A2" s="2" t="s">
        <v>398</v>
      </c>
      <c r="B2" s="1"/>
      <c r="C2" s="1"/>
      <c r="D2" s="1"/>
    </row>
    <row r="3" spans="1:4" ht="27.95" customHeight="1" x14ac:dyDescent="0.25">
      <c r="A3" s="1" t="s">
        <v>399</v>
      </c>
      <c r="B3" s="1"/>
      <c r="C3" s="1"/>
      <c r="D3" s="1"/>
    </row>
    <row r="4" spans="1:4" ht="15.75" x14ac:dyDescent="0.25">
      <c r="A4" s="1"/>
      <c r="B4" s="1"/>
      <c r="C4" s="1"/>
      <c r="D4" s="1"/>
    </row>
    <row r="5" spans="1:4" ht="33.950000000000003" customHeight="1" x14ac:dyDescent="0.25">
      <c r="A5" s="4" t="s">
        <v>0</v>
      </c>
      <c r="B5" s="4" t="s">
        <v>400</v>
      </c>
      <c r="C5" s="4" t="s">
        <v>401</v>
      </c>
      <c r="D5" s="4" t="s">
        <v>402</v>
      </c>
    </row>
    <row r="6" spans="1:4" ht="40.5" customHeight="1" x14ac:dyDescent="0.25">
      <c r="A6" s="9" t="s">
        <v>403</v>
      </c>
      <c r="B6" s="9" t="s">
        <v>404</v>
      </c>
      <c r="C6" s="9">
        <f>COUNTIF('01_사용자정리'!M6:M19,"완료")</f>
        <v>0</v>
      </c>
      <c r="D6" s="9" t="str">
        <f>IF(C6=14,"조건 확인","미확인 항목 있음")</f>
        <v>미확인 항목 있음</v>
      </c>
    </row>
    <row r="7" spans="1:4" ht="40.5" customHeight="1" x14ac:dyDescent="0.25">
      <c r="A7" s="12" t="s">
        <v>405</v>
      </c>
      <c r="B7" s="12" t="s">
        <v>406</v>
      </c>
      <c r="C7" s="12">
        <f>COUNTIF('02_운영증빙'!N6:N25,"확인")</f>
        <v>0</v>
      </c>
      <c r="D7" s="12" t="str">
        <f>IF(C7=20,"조건 확인","미확인 증빙 있음")</f>
        <v>미확인 증빙 있음</v>
      </c>
    </row>
    <row r="8" spans="1:4" ht="40.5" customHeight="1" x14ac:dyDescent="0.25">
      <c r="A8" s="9" t="s">
        <v>407</v>
      </c>
      <c r="B8" s="9" t="s">
        <v>408</v>
      </c>
      <c r="C8" s="9">
        <f>COUNTIF('03_모의심사'!L6:L25,"확인")</f>
        <v>0</v>
      </c>
      <c r="D8" s="9" t="str">
        <f>IF(C8=20,"조건 확인","미실시·미확인 있음")</f>
        <v>미실시·미확인 있음</v>
      </c>
    </row>
    <row r="9" spans="1:4" ht="40.5" customHeight="1" x14ac:dyDescent="0.25">
      <c r="A9" s="12" t="s">
        <v>409</v>
      </c>
      <c r="B9" s="12" t="s">
        <v>410</v>
      </c>
      <c r="C9" s="12">
        <f>COUNTA('05_시정조치'!C6:C20)-COUNTIF('05_시정조치'!P6:P20,"종결")</f>
        <v>0</v>
      </c>
      <c r="D9" s="12" t="str">
        <f>IF(C9=0,"등록분 미종결 0건","미종결 조치 있음")</f>
        <v>등록분 미종결 0건</v>
      </c>
    </row>
    <row r="10" spans="1:4" ht="40.5" customHeight="1" x14ac:dyDescent="0.25">
      <c r="A10" s="9" t="s">
        <v>411</v>
      </c>
      <c r="B10" s="9" t="s">
        <v>803</v>
      </c>
      <c r="C10" s="9">
        <f>COUNTIF('03_모의심사'!M6:M25,"선행증빙 확인")</f>
        <v>0</v>
      </c>
      <c r="D10" s="9" t="str">
        <f>IF(AND(C6=14,C7=20,C8=20,C9=0,C10=20),"승인권자 최종검토 필요","준비조건 확인 필요")</f>
        <v>준비조건 확인 필요</v>
      </c>
    </row>
    <row r="11" spans="1:4" ht="15.75" x14ac:dyDescent="0.25">
      <c r="A11" s="1"/>
      <c r="B11" s="1"/>
      <c r="C11" s="1"/>
      <c r="D11" s="1"/>
    </row>
    <row r="13" spans="1:4" ht="35.1" customHeight="1" x14ac:dyDescent="0.25">
      <c r="A13" s="13" t="s">
        <v>412</v>
      </c>
      <c r="B13" s="13" t="s">
        <v>413</v>
      </c>
      <c r="C13" s="13" t="s">
        <v>414</v>
      </c>
      <c r="D13" s="13" t="s">
        <v>415</v>
      </c>
    </row>
    <row r="14" spans="1:4" ht="35.1" customHeight="1" x14ac:dyDescent="0.25">
      <c r="A14" s="14"/>
      <c r="B14" s="15"/>
      <c r="C14" s="14"/>
      <c r="D14" s="14"/>
    </row>
    <row r="15" spans="1:4" ht="35.1" customHeight="1" x14ac:dyDescent="0.25">
      <c r="A15" s="13" t="s">
        <v>416</v>
      </c>
      <c r="B15" s="13" t="s">
        <v>417</v>
      </c>
      <c r="C15" s="13" t="s">
        <v>418</v>
      </c>
      <c r="D15" s="13" t="s">
        <v>419</v>
      </c>
    </row>
    <row r="16" spans="1:4" ht="35.1" customHeight="1" x14ac:dyDescent="0.25">
      <c r="A16" s="14"/>
      <c r="B16" s="14"/>
      <c r="C16" s="14"/>
      <c r="D16" s="14"/>
    </row>
    <row r="17" spans="1:4" ht="35.1" customHeight="1" x14ac:dyDescent="0.25">
      <c r="A17" s="13" t="s">
        <v>420</v>
      </c>
      <c r="B17" s="13" t="s">
        <v>421</v>
      </c>
      <c r="C17" s="13" t="s">
        <v>422</v>
      </c>
      <c r="D17" s="13" t="s">
        <v>423</v>
      </c>
    </row>
    <row r="18" spans="1:4" ht="35.1" customHeight="1" x14ac:dyDescent="0.25">
      <c r="A18" s="14"/>
      <c r="B18" s="14"/>
      <c r="C18" s="14"/>
      <c r="D18" s="14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showGridLines="0" workbookViewId="0">
      <selection activeCell="F15" sqref="F15"/>
    </sheetView>
  </sheetViews>
  <sheetFormatPr defaultRowHeight="15" x14ac:dyDescent="0.25"/>
  <cols>
    <col min="1" max="1" width="12" customWidth="1"/>
    <col min="2" max="2" width="36" customWidth="1"/>
    <col min="3" max="3" width="74" customWidth="1"/>
    <col min="4" max="4" width="17.25" customWidth="1"/>
    <col min="5" max="5" width="33.625" customWidth="1"/>
    <col min="6" max="6" width="44.375" customWidth="1"/>
  </cols>
  <sheetData>
    <row r="1" spans="1:6" ht="15.75" x14ac:dyDescent="0.25">
      <c r="A1" s="1"/>
      <c r="B1" s="1"/>
      <c r="C1" s="1"/>
      <c r="D1" s="1"/>
      <c r="E1" s="1"/>
      <c r="F1" s="1"/>
    </row>
    <row r="2" spans="1:6" ht="33.950000000000003" customHeight="1" x14ac:dyDescent="0.25">
      <c r="A2" s="2" t="s">
        <v>424</v>
      </c>
      <c r="B2" s="1"/>
      <c r="C2" s="1"/>
      <c r="D2" s="1"/>
      <c r="E2" s="1"/>
      <c r="F2" s="1"/>
    </row>
    <row r="3" spans="1:6" ht="27.95" customHeight="1" x14ac:dyDescent="0.25">
      <c r="A3" s="1" t="s">
        <v>425</v>
      </c>
      <c r="B3" s="1"/>
      <c r="C3" s="1"/>
      <c r="D3" s="1"/>
      <c r="E3" s="1"/>
      <c r="F3" s="1"/>
    </row>
    <row r="4" spans="1:6" ht="15.75" x14ac:dyDescent="0.25">
      <c r="A4" s="1"/>
      <c r="B4" s="1"/>
      <c r="C4" s="1"/>
      <c r="D4" s="1"/>
      <c r="E4" s="1"/>
      <c r="F4" s="1"/>
    </row>
    <row r="5" spans="1:6" ht="33.950000000000003" customHeight="1" x14ac:dyDescent="0.25">
      <c r="A5" s="4" t="s">
        <v>35</v>
      </c>
      <c r="B5" s="4" t="s">
        <v>426</v>
      </c>
      <c r="C5" s="4" t="s">
        <v>427</v>
      </c>
      <c r="D5" s="4" t="s">
        <v>428</v>
      </c>
      <c r="E5" s="4" t="s">
        <v>429</v>
      </c>
      <c r="F5" s="4" t="s">
        <v>430</v>
      </c>
    </row>
    <row r="6" spans="1:6" ht="33.75" customHeight="1" x14ac:dyDescent="0.25">
      <c r="A6" s="9" t="s">
        <v>431</v>
      </c>
      <c r="B6" s="9" t="s">
        <v>432</v>
      </c>
      <c r="C6" s="9" t="s">
        <v>433</v>
      </c>
      <c r="D6" s="9" t="s">
        <v>434</v>
      </c>
      <c r="E6" s="9" t="s">
        <v>435</v>
      </c>
      <c r="F6" s="9" t="s">
        <v>436</v>
      </c>
    </row>
    <row r="7" spans="1:6" ht="33.75" customHeight="1" x14ac:dyDescent="0.25">
      <c r="A7" s="12" t="s">
        <v>437</v>
      </c>
      <c r="B7" s="12" t="s">
        <v>438</v>
      </c>
      <c r="C7" s="12" t="s">
        <v>439</v>
      </c>
      <c r="D7" s="12" t="s">
        <v>434</v>
      </c>
      <c r="E7" s="12" t="s">
        <v>435</v>
      </c>
      <c r="F7" s="12" t="s">
        <v>440</v>
      </c>
    </row>
    <row r="8" spans="1:6" ht="33.75" customHeight="1" x14ac:dyDescent="0.25">
      <c r="A8" s="9" t="s">
        <v>441</v>
      </c>
      <c r="B8" s="9" t="s">
        <v>442</v>
      </c>
      <c r="C8" s="9" t="s">
        <v>443</v>
      </c>
      <c r="D8" s="9" t="s">
        <v>434</v>
      </c>
      <c r="E8" s="9" t="s">
        <v>444</v>
      </c>
      <c r="F8" s="9" t="s">
        <v>445</v>
      </c>
    </row>
    <row r="9" spans="1:6" ht="33.75" customHeight="1" x14ac:dyDescent="0.25">
      <c r="A9" s="12" t="s">
        <v>446</v>
      </c>
      <c r="B9" s="12" t="s">
        <v>447</v>
      </c>
      <c r="C9" s="12" t="s">
        <v>448</v>
      </c>
      <c r="D9" s="12" t="s">
        <v>434</v>
      </c>
      <c r="E9" s="12" t="s">
        <v>449</v>
      </c>
      <c r="F9" s="12" t="s">
        <v>450</v>
      </c>
    </row>
    <row r="10" spans="1:6" ht="15.75" x14ac:dyDescent="0.25">
      <c r="A10" s="1"/>
      <c r="B10" s="1"/>
      <c r="C10" s="1"/>
      <c r="D10" s="1"/>
      <c r="E10" s="1"/>
      <c r="F10" s="1"/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5"/>
  <sheetViews>
    <sheetView showGridLines="0" workbookViewId="0">
      <pane xSplit="2" ySplit="5" topLeftCell="C118" activePane="bottomRight" state="frozen"/>
      <selection pane="topRight"/>
      <selection pane="bottomLeft"/>
      <selection pane="bottomRight" activeCell="D119" sqref="D119"/>
    </sheetView>
  </sheetViews>
  <sheetFormatPr defaultRowHeight="15" x14ac:dyDescent="0.25"/>
  <cols>
    <col min="1" max="1" width="10" customWidth="1"/>
    <col min="2" max="2" width="13.5" customWidth="1"/>
    <col min="3" max="3" width="44.75" customWidth="1"/>
    <col min="4" max="4" width="13.25" customWidth="1"/>
    <col min="5" max="5" width="24.75" customWidth="1"/>
    <col min="6" max="6" width="45.375" customWidth="1"/>
    <col min="7" max="7" width="23.875" customWidth="1"/>
    <col min="8" max="8" width="15.5" customWidth="1"/>
  </cols>
  <sheetData>
    <row r="1" spans="1:8" ht="15.75" x14ac:dyDescent="0.25">
      <c r="A1" s="1"/>
      <c r="B1" s="1"/>
      <c r="C1" s="1"/>
      <c r="D1" s="1"/>
      <c r="E1" s="1"/>
      <c r="F1" s="1"/>
      <c r="G1" s="1"/>
      <c r="H1" s="1"/>
    </row>
    <row r="2" spans="1:8" ht="33.950000000000003" customHeight="1" x14ac:dyDescent="0.25">
      <c r="A2" s="2" t="s">
        <v>451</v>
      </c>
      <c r="B2" s="1"/>
      <c r="C2" s="1"/>
      <c r="D2" s="1"/>
      <c r="E2" s="1"/>
      <c r="F2" s="1"/>
      <c r="G2" s="1"/>
      <c r="H2" s="1"/>
    </row>
    <row r="3" spans="1:8" ht="27.95" customHeight="1" x14ac:dyDescent="0.25">
      <c r="A3" s="1" t="s">
        <v>452</v>
      </c>
      <c r="B3" s="1"/>
      <c r="C3" s="1"/>
      <c r="D3" s="1"/>
      <c r="E3" s="1"/>
      <c r="F3" s="1"/>
      <c r="G3" s="1"/>
      <c r="H3" s="1"/>
    </row>
    <row r="4" spans="1:8" ht="15.75" x14ac:dyDescent="0.25">
      <c r="A4" s="1"/>
      <c r="B4" s="1"/>
      <c r="C4" s="1"/>
      <c r="D4" s="1"/>
      <c r="E4" s="1"/>
      <c r="F4" s="1"/>
      <c r="G4" s="1"/>
      <c r="H4" s="1"/>
    </row>
    <row r="5" spans="1:8" ht="33.950000000000003" customHeight="1" x14ac:dyDescent="0.25">
      <c r="A5" s="4" t="s">
        <v>453</v>
      </c>
      <c r="B5" s="4" t="s">
        <v>0</v>
      </c>
      <c r="C5" s="4" t="s">
        <v>454</v>
      </c>
      <c r="D5" s="4" t="s">
        <v>455</v>
      </c>
      <c r="E5" s="4" t="s">
        <v>456</v>
      </c>
      <c r="F5" s="4" t="s">
        <v>457</v>
      </c>
      <c r="G5" s="4" t="s">
        <v>458</v>
      </c>
      <c r="H5" s="4" t="s">
        <v>459</v>
      </c>
    </row>
    <row r="6" spans="1:8" ht="51.95" customHeight="1" x14ac:dyDescent="0.25">
      <c r="A6" s="9">
        <v>1</v>
      </c>
      <c r="B6" s="9" t="s">
        <v>460</v>
      </c>
      <c r="C6" s="9" t="s">
        <v>461</v>
      </c>
      <c r="D6" s="9" t="s">
        <v>462</v>
      </c>
      <c r="E6" s="9" t="s">
        <v>463</v>
      </c>
      <c r="F6" s="9" t="s">
        <v>464</v>
      </c>
      <c r="G6" s="10"/>
      <c r="H6" s="10"/>
    </row>
    <row r="7" spans="1:8" ht="51.95" customHeight="1" x14ac:dyDescent="0.25">
      <c r="A7" s="12">
        <v>2</v>
      </c>
      <c r="B7" s="12" t="s">
        <v>460</v>
      </c>
      <c r="C7" s="12" t="s">
        <v>465</v>
      </c>
      <c r="D7" s="12" t="s">
        <v>462</v>
      </c>
      <c r="E7" s="12" t="s">
        <v>466</v>
      </c>
      <c r="F7" s="12" t="s">
        <v>467</v>
      </c>
      <c r="G7" s="10"/>
      <c r="H7" s="10"/>
    </row>
    <row r="8" spans="1:8" ht="51.95" customHeight="1" x14ac:dyDescent="0.25">
      <c r="A8" s="9">
        <v>3</v>
      </c>
      <c r="B8" s="9" t="s">
        <v>460</v>
      </c>
      <c r="C8" s="9" t="s">
        <v>468</v>
      </c>
      <c r="D8" s="9" t="s">
        <v>462</v>
      </c>
      <c r="E8" s="9" t="s">
        <v>463</v>
      </c>
      <c r="F8" s="9" t="s">
        <v>464</v>
      </c>
      <c r="G8" s="10"/>
      <c r="H8" s="10"/>
    </row>
    <row r="9" spans="1:8" ht="51.95" customHeight="1" x14ac:dyDescent="0.25">
      <c r="A9" s="12">
        <v>4</v>
      </c>
      <c r="B9" s="12" t="s">
        <v>460</v>
      </c>
      <c r="C9" s="12" t="s">
        <v>469</v>
      </c>
      <c r="D9" s="12" t="s">
        <v>462</v>
      </c>
      <c r="E9" s="12" t="s">
        <v>463</v>
      </c>
      <c r="F9" s="12" t="s">
        <v>464</v>
      </c>
      <c r="G9" s="10"/>
      <c r="H9" s="10"/>
    </row>
    <row r="10" spans="1:8" ht="51.95" customHeight="1" x14ac:dyDescent="0.25">
      <c r="A10" s="9">
        <v>5</v>
      </c>
      <c r="B10" s="9" t="s">
        <v>460</v>
      </c>
      <c r="C10" s="9" t="s">
        <v>470</v>
      </c>
      <c r="D10" s="9" t="s">
        <v>462</v>
      </c>
      <c r="E10" s="9" t="s">
        <v>463</v>
      </c>
      <c r="F10" s="9" t="s">
        <v>464</v>
      </c>
      <c r="G10" s="10"/>
      <c r="H10" s="10"/>
    </row>
    <row r="11" spans="1:8" ht="51.95" customHeight="1" x14ac:dyDescent="0.25">
      <c r="A11" s="12">
        <v>6</v>
      </c>
      <c r="B11" s="12" t="s">
        <v>460</v>
      </c>
      <c r="C11" s="12" t="s">
        <v>471</v>
      </c>
      <c r="D11" s="12" t="s">
        <v>462</v>
      </c>
      <c r="E11" s="12" t="s">
        <v>463</v>
      </c>
      <c r="F11" s="12" t="s">
        <v>464</v>
      </c>
      <c r="G11" s="10"/>
      <c r="H11" s="10"/>
    </row>
    <row r="12" spans="1:8" ht="51.95" customHeight="1" x14ac:dyDescent="0.25">
      <c r="A12" s="9">
        <v>7</v>
      </c>
      <c r="B12" s="9" t="s">
        <v>460</v>
      </c>
      <c r="C12" s="9" t="s">
        <v>472</v>
      </c>
      <c r="D12" s="9" t="s">
        <v>462</v>
      </c>
      <c r="E12" s="9" t="s">
        <v>463</v>
      </c>
      <c r="F12" s="9" t="s">
        <v>464</v>
      </c>
      <c r="G12" s="10"/>
      <c r="H12" s="10"/>
    </row>
    <row r="13" spans="1:8" ht="51.95" customHeight="1" x14ac:dyDescent="0.25">
      <c r="A13" s="12">
        <v>8</v>
      </c>
      <c r="B13" s="12" t="s">
        <v>460</v>
      </c>
      <c r="C13" s="12" t="s">
        <v>473</v>
      </c>
      <c r="D13" s="12" t="s">
        <v>462</v>
      </c>
      <c r="E13" s="12" t="s">
        <v>463</v>
      </c>
      <c r="F13" s="12" t="s">
        <v>464</v>
      </c>
      <c r="G13" s="10"/>
      <c r="H13" s="10"/>
    </row>
    <row r="14" spans="1:8" ht="51.95" customHeight="1" x14ac:dyDescent="0.25">
      <c r="A14" s="9">
        <v>9</v>
      </c>
      <c r="B14" s="9" t="s">
        <v>460</v>
      </c>
      <c r="C14" s="9" t="s">
        <v>474</v>
      </c>
      <c r="D14" s="9" t="s">
        <v>462</v>
      </c>
      <c r="E14" s="9" t="s">
        <v>463</v>
      </c>
      <c r="F14" s="9" t="s">
        <v>464</v>
      </c>
      <c r="G14" s="10"/>
      <c r="H14" s="10"/>
    </row>
    <row r="15" spans="1:8" ht="51.95" customHeight="1" x14ac:dyDescent="0.25">
      <c r="A15" s="12">
        <v>10</v>
      </c>
      <c r="B15" s="12" t="s">
        <v>460</v>
      </c>
      <c r="C15" s="12" t="s">
        <v>475</v>
      </c>
      <c r="D15" s="12" t="s">
        <v>462</v>
      </c>
      <c r="E15" s="12" t="s">
        <v>463</v>
      </c>
      <c r="F15" s="12" t="s">
        <v>464</v>
      </c>
      <c r="G15" s="10"/>
      <c r="H15" s="10"/>
    </row>
    <row r="16" spans="1:8" ht="51.95" customHeight="1" x14ac:dyDescent="0.25">
      <c r="A16" s="9">
        <v>11</v>
      </c>
      <c r="B16" s="9" t="s">
        <v>460</v>
      </c>
      <c r="C16" s="9" t="s">
        <v>476</v>
      </c>
      <c r="D16" s="9" t="s">
        <v>462</v>
      </c>
      <c r="E16" s="9" t="s">
        <v>463</v>
      </c>
      <c r="F16" s="9" t="s">
        <v>464</v>
      </c>
      <c r="G16" s="10"/>
      <c r="H16" s="10"/>
    </row>
    <row r="17" spans="1:8" ht="51.95" customHeight="1" x14ac:dyDescent="0.25">
      <c r="A17" s="12">
        <v>12</v>
      </c>
      <c r="B17" s="12" t="s">
        <v>460</v>
      </c>
      <c r="C17" s="12" t="s">
        <v>477</v>
      </c>
      <c r="D17" s="12" t="s">
        <v>462</v>
      </c>
      <c r="E17" s="12" t="s">
        <v>463</v>
      </c>
      <c r="F17" s="12" t="s">
        <v>464</v>
      </c>
      <c r="G17" s="10"/>
      <c r="H17" s="10"/>
    </row>
    <row r="18" spans="1:8" ht="51.95" customHeight="1" x14ac:dyDescent="0.25">
      <c r="A18" s="9">
        <v>13</v>
      </c>
      <c r="B18" s="9" t="s">
        <v>460</v>
      </c>
      <c r="C18" s="9" t="s">
        <v>478</v>
      </c>
      <c r="D18" s="9" t="s">
        <v>462</v>
      </c>
      <c r="E18" s="9" t="s">
        <v>463</v>
      </c>
      <c r="F18" s="9" t="s">
        <v>464</v>
      </c>
      <c r="G18" s="10"/>
      <c r="H18" s="10"/>
    </row>
    <row r="19" spans="1:8" ht="51.95" customHeight="1" x14ac:dyDescent="0.25">
      <c r="A19" s="12">
        <v>14</v>
      </c>
      <c r="B19" s="12" t="s">
        <v>460</v>
      </c>
      <c r="C19" s="12" t="s">
        <v>479</v>
      </c>
      <c r="D19" s="12" t="s">
        <v>462</v>
      </c>
      <c r="E19" s="12" t="s">
        <v>463</v>
      </c>
      <c r="F19" s="12" t="s">
        <v>464</v>
      </c>
      <c r="G19" s="10"/>
      <c r="H19" s="10"/>
    </row>
    <row r="20" spans="1:8" ht="51.95" customHeight="1" x14ac:dyDescent="0.25">
      <c r="A20" s="9">
        <v>15</v>
      </c>
      <c r="B20" s="9" t="s">
        <v>460</v>
      </c>
      <c r="C20" s="9" t="s">
        <v>480</v>
      </c>
      <c r="D20" s="9" t="s">
        <v>462</v>
      </c>
      <c r="E20" s="9" t="s">
        <v>463</v>
      </c>
      <c r="F20" s="9" t="s">
        <v>464</v>
      </c>
      <c r="G20" s="10"/>
      <c r="H20" s="10"/>
    </row>
    <row r="21" spans="1:8" ht="51.95" customHeight="1" x14ac:dyDescent="0.25">
      <c r="A21" s="12">
        <v>16</v>
      </c>
      <c r="B21" s="12" t="s">
        <v>460</v>
      </c>
      <c r="C21" s="12" t="s">
        <v>481</v>
      </c>
      <c r="D21" s="12" t="s">
        <v>462</v>
      </c>
      <c r="E21" s="12" t="s">
        <v>463</v>
      </c>
      <c r="F21" s="12" t="s">
        <v>464</v>
      </c>
      <c r="G21" s="10"/>
      <c r="H21" s="10"/>
    </row>
    <row r="22" spans="1:8" ht="51.95" customHeight="1" x14ac:dyDescent="0.25">
      <c r="A22" s="9">
        <v>17</v>
      </c>
      <c r="B22" s="9" t="s">
        <v>460</v>
      </c>
      <c r="C22" s="9" t="s">
        <v>482</v>
      </c>
      <c r="D22" s="9" t="s">
        <v>462</v>
      </c>
      <c r="E22" s="9" t="s">
        <v>463</v>
      </c>
      <c r="F22" s="9" t="s">
        <v>464</v>
      </c>
      <c r="G22" s="10"/>
      <c r="H22" s="10"/>
    </row>
    <row r="23" spans="1:8" ht="51.95" customHeight="1" x14ac:dyDescent="0.25">
      <c r="A23" s="12">
        <v>18</v>
      </c>
      <c r="B23" s="12" t="s">
        <v>460</v>
      </c>
      <c r="C23" s="12" t="s">
        <v>483</v>
      </c>
      <c r="D23" s="12" t="s">
        <v>462</v>
      </c>
      <c r="E23" s="12" t="s">
        <v>463</v>
      </c>
      <c r="F23" s="12" t="s">
        <v>464</v>
      </c>
      <c r="G23" s="10"/>
      <c r="H23" s="10"/>
    </row>
    <row r="24" spans="1:8" ht="51.95" customHeight="1" x14ac:dyDescent="0.25">
      <c r="A24" s="9">
        <v>19</v>
      </c>
      <c r="B24" s="9" t="s">
        <v>460</v>
      </c>
      <c r="C24" s="9" t="s">
        <v>484</v>
      </c>
      <c r="D24" s="9" t="s">
        <v>462</v>
      </c>
      <c r="E24" s="9" t="s">
        <v>463</v>
      </c>
      <c r="F24" s="9" t="s">
        <v>464</v>
      </c>
      <c r="G24" s="10"/>
      <c r="H24" s="10"/>
    </row>
    <row r="25" spans="1:8" ht="51.95" customHeight="1" x14ac:dyDescent="0.25">
      <c r="A25" s="12">
        <v>20</v>
      </c>
      <c r="B25" s="12" t="s">
        <v>460</v>
      </c>
      <c r="C25" s="12" t="s">
        <v>485</v>
      </c>
      <c r="D25" s="12" t="s">
        <v>462</v>
      </c>
      <c r="E25" s="12" t="s">
        <v>463</v>
      </c>
      <c r="F25" s="12" t="s">
        <v>464</v>
      </c>
      <c r="G25" s="10"/>
      <c r="H25" s="10"/>
    </row>
    <row r="26" spans="1:8" ht="51.95" customHeight="1" x14ac:dyDescent="0.25">
      <c r="A26" s="9">
        <v>21</v>
      </c>
      <c r="B26" s="9" t="s">
        <v>460</v>
      </c>
      <c r="C26" s="9" t="s">
        <v>486</v>
      </c>
      <c r="D26" s="9" t="s">
        <v>462</v>
      </c>
      <c r="E26" s="9" t="s">
        <v>463</v>
      </c>
      <c r="F26" s="9" t="s">
        <v>464</v>
      </c>
      <c r="G26" s="10"/>
      <c r="H26" s="10"/>
    </row>
    <row r="27" spans="1:8" ht="51.95" customHeight="1" x14ac:dyDescent="0.25">
      <c r="A27" s="12">
        <v>22</v>
      </c>
      <c r="B27" s="12" t="s">
        <v>460</v>
      </c>
      <c r="C27" s="12" t="s">
        <v>487</v>
      </c>
      <c r="D27" s="12" t="s">
        <v>462</v>
      </c>
      <c r="E27" s="12" t="s">
        <v>463</v>
      </c>
      <c r="F27" s="12" t="s">
        <v>464</v>
      </c>
      <c r="G27" s="10"/>
      <c r="H27" s="10"/>
    </row>
    <row r="28" spans="1:8" ht="51.95" customHeight="1" x14ac:dyDescent="0.25">
      <c r="A28" s="9">
        <v>23</v>
      </c>
      <c r="B28" s="9" t="s">
        <v>460</v>
      </c>
      <c r="C28" s="9" t="s">
        <v>488</v>
      </c>
      <c r="D28" s="9" t="s">
        <v>462</v>
      </c>
      <c r="E28" s="9" t="s">
        <v>463</v>
      </c>
      <c r="F28" s="9" t="s">
        <v>464</v>
      </c>
      <c r="G28" s="10"/>
      <c r="H28" s="10"/>
    </row>
    <row r="29" spans="1:8" ht="51.95" customHeight="1" x14ac:dyDescent="0.25">
      <c r="A29" s="12">
        <v>24</v>
      </c>
      <c r="B29" s="12" t="s">
        <v>460</v>
      </c>
      <c r="C29" s="12" t="s">
        <v>489</v>
      </c>
      <c r="D29" s="12" t="s">
        <v>462</v>
      </c>
      <c r="E29" s="12" t="s">
        <v>463</v>
      </c>
      <c r="F29" s="12" t="s">
        <v>464</v>
      </c>
      <c r="G29" s="10"/>
      <c r="H29" s="10"/>
    </row>
    <row r="30" spans="1:8" ht="51.95" customHeight="1" x14ac:dyDescent="0.25">
      <c r="A30" s="9">
        <v>25</v>
      </c>
      <c r="B30" s="9" t="s">
        <v>460</v>
      </c>
      <c r="C30" s="9" t="s">
        <v>490</v>
      </c>
      <c r="D30" s="9" t="s">
        <v>462</v>
      </c>
      <c r="E30" s="9" t="s">
        <v>463</v>
      </c>
      <c r="F30" s="9" t="s">
        <v>464</v>
      </c>
      <c r="G30" s="10"/>
      <c r="H30" s="10"/>
    </row>
    <row r="31" spans="1:8" ht="51.95" customHeight="1" x14ac:dyDescent="0.25">
      <c r="A31" s="12">
        <v>26</v>
      </c>
      <c r="B31" s="12" t="s">
        <v>491</v>
      </c>
      <c r="C31" s="12" t="s">
        <v>492</v>
      </c>
      <c r="D31" s="12" t="s">
        <v>462</v>
      </c>
      <c r="E31" s="12" t="s">
        <v>463</v>
      </c>
      <c r="F31" s="12" t="s">
        <v>464</v>
      </c>
      <c r="G31" s="10"/>
      <c r="H31" s="10"/>
    </row>
    <row r="32" spans="1:8" ht="51.95" customHeight="1" x14ac:dyDescent="0.25">
      <c r="A32" s="9">
        <v>27</v>
      </c>
      <c r="B32" s="9" t="s">
        <v>491</v>
      </c>
      <c r="C32" s="9" t="s">
        <v>493</v>
      </c>
      <c r="D32" s="9" t="s">
        <v>462</v>
      </c>
      <c r="E32" s="9" t="s">
        <v>463</v>
      </c>
      <c r="F32" s="9" t="s">
        <v>464</v>
      </c>
      <c r="G32" s="10"/>
      <c r="H32" s="10"/>
    </row>
    <row r="33" spans="1:8" ht="51.95" customHeight="1" x14ac:dyDescent="0.25">
      <c r="A33" s="12">
        <v>28</v>
      </c>
      <c r="B33" s="12" t="s">
        <v>491</v>
      </c>
      <c r="C33" s="12" t="s">
        <v>494</v>
      </c>
      <c r="D33" s="12" t="s">
        <v>462</v>
      </c>
      <c r="E33" s="12" t="s">
        <v>463</v>
      </c>
      <c r="F33" s="12" t="s">
        <v>464</v>
      </c>
      <c r="G33" s="10"/>
      <c r="H33" s="10"/>
    </row>
    <row r="34" spans="1:8" ht="51.95" customHeight="1" x14ac:dyDescent="0.25">
      <c r="A34" s="9">
        <v>29</v>
      </c>
      <c r="B34" s="9" t="s">
        <v>491</v>
      </c>
      <c r="C34" s="9" t="s">
        <v>495</v>
      </c>
      <c r="D34" s="9" t="s">
        <v>462</v>
      </c>
      <c r="E34" s="9" t="s">
        <v>463</v>
      </c>
      <c r="F34" s="9" t="s">
        <v>464</v>
      </c>
      <c r="G34" s="10"/>
      <c r="H34" s="10"/>
    </row>
    <row r="35" spans="1:8" ht="51.95" customHeight="1" x14ac:dyDescent="0.25">
      <c r="A35" s="12">
        <v>30</v>
      </c>
      <c r="B35" s="12" t="s">
        <v>491</v>
      </c>
      <c r="C35" s="12" t="s">
        <v>496</v>
      </c>
      <c r="D35" s="12" t="s">
        <v>462</v>
      </c>
      <c r="E35" s="12" t="s">
        <v>463</v>
      </c>
      <c r="F35" s="12" t="s">
        <v>464</v>
      </c>
      <c r="G35" s="10"/>
      <c r="H35" s="10"/>
    </row>
    <row r="36" spans="1:8" ht="51.95" customHeight="1" x14ac:dyDescent="0.25">
      <c r="A36" s="9">
        <v>31</v>
      </c>
      <c r="B36" s="9" t="s">
        <v>491</v>
      </c>
      <c r="C36" s="9" t="s">
        <v>497</v>
      </c>
      <c r="D36" s="9" t="s">
        <v>462</v>
      </c>
      <c r="E36" s="9" t="s">
        <v>463</v>
      </c>
      <c r="F36" s="9" t="s">
        <v>464</v>
      </c>
      <c r="G36" s="10"/>
      <c r="H36" s="10"/>
    </row>
    <row r="37" spans="1:8" ht="51.95" customHeight="1" x14ac:dyDescent="0.25">
      <c r="A37" s="12">
        <v>32</v>
      </c>
      <c r="B37" s="12" t="s">
        <v>491</v>
      </c>
      <c r="C37" s="12" t="s">
        <v>498</v>
      </c>
      <c r="D37" s="12" t="s">
        <v>462</v>
      </c>
      <c r="E37" s="12" t="s">
        <v>463</v>
      </c>
      <c r="F37" s="12" t="s">
        <v>464</v>
      </c>
      <c r="G37" s="10"/>
      <c r="H37" s="10"/>
    </row>
    <row r="38" spans="1:8" ht="51.95" customHeight="1" x14ac:dyDescent="0.25">
      <c r="A38" s="9">
        <v>33</v>
      </c>
      <c r="B38" s="9" t="s">
        <v>491</v>
      </c>
      <c r="C38" s="9" t="s">
        <v>499</v>
      </c>
      <c r="D38" s="9" t="s">
        <v>462</v>
      </c>
      <c r="E38" s="9" t="s">
        <v>463</v>
      </c>
      <c r="F38" s="9" t="s">
        <v>464</v>
      </c>
      <c r="G38" s="10"/>
      <c r="H38" s="10"/>
    </row>
    <row r="39" spans="1:8" ht="51.95" customHeight="1" x14ac:dyDescent="0.25">
      <c r="A39" s="12">
        <v>34</v>
      </c>
      <c r="B39" s="12" t="s">
        <v>491</v>
      </c>
      <c r="C39" s="12" t="s">
        <v>500</v>
      </c>
      <c r="D39" s="12" t="s">
        <v>462</v>
      </c>
      <c r="E39" s="12" t="s">
        <v>463</v>
      </c>
      <c r="F39" s="12" t="s">
        <v>464</v>
      </c>
      <c r="G39" s="10"/>
      <c r="H39" s="10"/>
    </row>
    <row r="40" spans="1:8" ht="51.95" customHeight="1" x14ac:dyDescent="0.25">
      <c r="A40" s="9">
        <v>35</v>
      </c>
      <c r="B40" s="9" t="s">
        <v>491</v>
      </c>
      <c r="C40" s="9" t="s">
        <v>501</v>
      </c>
      <c r="D40" s="9" t="s">
        <v>462</v>
      </c>
      <c r="E40" s="9" t="s">
        <v>463</v>
      </c>
      <c r="F40" s="9" t="s">
        <v>464</v>
      </c>
      <c r="G40" s="10"/>
      <c r="H40" s="10"/>
    </row>
    <row r="41" spans="1:8" ht="51.95" customHeight="1" x14ac:dyDescent="0.25">
      <c r="A41" s="12">
        <v>36</v>
      </c>
      <c r="B41" s="12" t="s">
        <v>491</v>
      </c>
      <c r="C41" s="12" t="s">
        <v>502</v>
      </c>
      <c r="D41" s="12" t="s">
        <v>462</v>
      </c>
      <c r="E41" s="12" t="s">
        <v>463</v>
      </c>
      <c r="F41" s="12" t="s">
        <v>464</v>
      </c>
      <c r="G41" s="10"/>
      <c r="H41" s="10"/>
    </row>
    <row r="42" spans="1:8" ht="51.95" customHeight="1" x14ac:dyDescent="0.25">
      <c r="A42" s="9">
        <v>37</v>
      </c>
      <c r="B42" s="9" t="s">
        <v>491</v>
      </c>
      <c r="C42" s="9" t="s">
        <v>503</v>
      </c>
      <c r="D42" s="9" t="s">
        <v>462</v>
      </c>
      <c r="E42" s="9" t="s">
        <v>463</v>
      </c>
      <c r="F42" s="9" t="s">
        <v>464</v>
      </c>
      <c r="G42" s="10"/>
      <c r="H42" s="10"/>
    </row>
    <row r="43" spans="1:8" ht="51.95" customHeight="1" x14ac:dyDescent="0.25">
      <c r="A43" s="12">
        <v>38</v>
      </c>
      <c r="B43" s="12" t="s">
        <v>491</v>
      </c>
      <c r="C43" s="12" t="s">
        <v>504</v>
      </c>
      <c r="D43" s="12" t="s">
        <v>462</v>
      </c>
      <c r="E43" s="12" t="s">
        <v>463</v>
      </c>
      <c r="F43" s="12" t="s">
        <v>464</v>
      </c>
      <c r="G43" s="10"/>
      <c r="H43" s="10"/>
    </row>
    <row r="44" spans="1:8" ht="51.95" customHeight="1" x14ac:dyDescent="0.25">
      <c r="A44" s="9">
        <v>39</v>
      </c>
      <c r="B44" s="9" t="s">
        <v>491</v>
      </c>
      <c r="C44" s="9" t="s">
        <v>505</v>
      </c>
      <c r="D44" s="9" t="s">
        <v>462</v>
      </c>
      <c r="E44" s="9" t="s">
        <v>463</v>
      </c>
      <c r="F44" s="9" t="s">
        <v>464</v>
      </c>
      <c r="G44" s="10"/>
      <c r="H44" s="10"/>
    </row>
    <row r="45" spans="1:8" ht="51.95" customHeight="1" x14ac:dyDescent="0.25">
      <c r="A45" s="12">
        <v>40</v>
      </c>
      <c r="B45" s="12" t="s">
        <v>491</v>
      </c>
      <c r="C45" s="12" t="s">
        <v>506</v>
      </c>
      <c r="D45" s="12" t="s">
        <v>462</v>
      </c>
      <c r="E45" s="12" t="s">
        <v>463</v>
      </c>
      <c r="F45" s="12" t="s">
        <v>464</v>
      </c>
      <c r="G45" s="10"/>
      <c r="H45" s="10"/>
    </row>
    <row r="46" spans="1:8" ht="51.95" customHeight="1" x14ac:dyDescent="0.25">
      <c r="A46" s="9">
        <v>41</v>
      </c>
      <c r="B46" s="9" t="s">
        <v>491</v>
      </c>
      <c r="C46" s="9" t="s">
        <v>507</v>
      </c>
      <c r="D46" s="9" t="s">
        <v>462</v>
      </c>
      <c r="E46" s="9" t="s">
        <v>463</v>
      </c>
      <c r="F46" s="9" t="s">
        <v>464</v>
      </c>
      <c r="G46" s="10"/>
      <c r="H46" s="10"/>
    </row>
    <row r="47" spans="1:8" ht="51.95" customHeight="1" x14ac:dyDescent="0.25">
      <c r="A47" s="12">
        <v>42</v>
      </c>
      <c r="B47" s="12" t="s">
        <v>491</v>
      </c>
      <c r="C47" s="12" t="s">
        <v>508</v>
      </c>
      <c r="D47" s="12" t="s">
        <v>462</v>
      </c>
      <c r="E47" s="12" t="s">
        <v>463</v>
      </c>
      <c r="F47" s="12" t="s">
        <v>464</v>
      </c>
      <c r="G47" s="10"/>
      <c r="H47" s="10"/>
    </row>
    <row r="48" spans="1:8" ht="51.95" customHeight="1" x14ac:dyDescent="0.25">
      <c r="A48" s="9">
        <v>43</v>
      </c>
      <c r="B48" s="9" t="s">
        <v>491</v>
      </c>
      <c r="C48" s="9" t="s">
        <v>509</v>
      </c>
      <c r="D48" s="9" t="s">
        <v>462</v>
      </c>
      <c r="E48" s="9" t="s">
        <v>463</v>
      </c>
      <c r="F48" s="9" t="s">
        <v>464</v>
      </c>
      <c r="G48" s="10"/>
      <c r="H48" s="10"/>
    </row>
    <row r="49" spans="1:8" ht="51.95" customHeight="1" x14ac:dyDescent="0.25">
      <c r="A49" s="12">
        <v>44</v>
      </c>
      <c r="B49" s="12" t="s">
        <v>491</v>
      </c>
      <c r="C49" s="12" t="s">
        <v>510</v>
      </c>
      <c r="D49" s="12" t="s">
        <v>462</v>
      </c>
      <c r="E49" s="12" t="s">
        <v>463</v>
      </c>
      <c r="F49" s="12" t="s">
        <v>464</v>
      </c>
      <c r="G49" s="10"/>
      <c r="H49" s="10"/>
    </row>
    <row r="50" spans="1:8" ht="51.95" customHeight="1" x14ac:dyDescent="0.25">
      <c r="A50" s="9">
        <v>45</v>
      </c>
      <c r="B50" s="9" t="s">
        <v>491</v>
      </c>
      <c r="C50" s="9" t="s">
        <v>511</v>
      </c>
      <c r="D50" s="9" t="s">
        <v>462</v>
      </c>
      <c r="E50" s="9" t="s">
        <v>463</v>
      </c>
      <c r="F50" s="9" t="s">
        <v>464</v>
      </c>
      <c r="G50" s="10"/>
      <c r="H50" s="10"/>
    </row>
    <row r="51" spans="1:8" ht="51.95" customHeight="1" x14ac:dyDescent="0.25">
      <c r="A51" s="12">
        <v>46</v>
      </c>
      <c r="B51" s="12" t="s">
        <v>491</v>
      </c>
      <c r="C51" s="12" t="s">
        <v>512</v>
      </c>
      <c r="D51" s="12" t="s">
        <v>462</v>
      </c>
      <c r="E51" s="12" t="s">
        <v>463</v>
      </c>
      <c r="F51" s="12" t="s">
        <v>464</v>
      </c>
      <c r="G51" s="10"/>
      <c r="H51" s="10"/>
    </row>
    <row r="52" spans="1:8" ht="51.95" customHeight="1" x14ac:dyDescent="0.25">
      <c r="A52" s="9">
        <v>47</v>
      </c>
      <c r="B52" s="9" t="s">
        <v>491</v>
      </c>
      <c r="C52" s="9" t="s">
        <v>513</v>
      </c>
      <c r="D52" s="9" t="s">
        <v>462</v>
      </c>
      <c r="E52" s="9" t="s">
        <v>463</v>
      </c>
      <c r="F52" s="9" t="s">
        <v>464</v>
      </c>
      <c r="G52" s="10"/>
      <c r="H52" s="10"/>
    </row>
    <row r="53" spans="1:8" ht="51.95" customHeight="1" x14ac:dyDescent="0.25">
      <c r="A53" s="12">
        <v>48</v>
      </c>
      <c r="B53" s="12" t="s">
        <v>491</v>
      </c>
      <c r="C53" s="12" t="s">
        <v>514</v>
      </c>
      <c r="D53" s="12" t="s">
        <v>462</v>
      </c>
      <c r="E53" s="12" t="s">
        <v>463</v>
      </c>
      <c r="F53" s="12" t="s">
        <v>464</v>
      </c>
      <c r="G53" s="10"/>
      <c r="H53" s="10"/>
    </row>
    <row r="54" spans="1:8" ht="51.95" customHeight="1" x14ac:dyDescent="0.25">
      <c r="A54" s="9">
        <v>49</v>
      </c>
      <c r="B54" s="9" t="s">
        <v>491</v>
      </c>
      <c r="C54" s="9" t="s">
        <v>515</v>
      </c>
      <c r="D54" s="9" t="s">
        <v>462</v>
      </c>
      <c r="E54" s="9" t="s">
        <v>463</v>
      </c>
      <c r="F54" s="9" t="s">
        <v>464</v>
      </c>
      <c r="G54" s="10"/>
      <c r="H54" s="10"/>
    </row>
    <row r="55" spans="1:8" ht="51.95" customHeight="1" x14ac:dyDescent="0.25">
      <c r="A55" s="12">
        <v>50</v>
      </c>
      <c r="B55" s="12" t="s">
        <v>491</v>
      </c>
      <c r="C55" s="12" t="s">
        <v>516</v>
      </c>
      <c r="D55" s="12" t="s">
        <v>462</v>
      </c>
      <c r="E55" s="12" t="s">
        <v>463</v>
      </c>
      <c r="F55" s="12" t="s">
        <v>464</v>
      </c>
      <c r="G55" s="10"/>
      <c r="H55" s="10"/>
    </row>
    <row r="56" spans="1:8" ht="51.95" customHeight="1" x14ac:dyDescent="0.25">
      <c r="A56" s="9">
        <v>51</v>
      </c>
      <c r="B56" s="9" t="s">
        <v>491</v>
      </c>
      <c r="C56" s="9" t="s">
        <v>517</v>
      </c>
      <c r="D56" s="9" t="s">
        <v>462</v>
      </c>
      <c r="E56" s="9" t="s">
        <v>463</v>
      </c>
      <c r="F56" s="9" t="s">
        <v>464</v>
      </c>
      <c r="G56" s="10"/>
      <c r="H56" s="10"/>
    </row>
    <row r="57" spans="1:8" ht="51.95" customHeight="1" x14ac:dyDescent="0.25">
      <c r="A57" s="12">
        <v>52</v>
      </c>
      <c r="B57" s="12" t="s">
        <v>491</v>
      </c>
      <c r="C57" s="12" t="s">
        <v>518</v>
      </c>
      <c r="D57" s="12" t="s">
        <v>462</v>
      </c>
      <c r="E57" s="12" t="s">
        <v>463</v>
      </c>
      <c r="F57" s="12" t="s">
        <v>464</v>
      </c>
      <c r="G57" s="10"/>
      <c r="H57" s="10"/>
    </row>
    <row r="58" spans="1:8" ht="51.95" customHeight="1" x14ac:dyDescent="0.25">
      <c r="A58" s="9">
        <v>53</v>
      </c>
      <c r="B58" s="9" t="s">
        <v>491</v>
      </c>
      <c r="C58" s="9" t="s">
        <v>519</v>
      </c>
      <c r="D58" s="9" t="s">
        <v>462</v>
      </c>
      <c r="E58" s="9" t="s">
        <v>463</v>
      </c>
      <c r="F58" s="9" t="s">
        <v>464</v>
      </c>
      <c r="G58" s="10"/>
      <c r="H58" s="10"/>
    </row>
    <row r="59" spans="1:8" ht="51.95" customHeight="1" x14ac:dyDescent="0.25">
      <c r="A59" s="12">
        <v>54</v>
      </c>
      <c r="B59" s="12" t="s">
        <v>491</v>
      </c>
      <c r="C59" s="12" t="s">
        <v>520</v>
      </c>
      <c r="D59" s="12" t="s">
        <v>462</v>
      </c>
      <c r="E59" s="12" t="s">
        <v>463</v>
      </c>
      <c r="F59" s="12" t="s">
        <v>464</v>
      </c>
      <c r="G59" s="10"/>
      <c r="H59" s="10"/>
    </row>
    <row r="60" spans="1:8" ht="51.95" customHeight="1" x14ac:dyDescent="0.25">
      <c r="A60" s="9">
        <v>55</v>
      </c>
      <c r="B60" s="9" t="s">
        <v>491</v>
      </c>
      <c r="C60" s="9" t="s">
        <v>521</v>
      </c>
      <c r="D60" s="9" t="s">
        <v>462</v>
      </c>
      <c r="E60" s="9" t="s">
        <v>463</v>
      </c>
      <c r="F60" s="9" t="s">
        <v>464</v>
      </c>
      <c r="G60" s="10"/>
      <c r="H60" s="10"/>
    </row>
    <row r="61" spans="1:8" ht="51.95" customHeight="1" x14ac:dyDescent="0.25">
      <c r="A61" s="12">
        <v>56</v>
      </c>
      <c r="B61" s="12" t="s">
        <v>522</v>
      </c>
      <c r="C61" s="12" t="s">
        <v>523</v>
      </c>
      <c r="D61" s="12" t="s">
        <v>462</v>
      </c>
      <c r="E61" s="12" t="s">
        <v>463</v>
      </c>
      <c r="F61" s="12" t="s">
        <v>464</v>
      </c>
      <c r="G61" s="10"/>
      <c r="H61" s="10"/>
    </row>
    <row r="62" spans="1:8" ht="51.95" customHeight="1" x14ac:dyDescent="0.25">
      <c r="A62" s="9">
        <v>57</v>
      </c>
      <c r="B62" s="9" t="s">
        <v>524</v>
      </c>
      <c r="C62" s="9" t="s">
        <v>525</v>
      </c>
      <c r="D62" s="9" t="s">
        <v>462</v>
      </c>
      <c r="E62" s="9" t="s">
        <v>466</v>
      </c>
      <c r="F62" s="9" t="s">
        <v>526</v>
      </c>
      <c r="G62" s="10"/>
      <c r="H62" s="10"/>
    </row>
    <row r="63" spans="1:8" ht="51.95" customHeight="1" x14ac:dyDescent="0.25">
      <c r="A63" s="12">
        <v>58</v>
      </c>
      <c r="B63" s="12" t="s">
        <v>527</v>
      </c>
      <c r="C63" s="12" t="s">
        <v>528</v>
      </c>
      <c r="D63" s="12" t="s">
        <v>529</v>
      </c>
      <c r="E63" s="12" t="s">
        <v>530</v>
      </c>
      <c r="F63" s="12" t="s">
        <v>464</v>
      </c>
      <c r="G63" s="10"/>
      <c r="H63" s="10"/>
    </row>
    <row r="64" spans="1:8" ht="51.95" customHeight="1" x14ac:dyDescent="0.25">
      <c r="A64" s="9">
        <v>59</v>
      </c>
      <c r="B64" s="9" t="s">
        <v>527</v>
      </c>
      <c r="C64" s="9" t="s">
        <v>531</v>
      </c>
      <c r="D64" s="9" t="s">
        <v>529</v>
      </c>
      <c r="E64" s="9" t="s">
        <v>532</v>
      </c>
      <c r="F64" s="9" t="s">
        <v>464</v>
      </c>
      <c r="G64" s="10"/>
      <c r="H64" s="10"/>
    </row>
    <row r="65" spans="1:8" ht="51.95" customHeight="1" x14ac:dyDescent="0.25">
      <c r="A65" s="12">
        <v>60</v>
      </c>
      <c r="B65" s="12" t="s">
        <v>527</v>
      </c>
      <c r="C65" s="12" t="s">
        <v>533</v>
      </c>
      <c r="D65" s="12" t="s">
        <v>529</v>
      </c>
      <c r="E65" s="12" t="s">
        <v>530</v>
      </c>
      <c r="F65" s="12" t="s">
        <v>464</v>
      </c>
      <c r="G65" s="10"/>
      <c r="H65" s="10"/>
    </row>
    <row r="66" spans="1:8" ht="51.95" customHeight="1" x14ac:dyDescent="0.25">
      <c r="A66" s="9">
        <v>61</v>
      </c>
      <c r="B66" s="9" t="s">
        <v>527</v>
      </c>
      <c r="C66" s="9" t="s">
        <v>534</v>
      </c>
      <c r="D66" s="9" t="s">
        <v>535</v>
      </c>
      <c r="E66" s="9" t="s">
        <v>466</v>
      </c>
      <c r="F66" s="9" t="s">
        <v>536</v>
      </c>
      <c r="G66" s="10"/>
      <c r="H66" s="10"/>
    </row>
    <row r="67" spans="1:8" ht="51.95" customHeight="1" x14ac:dyDescent="0.25">
      <c r="A67" s="12">
        <v>62</v>
      </c>
      <c r="B67" s="12" t="s">
        <v>527</v>
      </c>
      <c r="C67" s="12" t="s">
        <v>537</v>
      </c>
      <c r="D67" s="12" t="s">
        <v>529</v>
      </c>
      <c r="E67" s="12" t="s">
        <v>466</v>
      </c>
      <c r="F67" s="12" t="s">
        <v>538</v>
      </c>
      <c r="G67" s="10"/>
      <c r="H67" s="10"/>
    </row>
    <row r="68" spans="1:8" ht="51.95" customHeight="1" x14ac:dyDescent="0.25">
      <c r="A68" s="9">
        <v>63</v>
      </c>
      <c r="B68" s="9" t="s">
        <v>527</v>
      </c>
      <c r="C68" s="9" t="s">
        <v>539</v>
      </c>
      <c r="D68" s="9" t="s">
        <v>529</v>
      </c>
      <c r="E68" s="9" t="s">
        <v>540</v>
      </c>
      <c r="F68" s="9" t="s">
        <v>464</v>
      </c>
      <c r="G68" s="10"/>
      <c r="H68" s="10"/>
    </row>
    <row r="69" spans="1:8" ht="51.95" customHeight="1" x14ac:dyDescent="0.25">
      <c r="A69" s="12">
        <v>64</v>
      </c>
      <c r="B69" s="12" t="s">
        <v>527</v>
      </c>
      <c r="C69" s="12" t="s">
        <v>541</v>
      </c>
      <c r="D69" s="12" t="s">
        <v>529</v>
      </c>
      <c r="E69" s="12" t="s">
        <v>542</v>
      </c>
      <c r="F69" s="12" t="s">
        <v>464</v>
      </c>
      <c r="G69" s="10"/>
      <c r="H69" s="10"/>
    </row>
    <row r="70" spans="1:8" ht="51.95" customHeight="1" x14ac:dyDescent="0.25">
      <c r="A70" s="9">
        <v>65</v>
      </c>
      <c r="B70" s="9" t="s">
        <v>527</v>
      </c>
      <c r="C70" s="9" t="s">
        <v>543</v>
      </c>
      <c r="D70" s="9" t="s">
        <v>529</v>
      </c>
      <c r="E70" s="9" t="s">
        <v>540</v>
      </c>
      <c r="F70" s="9" t="s">
        <v>464</v>
      </c>
      <c r="G70" s="10"/>
      <c r="H70" s="10"/>
    </row>
    <row r="71" spans="1:8" ht="51.95" customHeight="1" x14ac:dyDescent="0.25">
      <c r="A71" s="12">
        <v>66</v>
      </c>
      <c r="B71" s="12" t="s">
        <v>527</v>
      </c>
      <c r="C71" s="12" t="s">
        <v>544</v>
      </c>
      <c r="D71" s="12" t="s">
        <v>529</v>
      </c>
      <c r="E71" s="12" t="s">
        <v>545</v>
      </c>
      <c r="F71" s="12" t="s">
        <v>464</v>
      </c>
      <c r="G71" s="10"/>
      <c r="H71" s="10"/>
    </row>
    <row r="72" spans="1:8" ht="51.95" customHeight="1" x14ac:dyDescent="0.25">
      <c r="A72" s="9">
        <v>67</v>
      </c>
      <c r="B72" s="9" t="s">
        <v>527</v>
      </c>
      <c r="C72" s="9" t="s">
        <v>546</v>
      </c>
      <c r="D72" s="9" t="s">
        <v>529</v>
      </c>
      <c r="E72" s="9" t="s">
        <v>540</v>
      </c>
      <c r="F72" s="9" t="s">
        <v>464</v>
      </c>
      <c r="G72" s="10"/>
      <c r="H72" s="10"/>
    </row>
    <row r="73" spans="1:8" ht="51.95" customHeight="1" x14ac:dyDescent="0.25">
      <c r="A73" s="12">
        <v>68</v>
      </c>
      <c r="B73" s="12" t="s">
        <v>527</v>
      </c>
      <c r="C73" s="12" t="s">
        <v>547</v>
      </c>
      <c r="D73" s="12" t="s">
        <v>529</v>
      </c>
      <c r="E73" s="12" t="s">
        <v>542</v>
      </c>
      <c r="F73" s="12" t="s">
        <v>464</v>
      </c>
      <c r="G73" s="10"/>
      <c r="H73" s="10"/>
    </row>
    <row r="74" spans="1:8" ht="51.95" customHeight="1" x14ac:dyDescent="0.25">
      <c r="A74" s="9">
        <v>69</v>
      </c>
      <c r="B74" s="9" t="s">
        <v>527</v>
      </c>
      <c r="C74" s="9" t="s">
        <v>548</v>
      </c>
      <c r="D74" s="9" t="s">
        <v>529</v>
      </c>
      <c r="E74" s="9" t="s">
        <v>549</v>
      </c>
      <c r="F74" s="9" t="s">
        <v>464</v>
      </c>
      <c r="G74" s="10"/>
      <c r="H74" s="10"/>
    </row>
    <row r="75" spans="1:8" ht="51.95" customHeight="1" x14ac:dyDescent="0.25">
      <c r="A75" s="12">
        <v>70</v>
      </c>
      <c r="B75" s="12" t="s">
        <v>527</v>
      </c>
      <c r="C75" s="12" t="s">
        <v>550</v>
      </c>
      <c r="D75" s="12" t="s">
        <v>529</v>
      </c>
      <c r="E75" s="12" t="s">
        <v>549</v>
      </c>
      <c r="F75" s="12" t="s">
        <v>464</v>
      </c>
      <c r="G75" s="10"/>
      <c r="H75" s="10"/>
    </row>
    <row r="76" spans="1:8" ht="51.95" customHeight="1" x14ac:dyDescent="0.25">
      <c r="A76" s="9">
        <v>71</v>
      </c>
      <c r="B76" s="9" t="s">
        <v>527</v>
      </c>
      <c r="C76" s="9" t="s">
        <v>551</v>
      </c>
      <c r="D76" s="9" t="s">
        <v>529</v>
      </c>
      <c r="E76" s="9" t="s">
        <v>542</v>
      </c>
      <c r="F76" s="9" t="s">
        <v>464</v>
      </c>
      <c r="G76" s="10"/>
      <c r="H76" s="10"/>
    </row>
    <row r="77" spans="1:8" ht="51.95" customHeight="1" x14ac:dyDescent="0.25">
      <c r="A77" s="12">
        <v>72</v>
      </c>
      <c r="B77" s="12" t="s">
        <v>527</v>
      </c>
      <c r="C77" s="12" t="s">
        <v>552</v>
      </c>
      <c r="D77" s="12" t="s">
        <v>529</v>
      </c>
      <c r="E77" s="12" t="s">
        <v>540</v>
      </c>
      <c r="F77" s="12" t="s">
        <v>464</v>
      </c>
      <c r="G77" s="10"/>
      <c r="H77" s="10"/>
    </row>
    <row r="78" spans="1:8" ht="51.95" customHeight="1" x14ac:dyDescent="0.25">
      <c r="A78" s="9">
        <v>73</v>
      </c>
      <c r="B78" s="9" t="s">
        <v>527</v>
      </c>
      <c r="C78" s="9" t="s">
        <v>553</v>
      </c>
      <c r="D78" s="9" t="s">
        <v>529</v>
      </c>
      <c r="E78" s="9" t="s">
        <v>554</v>
      </c>
      <c r="F78" s="9" t="s">
        <v>464</v>
      </c>
      <c r="G78" s="10"/>
      <c r="H78" s="10"/>
    </row>
    <row r="79" spans="1:8" ht="51.95" customHeight="1" x14ac:dyDescent="0.25">
      <c r="A79" s="12">
        <v>74</v>
      </c>
      <c r="B79" s="12" t="s">
        <v>527</v>
      </c>
      <c r="C79" s="12" t="s">
        <v>555</v>
      </c>
      <c r="D79" s="12" t="s">
        <v>529</v>
      </c>
      <c r="E79" s="12" t="s">
        <v>556</v>
      </c>
      <c r="F79" s="12" t="s">
        <v>464</v>
      </c>
      <c r="G79" s="10"/>
      <c r="H79" s="10"/>
    </row>
    <row r="80" spans="1:8" ht="51.95" customHeight="1" x14ac:dyDescent="0.25">
      <c r="A80" s="9">
        <v>75</v>
      </c>
      <c r="B80" s="9" t="s">
        <v>527</v>
      </c>
      <c r="C80" s="9" t="s">
        <v>557</v>
      </c>
      <c r="D80" s="9" t="s">
        <v>529</v>
      </c>
      <c r="E80" s="9" t="s">
        <v>549</v>
      </c>
      <c r="F80" s="9" t="s">
        <v>464</v>
      </c>
      <c r="G80" s="10"/>
      <c r="H80" s="10"/>
    </row>
    <row r="81" spans="1:8" ht="51.95" customHeight="1" x14ac:dyDescent="0.25">
      <c r="A81" s="12">
        <v>76</v>
      </c>
      <c r="B81" s="12" t="s">
        <v>527</v>
      </c>
      <c r="C81" s="12" t="s">
        <v>558</v>
      </c>
      <c r="D81" s="12" t="s">
        <v>529</v>
      </c>
      <c r="E81" s="12" t="s">
        <v>542</v>
      </c>
      <c r="F81" s="12" t="s">
        <v>464</v>
      </c>
      <c r="G81" s="10"/>
      <c r="H81" s="10"/>
    </row>
    <row r="82" spans="1:8" ht="51.95" customHeight="1" x14ac:dyDescent="0.25">
      <c r="A82" s="9">
        <v>77</v>
      </c>
      <c r="B82" s="9" t="s">
        <v>527</v>
      </c>
      <c r="C82" s="9" t="s">
        <v>559</v>
      </c>
      <c r="D82" s="9" t="s">
        <v>529</v>
      </c>
      <c r="E82" s="9" t="s">
        <v>542</v>
      </c>
      <c r="F82" s="9" t="s">
        <v>464</v>
      </c>
      <c r="G82" s="10"/>
      <c r="H82" s="10"/>
    </row>
    <row r="83" spans="1:8" ht="51.95" customHeight="1" x14ac:dyDescent="0.25">
      <c r="A83" s="12">
        <v>78</v>
      </c>
      <c r="B83" s="12" t="s">
        <v>527</v>
      </c>
      <c r="C83" s="12" t="s">
        <v>560</v>
      </c>
      <c r="D83" s="12" t="s">
        <v>529</v>
      </c>
      <c r="E83" s="12" t="s">
        <v>561</v>
      </c>
      <c r="F83" s="12" t="s">
        <v>464</v>
      </c>
      <c r="G83" s="10"/>
      <c r="H83" s="10"/>
    </row>
    <row r="84" spans="1:8" ht="51.95" customHeight="1" x14ac:dyDescent="0.25">
      <c r="A84" s="9">
        <v>79</v>
      </c>
      <c r="B84" s="9" t="s">
        <v>527</v>
      </c>
      <c r="C84" s="9" t="s">
        <v>562</v>
      </c>
      <c r="D84" s="9" t="s">
        <v>529</v>
      </c>
      <c r="E84" s="9" t="s">
        <v>540</v>
      </c>
      <c r="F84" s="9" t="s">
        <v>464</v>
      </c>
      <c r="G84" s="10"/>
      <c r="H84" s="10"/>
    </row>
    <row r="85" spans="1:8" ht="51.95" customHeight="1" x14ac:dyDescent="0.25">
      <c r="A85" s="12">
        <v>80</v>
      </c>
      <c r="B85" s="12" t="s">
        <v>527</v>
      </c>
      <c r="C85" s="12" t="s">
        <v>563</v>
      </c>
      <c r="D85" s="12" t="s">
        <v>529</v>
      </c>
      <c r="E85" s="12" t="s">
        <v>549</v>
      </c>
      <c r="F85" s="12" t="s">
        <v>464</v>
      </c>
      <c r="G85" s="10"/>
      <c r="H85" s="10"/>
    </row>
    <row r="86" spans="1:8" ht="51.95" customHeight="1" x14ac:dyDescent="0.25">
      <c r="A86" s="9">
        <v>81</v>
      </c>
      <c r="B86" s="9" t="s">
        <v>527</v>
      </c>
      <c r="C86" s="9" t="s">
        <v>564</v>
      </c>
      <c r="D86" s="9" t="s">
        <v>529</v>
      </c>
      <c r="E86" s="9" t="s">
        <v>549</v>
      </c>
      <c r="F86" s="9" t="s">
        <v>464</v>
      </c>
      <c r="G86" s="10"/>
      <c r="H86" s="10"/>
    </row>
    <row r="87" spans="1:8" ht="51.95" customHeight="1" x14ac:dyDescent="0.25">
      <c r="A87" s="12">
        <v>82</v>
      </c>
      <c r="B87" s="12" t="s">
        <v>527</v>
      </c>
      <c r="C87" s="12" t="s">
        <v>565</v>
      </c>
      <c r="D87" s="12" t="s">
        <v>529</v>
      </c>
      <c r="E87" s="12" t="s">
        <v>540</v>
      </c>
      <c r="F87" s="12" t="s">
        <v>464</v>
      </c>
      <c r="G87" s="10"/>
      <c r="H87" s="10"/>
    </row>
    <row r="88" spans="1:8" ht="51.95" customHeight="1" x14ac:dyDescent="0.25">
      <c r="A88" s="9">
        <v>83</v>
      </c>
      <c r="B88" s="9" t="s">
        <v>527</v>
      </c>
      <c r="C88" s="9" t="s">
        <v>566</v>
      </c>
      <c r="D88" s="9" t="s">
        <v>529</v>
      </c>
      <c r="E88" s="9" t="s">
        <v>542</v>
      </c>
      <c r="F88" s="9" t="s">
        <v>464</v>
      </c>
      <c r="G88" s="10"/>
      <c r="H88" s="10"/>
    </row>
    <row r="89" spans="1:8" ht="51.95" customHeight="1" x14ac:dyDescent="0.25">
      <c r="A89" s="12">
        <v>84</v>
      </c>
      <c r="B89" s="12" t="s">
        <v>527</v>
      </c>
      <c r="C89" s="12" t="s">
        <v>567</v>
      </c>
      <c r="D89" s="12" t="s">
        <v>529</v>
      </c>
      <c r="E89" s="12" t="s">
        <v>542</v>
      </c>
      <c r="F89" s="12" t="s">
        <v>464</v>
      </c>
      <c r="G89" s="10"/>
      <c r="H89" s="10"/>
    </row>
    <row r="90" spans="1:8" ht="51.95" customHeight="1" x14ac:dyDescent="0.25">
      <c r="A90" s="9">
        <v>85</v>
      </c>
      <c r="B90" s="9" t="s">
        <v>527</v>
      </c>
      <c r="C90" s="9" t="s">
        <v>568</v>
      </c>
      <c r="D90" s="9" t="s">
        <v>529</v>
      </c>
      <c r="E90" s="9" t="s">
        <v>540</v>
      </c>
      <c r="F90" s="9" t="s">
        <v>464</v>
      </c>
      <c r="G90" s="10"/>
      <c r="H90" s="10"/>
    </row>
    <row r="91" spans="1:8" ht="51.95" customHeight="1" x14ac:dyDescent="0.25">
      <c r="A91" s="12">
        <v>86</v>
      </c>
      <c r="B91" s="12" t="s">
        <v>527</v>
      </c>
      <c r="C91" s="12" t="s">
        <v>569</v>
      </c>
      <c r="D91" s="12" t="s">
        <v>529</v>
      </c>
      <c r="E91" s="12" t="s">
        <v>570</v>
      </c>
      <c r="F91" s="12" t="s">
        <v>464</v>
      </c>
      <c r="G91" s="10"/>
      <c r="H91" s="10"/>
    </row>
    <row r="92" spans="1:8" ht="51.95" customHeight="1" x14ac:dyDescent="0.25">
      <c r="A92" s="9">
        <v>87</v>
      </c>
      <c r="B92" s="9" t="s">
        <v>527</v>
      </c>
      <c r="C92" s="9" t="s">
        <v>571</v>
      </c>
      <c r="D92" s="9" t="s">
        <v>529</v>
      </c>
      <c r="E92" s="9" t="s">
        <v>542</v>
      </c>
      <c r="F92" s="9" t="s">
        <v>464</v>
      </c>
      <c r="G92" s="10"/>
      <c r="H92" s="10"/>
    </row>
    <row r="93" spans="1:8" ht="51.95" customHeight="1" x14ac:dyDescent="0.25">
      <c r="A93" s="12">
        <v>88</v>
      </c>
      <c r="B93" s="12" t="s">
        <v>527</v>
      </c>
      <c r="C93" s="12" t="s">
        <v>572</v>
      </c>
      <c r="D93" s="12" t="s">
        <v>529</v>
      </c>
      <c r="E93" s="12" t="s">
        <v>549</v>
      </c>
      <c r="F93" s="12" t="s">
        <v>464</v>
      </c>
      <c r="G93" s="10"/>
      <c r="H93" s="10"/>
    </row>
    <row r="94" spans="1:8" ht="51.95" customHeight="1" x14ac:dyDescent="0.25">
      <c r="A94" s="9">
        <v>89</v>
      </c>
      <c r="B94" s="9" t="s">
        <v>527</v>
      </c>
      <c r="C94" s="9" t="s">
        <v>573</v>
      </c>
      <c r="D94" s="9" t="s">
        <v>529</v>
      </c>
      <c r="E94" s="9" t="s">
        <v>549</v>
      </c>
      <c r="F94" s="9" t="s">
        <v>464</v>
      </c>
      <c r="G94" s="10"/>
      <c r="H94" s="10"/>
    </row>
    <row r="95" spans="1:8" ht="51.95" customHeight="1" x14ac:dyDescent="0.25">
      <c r="A95" s="12">
        <v>90</v>
      </c>
      <c r="B95" s="12" t="s">
        <v>527</v>
      </c>
      <c r="C95" s="12" t="s">
        <v>574</v>
      </c>
      <c r="D95" s="12" t="s">
        <v>529</v>
      </c>
      <c r="E95" s="12" t="s">
        <v>575</v>
      </c>
      <c r="F95" s="12" t="s">
        <v>464</v>
      </c>
      <c r="G95" s="10"/>
      <c r="H95" s="10"/>
    </row>
    <row r="96" spans="1:8" ht="51.95" customHeight="1" x14ac:dyDescent="0.25">
      <c r="A96" s="9">
        <v>91</v>
      </c>
      <c r="B96" s="9" t="s">
        <v>527</v>
      </c>
      <c r="C96" s="9" t="s">
        <v>576</v>
      </c>
      <c r="D96" s="9" t="s">
        <v>529</v>
      </c>
      <c r="E96" s="9" t="s">
        <v>549</v>
      </c>
      <c r="F96" s="9" t="s">
        <v>464</v>
      </c>
      <c r="G96" s="10"/>
      <c r="H96" s="10"/>
    </row>
    <row r="97" spans="1:8" ht="51.95" customHeight="1" x14ac:dyDescent="0.25">
      <c r="A97" s="12">
        <v>92</v>
      </c>
      <c r="B97" s="12" t="s">
        <v>527</v>
      </c>
      <c r="C97" s="12" t="s">
        <v>577</v>
      </c>
      <c r="D97" s="12" t="s">
        <v>529</v>
      </c>
      <c r="E97" s="12" t="s">
        <v>532</v>
      </c>
      <c r="F97" s="12" t="s">
        <v>464</v>
      </c>
      <c r="G97" s="10"/>
      <c r="H97" s="10"/>
    </row>
    <row r="98" spans="1:8" ht="51.95" customHeight="1" x14ac:dyDescent="0.25">
      <c r="A98" s="9">
        <v>93</v>
      </c>
      <c r="B98" s="9" t="s">
        <v>527</v>
      </c>
      <c r="C98" s="9" t="s">
        <v>578</v>
      </c>
      <c r="D98" s="9" t="s">
        <v>529</v>
      </c>
      <c r="E98" s="9" t="s">
        <v>542</v>
      </c>
      <c r="F98" s="9" t="s">
        <v>464</v>
      </c>
      <c r="G98" s="10"/>
      <c r="H98" s="10"/>
    </row>
    <row r="99" spans="1:8" ht="51.95" customHeight="1" x14ac:dyDescent="0.25">
      <c r="A99" s="12">
        <v>94</v>
      </c>
      <c r="B99" s="12" t="s">
        <v>527</v>
      </c>
      <c r="C99" s="12" t="s">
        <v>579</v>
      </c>
      <c r="D99" s="12" t="s">
        <v>529</v>
      </c>
      <c r="E99" s="12" t="s">
        <v>545</v>
      </c>
      <c r="F99" s="12" t="s">
        <v>464</v>
      </c>
      <c r="G99" s="10"/>
      <c r="H99" s="10"/>
    </row>
    <row r="100" spans="1:8" ht="51.95" customHeight="1" x14ac:dyDescent="0.25">
      <c r="A100" s="9">
        <v>95</v>
      </c>
      <c r="B100" s="9" t="s">
        <v>527</v>
      </c>
      <c r="C100" s="9" t="s">
        <v>580</v>
      </c>
      <c r="D100" s="9" t="s">
        <v>529</v>
      </c>
      <c r="E100" s="9" t="s">
        <v>549</v>
      </c>
      <c r="F100" s="9" t="s">
        <v>464</v>
      </c>
      <c r="G100" s="10"/>
      <c r="H100" s="10"/>
    </row>
    <row r="101" spans="1:8" ht="51.95" customHeight="1" x14ac:dyDescent="0.25">
      <c r="A101" s="12">
        <v>96</v>
      </c>
      <c r="B101" s="12" t="s">
        <v>527</v>
      </c>
      <c r="C101" s="12" t="s">
        <v>581</v>
      </c>
      <c r="D101" s="12" t="s">
        <v>529</v>
      </c>
      <c r="E101" s="12" t="s">
        <v>549</v>
      </c>
      <c r="F101" s="12" t="s">
        <v>464</v>
      </c>
      <c r="G101" s="10"/>
      <c r="H101" s="10"/>
    </row>
    <row r="102" spans="1:8" ht="51.95" customHeight="1" x14ac:dyDescent="0.25">
      <c r="A102" s="9">
        <v>97</v>
      </c>
      <c r="B102" s="9" t="s">
        <v>527</v>
      </c>
      <c r="C102" s="9" t="s">
        <v>582</v>
      </c>
      <c r="D102" s="9" t="s">
        <v>529</v>
      </c>
      <c r="E102" s="9" t="s">
        <v>540</v>
      </c>
      <c r="F102" s="9" t="s">
        <v>464</v>
      </c>
      <c r="G102" s="10"/>
      <c r="H102" s="10"/>
    </row>
    <row r="103" spans="1:8" ht="51.95" customHeight="1" x14ac:dyDescent="0.25">
      <c r="A103" s="12">
        <v>98</v>
      </c>
      <c r="B103" s="12" t="s">
        <v>527</v>
      </c>
      <c r="C103" s="12" t="s">
        <v>583</v>
      </c>
      <c r="D103" s="12" t="s">
        <v>529</v>
      </c>
      <c r="E103" s="12" t="s">
        <v>549</v>
      </c>
      <c r="F103" s="12" t="s">
        <v>464</v>
      </c>
      <c r="G103" s="10"/>
      <c r="H103" s="10"/>
    </row>
    <row r="104" spans="1:8" ht="51.95" customHeight="1" x14ac:dyDescent="0.25">
      <c r="A104" s="9">
        <v>99</v>
      </c>
      <c r="B104" s="9" t="s">
        <v>527</v>
      </c>
      <c r="C104" s="9" t="s">
        <v>584</v>
      </c>
      <c r="D104" s="9" t="s">
        <v>529</v>
      </c>
      <c r="E104" s="9" t="s">
        <v>540</v>
      </c>
      <c r="F104" s="9" t="s">
        <v>464</v>
      </c>
      <c r="G104" s="10"/>
      <c r="H104" s="10"/>
    </row>
    <row r="105" spans="1:8" ht="51.95" customHeight="1" x14ac:dyDescent="0.25">
      <c r="A105" s="12">
        <v>100</v>
      </c>
      <c r="B105" s="12" t="s">
        <v>527</v>
      </c>
      <c r="C105" s="12" t="s">
        <v>585</v>
      </c>
      <c r="D105" s="12" t="s">
        <v>529</v>
      </c>
      <c r="E105" s="12" t="s">
        <v>540</v>
      </c>
      <c r="F105" s="12" t="s">
        <v>464</v>
      </c>
      <c r="G105" s="10"/>
      <c r="H105" s="10"/>
    </row>
    <row r="106" spans="1:8" ht="51.95" customHeight="1" x14ac:dyDescent="0.25">
      <c r="A106" s="9">
        <v>101</v>
      </c>
      <c r="B106" s="9" t="s">
        <v>527</v>
      </c>
      <c r="C106" s="9" t="s">
        <v>586</v>
      </c>
      <c r="D106" s="9" t="s">
        <v>529</v>
      </c>
      <c r="E106" s="9" t="s">
        <v>540</v>
      </c>
      <c r="F106" s="9" t="s">
        <v>464</v>
      </c>
      <c r="G106" s="10"/>
      <c r="H106" s="10"/>
    </row>
    <row r="107" spans="1:8" ht="51.95" customHeight="1" x14ac:dyDescent="0.25">
      <c r="A107" s="12">
        <v>102</v>
      </c>
      <c r="B107" s="12" t="s">
        <v>527</v>
      </c>
      <c r="C107" s="12" t="s">
        <v>587</v>
      </c>
      <c r="D107" s="12" t="s">
        <v>529</v>
      </c>
      <c r="E107" s="12" t="s">
        <v>588</v>
      </c>
      <c r="F107" s="12" t="s">
        <v>464</v>
      </c>
      <c r="G107" s="10"/>
      <c r="H107" s="10"/>
    </row>
    <row r="108" spans="1:8" ht="51.95" customHeight="1" x14ac:dyDescent="0.25">
      <c r="A108" s="9">
        <v>103</v>
      </c>
      <c r="B108" s="9" t="s">
        <v>527</v>
      </c>
      <c r="C108" s="9" t="s">
        <v>589</v>
      </c>
      <c r="D108" s="9" t="s">
        <v>529</v>
      </c>
      <c r="E108" s="9" t="s">
        <v>590</v>
      </c>
      <c r="F108" s="9" t="s">
        <v>464</v>
      </c>
      <c r="G108" s="10"/>
      <c r="H108" s="10"/>
    </row>
    <row r="109" spans="1:8" ht="51.95" customHeight="1" x14ac:dyDescent="0.25">
      <c r="A109" s="12">
        <v>104</v>
      </c>
      <c r="B109" s="12" t="s">
        <v>527</v>
      </c>
      <c r="C109" s="12" t="s">
        <v>591</v>
      </c>
      <c r="D109" s="12" t="s">
        <v>529</v>
      </c>
      <c r="E109" s="12" t="s">
        <v>575</v>
      </c>
      <c r="F109" s="12" t="s">
        <v>464</v>
      </c>
      <c r="G109" s="10"/>
      <c r="H109" s="10"/>
    </row>
    <row r="110" spans="1:8" ht="51.95" customHeight="1" x14ac:dyDescent="0.25">
      <c r="A110" s="9">
        <v>105</v>
      </c>
      <c r="B110" s="9" t="s">
        <v>527</v>
      </c>
      <c r="C110" s="9" t="s">
        <v>592</v>
      </c>
      <c r="D110" s="9" t="s">
        <v>529</v>
      </c>
      <c r="E110" s="9" t="s">
        <v>549</v>
      </c>
      <c r="F110" s="9" t="s">
        <v>464</v>
      </c>
      <c r="G110" s="10"/>
      <c r="H110" s="10"/>
    </row>
    <row r="111" spans="1:8" ht="51.95" customHeight="1" x14ac:dyDescent="0.25">
      <c r="A111" s="12">
        <v>106</v>
      </c>
      <c r="B111" s="12" t="s">
        <v>527</v>
      </c>
      <c r="C111" s="12" t="s">
        <v>593</v>
      </c>
      <c r="D111" s="12" t="s">
        <v>529</v>
      </c>
      <c r="E111" s="12" t="s">
        <v>594</v>
      </c>
      <c r="F111" s="12" t="s">
        <v>464</v>
      </c>
      <c r="G111" s="10"/>
      <c r="H111" s="10"/>
    </row>
    <row r="112" spans="1:8" ht="51.95" customHeight="1" x14ac:dyDescent="0.25">
      <c r="A112" s="9">
        <v>107</v>
      </c>
      <c r="B112" s="9" t="s">
        <v>527</v>
      </c>
      <c r="C112" s="9" t="s">
        <v>595</v>
      </c>
      <c r="D112" s="9" t="s">
        <v>529</v>
      </c>
      <c r="E112" s="9" t="s">
        <v>540</v>
      </c>
      <c r="F112" s="9" t="s">
        <v>464</v>
      </c>
      <c r="G112" s="10"/>
      <c r="H112" s="10"/>
    </row>
    <row r="113" spans="1:8" ht="51.95" customHeight="1" x14ac:dyDescent="0.25">
      <c r="A113" s="12">
        <v>108</v>
      </c>
      <c r="B113" s="12" t="s">
        <v>527</v>
      </c>
      <c r="C113" s="12" t="s">
        <v>596</v>
      </c>
      <c r="D113" s="12" t="s">
        <v>529</v>
      </c>
      <c r="E113" s="12" t="s">
        <v>575</v>
      </c>
      <c r="F113" s="12" t="s">
        <v>464</v>
      </c>
      <c r="G113" s="10"/>
      <c r="H113" s="10"/>
    </row>
    <row r="114" spans="1:8" ht="51.95" customHeight="1" x14ac:dyDescent="0.25">
      <c r="A114" s="9">
        <v>109</v>
      </c>
      <c r="B114" s="9" t="s">
        <v>527</v>
      </c>
      <c r="C114" s="9" t="s">
        <v>597</v>
      </c>
      <c r="D114" s="9" t="s">
        <v>529</v>
      </c>
      <c r="E114" s="9" t="s">
        <v>570</v>
      </c>
      <c r="F114" s="9" t="s">
        <v>464</v>
      </c>
      <c r="G114" s="10"/>
      <c r="H114" s="10"/>
    </row>
    <row r="115" spans="1:8" ht="51.95" customHeight="1" x14ac:dyDescent="0.25">
      <c r="A115" s="12">
        <v>110</v>
      </c>
      <c r="B115" s="12" t="s">
        <v>527</v>
      </c>
      <c r="C115" s="12" t="s">
        <v>598</v>
      </c>
      <c r="D115" s="12" t="s">
        <v>529</v>
      </c>
      <c r="E115" s="12" t="s">
        <v>532</v>
      </c>
      <c r="F115" s="12" t="s">
        <v>464</v>
      </c>
      <c r="G115" s="10"/>
      <c r="H115" s="10"/>
    </row>
    <row r="116" spans="1:8" ht="51.95" customHeight="1" x14ac:dyDescent="0.25">
      <c r="A116" s="9">
        <v>111</v>
      </c>
      <c r="B116" s="9" t="s">
        <v>527</v>
      </c>
      <c r="C116" s="9" t="s">
        <v>599</v>
      </c>
      <c r="D116" s="9" t="s">
        <v>529</v>
      </c>
      <c r="E116" s="9" t="s">
        <v>554</v>
      </c>
      <c r="F116" s="9" t="s">
        <v>464</v>
      </c>
      <c r="G116" s="10"/>
      <c r="H116" s="10"/>
    </row>
    <row r="117" spans="1:8" ht="51.95" customHeight="1" x14ac:dyDescent="0.25">
      <c r="A117" s="12">
        <v>112</v>
      </c>
      <c r="B117" s="12" t="s">
        <v>527</v>
      </c>
      <c r="C117" s="12" t="s">
        <v>600</v>
      </c>
      <c r="D117" s="12" t="s">
        <v>529</v>
      </c>
      <c r="E117" s="12" t="s">
        <v>549</v>
      </c>
      <c r="F117" s="12" t="s">
        <v>464</v>
      </c>
      <c r="G117" s="10"/>
      <c r="H117" s="10"/>
    </row>
    <row r="118" spans="1:8" ht="51.95" customHeight="1" x14ac:dyDescent="0.25">
      <c r="A118" s="9">
        <v>113</v>
      </c>
      <c r="B118" s="9" t="s">
        <v>527</v>
      </c>
      <c r="C118" s="9" t="s">
        <v>601</v>
      </c>
      <c r="D118" s="9" t="s">
        <v>529</v>
      </c>
      <c r="E118" s="9" t="s">
        <v>594</v>
      </c>
      <c r="F118" s="9" t="s">
        <v>464</v>
      </c>
      <c r="G118" s="10"/>
      <c r="H118" s="10"/>
    </row>
    <row r="119" spans="1:8" ht="51.95" customHeight="1" x14ac:dyDescent="0.25">
      <c r="A119" s="12">
        <v>114</v>
      </c>
      <c r="B119" s="12" t="s">
        <v>527</v>
      </c>
      <c r="C119" s="12" t="s">
        <v>602</v>
      </c>
      <c r="D119" s="12" t="s">
        <v>529</v>
      </c>
      <c r="E119" s="12" t="s">
        <v>530</v>
      </c>
      <c r="F119" s="12" t="s">
        <v>464</v>
      </c>
      <c r="G119" s="10"/>
      <c r="H119" s="10"/>
    </row>
    <row r="120" spans="1:8" ht="51.95" customHeight="1" x14ac:dyDescent="0.25">
      <c r="A120" s="9">
        <v>115</v>
      </c>
      <c r="B120" s="9" t="s">
        <v>527</v>
      </c>
      <c r="C120" s="9" t="s">
        <v>603</v>
      </c>
      <c r="D120" s="9" t="s">
        <v>529</v>
      </c>
      <c r="E120" s="9" t="s">
        <v>530</v>
      </c>
      <c r="F120" s="9" t="s">
        <v>464</v>
      </c>
      <c r="G120" s="10"/>
      <c r="H120" s="10"/>
    </row>
    <row r="121" spans="1:8" ht="51.95" customHeight="1" x14ac:dyDescent="0.25">
      <c r="A121" s="12">
        <v>116</v>
      </c>
      <c r="B121" s="12" t="s">
        <v>527</v>
      </c>
      <c r="C121" s="12" t="s">
        <v>604</v>
      </c>
      <c r="D121" s="12" t="s">
        <v>529</v>
      </c>
      <c r="E121" s="12" t="s">
        <v>530</v>
      </c>
      <c r="F121" s="12" t="s">
        <v>464</v>
      </c>
      <c r="G121" s="10"/>
      <c r="H121" s="10"/>
    </row>
    <row r="122" spans="1:8" ht="51.95" customHeight="1" x14ac:dyDescent="0.25">
      <c r="A122" s="9">
        <v>117</v>
      </c>
      <c r="B122" s="9" t="s">
        <v>527</v>
      </c>
      <c r="C122" s="9" t="s">
        <v>605</v>
      </c>
      <c r="D122" s="9" t="s">
        <v>529</v>
      </c>
      <c r="E122" s="9" t="s">
        <v>530</v>
      </c>
      <c r="F122" s="9" t="s">
        <v>464</v>
      </c>
      <c r="G122" s="10"/>
      <c r="H122" s="10"/>
    </row>
    <row r="123" spans="1:8" ht="51.95" customHeight="1" x14ac:dyDescent="0.25">
      <c r="A123" s="12">
        <v>118</v>
      </c>
      <c r="B123" s="12" t="s">
        <v>527</v>
      </c>
      <c r="C123" s="12" t="s">
        <v>606</v>
      </c>
      <c r="D123" s="12" t="s">
        <v>529</v>
      </c>
      <c r="E123" s="12" t="s">
        <v>540</v>
      </c>
      <c r="F123" s="12" t="s">
        <v>464</v>
      </c>
      <c r="G123" s="10"/>
      <c r="H123" s="10"/>
    </row>
    <row r="124" spans="1:8" ht="51.95" customHeight="1" x14ac:dyDescent="0.25">
      <c r="A124" s="9">
        <v>119</v>
      </c>
      <c r="B124" s="9" t="s">
        <v>527</v>
      </c>
      <c r="C124" s="9" t="s">
        <v>607</v>
      </c>
      <c r="D124" s="9" t="s">
        <v>529</v>
      </c>
      <c r="E124" s="9" t="s">
        <v>542</v>
      </c>
      <c r="F124" s="9" t="s">
        <v>464</v>
      </c>
      <c r="G124" s="10"/>
      <c r="H124" s="10"/>
    </row>
    <row r="125" spans="1:8" ht="15.75" x14ac:dyDescent="0.25">
      <c r="A125" s="1"/>
      <c r="B125" s="1"/>
      <c r="C125" s="1"/>
      <c r="D125" s="1"/>
      <c r="E125" s="1"/>
      <c r="F125" s="1"/>
      <c r="G125" s="1"/>
      <c r="H125" s="1"/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D11" sqref="D11"/>
    </sheetView>
  </sheetViews>
  <sheetFormatPr defaultRowHeight="15" x14ac:dyDescent="0.25"/>
  <cols>
    <col min="1" max="1" width="15.125" customWidth="1"/>
    <col min="2" max="2" width="12.375" customWidth="1"/>
    <col min="3" max="3" width="64.625" customWidth="1"/>
    <col min="4" max="4" width="34.875" customWidth="1"/>
    <col min="5" max="5" width="16.25" customWidth="1"/>
    <col min="6" max="6" width="31.625" customWidth="1"/>
    <col min="7" max="7" width="30.75" customWidth="1"/>
  </cols>
  <sheetData>
    <row r="1" spans="1:7" ht="15.75" x14ac:dyDescent="0.25">
      <c r="A1" s="1"/>
      <c r="B1" s="1"/>
      <c r="C1" s="1"/>
      <c r="D1" s="1"/>
      <c r="E1" s="1"/>
      <c r="F1" s="1"/>
      <c r="G1" s="1"/>
    </row>
    <row r="2" spans="1:7" ht="33.950000000000003" customHeight="1" x14ac:dyDescent="0.25">
      <c r="A2" s="2" t="s">
        <v>608</v>
      </c>
      <c r="B2" s="1"/>
      <c r="C2" s="1"/>
      <c r="D2" s="1"/>
      <c r="E2" s="1"/>
      <c r="F2" s="1"/>
      <c r="G2" s="1"/>
    </row>
    <row r="3" spans="1:7" ht="27.95" customHeight="1" x14ac:dyDescent="0.25">
      <c r="A3" s="1" t="s">
        <v>609</v>
      </c>
      <c r="B3" s="1"/>
      <c r="C3" s="1"/>
      <c r="D3" s="1"/>
      <c r="E3" s="1"/>
      <c r="F3" s="1"/>
      <c r="G3" s="1"/>
    </row>
    <row r="4" spans="1:7" ht="15.75" x14ac:dyDescent="0.25">
      <c r="A4" s="1"/>
      <c r="B4" s="1"/>
      <c r="C4" s="1"/>
      <c r="D4" s="1"/>
      <c r="E4" s="1"/>
      <c r="F4" s="1"/>
      <c r="G4" s="1"/>
    </row>
    <row r="5" spans="1:7" ht="33.950000000000003" customHeight="1" x14ac:dyDescent="0.25">
      <c r="A5" s="3" t="s">
        <v>610</v>
      </c>
      <c r="B5" s="3" t="s">
        <v>611</v>
      </c>
      <c r="C5" s="3" t="s">
        <v>612</v>
      </c>
      <c r="D5" s="3" t="s">
        <v>613</v>
      </c>
      <c r="E5" s="3" t="s">
        <v>614</v>
      </c>
      <c r="F5" s="3" t="s">
        <v>615</v>
      </c>
      <c r="G5" s="3" t="s">
        <v>616</v>
      </c>
    </row>
    <row r="6" spans="1:7" s="13" customFormat="1" ht="41.25" customHeight="1" x14ac:dyDescent="0.25">
      <c r="A6" s="9" t="s">
        <v>617</v>
      </c>
      <c r="B6" s="9">
        <v>4</v>
      </c>
      <c r="C6" s="9" t="s">
        <v>618</v>
      </c>
      <c r="D6" s="9" t="s">
        <v>619</v>
      </c>
      <c r="E6" s="9" t="s">
        <v>620</v>
      </c>
      <c r="F6" s="9" t="s">
        <v>621</v>
      </c>
      <c r="G6" s="10"/>
    </row>
    <row r="7" spans="1:7" s="13" customFormat="1" ht="41.25" customHeight="1" x14ac:dyDescent="0.25">
      <c r="A7" s="12" t="s">
        <v>622</v>
      </c>
      <c r="B7" s="12">
        <v>1</v>
      </c>
      <c r="C7" s="12" t="s">
        <v>623</v>
      </c>
      <c r="D7" s="12" t="s">
        <v>619</v>
      </c>
      <c r="E7" s="12" t="s">
        <v>620</v>
      </c>
      <c r="F7" s="12" t="s">
        <v>621</v>
      </c>
      <c r="G7" s="10"/>
    </row>
    <row r="8" spans="1:7" s="13" customFormat="1" ht="41.25" customHeight="1" x14ac:dyDescent="0.25">
      <c r="A8" s="9" t="s">
        <v>624</v>
      </c>
      <c r="B8" s="9">
        <v>1</v>
      </c>
      <c r="C8" s="9" t="s">
        <v>623</v>
      </c>
      <c r="D8" s="9" t="s">
        <v>619</v>
      </c>
      <c r="E8" s="9" t="s">
        <v>620</v>
      </c>
      <c r="F8" s="9" t="s">
        <v>621</v>
      </c>
      <c r="G8" s="10"/>
    </row>
    <row r="9" spans="1:7" s="13" customFormat="1" ht="41.25" customHeight="1" x14ac:dyDescent="0.25">
      <c r="A9" s="12" t="s">
        <v>625</v>
      </c>
      <c r="B9" s="12">
        <v>1</v>
      </c>
      <c r="C9" s="12" t="s">
        <v>623</v>
      </c>
      <c r="D9" s="12" t="s">
        <v>619</v>
      </c>
      <c r="E9" s="12" t="s">
        <v>620</v>
      </c>
      <c r="F9" s="12" t="s">
        <v>621</v>
      </c>
      <c r="G9" s="10"/>
    </row>
    <row r="10" spans="1:7" s="13" customFormat="1" ht="41.25" customHeight="1" x14ac:dyDescent="0.25">
      <c r="A10" s="9" t="s">
        <v>626</v>
      </c>
      <c r="B10" s="9">
        <v>1</v>
      </c>
      <c r="C10" s="9" t="s">
        <v>623</v>
      </c>
      <c r="D10" s="9" t="s">
        <v>619</v>
      </c>
      <c r="E10" s="9" t="s">
        <v>620</v>
      </c>
      <c r="F10" s="9" t="s">
        <v>621</v>
      </c>
      <c r="G10" s="10"/>
    </row>
    <row r="11" spans="1:7" s="13" customFormat="1" ht="41.25" customHeight="1" x14ac:dyDescent="0.25">
      <c r="A11" s="12" t="s">
        <v>627</v>
      </c>
      <c r="B11" s="12">
        <v>1</v>
      </c>
      <c r="C11" s="12" t="s">
        <v>623</v>
      </c>
      <c r="D11" s="12" t="s">
        <v>619</v>
      </c>
      <c r="E11" s="12" t="s">
        <v>620</v>
      </c>
      <c r="F11" s="12" t="s">
        <v>621</v>
      </c>
      <c r="G11" s="10"/>
    </row>
    <row r="12" spans="1:7" s="13" customFormat="1" ht="41.25" customHeight="1" x14ac:dyDescent="0.25">
      <c r="A12" s="9" t="s">
        <v>628</v>
      </c>
      <c r="B12" s="9">
        <v>1</v>
      </c>
      <c r="C12" s="9" t="s">
        <v>623</v>
      </c>
      <c r="D12" s="9" t="s">
        <v>619</v>
      </c>
      <c r="E12" s="9" t="s">
        <v>620</v>
      </c>
      <c r="F12" s="9" t="s">
        <v>621</v>
      </c>
      <c r="G12" s="10"/>
    </row>
    <row r="13" spans="1:7" s="13" customFormat="1" ht="41.25" customHeight="1" x14ac:dyDescent="0.25">
      <c r="A13" s="12" t="s">
        <v>629</v>
      </c>
      <c r="B13" s="12">
        <v>1</v>
      </c>
      <c r="C13" s="12" t="s">
        <v>623</v>
      </c>
      <c r="D13" s="12" t="s">
        <v>619</v>
      </c>
      <c r="E13" s="12" t="s">
        <v>620</v>
      </c>
      <c r="F13" s="12" t="s">
        <v>621</v>
      </c>
      <c r="G13" s="10"/>
    </row>
    <row r="14" spans="1:7" s="13" customFormat="1" ht="41.25" customHeight="1" x14ac:dyDescent="0.25">
      <c r="A14" s="9" t="s">
        <v>630</v>
      </c>
      <c r="B14" s="9">
        <v>1</v>
      </c>
      <c r="C14" s="9" t="s">
        <v>623</v>
      </c>
      <c r="D14" s="9" t="s">
        <v>619</v>
      </c>
      <c r="E14" s="9" t="s">
        <v>620</v>
      </c>
      <c r="F14" s="9" t="s">
        <v>621</v>
      </c>
      <c r="G14" s="10"/>
    </row>
    <row r="15" spans="1:7" s="13" customFormat="1" ht="41.25" customHeight="1" x14ac:dyDescent="0.25">
      <c r="A15" s="12" t="s">
        <v>631</v>
      </c>
      <c r="B15" s="12">
        <v>1</v>
      </c>
      <c r="C15" s="12" t="s">
        <v>623</v>
      </c>
      <c r="D15" s="12" t="s">
        <v>619</v>
      </c>
      <c r="E15" s="12" t="s">
        <v>620</v>
      </c>
      <c r="F15" s="12" t="s">
        <v>621</v>
      </c>
      <c r="G15" s="10"/>
    </row>
    <row r="16" spans="1:7" s="13" customFormat="1" ht="41.25" customHeight="1" x14ac:dyDescent="0.25">
      <c r="A16" s="9" t="s">
        <v>632</v>
      </c>
      <c r="B16" s="9">
        <v>1</v>
      </c>
      <c r="C16" s="9" t="s">
        <v>623</v>
      </c>
      <c r="D16" s="9" t="s">
        <v>619</v>
      </c>
      <c r="E16" s="9" t="s">
        <v>620</v>
      </c>
      <c r="F16" s="9" t="s">
        <v>621</v>
      </c>
      <c r="G16" s="10"/>
    </row>
    <row r="17" spans="1:7" s="13" customFormat="1" ht="41.25" customHeight="1" x14ac:dyDescent="0.25">
      <c r="A17" s="12" t="s">
        <v>633</v>
      </c>
      <c r="B17" s="12">
        <v>1</v>
      </c>
      <c r="C17" s="12" t="s">
        <v>623</v>
      </c>
      <c r="D17" s="12" t="s">
        <v>619</v>
      </c>
      <c r="E17" s="12" t="s">
        <v>620</v>
      </c>
      <c r="F17" s="12" t="s">
        <v>621</v>
      </c>
      <c r="G17" s="10"/>
    </row>
    <row r="18" spans="1:7" s="13" customFormat="1" ht="41.25" customHeight="1" x14ac:dyDescent="0.25">
      <c r="A18" s="9" t="s">
        <v>634</v>
      </c>
      <c r="B18" s="9">
        <v>2</v>
      </c>
      <c r="C18" s="9" t="s">
        <v>635</v>
      </c>
      <c r="D18" s="9" t="s">
        <v>619</v>
      </c>
      <c r="E18" s="9" t="s">
        <v>620</v>
      </c>
      <c r="F18" s="9" t="s">
        <v>621</v>
      </c>
      <c r="G18" s="10"/>
    </row>
    <row r="19" spans="1:7" s="13" customFormat="1" ht="41.25" customHeight="1" x14ac:dyDescent="0.25">
      <c r="A19" s="12" t="s">
        <v>636</v>
      </c>
      <c r="B19" s="12">
        <v>1</v>
      </c>
      <c r="C19" s="12" t="s">
        <v>623</v>
      </c>
      <c r="D19" s="12" t="s">
        <v>619</v>
      </c>
      <c r="E19" s="12" t="s">
        <v>620</v>
      </c>
      <c r="F19" s="12" t="s">
        <v>621</v>
      </c>
      <c r="G19" s="10"/>
    </row>
    <row r="20" spans="1:7" s="13" customFormat="1" ht="41.25" customHeight="1" x14ac:dyDescent="0.25">
      <c r="A20" s="9" t="s">
        <v>637</v>
      </c>
      <c r="B20" s="9">
        <v>1</v>
      </c>
      <c r="C20" s="9" t="s">
        <v>623</v>
      </c>
      <c r="D20" s="9" t="s">
        <v>619</v>
      </c>
      <c r="E20" s="9" t="s">
        <v>620</v>
      </c>
      <c r="F20" s="9" t="s">
        <v>621</v>
      </c>
      <c r="G20" s="10"/>
    </row>
    <row r="21" spans="1:7" s="13" customFormat="1" ht="41.25" customHeight="1" x14ac:dyDescent="0.25">
      <c r="A21" s="12" t="s">
        <v>638</v>
      </c>
      <c r="B21" s="12">
        <v>1</v>
      </c>
      <c r="C21" s="12" t="s">
        <v>623</v>
      </c>
      <c r="D21" s="12" t="s">
        <v>619</v>
      </c>
      <c r="E21" s="12" t="s">
        <v>620</v>
      </c>
      <c r="F21" s="12" t="s">
        <v>621</v>
      </c>
      <c r="G21" s="10"/>
    </row>
    <row r="22" spans="1:7" s="13" customFormat="1" ht="41.25" customHeight="1" x14ac:dyDescent="0.25">
      <c r="A22" s="9" t="s">
        <v>639</v>
      </c>
      <c r="B22" s="9">
        <v>2</v>
      </c>
      <c r="C22" s="9" t="s">
        <v>640</v>
      </c>
      <c r="D22" s="9" t="s">
        <v>641</v>
      </c>
      <c r="E22" s="9" t="s">
        <v>642</v>
      </c>
      <c r="F22" s="9" t="s">
        <v>621</v>
      </c>
      <c r="G22" s="10"/>
    </row>
    <row r="23" spans="1:7" s="13" customFormat="1" ht="41.25" customHeight="1" x14ac:dyDescent="0.25">
      <c r="A23" s="12" t="s">
        <v>643</v>
      </c>
      <c r="B23" s="12">
        <v>2</v>
      </c>
      <c r="C23" s="12" t="s">
        <v>640</v>
      </c>
      <c r="D23" s="12" t="s">
        <v>641</v>
      </c>
      <c r="E23" s="12" t="s">
        <v>642</v>
      </c>
      <c r="F23" s="12" t="s">
        <v>621</v>
      </c>
      <c r="G23" s="10"/>
    </row>
    <row r="24" spans="1:7" s="13" customFormat="1" ht="41.25" customHeight="1" x14ac:dyDescent="0.25">
      <c r="A24" s="9" t="s">
        <v>644</v>
      </c>
      <c r="B24" s="9">
        <v>2</v>
      </c>
      <c r="C24" s="9" t="s">
        <v>640</v>
      </c>
      <c r="D24" s="9" t="s">
        <v>641</v>
      </c>
      <c r="E24" s="9" t="s">
        <v>642</v>
      </c>
      <c r="F24" s="9" t="s">
        <v>621</v>
      </c>
      <c r="G24" s="10"/>
    </row>
    <row r="25" spans="1:7" s="13" customFormat="1" ht="41.25" customHeight="1" x14ac:dyDescent="0.25">
      <c r="A25" s="12" t="s">
        <v>645</v>
      </c>
      <c r="B25" s="12">
        <v>2</v>
      </c>
      <c r="C25" s="12" t="s">
        <v>640</v>
      </c>
      <c r="D25" s="12" t="s">
        <v>641</v>
      </c>
      <c r="E25" s="12" t="s">
        <v>642</v>
      </c>
      <c r="F25" s="12" t="s">
        <v>621</v>
      </c>
      <c r="G25" s="10"/>
    </row>
    <row r="26" spans="1:7" s="13" customFormat="1" ht="41.25" customHeight="1" x14ac:dyDescent="0.25">
      <c r="A26" s="9" t="s">
        <v>646</v>
      </c>
      <c r="B26" s="9">
        <v>1</v>
      </c>
      <c r="C26" s="9" t="s">
        <v>623</v>
      </c>
      <c r="D26" s="9" t="s">
        <v>619</v>
      </c>
      <c r="E26" s="9" t="s">
        <v>620</v>
      </c>
      <c r="F26" s="9" t="s">
        <v>621</v>
      </c>
      <c r="G26" s="10"/>
    </row>
    <row r="27" spans="1:7" s="13" customFormat="1" ht="41.25" customHeight="1" x14ac:dyDescent="0.25">
      <c r="A27" s="12" t="s">
        <v>647</v>
      </c>
      <c r="B27" s="12">
        <v>2</v>
      </c>
      <c r="C27" s="12" t="s">
        <v>648</v>
      </c>
      <c r="D27" s="12" t="s">
        <v>649</v>
      </c>
      <c r="E27" s="12" t="s">
        <v>642</v>
      </c>
      <c r="F27" s="12" t="s">
        <v>621</v>
      </c>
      <c r="G27" s="10"/>
    </row>
    <row r="28" spans="1:7" s="13" customFormat="1" ht="41.25" customHeight="1" x14ac:dyDescent="0.25">
      <c r="A28" s="9" t="s">
        <v>650</v>
      </c>
      <c r="B28" s="9">
        <v>1</v>
      </c>
      <c r="C28" s="9" t="s">
        <v>623</v>
      </c>
      <c r="D28" s="9" t="s">
        <v>619</v>
      </c>
      <c r="E28" s="9" t="s">
        <v>620</v>
      </c>
      <c r="F28" s="9" t="s">
        <v>621</v>
      </c>
      <c r="G28" s="10"/>
    </row>
    <row r="29" spans="1:7" s="13" customFormat="1" ht="41.25" customHeight="1" x14ac:dyDescent="0.25">
      <c r="A29" s="12" t="s">
        <v>651</v>
      </c>
      <c r="B29" s="12">
        <v>2</v>
      </c>
      <c r="C29" s="12" t="s">
        <v>652</v>
      </c>
      <c r="D29" s="12" t="s">
        <v>641</v>
      </c>
      <c r="E29" s="12" t="s">
        <v>642</v>
      </c>
      <c r="F29" s="12" t="s">
        <v>621</v>
      </c>
      <c r="G29" s="10"/>
    </row>
    <row r="30" spans="1:7" s="13" customFormat="1" ht="41.25" customHeight="1" x14ac:dyDescent="0.25">
      <c r="A30" s="9" t="s">
        <v>653</v>
      </c>
      <c r="B30" s="9">
        <v>2</v>
      </c>
      <c r="C30" s="9" t="s">
        <v>652</v>
      </c>
      <c r="D30" s="9" t="s">
        <v>641</v>
      </c>
      <c r="E30" s="9" t="s">
        <v>642</v>
      </c>
      <c r="F30" s="9" t="s">
        <v>621</v>
      </c>
      <c r="G30" s="10"/>
    </row>
    <row r="31" spans="1:7" s="13" customFormat="1" ht="41.25" customHeight="1" x14ac:dyDescent="0.25">
      <c r="A31" s="12" t="s">
        <v>654</v>
      </c>
      <c r="B31" s="12">
        <v>2</v>
      </c>
      <c r="C31" s="12" t="s">
        <v>652</v>
      </c>
      <c r="D31" s="12" t="s">
        <v>641</v>
      </c>
      <c r="E31" s="12" t="s">
        <v>642</v>
      </c>
      <c r="F31" s="12" t="s">
        <v>621</v>
      </c>
      <c r="G31" s="10"/>
    </row>
    <row r="32" spans="1:7" s="13" customFormat="1" ht="41.25" customHeight="1" x14ac:dyDescent="0.25">
      <c r="A32" s="9" t="s">
        <v>655</v>
      </c>
      <c r="B32" s="9">
        <v>1</v>
      </c>
      <c r="C32" s="9" t="s">
        <v>623</v>
      </c>
      <c r="D32" s="9" t="s">
        <v>619</v>
      </c>
      <c r="E32" s="9" t="s">
        <v>620</v>
      </c>
      <c r="F32" s="9" t="s">
        <v>621</v>
      </c>
      <c r="G32" s="10"/>
    </row>
    <row r="33" spans="1:7" s="13" customFormat="1" ht="41.25" customHeight="1" x14ac:dyDescent="0.25">
      <c r="A33" s="12" t="s">
        <v>656</v>
      </c>
      <c r="B33" s="12">
        <v>2</v>
      </c>
      <c r="C33" s="12" t="s">
        <v>657</v>
      </c>
      <c r="D33" s="12" t="s">
        <v>641</v>
      </c>
      <c r="E33" s="12" t="s">
        <v>642</v>
      </c>
      <c r="F33" s="12" t="s">
        <v>621</v>
      </c>
      <c r="G33" s="10"/>
    </row>
    <row r="34" spans="1:7" s="13" customFormat="1" ht="41.25" customHeight="1" x14ac:dyDescent="0.25">
      <c r="A34" s="9" t="s">
        <v>658</v>
      </c>
      <c r="B34" s="9">
        <v>2</v>
      </c>
      <c r="C34" s="9" t="s">
        <v>657</v>
      </c>
      <c r="D34" s="9" t="s">
        <v>641</v>
      </c>
      <c r="E34" s="9" t="s">
        <v>642</v>
      </c>
      <c r="F34" s="9" t="s">
        <v>621</v>
      </c>
      <c r="G34" s="10"/>
    </row>
    <row r="35" spans="1:7" s="13" customFormat="1" ht="41.25" customHeight="1" x14ac:dyDescent="0.25">
      <c r="A35" s="12" t="s">
        <v>659</v>
      </c>
      <c r="B35" s="12">
        <v>1</v>
      </c>
      <c r="C35" s="12" t="s">
        <v>660</v>
      </c>
      <c r="D35" s="12" t="s">
        <v>661</v>
      </c>
      <c r="E35" s="12" t="s">
        <v>642</v>
      </c>
      <c r="F35" s="12" t="s">
        <v>621</v>
      </c>
      <c r="G35" s="10"/>
    </row>
    <row r="36" spans="1:7" s="13" customFormat="1" ht="41.25" customHeight="1" x14ac:dyDescent="0.25">
      <c r="A36" s="9" t="s">
        <v>662</v>
      </c>
      <c r="B36" s="9">
        <v>3</v>
      </c>
      <c r="C36" s="9" t="s">
        <v>663</v>
      </c>
      <c r="D36" s="9" t="s">
        <v>661</v>
      </c>
      <c r="E36" s="9" t="s">
        <v>642</v>
      </c>
      <c r="F36" s="9" t="s">
        <v>621</v>
      </c>
      <c r="G36" s="10"/>
    </row>
    <row r="37" spans="1:7" s="13" customFormat="1" ht="41.25" customHeight="1" x14ac:dyDescent="0.25">
      <c r="A37" s="12" t="s">
        <v>664</v>
      </c>
      <c r="B37" s="12">
        <v>3</v>
      </c>
      <c r="C37" s="12" t="s">
        <v>663</v>
      </c>
      <c r="D37" s="12" t="s">
        <v>661</v>
      </c>
      <c r="E37" s="12" t="s">
        <v>642</v>
      </c>
      <c r="F37" s="12" t="s">
        <v>621</v>
      </c>
      <c r="G37" s="10"/>
    </row>
    <row r="38" spans="1:7" s="13" customFormat="1" ht="41.25" customHeight="1" x14ac:dyDescent="0.25">
      <c r="A38" s="9" t="s">
        <v>665</v>
      </c>
      <c r="B38" s="9">
        <v>2</v>
      </c>
      <c r="C38" s="9" t="s">
        <v>666</v>
      </c>
      <c r="D38" s="9" t="s">
        <v>661</v>
      </c>
      <c r="E38" s="9" t="s">
        <v>642</v>
      </c>
      <c r="F38" s="9" t="s">
        <v>621</v>
      </c>
      <c r="G38" s="10"/>
    </row>
    <row r="39" spans="1:7" s="13" customFormat="1" ht="41.25" customHeight="1" x14ac:dyDescent="0.25">
      <c r="A39" s="12" t="s">
        <v>667</v>
      </c>
      <c r="B39" s="12">
        <v>2</v>
      </c>
      <c r="C39" s="12" t="s">
        <v>668</v>
      </c>
      <c r="D39" s="12" t="s">
        <v>661</v>
      </c>
      <c r="E39" s="12" t="s">
        <v>642</v>
      </c>
      <c r="F39" s="12" t="s">
        <v>621</v>
      </c>
      <c r="G39" s="10"/>
    </row>
    <row r="40" spans="1:7" s="13" customFormat="1" ht="41.25" customHeight="1" x14ac:dyDescent="0.25">
      <c r="A40" s="9" t="s">
        <v>669</v>
      </c>
      <c r="B40" s="9">
        <v>2</v>
      </c>
      <c r="C40" s="9" t="s">
        <v>670</v>
      </c>
      <c r="D40" s="9" t="s">
        <v>671</v>
      </c>
      <c r="E40" s="9" t="s">
        <v>642</v>
      </c>
      <c r="F40" s="9" t="s">
        <v>621</v>
      </c>
      <c r="G40" s="10"/>
    </row>
    <row r="41" spans="1:7" s="13" customFormat="1" ht="41.25" customHeight="1" x14ac:dyDescent="0.25">
      <c r="A41" s="12" t="s">
        <v>672</v>
      </c>
      <c r="B41" s="12">
        <v>2</v>
      </c>
      <c r="C41" s="12" t="s">
        <v>670</v>
      </c>
      <c r="D41" s="12" t="s">
        <v>673</v>
      </c>
      <c r="E41" s="12" t="s">
        <v>642</v>
      </c>
      <c r="F41" s="12" t="s">
        <v>621</v>
      </c>
      <c r="G41" s="10"/>
    </row>
    <row r="42" spans="1:7" s="13" customFormat="1" ht="41.25" customHeight="1" x14ac:dyDescent="0.25">
      <c r="A42" s="9" t="s">
        <v>674</v>
      </c>
      <c r="B42" s="9">
        <v>2</v>
      </c>
      <c r="C42" s="9" t="s">
        <v>675</v>
      </c>
      <c r="D42" s="9" t="s">
        <v>676</v>
      </c>
      <c r="E42" s="9" t="s">
        <v>642</v>
      </c>
      <c r="F42" s="9" t="s">
        <v>621</v>
      </c>
      <c r="G42" s="10"/>
    </row>
    <row r="43" spans="1:7" s="13" customFormat="1" ht="41.25" customHeight="1" x14ac:dyDescent="0.25">
      <c r="A43" s="12" t="s">
        <v>677</v>
      </c>
      <c r="B43" s="12">
        <v>2</v>
      </c>
      <c r="C43" s="12" t="s">
        <v>675</v>
      </c>
      <c r="D43" s="12" t="s">
        <v>676</v>
      </c>
      <c r="E43" s="12" t="s">
        <v>642</v>
      </c>
      <c r="F43" s="12" t="s">
        <v>621</v>
      </c>
      <c r="G43" s="10"/>
    </row>
    <row r="44" spans="1:7" s="13" customFormat="1" ht="41.25" customHeight="1" x14ac:dyDescent="0.25">
      <c r="A44" s="9" t="s">
        <v>678</v>
      </c>
      <c r="B44" s="9">
        <v>2</v>
      </c>
      <c r="C44" s="9" t="s">
        <v>675</v>
      </c>
      <c r="D44" s="9" t="s">
        <v>676</v>
      </c>
      <c r="E44" s="9" t="s">
        <v>642</v>
      </c>
      <c r="F44" s="9" t="s">
        <v>621</v>
      </c>
      <c r="G44" s="10"/>
    </row>
    <row r="45" spans="1:7" s="13" customFormat="1" ht="41.25" customHeight="1" x14ac:dyDescent="0.25">
      <c r="A45" s="12" t="s">
        <v>679</v>
      </c>
      <c r="B45" s="12">
        <v>2</v>
      </c>
      <c r="C45" s="12" t="s">
        <v>680</v>
      </c>
      <c r="D45" s="12" t="s">
        <v>681</v>
      </c>
      <c r="E45" s="12" t="s">
        <v>642</v>
      </c>
      <c r="F45" s="12" t="s">
        <v>621</v>
      </c>
      <c r="G45" s="10"/>
    </row>
    <row r="46" spans="1:7" s="13" customFormat="1" ht="41.25" customHeight="1" x14ac:dyDescent="0.25">
      <c r="A46" s="9" t="s">
        <v>682</v>
      </c>
      <c r="B46" s="9">
        <v>2</v>
      </c>
      <c r="C46" s="9" t="s">
        <v>683</v>
      </c>
      <c r="D46" s="9" t="s">
        <v>684</v>
      </c>
      <c r="E46" s="9" t="s">
        <v>642</v>
      </c>
      <c r="F46" s="9" t="s">
        <v>621</v>
      </c>
      <c r="G46" s="10"/>
    </row>
    <row r="47" spans="1:7" s="13" customFormat="1" ht="41.25" customHeight="1" x14ac:dyDescent="0.25">
      <c r="A47" s="12" t="s">
        <v>685</v>
      </c>
      <c r="B47" s="12">
        <v>2</v>
      </c>
      <c r="C47" s="12" t="s">
        <v>680</v>
      </c>
      <c r="D47" s="12" t="s">
        <v>686</v>
      </c>
      <c r="E47" s="12" t="s">
        <v>642</v>
      </c>
      <c r="F47" s="12" t="s">
        <v>621</v>
      </c>
      <c r="G47" s="10"/>
    </row>
    <row r="48" spans="1:7" s="13" customFormat="1" ht="41.25" customHeight="1" x14ac:dyDescent="0.25">
      <c r="A48" s="9" t="s">
        <v>687</v>
      </c>
      <c r="B48" s="9">
        <v>2</v>
      </c>
      <c r="C48" s="9" t="s">
        <v>680</v>
      </c>
      <c r="D48" s="9" t="s">
        <v>686</v>
      </c>
      <c r="E48" s="9" t="s">
        <v>642</v>
      </c>
      <c r="F48" s="9" t="s">
        <v>621</v>
      </c>
      <c r="G48" s="10"/>
    </row>
    <row r="49" spans="1:7" s="13" customFormat="1" ht="41.25" customHeight="1" x14ac:dyDescent="0.25">
      <c r="A49" s="12" t="s">
        <v>688</v>
      </c>
      <c r="B49" s="12">
        <v>2</v>
      </c>
      <c r="C49" s="12" t="s">
        <v>680</v>
      </c>
      <c r="D49" s="12" t="s">
        <v>689</v>
      </c>
      <c r="E49" s="12" t="s">
        <v>642</v>
      </c>
      <c r="F49" s="12" t="s">
        <v>621</v>
      </c>
      <c r="G49" s="10"/>
    </row>
    <row r="50" spans="1:7" s="13" customFormat="1" ht="41.25" customHeight="1" x14ac:dyDescent="0.25">
      <c r="A50" s="9" t="s">
        <v>690</v>
      </c>
      <c r="B50" s="9">
        <v>2</v>
      </c>
      <c r="C50" s="9" t="s">
        <v>680</v>
      </c>
      <c r="D50" s="9" t="s">
        <v>689</v>
      </c>
      <c r="E50" s="9" t="s">
        <v>642</v>
      </c>
      <c r="F50" s="9" t="s">
        <v>621</v>
      </c>
      <c r="G50" s="10"/>
    </row>
    <row r="51" spans="1:7" s="13" customFormat="1" ht="41.25" customHeight="1" x14ac:dyDescent="0.25">
      <c r="A51" s="12" t="s">
        <v>691</v>
      </c>
      <c r="B51" s="12">
        <v>2</v>
      </c>
      <c r="C51" s="12" t="s">
        <v>692</v>
      </c>
      <c r="D51" s="12" t="s">
        <v>693</v>
      </c>
      <c r="E51" s="12" t="s">
        <v>642</v>
      </c>
      <c r="F51" s="12" t="s">
        <v>621</v>
      </c>
      <c r="G51" s="10"/>
    </row>
    <row r="52" spans="1:7" s="13" customFormat="1" ht="41.25" customHeight="1" x14ac:dyDescent="0.25">
      <c r="A52" s="9" t="s">
        <v>694</v>
      </c>
      <c r="B52" s="9">
        <v>2</v>
      </c>
      <c r="C52" s="9" t="s">
        <v>692</v>
      </c>
      <c r="D52" s="9" t="s">
        <v>695</v>
      </c>
      <c r="E52" s="9" t="s">
        <v>642</v>
      </c>
      <c r="F52" s="9" t="s">
        <v>621</v>
      </c>
      <c r="G52" s="10"/>
    </row>
    <row r="53" spans="1:7" s="13" customFormat="1" ht="41.25" customHeight="1" x14ac:dyDescent="0.25">
      <c r="A53" s="12" t="s">
        <v>696</v>
      </c>
      <c r="B53" s="12">
        <v>2</v>
      </c>
      <c r="C53" s="12" t="s">
        <v>692</v>
      </c>
      <c r="D53" s="12" t="s">
        <v>697</v>
      </c>
      <c r="E53" s="12" t="s">
        <v>642</v>
      </c>
      <c r="F53" s="12" t="s">
        <v>621</v>
      </c>
      <c r="G53" s="10"/>
    </row>
    <row r="54" spans="1:7" s="13" customFormat="1" ht="41.25" customHeight="1" x14ac:dyDescent="0.25">
      <c r="A54" s="9" t="s">
        <v>698</v>
      </c>
      <c r="B54" s="9">
        <v>2</v>
      </c>
      <c r="C54" s="9" t="s">
        <v>692</v>
      </c>
      <c r="D54" s="9" t="s">
        <v>697</v>
      </c>
      <c r="E54" s="9" t="s">
        <v>642</v>
      </c>
      <c r="F54" s="9" t="s">
        <v>621</v>
      </c>
      <c r="G54" s="10"/>
    </row>
    <row r="55" spans="1:7" s="13" customFormat="1" ht="41.25" customHeight="1" x14ac:dyDescent="0.25">
      <c r="A55" s="12" t="s">
        <v>699</v>
      </c>
      <c r="B55" s="12">
        <v>2</v>
      </c>
      <c r="C55" s="12" t="s">
        <v>692</v>
      </c>
      <c r="D55" s="12" t="s">
        <v>697</v>
      </c>
      <c r="E55" s="12" t="s">
        <v>642</v>
      </c>
      <c r="F55" s="12" t="s">
        <v>621</v>
      </c>
      <c r="G55" s="10"/>
    </row>
    <row r="56" spans="1:7" s="13" customFormat="1" ht="41.25" customHeight="1" x14ac:dyDescent="0.25">
      <c r="A56" s="9" t="s">
        <v>700</v>
      </c>
      <c r="B56" s="9">
        <v>2</v>
      </c>
      <c r="C56" s="9" t="s">
        <v>692</v>
      </c>
      <c r="D56" s="9" t="s">
        <v>697</v>
      </c>
      <c r="E56" s="9" t="s">
        <v>642</v>
      </c>
      <c r="F56" s="9" t="s">
        <v>621</v>
      </c>
      <c r="G56" s="10"/>
    </row>
    <row r="57" spans="1:7" s="13" customFormat="1" ht="41.25" customHeight="1" x14ac:dyDescent="0.25">
      <c r="A57" s="12" t="s">
        <v>701</v>
      </c>
      <c r="B57" s="12">
        <v>2</v>
      </c>
      <c r="C57" s="12" t="s">
        <v>702</v>
      </c>
      <c r="D57" s="12" t="s">
        <v>703</v>
      </c>
      <c r="E57" s="12" t="s">
        <v>642</v>
      </c>
      <c r="F57" s="12" t="s">
        <v>621</v>
      </c>
      <c r="G57" s="10"/>
    </row>
    <row r="58" spans="1:7" s="13" customFormat="1" ht="41.25" customHeight="1" x14ac:dyDescent="0.25">
      <c r="A58" s="9" t="s">
        <v>704</v>
      </c>
      <c r="B58" s="9">
        <v>2</v>
      </c>
      <c r="C58" s="9" t="s">
        <v>702</v>
      </c>
      <c r="D58" s="9" t="s">
        <v>703</v>
      </c>
      <c r="E58" s="9" t="s">
        <v>642</v>
      </c>
      <c r="F58" s="9" t="s">
        <v>621</v>
      </c>
      <c r="G58" s="10"/>
    </row>
    <row r="59" spans="1:7" s="13" customFormat="1" ht="41.25" customHeight="1" x14ac:dyDescent="0.25">
      <c r="A59" s="12" t="s">
        <v>705</v>
      </c>
      <c r="B59" s="12">
        <v>2</v>
      </c>
      <c r="C59" s="12" t="s">
        <v>706</v>
      </c>
      <c r="D59" s="12" t="s">
        <v>703</v>
      </c>
      <c r="E59" s="12" t="s">
        <v>642</v>
      </c>
      <c r="F59" s="12" t="s">
        <v>621</v>
      </c>
      <c r="G59" s="10"/>
    </row>
    <row r="60" spans="1:7" s="13" customFormat="1" ht="41.25" customHeight="1" x14ac:dyDescent="0.25">
      <c r="A60" s="9" t="s">
        <v>707</v>
      </c>
      <c r="B60" s="9">
        <v>2</v>
      </c>
      <c r="C60" s="9" t="s">
        <v>706</v>
      </c>
      <c r="D60" s="9" t="s">
        <v>703</v>
      </c>
      <c r="E60" s="9" t="s">
        <v>642</v>
      </c>
      <c r="F60" s="9" t="s">
        <v>621</v>
      </c>
      <c r="G60" s="10"/>
    </row>
    <row r="61" spans="1:7" s="13" customFormat="1" ht="41.25" customHeight="1" x14ac:dyDescent="0.25">
      <c r="A61" s="12" t="s">
        <v>708</v>
      </c>
      <c r="B61" s="12">
        <v>1</v>
      </c>
      <c r="C61" s="12" t="s">
        <v>623</v>
      </c>
      <c r="D61" s="12" t="s">
        <v>619</v>
      </c>
      <c r="E61" s="12" t="s">
        <v>620</v>
      </c>
      <c r="F61" s="12" t="s">
        <v>621</v>
      </c>
      <c r="G61" s="10"/>
    </row>
    <row r="62" spans="1:7" s="13" customFormat="1" ht="41.25" customHeight="1" x14ac:dyDescent="0.25">
      <c r="A62" s="9" t="s">
        <v>709</v>
      </c>
      <c r="B62" s="9">
        <v>2</v>
      </c>
      <c r="C62" s="9" t="s">
        <v>706</v>
      </c>
      <c r="D62" s="9" t="s">
        <v>710</v>
      </c>
      <c r="E62" s="9" t="s">
        <v>642</v>
      </c>
      <c r="F62" s="9" t="s">
        <v>621</v>
      </c>
      <c r="G62" s="10"/>
    </row>
    <row r="63" spans="1:7" s="13" customFormat="1" ht="41.25" customHeight="1" x14ac:dyDescent="0.25">
      <c r="A63" s="12" t="s">
        <v>711</v>
      </c>
      <c r="B63" s="12">
        <v>2</v>
      </c>
      <c r="C63" s="12" t="s">
        <v>706</v>
      </c>
      <c r="D63" s="12" t="s">
        <v>710</v>
      </c>
      <c r="E63" s="12" t="s">
        <v>642</v>
      </c>
      <c r="F63" s="12" t="s">
        <v>621</v>
      </c>
      <c r="G63" s="10"/>
    </row>
    <row r="64" spans="1:7" s="13" customFormat="1" ht="41.25" customHeight="1" x14ac:dyDescent="0.25">
      <c r="A64" s="9" t="s">
        <v>712</v>
      </c>
      <c r="B64" s="9">
        <v>2</v>
      </c>
      <c r="C64" s="9" t="s">
        <v>706</v>
      </c>
      <c r="D64" s="9" t="s">
        <v>710</v>
      </c>
      <c r="E64" s="9" t="s">
        <v>642</v>
      </c>
      <c r="F64" s="9" t="s">
        <v>621</v>
      </c>
      <c r="G64" s="10"/>
    </row>
    <row r="65" spans="1:7" s="13" customFormat="1" ht="41.25" customHeight="1" x14ac:dyDescent="0.25">
      <c r="A65" s="12" t="s">
        <v>713</v>
      </c>
      <c r="B65" s="12">
        <v>2</v>
      </c>
      <c r="C65" s="12" t="s">
        <v>714</v>
      </c>
      <c r="D65" s="12" t="s">
        <v>710</v>
      </c>
      <c r="E65" s="12" t="s">
        <v>642</v>
      </c>
      <c r="F65" s="12" t="s">
        <v>621</v>
      </c>
      <c r="G65" s="10"/>
    </row>
    <row r="66" spans="1:7" s="13" customFormat="1" ht="41.25" customHeight="1" x14ac:dyDescent="0.25">
      <c r="A66" s="9" t="s">
        <v>715</v>
      </c>
      <c r="B66" s="9">
        <v>2</v>
      </c>
      <c r="C66" s="9" t="s">
        <v>716</v>
      </c>
      <c r="D66" s="9" t="s">
        <v>717</v>
      </c>
      <c r="E66" s="9" t="s">
        <v>642</v>
      </c>
      <c r="F66" s="9" t="s">
        <v>621</v>
      </c>
      <c r="G66" s="10"/>
    </row>
    <row r="67" spans="1:7" s="13" customFormat="1" ht="41.25" customHeight="1" x14ac:dyDescent="0.25">
      <c r="A67" s="12" t="s">
        <v>718</v>
      </c>
      <c r="B67" s="12">
        <v>2</v>
      </c>
      <c r="C67" s="12" t="s">
        <v>719</v>
      </c>
      <c r="D67" s="12" t="s">
        <v>717</v>
      </c>
      <c r="E67" s="12" t="s">
        <v>642</v>
      </c>
      <c r="F67" s="12" t="s">
        <v>621</v>
      </c>
      <c r="G67" s="10"/>
    </row>
    <row r="68" spans="1:7" s="13" customFormat="1" ht="41.25" customHeight="1" x14ac:dyDescent="0.25">
      <c r="A68" s="9" t="s">
        <v>720</v>
      </c>
      <c r="B68" s="9">
        <v>2</v>
      </c>
      <c r="C68" s="9" t="s">
        <v>719</v>
      </c>
      <c r="D68" s="9" t="s">
        <v>717</v>
      </c>
      <c r="E68" s="9" t="s">
        <v>642</v>
      </c>
      <c r="F68" s="9" t="s">
        <v>621</v>
      </c>
      <c r="G68" s="10"/>
    </row>
    <row r="69" spans="1:7" s="13" customFormat="1" ht="41.25" customHeight="1" x14ac:dyDescent="0.25">
      <c r="A69" s="12" t="s">
        <v>721</v>
      </c>
      <c r="B69" s="12">
        <v>2</v>
      </c>
      <c r="C69" s="12" t="s">
        <v>722</v>
      </c>
      <c r="D69" s="12" t="s">
        <v>723</v>
      </c>
      <c r="E69" s="12" t="s">
        <v>642</v>
      </c>
      <c r="F69" s="12" t="s">
        <v>621</v>
      </c>
      <c r="G69" s="10"/>
    </row>
    <row r="70" spans="1:7" s="13" customFormat="1" ht="41.25" customHeight="1" x14ac:dyDescent="0.25">
      <c r="A70" s="9" t="s">
        <v>724</v>
      </c>
      <c r="B70" s="9">
        <v>2</v>
      </c>
      <c r="C70" s="9" t="s">
        <v>706</v>
      </c>
      <c r="D70" s="9" t="s">
        <v>725</v>
      </c>
      <c r="E70" s="9" t="s">
        <v>642</v>
      </c>
      <c r="F70" s="9" t="s">
        <v>621</v>
      </c>
      <c r="G70" s="10"/>
    </row>
    <row r="71" spans="1:7" s="13" customFormat="1" ht="41.25" customHeight="1" x14ac:dyDescent="0.25">
      <c r="A71" s="12" t="s">
        <v>726</v>
      </c>
      <c r="B71" s="12">
        <v>2</v>
      </c>
      <c r="C71" s="12" t="s">
        <v>706</v>
      </c>
      <c r="D71" s="12" t="s">
        <v>725</v>
      </c>
      <c r="E71" s="12" t="s">
        <v>642</v>
      </c>
      <c r="F71" s="12" t="s">
        <v>621</v>
      </c>
      <c r="G71" s="10"/>
    </row>
    <row r="72" spans="1:7" s="13" customFormat="1" ht="41.25" customHeight="1" x14ac:dyDescent="0.25">
      <c r="A72" s="9" t="s">
        <v>727</v>
      </c>
      <c r="B72" s="9">
        <v>2</v>
      </c>
      <c r="C72" s="9" t="s">
        <v>706</v>
      </c>
      <c r="D72" s="9" t="s">
        <v>725</v>
      </c>
      <c r="E72" s="9" t="s">
        <v>642</v>
      </c>
      <c r="F72" s="9" t="s">
        <v>621</v>
      </c>
      <c r="G72" s="10"/>
    </row>
    <row r="73" spans="1:7" s="13" customFormat="1" ht="41.25" customHeight="1" x14ac:dyDescent="0.25">
      <c r="A73" s="12" t="s">
        <v>728</v>
      </c>
      <c r="B73" s="12">
        <v>2</v>
      </c>
      <c r="C73" s="12" t="s">
        <v>729</v>
      </c>
      <c r="D73" s="12" t="s">
        <v>725</v>
      </c>
      <c r="E73" s="12" t="s">
        <v>642</v>
      </c>
      <c r="F73" s="12" t="s">
        <v>621</v>
      </c>
      <c r="G73" s="10"/>
    </row>
    <row r="74" spans="1:7" s="13" customFormat="1" ht="41.25" customHeight="1" x14ac:dyDescent="0.25">
      <c r="A74" s="9" t="s">
        <v>730</v>
      </c>
      <c r="B74" s="9">
        <v>2</v>
      </c>
      <c r="C74" s="9" t="s">
        <v>729</v>
      </c>
      <c r="D74" s="9" t="s">
        <v>725</v>
      </c>
      <c r="E74" s="9" t="s">
        <v>642</v>
      </c>
      <c r="F74" s="9" t="s">
        <v>621</v>
      </c>
      <c r="G74" s="10"/>
    </row>
    <row r="75" spans="1:7" s="13" customFormat="1" ht="41.25" customHeight="1" x14ac:dyDescent="0.25">
      <c r="A75" s="12" t="s">
        <v>731</v>
      </c>
      <c r="B75" s="12">
        <v>2</v>
      </c>
      <c r="C75" s="12" t="s">
        <v>657</v>
      </c>
      <c r="D75" s="12" t="s">
        <v>732</v>
      </c>
      <c r="E75" s="12" t="s">
        <v>642</v>
      </c>
      <c r="F75" s="12" t="s">
        <v>621</v>
      </c>
      <c r="G75" s="10"/>
    </row>
    <row r="76" spans="1:7" s="13" customFormat="1" ht="41.25" customHeight="1" x14ac:dyDescent="0.25">
      <c r="A76" s="9" t="s">
        <v>733</v>
      </c>
      <c r="B76" s="9">
        <v>2</v>
      </c>
      <c r="C76" s="9" t="s">
        <v>657</v>
      </c>
      <c r="D76" s="9" t="s">
        <v>734</v>
      </c>
      <c r="E76" s="9" t="s">
        <v>642</v>
      </c>
      <c r="F76" s="9" t="s">
        <v>621</v>
      </c>
      <c r="G76" s="10"/>
    </row>
    <row r="77" spans="1:7" s="13" customFormat="1" ht="41.25" customHeight="1" x14ac:dyDescent="0.25">
      <c r="A77" s="12" t="s">
        <v>735</v>
      </c>
      <c r="B77" s="12">
        <v>2</v>
      </c>
      <c r="C77" s="12" t="s">
        <v>657</v>
      </c>
      <c r="D77" s="12" t="s">
        <v>734</v>
      </c>
      <c r="E77" s="12" t="s">
        <v>642</v>
      </c>
      <c r="F77" s="12" t="s">
        <v>621</v>
      </c>
      <c r="G77" s="10"/>
    </row>
    <row r="78" spans="1:7" s="13" customFormat="1" ht="41.25" customHeight="1" x14ac:dyDescent="0.25">
      <c r="A78" s="9" t="s">
        <v>736</v>
      </c>
      <c r="B78" s="9">
        <v>2</v>
      </c>
      <c r="C78" s="9" t="s">
        <v>657</v>
      </c>
      <c r="D78" s="9" t="s">
        <v>734</v>
      </c>
      <c r="E78" s="9" t="s">
        <v>642</v>
      </c>
      <c r="F78" s="9" t="s">
        <v>621</v>
      </c>
      <c r="G78" s="10"/>
    </row>
    <row r="79" spans="1:7" s="13" customFormat="1" ht="41.25" customHeight="1" x14ac:dyDescent="0.25">
      <c r="A79" s="12" t="s">
        <v>737</v>
      </c>
      <c r="B79" s="12">
        <v>2</v>
      </c>
      <c r="C79" s="12" t="s">
        <v>657</v>
      </c>
      <c r="D79" s="12" t="s">
        <v>734</v>
      </c>
      <c r="E79" s="12" t="s">
        <v>642</v>
      </c>
      <c r="F79" s="12" t="s">
        <v>621</v>
      </c>
      <c r="G79" s="10"/>
    </row>
    <row r="80" spans="1:7" s="13" customFormat="1" ht="41.25" customHeight="1" x14ac:dyDescent="0.25">
      <c r="A80" s="9" t="s">
        <v>738</v>
      </c>
      <c r="B80" s="9">
        <v>2</v>
      </c>
      <c r="C80" s="9" t="s">
        <v>657</v>
      </c>
      <c r="D80" s="9" t="s">
        <v>734</v>
      </c>
      <c r="E80" s="9" t="s">
        <v>642</v>
      </c>
      <c r="F80" s="9" t="s">
        <v>621</v>
      </c>
      <c r="G80" s="10"/>
    </row>
    <row r="81" spans="1:7" s="13" customFormat="1" ht="41.25" customHeight="1" x14ac:dyDescent="0.25">
      <c r="A81" s="12" t="s">
        <v>739</v>
      </c>
      <c r="B81" s="12">
        <v>1</v>
      </c>
      <c r="C81" s="12" t="s">
        <v>660</v>
      </c>
      <c r="D81" s="12" t="s">
        <v>740</v>
      </c>
      <c r="E81" s="12" t="s">
        <v>642</v>
      </c>
      <c r="F81" s="12" t="s">
        <v>621</v>
      </c>
      <c r="G81" s="10"/>
    </row>
    <row r="82" spans="1:7" s="13" customFormat="1" ht="41.25" customHeight="1" x14ac:dyDescent="0.25">
      <c r="A82" s="9" t="s">
        <v>741</v>
      </c>
      <c r="B82" s="9">
        <v>1</v>
      </c>
      <c r="C82" s="9" t="s">
        <v>660</v>
      </c>
      <c r="D82" s="9" t="s">
        <v>742</v>
      </c>
      <c r="E82" s="9" t="s">
        <v>642</v>
      </c>
      <c r="F82" s="9" t="s">
        <v>621</v>
      </c>
      <c r="G82" s="10"/>
    </row>
    <row r="83" spans="1:7" s="13" customFormat="1" ht="41.25" customHeight="1" x14ac:dyDescent="0.25">
      <c r="A83" s="12" t="s">
        <v>743</v>
      </c>
      <c r="B83" s="12">
        <v>1</v>
      </c>
      <c r="C83" s="12" t="s">
        <v>623</v>
      </c>
      <c r="D83" s="12" t="s">
        <v>744</v>
      </c>
      <c r="E83" s="12" t="s">
        <v>642</v>
      </c>
      <c r="F83" s="12" t="s">
        <v>621</v>
      </c>
      <c r="G83" s="10"/>
    </row>
    <row r="84" spans="1:7" s="13" customFormat="1" ht="41.25" customHeight="1" x14ac:dyDescent="0.25">
      <c r="A84" s="9" t="s">
        <v>745</v>
      </c>
      <c r="B84" s="9">
        <v>1</v>
      </c>
      <c r="C84" s="9" t="s">
        <v>623</v>
      </c>
      <c r="D84" s="9" t="s">
        <v>746</v>
      </c>
      <c r="E84" s="9" t="s">
        <v>642</v>
      </c>
      <c r="F84" s="9" t="s">
        <v>621</v>
      </c>
      <c r="G84" s="10"/>
    </row>
    <row r="85" spans="1:7" ht="15.75" x14ac:dyDescent="0.25">
      <c r="A85" s="1"/>
      <c r="B85" s="1"/>
      <c r="C85" s="1"/>
      <c r="D85" s="1"/>
      <c r="E85" s="1"/>
      <c r="F85" s="1"/>
      <c r="G85" s="1"/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E11" sqref="E11"/>
    </sheetView>
  </sheetViews>
  <sheetFormatPr defaultRowHeight="15" x14ac:dyDescent="0.25"/>
  <cols>
    <col min="1" max="1" width="32" customWidth="1"/>
    <col min="2" max="2" width="37.375" customWidth="1"/>
    <col min="3" max="3" width="32.125" customWidth="1"/>
  </cols>
  <sheetData>
    <row r="1" spans="1:3" ht="15.75" x14ac:dyDescent="0.25">
      <c r="A1" s="1"/>
      <c r="B1" s="1"/>
      <c r="C1" s="1"/>
    </row>
    <row r="2" spans="1:3" ht="33.950000000000003" customHeight="1" x14ac:dyDescent="0.25">
      <c r="A2" s="2" t="s">
        <v>747</v>
      </c>
      <c r="B2" s="1"/>
      <c r="C2" s="1"/>
    </row>
    <row r="3" spans="1:3" ht="27.95" customHeight="1" x14ac:dyDescent="0.25">
      <c r="A3" s="1" t="s">
        <v>748</v>
      </c>
      <c r="B3" s="1"/>
      <c r="C3" s="1"/>
    </row>
    <row r="4" spans="1:3" ht="15.75" x14ac:dyDescent="0.25">
      <c r="A4" s="1"/>
      <c r="B4" s="1"/>
      <c r="C4" s="1"/>
    </row>
    <row r="5" spans="1:3" ht="33.950000000000003" customHeight="1" x14ac:dyDescent="0.25">
      <c r="A5" s="4" t="s">
        <v>749</v>
      </c>
      <c r="B5" s="4" t="s">
        <v>750</v>
      </c>
      <c r="C5" s="4" t="s">
        <v>751</v>
      </c>
    </row>
    <row r="6" spans="1:3" ht="30.75" customHeight="1" x14ac:dyDescent="0.25">
      <c r="A6" s="9" t="s">
        <v>752</v>
      </c>
      <c r="B6" s="16">
        <v>450000</v>
      </c>
      <c r="C6" s="9" t="s">
        <v>753</v>
      </c>
    </row>
    <row r="7" spans="1:3" ht="30.75" customHeight="1" x14ac:dyDescent="0.25">
      <c r="A7" s="12" t="s">
        <v>754</v>
      </c>
      <c r="B7" s="17">
        <v>2250000</v>
      </c>
      <c r="C7" s="12" t="s">
        <v>753</v>
      </c>
    </row>
    <row r="8" spans="1:3" ht="30.75" customHeight="1" x14ac:dyDescent="0.25">
      <c r="A8" s="9" t="s">
        <v>755</v>
      </c>
      <c r="B8" s="16">
        <v>200000</v>
      </c>
      <c r="C8" s="9" t="s">
        <v>753</v>
      </c>
    </row>
    <row r="9" spans="1:3" ht="30.75" customHeight="1" x14ac:dyDescent="0.25">
      <c r="A9" s="12" t="s">
        <v>756</v>
      </c>
      <c r="B9" s="17">
        <v>190000</v>
      </c>
      <c r="C9" s="12" t="s">
        <v>753</v>
      </c>
    </row>
    <row r="10" spans="1:3" ht="30.75" customHeight="1" x14ac:dyDescent="0.25">
      <c r="A10" s="9" t="s">
        <v>757</v>
      </c>
      <c r="B10" s="16">
        <v>-190000</v>
      </c>
      <c r="C10" s="9" t="s">
        <v>758</v>
      </c>
    </row>
    <row r="11" spans="1:3" ht="30.75" customHeight="1" x14ac:dyDescent="0.25">
      <c r="A11" s="12" t="s">
        <v>759</v>
      </c>
      <c r="B11" s="17">
        <f>SUM(B6:B10)</f>
        <v>2900000</v>
      </c>
      <c r="C11" s="12" t="s">
        <v>760</v>
      </c>
    </row>
    <row r="12" spans="1:3" ht="30.75" customHeight="1" x14ac:dyDescent="0.25">
      <c r="A12" s="9" t="s">
        <v>761</v>
      </c>
      <c r="B12" s="16">
        <f>ROUND(B11*10%,0)</f>
        <v>290000</v>
      </c>
      <c r="C12" s="9" t="s">
        <v>762</v>
      </c>
    </row>
    <row r="13" spans="1:3" ht="30.75" customHeight="1" x14ac:dyDescent="0.25">
      <c r="A13" s="12" t="s">
        <v>763</v>
      </c>
      <c r="B13" s="17">
        <f>SUM(B11:B12)</f>
        <v>3190000</v>
      </c>
      <c r="C13" s="12" t="s">
        <v>764</v>
      </c>
    </row>
    <row r="14" spans="1:3" ht="30.75" customHeight="1" x14ac:dyDescent="0.25">
      <c r="A14" s="9" t="s">
        <v>765</v>
      </c>
      <c r="B14" s="18"/>
      <c r="C14" s="9" t="s">
        <v>766</v>
      </c>
    </row>
    <row r="15" spans="1:3" ht="30.75" customHeight="1" x14ac:dyDescent="0.25">
      <c r="A15" s="12" t="s">
        <v>767</v>
      </c>
      <c r="B15" s="18"/>
      <c r="C15" s="12" t="s">
        <v>768</v>
      </c>
    </row>
    <row r="16" spans="1:3" ht="30.75" customHeight="1" x14ac:dyDescent="0.25">
      <c r="A16" s="9" t="s">
        <v>769</v>
      </c>
      <c r="B16" s="11"/>
      <c r="C16" s="9" t="s">
        <v>770</v>
      </c>
    </row>
    <row r="17" spans="1:3" ht="30.75" customHeight="1" x14ac:dyDescent="0.25">
      <c r="A17" s="12" t="s">
        <v>771</v>
      </c>
      <c r="B17" s="19" t="str">
        <f>IF(B16="","",B16-7)</f>
        <v/>
      </c>
      <c r="C17" s="12" t="s">
        <v>772</v>
      </c>
    </row>
    <row r="18" spans="1:3" ht="30.75" customHeight="1" x14ac:dyDescent="0.25">
      <c r="A18" s="9" t="s">
        <v>773</v>
      </c>
      <c r="B18" s="11"/>
      <c r="C18" s="9" t="s">
        <v>774</v>
      </c>
    </row>
    <row r="19" spans="1:3" ht="30.75" customHeight="1" x14ac:dyDescent="0.25">
      <c r="A19" s="12" t="s">
        <v>775</v>
      </c>
      <c r="B19" s="10"/>
      <c r="C19" s="12" t="s">
        <v>776</v>
      </c>
    </row>
    <row r="20" spans="1:3" ht="30.75" customHeight="1" x14ac:dyDescent="0.25">
      <c r="A20" s="9" t="s">
        <v>777</v>
      </c>
      <c r="B20" s="9" t="str">
        <f>IF(B16="","심사일 미확정",IF(B18="","실제 지급일 미확인",IF(B18&lt;=B17,"기한 내 지급","지급기한 초과")))</f>
        <v>심사일 미확정</v>
      </c>
      <c r="C20" s="9" t="s">
        <v>778</v>
      </c>
    </row>
    <row r="21" spans="1:3" ht="15.75" x14ac:dyDescent="0.25">
      <c r="A21" s="1"/>
      <c r="B21" s="1"/>
      <c r="C21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00_최종안내</vt:lpstr>
      <vt:lpstr>01_사용자정리</vt:lpstr>
      <vt:lpstr>02_운영증빙</vt:lpstr>
      <vt:lpstr>03_모의심사</vt:lpstr>
      <vt:lpstr>04_요청기록</vt:lpstr>
      <vt:lpstr>05_시정조치</vt:lpstr>
      <vt:lpstr>06_최종판정</vt:lpstr>
      <vt:lpstr>07_변경내역</vt:lpstr>
      <vt:lpstr>08_제출목록</vt:lpstr>
      <vt:lpstr>09_FM연결확인</vt:lpstr>
      <vt:lpstr>10_비용일정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철호 박</cp:lastModifiedBy>
  <dcterms:modified xsi:type="dcterms:W3CDTF">2026-10-27T04:38:08Z</dcterms:modified>
</cp:coreProperties>
</file>