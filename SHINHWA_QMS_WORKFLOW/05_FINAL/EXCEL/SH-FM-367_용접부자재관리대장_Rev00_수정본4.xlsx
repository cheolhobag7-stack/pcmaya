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자재목록" sheetId="1" state="visible" r:id="rId1"/>
    <sheet xmlns:r="http://schemas.openxmlformats.org/officeDocument/2006/relationships" name="02_입출고_재고" sheetId="2" state="visible" r:id="rId2"/>
    <sheet xmlns:r="http://schemas.openxmlformats.org/officeDocument/2006/relationships" name="03_유효기간" sheetId="3" state="visible" r:id="rId3"/>
    <sheet xmlns:r="http://schemas.openxmlformats.org/officeDocument/2006/relationships" name="04_문서정보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9">
    <font>
      <name val="Carlito"/>
      <sz val="11"/>
    </font>
    <font>
      <name val="맑은 고딕"/>
      <sz val="10"/>
    </font>
    <font>
      <name val="맑은 고딕"/>
      <b val="1"/>
      <color rgb="FF17365D"/>
      <sz val="15"/>
    </font>
    <font>
      <name val="맑은 고딕"/>
      <color rgb="FF666666"/>
      <sz val="10"/>
    </font>
    <font>
      <name val="맑은 고딕"/>
      <b val="1"/>
      <color rgb="FFFFFFFF"/>
      <sz val="10"/>
    </font>
    <font>
      <b val="1"/>
      <sz val="9"/>
    </font>
    <font>
      <sz val="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3" borderId="0" pivotButton="0" quotePrefix="0" xfId="0"/>
    <xf numFmtId="164" fontId="1" fillId="5" borderId="0" pivotButton="0" quotePrefix="0" xfId="0"/>
    <xf numFmtId="165" fontId="1" fillId="3" borderId="0" pivotButton="0" quotePrefix="0" xfId="0"/>
    <xf numFmtId="1" fontId="1" fillId="5" borderId="0" pivotButton="0" quotePrefix="0" xfId="0"/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/>
  </cellStyles>
  <dxfs count="14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erials" displayName="Materials" ref="A6:R106" headerRowCount="1" totalsRowCount="0" totalsRowShown="0">
  <tableColumns count="18">
    <tableColumn id="1" name="No"/>
    <tableColumn id="2" name="자재코드"/>
    <tableColumn id="3" name="품목 종류"/>
    <tableColumn id="4" name="자재명"/>
    <tableColumn id="5" name="규격"/>
    <tableColumn id="6" name="재질/등급"/>
    <tableColumn id="7" name="제조사(선택)"/>
    <tableColumn id="8" name="공급업체"/>
    <tableColumn id="9" name="단위"/>
    <tableColumn id="10" name="최소재고"/>
    <tableColumn id="11" name="보관위치"/>
    <tableColumn id="12" name="보관조건"/>
    <tableColumn id="13" name="유효기간 관리대상"/>
    <tableColumn id="14" name="현재재고(자동)"/>
    <tableColumn id="15" name="재고상태(자동)"/>
    <tableColumn id="16" name="유효기간 상태(자동)"/>
    <tableColumn id="17" name="비고(선택)"/>
    <tableColumn id="18" name="관리구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" displayName="Transactions" ref="A6:O206" headerRowCount="1" totalsRowCount="0" totalsRowShown="0">
  <tableColumns count="15">
    <tableColumn id="1" name="No"/>
    <tableColumn id="2" name="일자"/>
    <tableColumn id="3" name="구분"/>
    <tableColumn id="4" name="자재코드"/>
    <tableColumn id="5" name="자재명(자동)"/>
    <tableColumn id="6" name="제조 LOT"/>
    <tableColumn id="7" name="사내 입고 LOT"/>
    <tableColumn id="8" name="입고수량"/>
    <tableColumn id="9" name="출고수량"/>
    <tableColumn id="10" name="단위(자동)"/>
    <tableColumn id="11" name="잔량(자동)"/>
    <tableColumn id="12" name="보관위치"/>
    <tableColumn id="13" name="담당자"/>
    <tableColumn id="14" name="비고(선택)"/>
    <tableColumn id="15" name="관리구분(자동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iry" displayName="Expiry" ref="A6:P206" headerRowCount="1" totalsRowCount="0" totalsRowShown="0">
  <tableColumns count="16">
    <tableColumn id="1" name="No"/>
    <tableColumn id="2" name="자재코드"/>
    <tableColumn id="3" name="자재명(자동)"/>
    <tableColumn id="4" name="제조 LOT"/>
    <tableColumn id="5" name="사내 입고 LOT"/>
    <tableColumn id="6" name="유효기한"/>
    <tableColumn id="7" name="개봉일자(해당 시)"/>
    <tableColumn id="8" name="보관위치"/>
    <tableColumn id="9" name="보관상태"/>
    <tableColumn id="10" name="LOT 운영상태"/>
    <tableColumn id="11" name="잔여일수(자동)"/>
    <tableColumn id="12" name="유효기간 상태(자동)"/>
    <tableColumn id="13" name="조치내용"/>
    <tableColumn id="14" name="담당자"/>
    <tableColumn id="15" name="비고(선택)"/>
    <tableColumn id="16" name="관리구분(자동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7" customWidth="1" min="4" max="4"/>
    <col width="24" customWidth="1" min="5" max="5"/>
    <col width="24" customWidth="1" min="6" max="6"/>
    <col width="34" customWidth="1" min="7" max="7"/>
    <col width="24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24" customWidth="1" min="15" max="15"/>
    <col width="24" customWidth="1" min="16" max="16"/>
    <col width="17" customWidth="1" min="17" max="17"/>
    <col width="21" customWidth="1" min="18" max="18"/>
  </cols>
  <sheetData>
    <row r="1" ht="32" customHeight="1">
      <c r="A1" s="2" t="inlineStr">
        <is>
          <t>용접 부자재 관리대장 — 자재 목록 | Rev.00</t>
        </is>
      </c>
    </row>
    <row r="2" ht="44" customHeight="1">
      <c r="A2" s="3" t="inlineStr">
        <is>
          <t>관리구분: 부자재=용접·브레이징 투입 재료 / 소모재=마모·교체 부품. 기존 4품목은 부자재. 오른쪽 관리구분 열에서 선택하며 품목 종류는 별도 유지합니다.</t>
        </is>
      </c>
    </row>
    <row r="3" ht="24" customHeight="1">
      <c r="A3" s="4" t="inlineStr">
        <is>
          <t>노란색: 입력 · 회색: 자동 계산 | 자재 100품목·이력 각 200행. 자재코드는 사내 코드와 통일하고 신규 품목의 관리구분·단위·유효기간 대상을 입력하세요.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품목 종류</t>
        </is>
      </c>
      <c r="D6" s="9" t="inlineStr">
        <is>
          <t>자재명</t>
        </is>
      </c>
      <c r="E6" s="9" t="inlineStr">
        <is>
          <t>규격</t>
        </is>
      </c>
      <c r="F6" s="9" t="inlineStr">
        <is>
          <t>재질/등급</t>
        </is>
      </c>
      <c r="G6" s="9" t="inlineStr">
        <is>
          <t>제조사(선택)</t>
        </is>
      </c>
      <c r="H6" s="9" t="inlineStr">
        <is>
          <t>공급업체</t>
        </is>
      </c>
      <c r="I6" s="9" t="inlineStr">
        <is>
          <t>단위</t>
        </is>
      </c>
      <c r="J6" s="9" t="inlineStr">
        <is>
          <t>최소재고</t>
        </is>
      </c>
      <c r="K6" s="9" t="inlineStr">
        <is>
          <t>보관위치</t>
        </is>
      </c>
      <c r="L6" s="9" t="inlineStr">
        <is>
          <t>보관조건</t>
        </is>
      </c>
      <c r="M6" s="9" t="inlineStr">
        <is>
          <t>유효기간 관리대상</t>
        </is>
      </c>
      <c r="N6" s="9" t="inlineStr">
        <is>
          <t>현재재고(자동)</t>
        </is>
      </c>
      <c r="O6" s="9" t="inlineStr">
        <is>
          <t>재고상태(자동)</t>
        </is>
      </c>
      <c r="P6" s="9" t="inlineStr">
        <is>
          <t>유효기간 상태(자동)</t>
        </is>
      </c>
      <c r="Q6" s="9" t="inlineStr">
        <is>
          <t>비고(선택)</t>
        </is>
      </c>
      <c r="R6" s="9" t="inlineStr">
        <is>
          <t>관리구분</t>
        </is>
      </c>
    </row>
    <row r="7" ht="38" customHeight="1">
      <c r="A7" s="18" t="n">
        <v>1</v>
      </c>
      <c r="B7" s="19" t="inlineStr">
        <is>
          <t>SH-WEL-BR-001</t>
        </is>
      </c>
      <c r="C7" s="19" t="inlineStr">
        <is>
          <t>브레이징재</t>
        </is>
      </c>
      <c r="D7" s="19" t="inlineStr">
        <is>
          <t>BRAZE RING</t>
        </is>
      </c>
      <c r="E7" s="19" t="inlineStr">
        <is>
          <t>A4047 1.6*10.0</t>
        </is>
      </c>
      <c r="F7" s="19" t="inlineStr">
        <is>
          <t>A4047</t>
        </is>
      </c>
      <c r="G7" s="20" t="inlineStr">
        <is>
          <t>Neis Co. Ltd.</t>
        </is>
      </c>
      <c r="H7" s="19" t="inlineStr">
        <is>
          <t>창운상사</t>
        </is>
      </c>
      <c r="I7" s="19" t="inlineStr">
        <is>
          <t>EA</t>
        </is>
      </c>
      <c r="J7" s="30" t="n"/>
      <c r="K7" s="19" t="inlineStr">
        <is>
          <t>2동_용접실</t>
        </is>
      </c>
      <c r="L7" s="19" t="inlineStr">
        <is>
          <t>습기·오염 방지</t>
        </is>
      </c>
      <c r="M7" s="19" t="inlineStr">
        <is>
          <t>미확인</t>
        </is>
      </c>
      <c r="N7" s="31">
        <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f>
        <v/>
      </c>
      <c r="O7" s="23">
        <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f>
        <v/>
      </c>
      <c r="P7" s="23">
        <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f>
        <v/>
      </c>
      <c r="Q7" s="19" t="n"/>
      <c r="R7" s="26" t="inlineStr">
        <is>
          <t>부자재</t>
        </is>
      </c>
    </row>
    <row r="8" ht="38" customHeight="1">
      <c r="A8" s="18" t="n">
        <v>2</v>
      </c>
      <c r="B8" s="19" t="inlineStr">
        <is>
          <t>SH-WEL-BR-002</t>
        </is>
      </c>
      <c r="C8" s="19" t="inlineStr">
        <is>
          <t>브레이징재</t>
        </is>
      </c>
      <c r="D8" s="19" t="inlineStr">
        <is>
          <t>BRAZE RING</t>
        </is>
      </c>
      <c r="E8" s="19" t="inlineStr">
        <is>
          <t>A4045 1.6*12.0</t>
        </is>
      </c>
      <c r="F8" s="19" t="inlineStr">
        <is>
          <t>A4045</t>
        </is>
      </c>
      <c r="G8" s="20" t="inlineStr">
        <is>
          <t>Neis Co. Ltd.</t>
        </is>
      </c>
      <c r="H8" s="19" t="inlineStr">
        <is>
          <t>창운상사</t>
        </is>
      </c>
      <c r="I8" s="19" t="inlineStr">
        <is>
          <t>EA</t>
        </is>
      </c>
      <c r="J8" s="30" t="n"/>
      <c r="K8" s="19" t="inlineStr">
        <is>
          <t>2동_용접실</t>
        </is>
      </c>
      <c r="L8" s="19" t="inlineStr">
        <is>
          <t>습기·오염 방지</t>
        </is>
      </c>
      <c r="M8" s="19" t="inlineStr">
        <is>
          <t>미확인</t>
        </is>
      </c>
      <c r="N8" s="31">
        <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f>
        <v/>
      </c>
      <c r="O8" s="23">
        <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f>
        <v/>
      </c>
      <c r="P8" s="23">
        <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f>
        <v/>
      </c>
      <c r="Q8" s="19" t="n"/>
      <c r="R8" s="26" t="inlineStr">
        <is>
          <t>부자재</t>
        </is>
      </c>
    </row>
    <row r="9" ht="38" customHeight="1">
      <c r="A9" s="18" t="n">
        <v>3</v>
      </c>
      <c r="B9" s="19" t="inlineStr">
        <is>
          <t>SH-WEL-WR-001</t>
        </is>
      </c>
      <c r="C9" s="19" t="inlineStr">
        <is>
          <t>용접봉/전극</t>
        </is>
      </c>
      <c r="D9" s="19" t="inlineStr">
        <is>
          <t>용접봉</t>
        </is>
      </c>
      <c r="E9" s="19" t="inlineStr">
        <is>
          <t>A4045 Φ2.0 Spool</t>
        </is>
      </c>
      <c r="F9" s="19" t="inlineStr">
        <is>
          <t>A4045</t>
        </is>
      </c>
      <c r="G9" s="20" t="inlineStr">
        <is>
          <t>Kinzoku Youzai Co., Ltd.(일본)</t>
        </is>
      </c>
      <c r="H9" s="19" t="inlineStr">
        <is>
          <t>창운상사</t>
        </is>
      </c>
      <c r="I9" s="19" t="inlineStr">
        <is>
          <t>㎏</t>
        </is>
      </c>
      <c r="J9" s="30" t="n">
        <v>10</v>
      </c>
      <c r="K9" s="19" t="inlineStr">
        <is>
          <t>2동_용접실</t>
        </is>
      </c>
      <c r="L9" s="19" t="inlineStr">
        <is>
          <t>습기·오염 방지</t>
        </is>
      </c>
      <c r="M9" s="19" t="inlineStr">
        <is>
          <t>미확인</t>
        </is>
      </c>
      <c r="N9" s="31">
        <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f>
        <v/>
      </c>
      <c r="O9" s="23">
        <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f>
        <v/>
      </c>
      <c r="P9" s="23">
        <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f>
        <v/>
      </c>
      <c r="Q9" s="19" t="n"/>
      <c r="R9" s="26" t="inlineStr">
        <is>
          <t>부자재</t>
        </is>
      </c>
    </row>
    <row r="10" ht="38" customHeight="1">
      <c r="A10" s="18" t="n">
        <v>4</v>
      </c>
      <c r="B10" s="19" t="inlineStr">
        <is>
          <t>SH-WEL-FL-001</t>
        </is>
      </c>
      <c r="C10" s="19" t="inlineStr">
        <is>
          <t>플럭스</t>
        </is>
      </c>
      <c r="D10" s="19" t="inlineStr">
        <is>
          <t>Solvay Flux</t>
        </is>
      </c>
      <c r="E10" s="19" t="inlineStr">
        <is>
          <t xml:space="preserve"> 0726-2Zn</t>
        </is>
      </c>
      <c r="F10" s="19" t="n"/>
      <c r="G10" s="20" t="inlineStr">
        <is>
          <t>Solvay(독일)</t>
        </is>
      </c>
      <c r="H10" s="19" t="inlineStr">
        <is>
          <t>창운상사</t>
        </is>
      </c>
      <c r="I10" s="19" t="inlineStr">
        <is>
          <t>㎏</t>
        </is>
      </c>
      <c r="J10" s="30" t="n">
        <v>5</v>
      </c>
      <c r="K10" s="19" t="inlineStr">
        <is>
          <t>2동_용접실</t>
        </is>
      </c>
      <c r="L10" s="19" t="inlineStr">
        <is>
          <t>밀봉·습기 방지</t>
        </is>
      </c>
      <c r="M10" s="19" t="inlineStr">
        <is>
          <t>대상</t>
        </is>
      </c>
      <c r="N10" s="31">
        <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f>
        <v/>
      </c>
      <c r="O10" s="23">
        <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f>
        <v/>
      </c>
      <c r="P10" s="23">
        <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f>
        <v/>
      </c>
      <c r="Q10" s="19" t="n"/>
      <c r="R10" s="26" t="inlineStr">
        <is>
          <t>부자재</t>
        </is>
      </c>
    </row>
    <row r="11" ht="24" customHeight="1">
      <c r="A11" s="18" t="n">
        <v>5</v>
      </c>
      <c r="B11" s="19" t="n"/>
      <c r="C11" s="19" t="n"/>
      <c r="D11" s="19" t="n"/>
      <c r="E11" s="19" t="n"/>
      <c r="F11" s="19" t="n"/>
      <c r="G11" s="20" t="n"/>
      <c r="H11" s="19" t="n"/>
      <c r="I11" s="19" t="n"/>
      <c r="J11" s="30" t="n"/>
      <c r="K11" s="19" t="n"/>
      <c r="L11" s="19" t="n"/>
      <c r="M11" s="19" t="n"/>
      <c r="N11" s="31">
        <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f>
        <v/>
      </c>
      <c r="O11" s="23">
        <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f>
        <v/>
      </c>
      <c r="P11" s="23">
        <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f>
        <v/>
      </c>
      <c r="Q11" s="19" t="n"/>
      <c r="R11" s="26" t="n"/>
    </row>
    <row r="12" ht="24" customHeight="1">
      <c r="A12" s="18" t="n">
        <v>6</v>
      </c>
      <c r="B12" s="19" t="n"/>
      <c r="C12" s="19" t="n"/>
      <c r="D12" s="19" t="n"/>
      <c r="E12" s="19" t="n"/>
      <c r="F12" s="19" t="n"/>
      <c r="G12" s="20" t="n"/>
      <c r="H12" s="19" t="n"/>
      <c r="I12" s="19" t="n"/>
      <c r="J12" s="30" t="n"/>
      <c r="K12" s="19" t="n"/>
      <c r="L12" s="19" t="n"/>
      <c r="M12" s="19" t="n"/>
      <c r="N12" s="31">
        <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f>
        <v/>
      </c>
      <c r="O12" s="23">
        <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f>
        <v/>
      </c>
      <c r="P12" s="23">
        <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f>
        <v/>
      </c>
      <c r="Q12" s="19" t="n"/>
      <c r="R12" s="26" t="n"/>
    </row>
    <row r="13" ht="24" customHeight="1">
      <c r="A13" s="18" t="n">
        <v>7</v>
      </c>
      <c r="B13" s="19" t="n"/>
      <c r="C13" s="19" t="n"/>
      <c r="D13" s="19" t="n"/>
      <c r="E13" s="19" t="n"/>
      <c r="F13" s="19" t="n"/>
      <c r="G13" s="20" t="n"/>
      <c r="H13" s="19" t="n"/>
      <c r="I13" s="19" t="n"/>
      <c r="J13" s="30" t="n"/>
      <c r="K13" s="19" t="n"/>
      <c r="L13" s="19" t="n"/>
      <c r="M13" s="19" t="n"/>
      <c r="N13" s="31">
        <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f>
        <v/>
      </c>
      <c r="O13" s="23">
        <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f>
        <v/>
      </c>
      <c r="P13" s="23">
        <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f>
        <v/>
      </c>
      <c r="Q13" s="19" t="n"/>
      <c r="R13" s="26" t="n"/>
    </row>
    <row r="14" ht="24" customHeight="1">
      <c r="A14" s="18" t="n">
        <v>8</v>
      </c>
      <c r="B14" s="19" t="n"/>
      <c r="C14" s="19" t="n"/>
      <c r="D14" s="19" t="n"/>
      <c r="E14" s="19" t="n"/>
      <c r="F14" s="19" t="n"/>
      <c r="G14" s="20" t="n"/>
      <c r="H14" s="19" t="n"/>
      <c r="I14" s="19" t="n"/>
      <c r="J14" s="30" t="n"/>
      <c r="K14" s="19" t="n"/>
      <c r="L14" s="19" t="n"/>
      <c r="M14" s="19" t="n"/>
      <c r="N14" s="31">
        <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f>
        <v/>
      </c>
      <c r="O14" s="23">
        <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f>
        <v/>
      </c>
      <c r="P14" s="23">
        <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f>
        <v/>
      </c>
      <c r="Q14" s="19" t="n"/>
      <c r="R14" s="26" t="n"/>
    </row>
    <row r="15" ht="24" customHeight="1">
      <c r="A15" s="18" t="n">
        <v>9</v>
      </c>
      <c r="B15" s="19" t="n"/>
      <c r="C15" s="19" t="n"/>
      <c r="D15" s="19" t="n"/>
      <c r="E15" s="19" t="n"/>
      <c r="F15" s="19" t="n"/>
      <c r="G15" s="20" t="n"/>
      <c r="H15" s="19" t="n"/>
      <c r="I15" s="19" t="n"/>
      <c r="J15" s="30" t="n"/>
      <c r="K15" s="19" t="n"/>
      <c r="L15" s="19" t="n"/>
      <c r="M15" s="19" t="n"/>
      <c r="N15" s="31">
        <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f>
        <v/>
      </c>
      <c r="O15" s="23">
        <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f>
        <v/>
      </c>
      <c r="P15" s="23">
        <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f>
        <v/>
      </c>
      <c r="Q15" s="19" t="n"/>
      <c r="R15" s="26" t="n"/>
    </row>
    <row r="16" ht="24" customHeight="1">
      <c r="A16" s="18" t="n">
        <v>10</v>
      </c>
      <c r="B16" s="19" t="n"/>
      <c r="C16" s="19" t="n"/>
      <c r="D16" s="19" t="n"/>
      <c r="E16" s="19" t="n"/>
      <c r="F16" s="19" t="n"/>
      <c r="G16" s="20" t="n"/>
      <c r="H16" s="19" t="n"/>
      <c r="I16" s="19" t="n"/>
      <c r="J16" s="30" t="n"/>
      <c r="K16" s="19" t="n"/>
      <c r="L16" s="19" t="n"/>
      <c r="M16" s="19" t="n"/>
      <c r="N16" s="31">
        <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f>
        <v/>
      </c>
      <c r="O16" s="23">
        <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f>
        <v/>
      </c>
      <c r="P16" s="23">
        <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f>
        <v/>
      </c>
      <c r="Q16" s="19" t="n"/>
      <c r="R16" s="26" t="n"/>
    </row>
    <row r="17" ht="24" customHeight="1">
      <c r="A17" s="18" t="n">
        <v>11</v>
      </c>
      <c r="B17" s="19" t="n"/>
      <c r="C17" s="19" t="n"/>
      <c r="D17" s="19" t="n"/>
      <c r="E17" s="19" t="n"/>
      <c r="F17" s="19" t="n"/>
      <c r="G17" s="20" t="n"/>
      <c r="H17" s="19" t="n"/>
      <c r="I17" s="19" t="n"/>
      <c r="J17" s="30" t="n"/>
      <c r="K17" s="19" t="n"/>
      <c r="L17" s="19" t="n"/>
      <c r="M17" s="19" t="n"/>
      <c r="N17" s="31">
        <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f>
        <v/>
      </c>
      <c r="O17" s="23">
        <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f>
        <v/>
      </c>
      <c r="P17" s="23">
        <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f>
        <v/>
      </c>
      <c r="Q17" s="19" t="n"/>
      <c r="R17" s="26" t="n"/>
    </row>
    <row r="18" ht="24" customHeight="1">
      <c r="A18" s="18" t="n">
        <v>12</v>
      </c>
      <c r="B18" s="19" t="n"/>
      <c r="C18" s="19" t="n"/>
      <c r="D18" s="19" t="n"/>
      <c r="E18" s="19" t="n"/>
      <c r="F18" s="19" t="n"/>
      <c r="G18" s="20" t="n"/>
      <c r="H18" s="19" t="n"/>
      <c r="I18" s="19" t="n"/>
      <c r="J18" s="30" t="n"/>
      <c r="K18" s="19" t="n"/>
      <c r="L18" s="19" t="n"/>
      <c r="M18" s="19" t="n"/>
      <c r="N18" s="31">
        <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f>
        <v/>
      </c>
      <c r="O18" s="23">
        <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f>
        <v/>
      </c>
      <c r="P18" s="23">
        <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f>
        <v/>
      </c>
      <c r="Q18" s="19" t="n"/>
      <c r="R18" s="26" t="n"/>
    </row>
    <row r="19" ht="24" customHeight="1">
      <c r="A19" s="18" t="n">
        <v>13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30" t="n"/>
      <c r="K19" s="19" t="n"/>
      <c r="L19" s="19" t="n"/>
      <c r="M19" s="19" t="n"/>
      <c r="N19" s="31">
        <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f>
        <v/>
      </c>
      <c r="O19" s="23">
        <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f>
        <v/>
      </c>
      <c r="P19" s="23">
        <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f>
        <v/>
      </c>
      <c r="Q19" s="19" t="n"/>
      <c r="R19" s="26" t="n"/>
    </row>
    <row r="20" ht="24" customHeight="1">
      <c r="A20" s="18" t="n">
        <v>14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30" t="n"/>
      <c r="K20" s="19" t="n"/>
      <c r="L20" s="19" t="n"/>
      <c r="M20" s="19" t="n"/>
      <c r="N20" s="31">
        <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f>
        <v/>
      </c>
      <c r="O20" s="23">
        <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f>
        <v/>
      </c>
      <c r="P20" s="23">
        <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f>
        <v/>
      </c>
      <c r="Q20" s="19" t="n"/>
      <c r="R20" s="26" t="n"/>
    </row>
    <row r="21" ht="24" customHeight="1">
      <c r="A21" s="18" t="n">
        <v>15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30" t="n"/>
      <c r="K21" s="19" t="n"/>
      <c r="L21" s="19" t="n"/>
      <c r="M21" s="19" t="n"/>
      <c r="N21" s="31">
        <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f>
        <v/>
      </c>
      <c r="O21" s="23">
        <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f>
        <v/>
      </c>
      <c r="P21" s="23">
        <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f>
        <v/>
      </c>
      <c r="Q21" s="19" t="n"/>
      <c r="R21" s="26" t="n"/>
    </row>
    <row r="22" ht="24" customHeight="1">
      <c r="A22" s="18" t="n">
        <v>16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30" t="n"/>
      <c r="K22" s="19" t="n"/>
      <c r="L22" s="19" t="n"/>
      <c r="M22" s="19" t="n"/>
      <c r="N22" s="31">
        <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f>
        <v/>
      </c>
      <c r="O22" s="23">
        <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f>
        <v/>
      </c>
      <c r="P22" s="23">
        <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f>
        <v/>
      </c>
      <c r="Q22" s="19" t="n"/>
      <c r="R22" s="26" t="n"/>
    </row>
    <row r="23" ht="24" customHeight="1">
      <c r="A23" s="18" t="n">
        <v>17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30" t="n"/>
      <c r="K23" s="19" t="n"/>
      <c r="L23" s="19" t="n"/>
      <c r="M23" s="19" t="n"/>
      <c r="N23" s="31">
        <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f>
        <v/>
      </c>
      <c r="O23" s="23">
        <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f>
        <v/>
      </c>
      <c r="P23" s="23">
        <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f>
        <v/>
      </c>
      <c r="Q23" s="19" t="n"/>
      <c r="R23" s="26" t="n"/>
    </row>
    <row r="24" ht="24" customHeight="1">
      <c r="A24" s="18" t="n">
        <v>18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30" t="n"/>
      <c r="K24" s="19" t="n"/>
      <c r="L24" s="19" t="n"/>
      <c r="M24" s="19" t="n"/>
      <c r="N24" s="31">
        <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f>
        <v/>
      </c>
      <c r="O24" s="23">
        <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f>
        <v/>
      </c>
      <c r="P24" s="23">
        <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f>
        <v/>
      </c>
      <c r="Q24" s="19" t="n"/>
      <c r="R24" s="26" t="n"/>
    </row>
    <row r="25" ht="24" customHeight="1">
      <c r="A25" s="18" t="n">
        <v>19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30" t="n"/>
      <c r="K25" s="19" t="n"/>
      <c r="L25" s="19" t="n"/>
      <c r="M25" s="19" t="n"/>
      <c r="N25" s="31">
        <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f>
        <v/>
      </c>
      <c r="O25" s="23">
        <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f>
        <v/>
      </c>
      <c r="P25" s="23">
        <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f>
        <v/>
      </c>
      <c r="Q25" s="19" t="n"/>
      <c r="R25" s="26" t="n"/>
    </row>
    <row r="26" ht="24" customHeight="1">
      <c r="A26" s="18" t="n">
        <v>20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30" t="n"/>
      <c r="K26" s="19" t="n"/>
      <c r="L26" s="19" t="n"/>
      <c r="M26" s="19" t="n"/>
      <c r="N26" s="31">
        <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f>
        <v/>
      </c>
      <c r="O26" s="23">
        <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f>
        <v/>
      </c>
      <c r="P26" s="23">
        <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f>
        <v/>
      </c>
      <c r="Q26" s="19" t="n"/>
      <c r="R26" s="26" t="n"/>
    </row>
    <row r="27" ht="24" customHeight="1">
      <c r="A27" s="18" t="n">
        <v>21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30" t="n"/>
      <c r="K27" s="19" t="n"/>
      <c r="L27" s="19" t="n"/>
      <c r="M27" s="19" t="n"/>
      <c r="N27" s="31">
        <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f>
        <v/>
      </c>
      <c r="O27" s="23">
        <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f>
        <v/>
      </c>
      <c r="P27" s="23">
        <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f>
        <v/>
      </c>
      <c r="Q27" s="19" t="n"/>
      <c r="R27" s="26" t="n"/>
    </row>
    <row r="28" ht="24" customHeight="1">
      <c r="A28" s="18" t="n">
        <v>22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30" t="n"/>
      <c r="K28" s="19" t="n"/>
      <c r="L28" s="19" t="n"/>
      <c r="M28" s="19" t="n"/>
      <c r="N28" s="31">
        <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f>
        <v/>
      </c>
      <c r="O28" s="23">
        <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f>
        <v/>
      </c>
      <c r="P28" s="23">
        <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f>
        <v/>
      </c>
      <c r="Q28" s="19" t="n"/>
      <c r="R28" s="26" t="n"/>
    </row>
    <row r="29" ht="24" customHeight="1">
      <c r="A29" s="18" t="n">
        <v>23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30" t="n"/>
      <c r="K29" s="19" t="n"/>
      <c r="L29" s="19" t="n"/>
      <c r="M29" s="19" t="n"/>
      <c r="N29" s="31">
        <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f>
        <v/>
      </c>
      <c r="O29" s="23">
        <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f>
        <v/>
      </c>
      <c r="P29" s="23">
        <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f>
        <v/>
      </c>
      <c r="Q29" s="19" t="n"/>
      <c r="R29" s="26" t="n"/>
    </row>
    <row r="30" ht="24" customHeight="1">
      <c r="A30" s="18" t="n">
        <v>24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30" t="n"/>
      <c r="K30" s="19" t="n"/>
      <c r="L30" s="19" t="n"/>
      <c r="M30" s="19" t="n"/>
      <c r="N30" s="31">
        <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f>
        <v/>
      </c>
      <c r="O30" s="23">
        <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f>
        <v/>
      </c>
      <c r="P30" s="23">
        <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f>
        <v/>
      </c>
      <c r="Q30" s="19" t="n"/>
      <c r="R30" s="26" t="n"/>
    </row>
    <row r="31" ht="24" customHeight="1">
      <c r="A31" s="18" t="n">
        <v>25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30" t="n"/>
      <c r="K31" s="19" t="n"/>
      <c r="L31" s="19" t="n"/>
      <c r="M31" s="19" t="n"/>
      <c r="N31" s="31">
        <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f>
        <v/>
      </c>
      <c r="O31" s="23">
        <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f>
        <v/>
      </c>
      <c r="P31" s="23">
        <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f>
        <v/>
      </c>
      <c r="Q31" s="19" t="n"/>
      <c r="R31" s="26" t="n"/>
    </row>
    <row r="32" ht="24" customHeight="1">
      <c r="A32" s="18" t="n">
        <v>26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30" t="n"/>
      <c r="K32" s="19" t="n"/>
      <c r="L32" s="19" t="n"/>
      <c r="M32" s="19" t="n"/>
      <c r="N32" s="31">
        <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f>
        <v/>
      </c>
      <c r="O32" s="23">
        <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f>
        <v/>
      </c>
      <c r="P32" s="23">
        <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f>
        <v/>
      </c>
      <c r="Q32" s="19" t="n"/>
      <c r="R32" s="26" t="n"/>
    </row>
    <row r="33" ht="24" customHeight="1">
      <c r="A33" s="18" t="n">
        <v>27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30" t="n"/>
      <c r="K33" s="19" t="n"/>
      <c r="L33" s="19" t="n"/>
      <c r="M33" s="19" t="n"/>
      <c r="N33" s="31">
        <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f>
        <v/>
      </c>
      <c r="O33" s="23">
        <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f>
        <v/>
      </c>
      <c r="P33" s="23">
        <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f>
        <v/>
      </c>
      <c r="Q33" s="19" t="n"/>
      <c r="R33" s="26" t="n"/>
    </row>
    <row r="34" ht="24" customHeight="1">
      <c r="A34" s="18" t="n">
        <v>28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30" t="n"/>
      <c r="K34" s="19" t="n"/>
      <c r="L34" s="19" t="n"/>
      <c r="M34" s="19" t="n"/>
      <c r="N34" s="31">
        <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f>
        <v/>
      </c>
      <c r="O34" s="23">
        <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f>
        <v/>
      </c>
      <c r="P34" s="23">
        <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f>
        <v/>
      </c>
      <c r="Q34" s="19" t="n"/>
      <c r="R34" s="26" t="n"/>
    </row>
    <row r="35" ht="24" customHeight="1">
      <c r="A35" s="18" t="n">
        <v>29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30" t="n"/>
      <c r="K35" s="19" t="n"/>
      <c r="L35" s="19" t="n"/>
      <c r="M35" s="19" t="n"/>
      <c r="N35" s="31">
        <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f>
        <v/>
      </c>
      <c r="O35" s="23">
        <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f>
        <v/>
      </c>
      <c r="P35" s="23">
        <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f>
        <v/>
      </c>
      <c r="Q35" s="19" t="n"/>
      <c r="R35" s="26" t="n"/>
    </row>
    <row r="36" ht="24" customHeight="1">
      <c r="A36" s="18" t="n">
        <v>30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30" t="n"/>
      <c r="K36" s="19" t="n"/>
      <c r="L36" s="19" t="n"/>
      <c r="M36" s="19" t="n"/>
      <c r="N36" s="31">
        <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f>
        <v/>
      </c>
      <c r="O36" s="23">
        <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f>
        <v/>
      </c>
      <c r="P36" s="23">
        <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f>
        <v/>
      </c>
      <c r="Q36" s="19" t="n"/>
      <c r="R36" s="26" t="n"/>
    </row>
    <row r="37" ht="24" customHeight="1">
      <c r="A37" s="18" t="n">
        <v>31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30" t="n"/>
      <c r="K37" s="19" t="n"/>
      <c r="L37" s="19" t="n"/>
      <c r="M37" s="19" t="n"/>
      <c r="N37" s="31">
        <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f>
        <v/>
      </c>
      <c r="O37" s="23">
        <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f>
        <v/>
      </c>
      <c r="P37" s="23">
        <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f>
        <v/>
      </c>
      <c r="Q37" s="19" t="n"/>
      <c r="R37" s="26" t="n"/>
    </row>
    <row r="38" ht="24" customHeight="1">
      <c r="A38" s="18" t="n">
        <v>32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30" t="n"/>
      <c r="K38" s="19" t="n"/>
      <c r="L38" s="19" t="n"/>
      <c r="M38" s="19" t="n"/>
      <c r="N38" s="31">
        <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f>
        <v/>
      </c>
      <c r="O38" s="23">
        <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f>
        <v/>
      </c>
      <c r="P38" s="23">
        <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f>
        <v/>
      </c>
      <c r="Q38" s="19" t="n"/>
      <c r="R38" s="26" t="n"/>
    </row>
    <row r="39" ht="24" customHeight="1">
      <c r="A39" s="18" t="n">
        <v>33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30" t="n"/>
      <c r="K39" s="19" t="n"/>
      <c r="L39" s="19" t="n"/>
      <c r="M39" s="19" t="n"/>
      <c r="N39" s="31">
        <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f>
        <v/>
      </c>
      <c r="O39" s="23">
        <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f>
        <v/>
      </c>
      <c r="P39" s="23">
        <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f>
        <v/>
      </c>
      <c r="Q39" s="19" t="n"/>
      <c r="R39" s="26" t="n"/>
    </row>
    <row r="40" ht="24" customHeight="1">
      <c r="A40" s="18" t="n">
        <v>34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30" t="n"/>
      <c r="K40" s="19" t="n"/>
      <c r="L40" s="19" t="n"/>
      <c r="M40" s="19" t="n"/>
      <c r="N40" s="31">
        <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f>
        <v/>
      </c>
      <c r="O40" s="23">
        <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f>
        <v/>
      </c>
      <c r="P40" s="23">
        <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f>
        <v/>
      </c>
      <c r="Q40" s="19" t="n"/>
      <c r="R40" s="26" t="n"/>
    </row>
    <row r="41" ht="24" customHeight="1">
      <c r="A41" s="18" t="n">
        <v>35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30" t="n"/>
      <c r="K41" s="19" t="n"/>
      <c r="L41" s="19" t="n"/>
      <c r="M41" s="19" t="n"/>
      <c r="N41" s="31">
        <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f>
        <v/>
      </c>
      <c r="O41" s="23">
        <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f>
        <v/>
      </c>
      <c r="P41" s="23">
        <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f>
        <v/>
      </c>
      <c r="Q41" s="19" t="n"/>
      <c r="R41" s="26" t="n"/>
    </row>
    <row r="42" ht="24" customHeight="1">
      <c r="A42" s="18" t="n">
        <v>36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30" t="n"/>
      <c r="K42" s="19" t="n"/>
      <c r="L42" s="19" t="n"/>
      <c r="M42" s="19" t="n"/>
      <c r="N42" s="31">
        <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f>
        <v/>
      </c>
      <c r="O42" s="23">
        <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f>
        <v/>
      </c>
      <c r="P42" s="23">
        <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f>
        <v/>
      </c>
      <c r="Q42" s="19" t="n"/>
      <c r="R42" s="26" t="n"/>
    </row>
    <row r="43" ht="24" customHeight="1">
      <c r="A43" s="18" t="n">
        <v>37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30" t="n"/>
      <c r="K43" s="19" t="n"/>
      <c r="L43" s="19" t="n"/>
      <c r="M43" s="19" t="n"/>
      <c r="N43" s="31">
        <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f>
        <v/>
      </c>
      <c r="O43" s="23">
        <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f>
        <v/>
      </c>
      <c r="P43" s="23">
        <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f>
        <v/>
      </c>
      <c r="Q43" s="19" t="n"/>
      <c r="R43" s="26" t="n"/>
    </row>
    <row r="44" ht="24" customHeight="1">
      <c r="A44" s="18" t="n">
        <v>38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30" t="n"/>
      <c r="K44" s="19" t="n"/>
      <c r="L44" s="19" t="n"/>
      <c r="M44" s="19" t="n"/>
      <c r="N44" s="31">
        <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f>
        <v/>
      </c>
      <c r="O44" s="23">
        <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f>
        <v/>
      </c>
      <c r="P44" s="23">
        <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f>
        <v/>
      </c>
      <c r="Q44" s="19" t="n"/>
      <c r="R44" s="26" t="n"/>
    </row>
    <row r="45" ht="24" customHeight="1">
      <c r="A45" s="18" t="n">
        <v>39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30" t="n"/>
      <c r="K45" s="19" t="n"/>
      <c r="L45" s="19" t="n"/>
      <c r="M45" s="19" t="n"/>
      <c r="N45" s="31">
        <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f>
        <v/>
      </c>
      <c r="O45" s="23">
        <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f>
        <v/>
      </c>
      <c r="P45" s="23">
        <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f>
        <v/>
      </c>
      <c r="Q45" s="19" t="n"/>
      <c r="R45" s="26" t="n"/>
    </row>
    <row r="46" ht="24" customHeight="1">
      <c r="A46" s="18" t="n">
        <v>40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30" t="n"/>
      <c r="K46" s="19" t="n"/>
      <c r="L46" s="19" t="n"/>
      <c r="M46" s="19" t="n"/>
      <c r="N46" s="31">
        <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f>
        <v/>
      </c>
      <c r="O46" s="23">
        <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f>
        <v/>
      </c>
      <c r="P46" s="23">
        <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f>
        <v/>
      </c>
      <c r="Q46" s="19" t="n"/>
      <c r="R46" s="26" t="n"/>
    </row>
    <row r="47" ht="24" customHeight="1">
      <c r="A47" s="18" t="n">
        <v>41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30" t="n"/>
      <c r="K47" s="19" t="n"/>
      <c r="L47" s="19" t="n"/>
      <c r="M47" s="19" t="n"/>
      <c r="N47" s="31">
        <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f>
        <v/>
      </c>
      <c r="O47" s="23">
        <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f>
        <v/>
      </c>
      <c r="P47" s="23">
        <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f>
        <v/>
      </c>
      <c r="Q47" s="19" t="n"/>
      <c r="R47" s="26" t="n"/>
    </row>
    <row r="48" ht="24" customHeight="1">
      <c r="A48" s="18" t="n">
        <v>42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30" t="n"/>
      <c r="K48" s="19" t="n"/>
      <c r="L48" s="19" t="n"/>
      <c r="M48" s="19" t="n"/>
      <c r="N48" s="31">
        <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f>
        <v/>
      </c>
      <c r="O48" s="23">
        <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f>
        <v/>
      </c>
      <c r="P48" s="23">
        <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f>
        <v/>
      </c>
      <c r="Q48" s="19" t="n"/>
      <c r="R48" s="26" t="n"/>
    </row>
    <row r="49" ht="24" customHeight="1">
      <c r="A49" s="18" t="n">
        <v>43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30" t="n"/>
      <c r="K49" s="19" t="n"/>
      <c r="L49" s="19" t="n"/>
      <c r="M49" s="19" t="n"/>
      <c r="N49" s="31">
        <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f>
        <v/>
      </c>
      <c r="O49" s="23">
        <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f>
        <v/>
      </c>
      <c r="P49" s="23">
        <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f>
        <v/>
      </c>
      <c r="Q49" s="19" t="n"/>
      <c r="R49" s="26" t="n"/>
    </row>
    <row r="50" ht="24" customHeight="1">
      <c r="A50" s="18" t="n">
        <v>44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30" t="n"/>
      <c r="K50" s="19" t="n"/>
      <c r="L50" s="19" t="n"/>
      <c r="M50" s="19" t="n"/>
      <c r="N50" s="31">
        <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f>
        <v/>
      </c>
      <c r="O50" s="23">
        <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f>
        <v/>
      </c>
      <c r="P50" s="23">
        <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f>
        <v/>
      </c>
      <c r="Q50" s="19" t="n"/>
      <c r="R50" s="26" t="n"/>
    </row>
    <row r="51" ht="24" customHeight="1">
      <c r="A51" s="18" t="n">
        <v>45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30" t="n"/>
      <c r="K51" s="19" t="n"/>
      <c r="L51" s="19" t="n"/>
      <c r="M51" s="19" t="n"/>
      <c r="N51" s="31">
        <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f>
        <v/>
      </c>
      <c r="O51" s="23">
        <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f>
        <v/>
      </c>
      <c r="P51" s="23">
        <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f>
        <v/>
      </c>
      <c r="Q51" s="19" t="n"/>
      <c r="R51" s="26" t="n"/>
    </row>
    <row r="52" ht="24" customHeight="1">
      <c r="A52" s="18" t="n">
        <v>46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30" t="n"/>
      <c r="K52" s="19" t="n"/>
      <c r="L52" s="19" t="n"/>
      <c r="M52" s="19" t="n"/>
      <c r="N52" s="31">
        <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f>
        <v/>
      </c>
      <c r="O52" s="23">
        <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f>
        <v/>
      </c>
      <c r="P52" s="23">
        <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f>
        <v/>
      </c>
      <c r="Q52" s="19" t="n"/>
      <c r="R52" s="26" t="n"/>
    </row>
    <row r="53" ht="24" customHeight="1">
      <c r="A53" s="18" t="n">
        <v>47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30" t="n"/>
      <c r="K53" s="19" t="n"/>
      <c r="L53" s="19" t="n"/>
      <c r="M53" s="19" t="n"/>
      <c r="N53" s="31">
        <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f>
        <v/>
      </c>
      <c r="O53" s="23">
        <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f>
        <v/>
      </c>
      <c r="P53" s="23">
        <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f>
        <v/>
      </c>
      <c r="Q53" s="19" t="n"/>
      <c r="R53" s="26" t="n"/>
    </row>
    <row r="54" ht="24" customHeight="1">
      <c r="A54" s="18" t="n">
        <v>48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30" t="n"/>
      <c r="K54" s="19" t="n"/>
      <c r="L54" s="19" t="n"/>
      <c r="M54" s="19" t="n"/>
      <c r="N54" s="31">
        <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f>
        <v/>
      </c>
      <c r="O54" s="23">
        <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f>
        <v/>
      </c>
      <c r="P54" s="23">
        <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f>
        <v/>
      </c>
      <c r="Q54" s="19" t="n"/>
      <c r="R54" s="26" t="n"/>
    </row>
    <row r="55" ht="24" customHeight="1">
      <c r="A55" s="18" t="n">
        <v>49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30" t="n"/>
      <c r="K55" s="19" t="n"/>
      <c r="L55" s="19" t="n"/>
      <c r="M55" s="19" t="n"/>
      <c r="N55" s="31">
        <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f>
        <v/>
      </c>
      <c r="O55" s="23">
        <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f>
        <v/>
      </c>
      <c r="P55" s="23">
        <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f>
        <v/>
      </c>
      <c r="Q55" s="19" t="n"/>
      <c r="R55" s="26" t="n"/>
    </row>
    <row r="56" ht="24" customHeight="1">
      <c r="A56" s="18" t="n">
        <v>50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30" t="n"/>
      <c r="K56" s="19" t="n"/>
      <c r="L56" s="19" t="n"/>
      <c r="M56" s="19" t="n"/>
      <c r="N56" s="31">
        <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f>
        <v/>
      </c>
      <c r="O56" s="23">
        <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f>
        <v/>
      </c>
      <c r="P56" s="23">
        <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f>
        <v/>
      </c>
      <c r="Q56" s="19" t="n"/>
      <c r="R56" s="26" t="n"/>
    </row>
    <row r="57" ht="24" customHeight="1">
      <c r="A57" s="18" t="n">
        <v>51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30" t="n"/>
      <c r="K57" s="19" t="n"/>
      <c r="L57" s="19" t="n"/>
      <c r="M57" s="19" t="n"/>
      <c r="N57" s="31">
        <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f>
        <v/>
      </c>
      <c r="O57" s="23">
        <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f>
        <v/>
      </c>
      <c r="P57" s="23">
        <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f>
        <v/>
      </c>
      <c r="Q57" s="19" t="n"/>
      <c r="R57" s="26" t="n"/>
    </row>
    <row r="58" ht="24" customHeight="1">
      <c r="A58" s="18" t="n">
        <v>52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30" t="n"/>
      <c r="K58" s="19" t="n"/>
      <c r="L58" s="19" t="n"/>
      <c r="M58" s="19" t="n"/>
      <c r="N58" s="31">
        <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f>
        <v/>
      </c>
      <c r="O58" s="23">
        <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f>
        <v/>
      </c>
      <c r="P58" s="23">
        <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f>
        <v/>
      </c>
      <c r="Q58" s="19" t="n"/>
      <c r="R58" s="26" t="n"/>
    </row>
    <row r="59" ht="24" customHeight="1">
      <c r="A59" s="18" t="n">
        <v>53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30" t="n"/>
      <c r="K59" s="19" t="n"/>
      <c r="L59" s="19" t="n"/>
      <c r="M59" s="19" t="n"/>
      <c r="N59" s="31">
        <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f>
        <v/>
      </c>
      <c r="O59" s="23">
        <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f>
        <v/>
      </c>
      <c r="P59" s="23">
        <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f>
        <v/>
      </c>
      <c r="Q59" s="19" t="n"/>
      <c r="R59" s="26" t="n"/>
    </row>
    <row r="60" ht="24" customHeight="1">
      <c r="A60" s="18" t="n">
        <v>54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30" t="n"/>
      <c r="K60" s="19" t="n"/>
      <c r="L60" s="19" t="n"/>
      <c r="M60" s="19" t="n"/>
      <c r="N60" s="31">
        <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f>
        <v/>
      </c>
      <c r="O60" s="23">
        <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f>
        <v/>
      </c>
      <c r="P60" s="23">
        <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f>
        <v/>
      </c>
      <c r="Q60" s="19" t="n"/>
      <c r="R60" s="26" t="n"/>
    </row>
    <row r="61" ht="24" customHeight="1">
      <c r="A61" s="18" t="n">
        <v>55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30" t="n"/>
      <c r="K61" s="19" t="n"/>
      <c r="L61" s="19" t="n"/>
      <c r="M61" s="19" t="n"/>
      <c r="N61" s="31">
        <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f>
        <v/>
      </c>
      <c r="O61" s="23">
        <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f>
        <v/>
      </c>
      <c r="P61" s="23">
        <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f>
        <v/>
      </c>
      <c r="Q61" s="19" t="n"/>
      <c r="R61" s="26" t="n"/>
    </row>
    <row r="62" ht="24" customHeight="1">
      <c r="A62" s="18" t="n">
        <v>56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30" t="n"/>
      <c r="K62" s="19" t="n"/>
      <c r="L62" s="19" t="n"/>
      <c r="M62" s="19" t="n"/>
      <c r="N62" s="31">
        <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f>
        <v/>
      </c>
      <c r="O62" s="23">
        <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f>
        <v/>
      </c>
      <c r="P62" s="23">
        <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f>
        <v/>
      </c>
      <c r="Q62" s="19" t="n"/>
      <c r="R62" s="26" t="n"/>
    </row>
    <row r="63" ht="24" customHeight="1">
      <c r="A63" s="18" t="n">
        <v>57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30" t="n"/>
      <c r="K63" s="19" t="n"/>
      <c r="L63" s="19" t="n"/>
      <c r="M63" s="19" t="n"/>
      <c r="N63" s="31">
        <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f>
        <v/>
      </c>
      <c r="O63" s="23">
        <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f>
        <v/>
      </c>
      <c r="P63" s="23">
        <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f>
        <v/>
      </c>
      <c r="Q63" s="19" t="n"/>
      <c r="R63" s="26" t="n"/>
    </row>
    <row r="64" ht="24" customHeight="1">
      <c r="A64" s="18" t="n">
        <v>58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30" t="n"/>
      <c r="K64" s="19" t="n"/>
      <c r="L64" s="19" t="n"/>
      <c r="M64" s="19" t="n"/>
      <c r="N64" s="31">
        <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f>
        <v/>
      </c>
      <c r="O64" s="23">
        <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f>
        <v/>
      </c>
      <c r="P64" s="23">
        <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f>
        <v/>
      </c>
      <c r="Q64" s="19" t="n"/>
      <c r="R64" s="26" t="n"/>
    </row>
    <row r="65" ht="24" customHeight="1">
      <c r="A65" s="18" t="n">
        <v>59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30" t="n"/>
      <c r="K65" s="19" t="n"/>
      <c r="L65" s="19" t="n"/>
      <c r="M65" s="19" t="n"/>
      <c r="N65" s="31">
        <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f>
        <v/>
      </c>
      <c r="O65" s="23">
        <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f>
        <v/>
      </c>
      <c r="P65" s="23">
        <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f>
        <v/>
      </c>
      <c r="Q65" s="19" t="n"/>
      <c r="R65" s="26" t="n"/>
    </row>
    <row r="66" ht="24" customHeight="1">
      <c r="A66" s="18" t="n">
        <v>60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30" t="n"/>
      <c r="K66" s="19" t="n"/>
      <c r="L66" s="19" t="n"/>
      <c r="M66" s="19" t="n"/>
      <c r="N66" s="31">
        <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f>
        <v/>
      </c>
      <c r="O66" s="23">
        <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f>
        <v/>
      </c>
      <c r="P66" s="23">
        <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f>
        <v/>
      </c>
      <c r="Q66" s="19" t="n"/>
      <c r="R66" s="26" t="n"/>
    </row>
    <row r="67" ht="24" customHeight="1">
      <c r="A67" s="18" t="n">
        <v>61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30" t="n"/>
      <c r="K67" s="19" t="n"/>
      <c r="L67" s="19" t="n"/>
      <c r="M67" s="19" t="n"/>
      <c r="N67" s="31">
        <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f>
        <v/>
      </c>
      <c r="O67" s="23">
        <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f>
        <v/>
      </c>
      <c r="P67" s="23">
        <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f>
        <v/>
      </c>
      <c r="Q67" s="19" t="n"/>
      <c r="R67" s="26" t="n"/>
    </row>
    <row r="68" ht="24" customHeight="1">
      <c r="A68" s="18" t="n">
        <v>62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30" t="n"/>
      <c r="K68" s="19" t="n"/>
      <c r="L68" s="19" t="n"/>
      <c r="M68" s="19" t="n"/>
      <c r="N68" s="31">
        <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f>
        <v/>
      </c>
      <c r="O68" s="23">
        <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f>
        <v/>
      </c>
      <c r="P68" s="23">
        <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f>
        <v/>
      </c>
      <c r="Q68" s="19" t="n"/>
      <c r="R68" s="26" t="n"/>
    </row>
    <row r="69" ht="24" customHeight="1">
      <c r="A69" s="18" t="n">
        <v>63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30" t="n"/>
      <c r="K69" s="19" t="n"/>
      <c r="L69" s="19" t="n"/>
      <c r="M69" s="19" t="n"/>
      <c r="N69" s="31">
        <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f>
        <v/>
      </c>
      <c r="O69" s="23">
        <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f>
        <v/>
      </c>
      <c r="P69" s="23">
        <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f>
        <v/>
      </c>
      <c r="Q69" s="19" t="n"/>
      <c r="R69" s="26" t="n"/>
    </row>
    <row r="70" ht="24" customHeight="1">
      <c r="A70" s="18" t="n">
        <v>64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30" t="n"/>
      <c r="K70" s="19" t="n"/>
      <c r="L70" s="19" t="n"/>
      <c r="M70" s="19" t="n"/>
      <c r="N70" s="31">
        <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f>
        <v/>
      </c>
      <c r="O70" s="23">
        <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f>
        <v/>
      </c>
      <c r="P70" s="23">
        <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f>
        <v/>
      </c>
      <c r="Q70" s="19" t="n"/>
      <c r="R70" s="26" t="n"/>
    </row>
    <row r="71" ht="24" customHeight="1">
      <c r="A71" s="18" t="n">
        <v>65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30" t="n"/>
      <c r="K71" s="19" t="n"/>
      <c r="L71" s="19" t="n"/>
      <c r="M71" s="19" t="n"/>
      <c r="N71" s="31">
        <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f>
        <v/>
      </c>
      <c r="O71" s="23">
        <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f>
        <v/>
      </c>
      <c r="P71" s="23">
        <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f>
        <v/>
      </c>
      <c r="Q71" s="19" t="n"/>
      <c r="R71" s="26" t="n"/>
    </row>
    <row r="72" ht="24" customHeight="1">
      <c r="A72" s="18" t="n">
        <v>66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30" t="n"/>
      <c r="K72" s="19" t="n"/>
      <c r="L72" s="19" t="n"/>
      <c r="M72" s="19" t="n"/>
      <c r="N72" s="31">
        <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f>
        <v/>
      </c>
      <c r="O72" s="23">
        <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f>
        <v/>
      </c>
      <c r="P72" s="23">
        <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f>
        <v/>
      </c>
      <c r="Q72" s="19" t="n"/>
      <c r="R72" s="26" t="n"/>
    </row>
    <row r="73" ht="24" customHeight="1">
      <c r="A73" s="18" t="n">
        <v>67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30" t="n"/>
      <c r="K73" s="19" t="n"/>
      <c r="L73" s="19" t="n"/>
      <c r="M73" s="19" t="n"/>
      <c r="N73" s="31">
        <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f>
        <v/>
      </c>
      <c r="O73" s="23">
        <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f>
        <v/>
      </c>
      <c r="P73" s="23">
        <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f>
        <v/>
      </c>
      <c r="Q73" s="19" t="n"/>
      <c r="R73" s="26" t="n"/>
    </row>
    <row r="74" ht="24" customHeight="1">
      <c r="A74" s="18" t="n">
        <v>68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30" t="n"/>
      <c r="K74" s="19" t="n"/>
      <c r="L74" s="19" t="n"/>
      <c r="M74" s="19" t="n"/>
      <c r="N74" s="31">
        <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f>
        <v/>
      </c>
      <c r="O74" s="23">
        <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f>
        <v/>
      </c>
      <c r="P74" s="23">
        <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f>
        <v/>
      </c>
      <c r="Q74" s="19" t="n"/>
      <c r="R74" s="26" t="n"/>
    </row>
    <row r="75" ht="24" customHeight="1">
      <c r="A75" s="18" t="n">
        <v>69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30" t="n"/>
      <c r="K75" s="19" t="n"/>
      <c r="L75" s="19" t="n"/>
      <c r="M75" s="19" t="n"/>
      <c r="N75" s="31">
        <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f>
        <v/>
      </c>
      <c r="O75" s="23">
        <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f>
        <v/>
      </c>
      <c r="P75" s="23">
        <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f>
        <v/>
      </c>
      <c r="Q75" s="19" t="n"/>
      <c r="R75" s="26" t="n"/>
    </row>
    <row r="76" ht="24" customHeight="1">
      <c r="A76" s="18" t="n">
        <v>70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30" t="n"/>
      <c r="K76" s="19" t="n"/>
      <c r="L76" s="19" t="n"/>
      <c r="M76" s="19" t="n"/>
      <c r="N76" s="31">
        <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f>
        <v/>
      </c>
      <c r="O76" s="23">
        <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f>
        <v/>
      </c>
      <c r="P76" s="23">
        <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f>
        <v/>
      </c>
      <c r="Q76" s="19" t="n"/>
      <c r="R76" s="26" t="n"/>
    </row>
    <row r="77" ht="24" customHeight="1">
      <c r="A77" s="18" t="n">
        <v>71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30" t="n"/>
      <c r="K77" s="19" t="n"/>
      <c r="L77" s="19" t="n"/>
      <c r="M77" s="19" t="n"/>
      <c r="N77" s="31">
        <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f>
        <v/>
      </c>
      <c r="O77" s="23">
        <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f>
        <v/>
      </c>
      <c r="P77" s="23">
        <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f>
        <v/>
      </c>
      <c r="Q77" s="19" t="n"/>
      <c r="R77" s="26" t="n"/>
    </row>
    <row r="78" ht="24" customHeight="1">
      <c r="A78" s="18" t="n">
        <v>72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30" t="n"/>
      <c r="K78" s="19" t="n"/>
      <c r="L78" s="19" t="n"/>
      <c r="M78" s="19" t="n"/>
      <c r="N78" s="31">
        <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f>
        <v/>
      </c>
      <c r="O78" s="23">
        <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f>
        <v/>
      </c>
      <c r="P78" s="23">
        <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f>
        <v/>
      </c>
      <c r="Q78" s="19" t="n"/>
      <c r="R78" s="26" t="n"/>
    </row>
    <row r="79" ht="24" customHeight="1">
      <c r="A79" s="18" t="n">
        <v>73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30" t="n"/>
      <c r="K79" s="19" t="n"/>
      <c r="L79" s="19" t="n"/>
      <c r="M79" s="19" t="n"/>
      <c r="N79" s="31">
        <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f>
        <v/>
      </c>
      <c r="O79" s="23">
        <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f>
        <v/>
      </c>
      <c r="P79" s="23">
        <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f>
        <v/>
      </c>
      <c r="Q79" s="19" t="n"/>
      <c r="R79" s="26" t="n"/>
    </row>
    <row r="80" ht="24" customHeight="1">
      <c r="A80" s="18" t="n">
        <v>74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30" t="n"/>
      <c r="K80" s="19" t="n"/>
      <c r="L80" s="19" t="n"/>
      <c r="M80" s="19" t="n"/>
      <c r="N80" s="31">
        <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f>
        <v/>
      </c>
      <c r="O80" s="23">
        <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f>
        <v/>
      </c>
      <c r="P80" s="23">
        <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f>
        <v/>
      </c>
      <c r="Q80" s="19" t="n"/>
      <c r="R80" s="26" t="n"/>
    </row>
    <row r="81" ht="24" customHeight="1">
      <c r="A81" s="18" t="n">
        <v>75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30" t="n"/>
      <c r="K81" s="19" t="n"/>
      <c r="L81" s="19" t="n"/>
      <c r="M81" s="19" t="n"/>
      <c r="N81" s="31">
        <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f>
        <v/>
      </c>
      <c r="O81" s="23">
        <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f>
        <v/>
      </c>
      <c r="P81" s="23">
        <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f>
        <v/>
      </c>
      <c r="Q81" s="19" t="n"/>
      <c r="R81" s="26" t="n"/>
    </row>
    <row r="82" ht="24" customHeight="1">
      <c r="A82" s="18" t="n">
        <v>76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30" t="n"/>
      <c r="K82" s="19" t="n"/>
      <c r="L82" s="19" t="n"/>
      <c r="M82" s="19" t="n"/>
      <c r="N82" s="31">
        <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f>
        <v/>
      </c>
      <c r="O82" s="23">
        <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f>
        <v/>
      </c>
      <c r="P82" s="23">
        <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f>
        <v/>
      </c>
      <c r="Q82" s="19" t="n"/>
      <c r="R82" s="26" t="n"/>
    </row>
    <row r="83" ht="24" customHeight="1">
      <c r="A83" s="18" t="n">
        <v>77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30" t="n"/>
      <c r="K83" s="19" t="n"/>
      <c r="L83" s="19" t="n"/>
      <c r="M83" s="19" t="n"/>
      <c r="N83" s="31">
        <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f>
        <v/>
      </c>
      <c r="O83" s="23">
        <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f>
        <v/>
      </c>
      <c r="P83" s="23">
        <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f>
        <v/>
      </c>
      <c r="Q83" s="19" t="n"/>
      <c r="R83" s="26" t="n"/>
    </row>
    <row r="84" ht="24" customHeight="1">
      <c r="A84" s="18" t="n">
        <v>78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30" t="n"/>
      <c r="K84" s="19" t="n"/>
      <c r="L84" s="19" t="n"/>
      <c r="M84" s="19" t="n"/>
      <c r="N84" s="31">
        <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f>
        <v/>
      </c>
      <c r="O84" s="23">
        <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f>
        <v/>
      </c>
      <c r="P84" s="23">
        <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f>
        <v/>
      </c>
      <c r="Q84" s="19" t="n"/>
      <c r="R84" s="26" t="n"/>
    </row>
    <row r="85" ht="24" customHeight="1">
      <c r="A85" s="18" t="n">
        <v>79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30" t="n"/>
      <c r="K85" s="19" t="n"/>
      <c r="L85" s="19" t="n"/>
      <c r="M85" s="19" t="n"/>
      <c r="N85" s="31">
        <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f>
        <v/>
      </c>
      <c r="O85" s="23">
        <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f>
        <v/>
      </c>
      <c r="P85" s="23">
        <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f>
        <v/>
      </c>
      <c r="Q85" s="19" t="n"/>
      <c r="R85" s="26" t="n"/>
    </row>
    <row r="86" ht="24" customHeight="1">
      <c r="A86" s="18" t="n">
        <v>80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30" t="n"/>
      <c r="K86" s="19" t="n"/>
      <c r="L86" s="19" t="n"/>
      <c r="M86" s="19" t="n"/>
      <c r="N86" s="31">
        <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f>
        <v/>
      </c>
      <c r="O86" s="23">
        <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f>
        <v/>
      </c>
      <c r="P86" s="23">
        <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f>
        <v/>
      </c>
      <c r="Q86" s="19" t="n"/>
      <c r="R86" s="26" t="n"/>
    </row>
    <row r="87" ht="24" customHeight="1">
      <c r="A87" s="18" t="n">
        <v>81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30" t="n"/>
      <c r="K87" s="19" t="n"/>
      <c r="L87" s="19" t="n"/>
      <c r="M87" s="19" t="n"/>
      <c r="N87" s="31">
        <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f>
        <v/>
      </c>
      <c r="O87" s="23">
        <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f>
        <v/>
      </c>
      <c r="P87" s="23">
        <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f>
        <v/>
      </c>
      <c r="Q87" s="19" t="n"/>
      <c r="R87" s="26" t="n"/>
    </row>
    <row r="88" ht="24" customHeight="1">
      <c r="A88" s="18" t="n">
        <v>82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30" t="n"/>
      <c r="K88" s="19" t="n"/>
      <c r="L88" s="19" t="n"/>
      <c r="M88" s="19" t="n"/>
      <c r="N88" s="31">
        <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f>
        <v/>
      </c>
      <c r="O88" s="23">
        <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f>
        <v/>
      </c>
      <c r="P88" s="23">
        <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f>
        <v/>
      </c>
      <c r="Q88" s="19" t="n"/>
      <c r="R88" s="26" t="n"/>
    </row>
    <row r="89" ht="24" customHeight="1">
      <c r="A89" s="18" t="n">
        <v>83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30" t="n"/>
      <c r="K89" s="19" t="n"/>
      <c r="L89" s="19" t="n"/>
      <c r="M89" s="19" t="n"/>
      <c r="N89" s="31">
        <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f>
        <v/>
      </c>
      <c r="O89" s="23">
        <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f>
        <v/>
      </c>
      <c r="P89" s="23">
        <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f>
        <v/>
      </c>
      <c r="Q89" s="19" t="n"/>
      <c r="R89" s="26" t="n"/>
    </row>
    <row r="90" ht="24" customHeight="1">
      <c r="A90" s="18" t="n">
        <v>84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30" t="n"/>
      <c r="K90" s="19" t="n"/>
      <c r="L90" s="19" t="n"/>
      <c r="M90" s="19" t="n"/>
      <c r="N90" s="31">
        <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f>
        <v/>
      </c>
      <c r="O90" s="23">
        <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f>
        <v/>
      </c>
      <c r="P90" s="23">
        <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f>
        <v/>
      </c>
      <c r="Q90" s="19" t="n"/>
      <c r="R90" s="26" t="n"/>
    </row>
    <row r="91" ht="24" customHeight="1">
      <c r="A91" s="18" t="n">
        <v>85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30" t="n"/>
      <c r="K91" s="19" t="n"/>
      <c r="L91" s="19" t="n"/>
      <c r="M91" s="19" t="n"/>
      <c r="N91" s="31">
        <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f>
        <v/>
      </c>
      <c r="O91" s="23">
        <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f>
        <v/>
      </c>
      <c r="P91" s="23">
        <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f>
        <v/>
      </c>
      <c r="Q91" s="19" t="n"/>
      <c r="R91" s="26" t="n"/>
    </row>
    <row r="92" ht="24" customHeight="1">
      <c r="A92" s="18" t="n">
        <v>86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30" t="n"/>
      <c r="K92" s="19" t="n"/>
      <c r="L92" s="19" t="n"/>
      <c r="M92" s="19" t="n"/>
      <c r="N92" s="31">
        <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f>
        <v/>
      </c>
      <c r="O92" s="23">
        <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f>
        <v/>
      </c>
      <c r="P92" s="23">
        <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f>
        <v/>
      </c>
      <c r="Q92" s="19" t="n"/>
      <c r="R92" s="26" t="n"/>
    </row>
    <row r="93" ht="24" customHeight="1">
      <c r="A93" s="18" t="n">
        <v>87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30" t="n"/>
      <c r="K93" s="19" t="n"/>
      <c r="L93" s="19" t="n"/>
      <c r="M93" s="19" t="n"/>
      <c r="N93" s="31">
        <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f>
        <v/>
      </c>
      <c r="O93" s="23">
        <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f>
        <v/>
      </c>
      <c r="P93" s="23">
        <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f>
        <v/>
      </c>
      <c r="Q93" s="19" t="n"/>
      <c r="R93" s="26" t="n"/>
    </row>
    <row r="94" ht="24" customHeight="1">
      <c r="A94" s="18" t="n">
        <v>88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30" t="n"/>
      <c r="K94" s="19" t="n"/>
      <c r="L94" s="19" t="n"/>
      <c r="M94" s="19" t="n"/>
      <c r="N94" s="31">
        <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f>
        <v/>
      </c>
      <c r="O94" s="23">
        <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f>
        <v/>
      </c>
      <c r="P94" s="23">
        <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f>
        <v/>
      </c>
      <c r="Q94" s="19" t="n"/>
      <c r="R94" s="26" t="n"/>
    </row>
    <row r="95" ht="24" customHeight="1">
      <c r="A95" s="18" t="n">
        <v>89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30" t="n"/>
      <c r="K95" s="19" t="n"/>
      <c r="L95" s="19" t="n"/>
      <c r="M95" s="19" t="n"/>
      <c r="N95" s="31">
        <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f>
        <v/>
      </c>
      <c r="O95" s="23">
        <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f>
        <v/>
      </c>
      <c r="P95" s="23">
        <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f>
        <v/>
      </c>
      <c r="Q95" s="19" t="n"/>
      <c r="R95" s="26" t="n"/>
    </row>
    <row r="96" ht="24" customHeight="1">
      <c r="A96" s="18" t="n">
        <v>90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30" t="n"/>
      <c r="K96" s="19" t="n"/>
      <c r="L96" s="19" t="n"/>
      <c r="M96" s="19" t="n"/>
      <c r="N96" s="31">
        <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f>
        <v/>
      </c>
      <c r="O96" s="23">
        <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f>
        <v/>
      </c>
      <c r="P96" s="23">
        <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f>
        <v/>
      </c>
      <c r="Q96" s="19" t="n"/>
      <c r="R96" s="26" t="n"/>
    </row>
    <row r="97" ht="24" customHeight="1">
      <c r="A97" s="18" t="n">
        <v>91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30" t="n"/>
      <c r="K97" s="19" t="n"/>
      <c r="L97" s="19" t="n"/>
      <c r="M97" s="19" t="n"/>
      <c r="N97" s="31">
        <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f>
        <v/>
      </c>
      <c r="O97" s="23">
        <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f>
        <v/>
      </c>
      <c r="P97" s="23">
        <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f>
        <v/>
      </c>
      <c r="Q97" s="19" t="n"/>
      <c r="R97" s="26" t="n"/>
    </row>
    <row r="98" ht="24" customHeight="1">
      <c r="A98" s="18" t="n">
        <v>92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30" t="n"/>
      <c r="K98" s="19" t="n"/>
      <c r="L98" s="19" t="n"/>
      <c r="M98" s="19" t="n"/>
      <c r="N98" s="31">
        <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f>
        <v/>
      </c>
      <c r="O98" s="23">
        <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f>
        <v/>
      </c>
      <c r="P98" s="23">
        <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f>
        <v/>
      </c>
      <c r="Q98" s="19" t="n"/>
      <c r="R98" s="26" t="n"/>
    </row>
    <row r="99" ht="24" customHeight="1">
      <c r="A99" s="18" t="n">
        <v>93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30" t="n"/>
      <c r="K99" s="19" t="n"/>
      <c r="L99" s="19" t="n"/>
      <c r="M99" s="19" t="n"/>
      <c r="N99" s="31">
        <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f>
        <v/>
      </c>
      <c r="O99" s="23">
        <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f>
        <v/>
      </c>
      <c r="P99" s="23">
        <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f>
        <v/>
      </c>
      <c r="Q99" s="19" t="n"/>
      <c r="R99" s="26" t="n"/>
    </row>
    <row r="100" ht="24" customHeight="1">
      <c r="A100" s="18" t="n">
        <v>94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30" t="n"/>
      <c r="K100" s="19" t="n"/>
      <c r="L100" s="19" t="n"/>
      <c r="M100" s="19" t="n"/>
      <c r="N100" s="31">
        <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f>
        <v/>
      </c>
      <c r="O100" s="23">
        <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f>
        <v/>
      </c>
      <c r="P100" s="23">
        <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f>
        <v/>
      </c>
      <c r="Q100" s="19" t="n"/>
      <c r="R100" s="26" t="n"/>
    </row>
    <row r="101" ht="24" customHeight="1">
      <c r="A101" s="18" t="n">
        <v>95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30" t="n"/>
      <c r="K101" s="19" t="n"/>
      <c r="L101" s="19" t="n"/>
      <c r="M101" s="19" t="n"/>
      <c r="N101" s="31">
        <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f>
        <v/>
      </c>
      <c r="O101" s="23">
        <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f>
        <v/>
      </c>
      <c r="P101" s="23">
        <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f>
        <v/>
      </c>
      <c r="Q101" s="19" t="n"/>
      <c r="R101" s="26" t="n"/>
    </row>
    <row r="102" ht="24" customHeight="1">
      <c r="A102" s="18" t="n">
        <v>96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30" t="n"/>
      <c r="K102" s="19" t="n"/>
      <c r="L102" s="19" t="n"/>
      <c r="M102" s="19" t="n"/>
      <c r="N102" s="31">
        <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f>
        <v/>
      </c>
      <c r="O102" s="23">
        <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f>
        <v/>
      </c>
      <c r="P102" s="23">
        <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f>
        <v/>
      </c>
      <c r="Q102" s="19" t="n"/>
      <c r="R102" s="26" t="n"/>
    </row>
    <row r="103" ht="24" customHeight="1">
      <c r="A103" s="18" t="n">
        <v>97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30" t="n"/>
      <c r="K103" s="19" t="n"/>
      <c r="L103" s="19" t="n"/>
      <c r="M103" s="19" t="n"/>
      <c r="N103" s="31">
        <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f>
        <v/>
      </c>
      <c r="O103" s="23">
        <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f>
        <v/>
      </c>
      <c r="P103" s="23">
        <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f>
        <v/>
      </c>
      <c r="Q103" s="19" t="n"/>
      <c r="R103" s="26" t="n"/>
    </row>
    <row r="104" ht="24" customHeight="1">
      <c r="A104" s="18" t="n">
        <v>98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30" t="n"/>
      <c r="K104" s="19" t="n"/>
      <c r="L104" s="19" t="n"/>
      <c r="M104" s="19" t="n"/>
      <c r="N104" s="31">
        <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f>
        <v/>
      </c>
      <c r="O104" s="23">
        <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f>
        <v/>
      </c>
      <c r="P104" s="23">
        <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f>
        <v/>
      </c>
      <c r="Q104" s="19" t="n"/>
      <c r="R104" s="26" t="n"/>
    </row>
    <row r="105" ht="24" customHeight="1">
      <c r="A105" s="18" t="n">
        <v>99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30" t="n"/>
      <c r="K105" s="19" t="n"/>
      <c r="L105" s="19" t="n"/>
      <c r="M105" s="19" t="n"/>
      <c r="N105" s="31">
        <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f>
        <v/>
      </c>
      <c r="O105" s="23">
        <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f>
        <v/>
      </c>
      <c r="P105" s="23">
        <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f>
        <v/>
      </c>
      <c r="Q105" s="19" t="n"/>
      <c r="R105" s="26" t="n"/>
    </row>
    <row r="106" ht="24" customHeight="1">
      <c r="A106" s="18" t="n">
        <v>100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30" t="n"/>
      <c r="K106" s="19" t="n"/>
      <c r="L106" s="19" t="n"/>
      <c r="M106" s="19" t="n"/>
      <c r="N106" s="31">
        <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f>
        <v/>
      </c>
      <c r="O106" s="23">
        <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f>
        <v/>
      </c>
      <c r="P106" s="23">
        <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f>
        <v/>
      </c>
      <c r="Q106" s="19" t="n"/>
      <c r="R106" s="26" t="n"/>
    </row>
  </sheetData>
  <mergeCells count="5">
    <mergeCell ref="A3:R3"/>
    <mergeCell ref="A2:R2"/>
    <mergeCell ref="A5:R5"/>
    <mergeCell ref="A1:R1"/>
    <mergeCell ref="A4:R4"/>
  </mergeCells>
  <conditionalFormatting sqref="O7:P1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3">
    <dataValidation sqref="M7:M106" showDropDown="0" showInputMessage="0" showErrorMessage="0" allowBlank="0" type="list">
      <formula1>"대상,해당없음,미확인"</formula1>
    </dataValidation>
    <dataValidation sqref="J7:J106" showDropDown="0" showInputMessage="0" showErrorMessage="0" allowBlank="0" type="decimal" operator="greaterThanOrEqual">
      <formula1>0</formula1>
    </dataValidation>
    <dataValidation sqref="R7:R106" showDropDown="0" showInputMessage="0" showErrorMessage="0" allowBlank="0" type="list">
      <formula1>"부자재,소모재"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</cols>
  <sheetData>
    <row r="1" ht="32" customHeight="1">
      <c r="A1" s="2" t="inlineStr">
        <is>
          <t>용접 부자재 관리대장 — 입출고·재고 | Rev.00</t>
        </is>
      </c>
    </row>
    <row r="2" ht="44" customHeight="1">
      <c r="A2" s="3" t="inlineStr">
        <is>
          <t>시작 재고도 입고로 등록. 일자·구분·자재코드·수량을 입력. 입고/출고는 한쪽 수량만 양수로 입력, 조정도 한쪽만 입력하고 사유 기재. 잔량은 자재코드별 행 누계.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일자</t>
        </is>
      </c>
      <c r="C6" s="9" t="inlineStr">
        <is>
          <t>구분</t>
        </is>
      </c>
      <c r="D6" s="9" t="inlineStr">
        <is>
          <t>자재코드</t>
        </is>
      </c>
      <c r="E6" s="9" t="inlineStr">
        <is>
          <t>자재명(자동)</t>
        </is>
      </c>
      <c r="F6" s="9" t="inlineStr">
        <is>
          <t>제조 LOT</t>
        </is>
      </c>
      <c r="G6" s="9" t="inlineStr">
        <is>
          <t>사내 입고 LOT</t>
        </is>
      </c>
      <c r="H6" s="9" t="inlineStr">
        <is>
          <t>입고수량</t>
        </is>
      </c>
      <c r="I6" s="9" t="inlineStr">
        <is>
          <t>출고수량</t>
        </is>
      </c>
      <c r="J6" s="9" t="inlineStr">
        <is>
          <t>단위(자동)</t>
        </is>
      </c>
      <c r="K6" s="9" t="inlineStr">
        <is>
          <t>잔량(자동)</t>
        </is>
      </c>
      <c r="L6" s="9" t="inlineStr">
        <is>
          <t>보관위치</t>
        </is>
      </c>
      <c r="M6" s="9" t="inlineStr">
        <is>
          <t>담당자</t>
        </is>
      </c>
      <c r="N6" s="9" t="inlineStr">
        <is>
          <t>비고(선택)</t>
        </is>
      </c>
      <c r="O6" s="9" t="inlineStr">
        <is>
          <t>관리구분(자동)</t>
        </is>
      </c>
    </row>
    <row r="7" ht="24" customHeight="1">
      <c r="A7" s="18" t="n">
        <v>1</v>
      </c>
      <c r="B7" s="32" t="n"/>
      <c r="C7" s="19" t="n"/>
      <c r="D7" s="19" t="n"/>
      <c r="E7" s="23">
        <f>IF(D7="","",IFERROR(INDEX('01_자재목록'!$D$7:$D$106,MATCH(D7,'01_자재목록'!$B$7:$B$106,0))&amp;"","자재코드 확인"))</f>
        <v/>
      </c>
      <c r="F7" s="19" t="n"/>
      <c r="G7" s="19" t="n"/>
      <c r="H7" s="30" t="n"/>
      <c r="I7" s="30" t="n"/>
      <c r="J7" s="23">
        <f>IF(D7="","",IFERROR(INDEX('01_자재목록'!$I$7:$I$106,MATCH(D7,'01_자재목록'!$B$7:$B$106,0))&amp;"","자재코드 확인"))</f>
        <v/>
      </c>
      <c r="K7" s="31">
        <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f>
        <v/>
      </c>
      <c r="L7" s="19" t="n"/>
      <c r="M7" s="19" t="n"/>
      <c r="N7" s="19" t="n"/>
      <c r="O7" s="27">
        <f>IF(D7="","",IF(COUNTIF('01_자재목록'!$B$7:$B$106,D7)&lt;&gt;1,"자재코드 확인",IF(INDEX('01_자재목록'!$R$7:$R$106,MATCH(D7,'01_자재목록'!$B$7:$B$106,0))="","구분 미입력",INDEX('01_자재목록'!$R$7:$R$106,MATCH(D7,'01_자재목록'!$B$7:$B$106,0)))))</f>
        <v/>
      </c>
    </row>
    <row r="8" ht="24" customHeight="1">
      <c r="A8" s="18" t="n">
        <v>2</v>
      </c>
      <c r="B8" s="32" t="n"/>
      <c r="C8" s="19" t="n"/>
      <c r="D8" s="19" t="n"/>
      <c r="E8" s="23">
        <f>IF(D8="","",IFERROR(INDEX('01_자재목록'!$D$7:$D$106,MATCH(D8,'01_자재목록'!$B$7:$B$106,0))&amp;"","자재코드 확인"))</f>
        <v/>
      </c>
      <c r="F8" s="19" t="n"/>
      <c r="G8" s="19" t="n"/>
      <c r="H8" s="30" t="n"/>
      <c r="I8" s="30" t="n"/>
      <c r="J8" s="23">
        <f>IF(D8="","",IFERROR(INDEX('01_자재목록'!$I$7:$I$106,MATCH(D8,'01_자재목록'!$B$7:$B$106,0))&amp;"","자재코드 확인"))</f>
        <v/>
      </c>
      <c r="K8" s="31">
        <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f>
        <v/>
      </c>
      <c r="L8" s="19" t="n"/>
      <c r="M8" s="19" t="n"/>
      <c r="N8" s="19" t="n"/>
      <c r="O8" s="27">
        <f>IF(D8="","",IF(COUNTIF('01_자재목록'!$B$7:$B$106,D8)&lt;&gt;1,"자재코드 확인",IF(INDEX('01_자재목록'!$R$7:$R$106,MATCH(D8,'01_자재목록'!$B$7:$B$106,0))="","구분 미입력",INDEX('01_자재목록'!$R$7:$R$106,MATCH(D8,'01_자재목록'!$B$7:$B$106,0)))))</f>
        <v/>
      </c>
    </row>
    <row r="9" ht="24" customHeight="1">
      <c r="A9" s="18" t="n">
        <v>3</v>
      </c>
      <c r="B9" s="32" t="n"/>
      <c r="C9" s="19" t="n"/>
      <c r="D9" s="19" t="n"/>
      <c r="E9" s="23">
        <f>IF(D9="","",IFERROR(INDEX('01_자재목록'!$D$7:$D$106,MATCH(D9,'01_자재목록'!$B$7:$B$106,0))&amp;"","자재코드 확인"))</f>
        <v/>
      </c>
      <c r="F9" s="19" t="n"/>
      <c r="G9" s="19" t="n"/>
      <c r="H9" s="30" t="n"/>
      <c r="I9" s="30" t="n"/>
      <c r="J9" s="23">
        <f>IF(D9="","",IFERROR(INDEX('01_자재목록'!$I$7:$I$106,MATCH(D9,'01_자재목록'!$B$7:$B$106,0))&amp;"","자재코드 확인"))</f>
        <v/>
      </c>
      <c r="K9" s="31">
        <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f>
        <v/>
      </c>
      <c r="L9" s="19" t="n"/>
      <c r="M9" s="19" t="n"/>
      <c r="N9" s="19" t="n"/>
      <c r="O9" s="27">
        <f>IF(D9="","",IF(COUNTIF('01_자재목록'!$B$7:$B$106,D9)&lt;&gt;1,"자재코드 확인",IF(INDEX('01_자재목록'!$R$7:$R$106,MATCH(D9,'01_자재목록'!$B$7:$B$106,0))="","구분 미입력",INDEX('01_자재목록'!$R$7:$R$106,MATCH(D9,'01_자재목록'!$B$7:$B$106,0)))))</f>
        <v/>
      </c>
    </row>
    <row r="10" ht="24" customHeight="1">
      <c r="A10" s="18" t="n">
        <v>4</v>
      </c>
      <c r="B10" s="32" t="n"/>
      <c r="C10" s="19" t="n"/>
      <c r="D10" s="19" t="n"/>
      <c r="E10" s="23">
        <f>IF(D10="","",IFERROR(INDEX('01_자재목록'!$D$7:$D$106,MATCH(D10,'01_자재목록'!$B$7:$B$106,0))&amp;"","자재코드 확인"))</f>
        <v/>
      </c>
      <c r="F10" s="19" t="n"/>
      <c r="G10" s="19" t="n"/>
      <c r="H10" s="30" t="n"/>
      <c r="I10" s="30" t="n"/>
      <c r="J10" s="23">
        <f>IF(D10="","",IFERROR(INDEX('01_자재목록'!$I$7:$I$106,MATCH(D10,'01_자재목록'!$B$7:$B$106,0))&amp;"","자재코드 확인"))</f>
        <v/>
      </c>
      <c r="K10" s="31">
        <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f>
        <v/>
      </c>
      <c r="L10" s="19" t="n"/>
      <c r="M10" s="19" t="n"/>
      <c r="N10" s="19" t="n"/>
      <c r="O10" s="27">
        <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f>
        <v/>
      </c>
    </row>
    <row r="11" ht="24" customHeight="1">
      <c r="A11" s="18" t="n">
        <v>5</v>
      </c>
      <c r="B11" s="32" t="n"/>
      <c r="C11" s="19" t="n"/>
      <c r="D11" s="19" t="n"/>
      <c r="E11" s="23">
        <f>IF(D11="","",IFERROR(INDEX('01_자재목록'!$D$7:$D$106,MATCH(D11,'01_자재목록'!$B$7:$B$106,0))&amp;"","자재코드 확인"))</f>
        <v/>
      </c>
      <c r="F11" s="19" t="n"/>
      <c r="G11" s="19" t="n"/>
      <c r="H11" s="30" t="n"/>
      <c r="I11" s="30" t="n"/>
      <c r="J11" s="23">
        <f>IF(D11="","",IFERROR(INDEX('01_자재목록'!$I$7:$I$106,MATCH(D11,'01_자재목록'!$B$7:$B$106,0))&amp;"","자재코드 확인"))</f>
        <v/>
      </c>
      <c r="K11" s="31">
        <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f>
        <v/>
      </c>
      <c r="L11" s="19" t="n"/>
      <c r="M11" s="19" t="n"/>
      <c r="N11" s="19" t="n"/>
      <c r="O11" s="27">
        <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f>
        <v/>
      </c>
    </row>
    <row r="12" ht="24" customHeight="1">
      <c r="A12" s="18" t="n">
        <v>6</v>
      </c>
      <c r="B12" s="32" t="n"/>
      <c r="C12" s="19" t="n"/>
      <c r="D12" s="19" t="n"/>
      <c r="E12" s="23">
        <f>IF(D12="","",IFERROR(INDEX('01_자재목록'!$D$7:$D$106,MATCH(D12,'01_자재목록'!$B$7:$B$106,0))&amp;"","자재코드 확인"))</f>
        <v/>
      </c>
      <c r="F12" s="19" t="n"/>
      <c r="G12" s="19" t="n"/>
      <c r="H12" s="30" t="n"/>
      <c r="I12" s="30" t="n"/>
      <c r="J12" s="23">
        <f>IF(D12="","",IFERROR(INDEX('01_자재목록'!$I$7:$I$106,MATCH(D12,'01_자재목록'!$B$7:$B$106,0))&amp;"","자재코드 확인"))</f>
        <v/>
      </c>
      <c r="K12" s="31">
        <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f>
        <v/>
      </c>
      <c r="L12" s="19" t="n"/>
      <c r="M12" s="19" t="n"/>
      <c r="N12" s="19" t="n"/>
      <c r="O12" s="27">
        <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f>
        <v/>
      </c>
    </row>
    <row r="13" ht="24" customHeight="1">
      <c r="A13" s="18" t="n">
        <v>7</v>
      </c>
      <c r="B13" s="32" t="n"/>
      <c r="C13" s="19" t="n"/>
      <c r="D13" s="19" t="n"/>
      <c r="E13" s="23">
        <f>IF(D13="","",IFERROR(INDEX('01_자재목록'!$D$7:$D$106,MATCH(D13,'01_자재목록'!$B$7:$B$106,0))&amp;"","자재코드 확인"))</f>
        <v/>
      </c>
      <c r="F13" s="19" t="n"/>
      <c r="G13" s="19" t="n"/>
      <c r="H13" s="30" t="n"/>
      <c r="I13" s="30" t="n"/>
      <c r="J13" s="23">
        <f>IF(D13="","",IFERROR(INDEX('01_자재목록'!$I$7:$I$106,MATCH(D13,'01_자재목록'!$B$7:$B$106,0))&amp;"","자재코드 확인"))</f>
        <v/>
      </c>
      <c r="K13" s="31">
        <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f>
        <v/>
      </c>
      <c r="L13" s="19" t="n"/>
      <c r="M13" s="19" t="n"/>
      <c r="N13" s="19" t="n"/>
      <c r="O13" s="27">
        <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f>
        <v/>
      </c>
    </row>
    <row r="14" ht="24" customHeight="1">
      <c r="A14" s="18" t="n">
        <v>8</v>
      </c>
      <c r="B14" s="32" t="n"/>
      <c r="C14" s="19" t="n"/>
      <c r="D14" s="19" t="n"/>
      <c r="E14" s="23">
        <f>IF(D14="","",IFERROR(INDEX('01_자재목록'!$D$7:$D$106,MATCH(D14,'01_자재목록'!$B$7:$B$106,0))&amp;"","자재코드 확인"))</f>
        <v/>
      </c>
      <c r="F14" s="19" t="n"/>
      <c r="G14" s="19" t="n"/>
      <c r="H14" s="30" t="n"/>
      <c r="I14" s="30" t="n"/>
      <c r="J14" s="23">
        <f>IF(D14="","",IFERROR(INDEX('01_자재목록'!$I$7:$I$106,MATCH(D14,'01_자재목록'!$B$7:$B$106,0))&amp;"","자재코드 확인"))</f>
        <v/>
      </c>
      <c r="K14" s="31">
        <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f>
        <v/>
      </c>
      <c r="L14" s="19" t="n"/>
      <c r="M14" s="19" t="n"/>
      <c r="N14" s="19" t="n"/>
      <c r="O14" s="27">
        <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f>
        <v/>
      </c>
    </row>
    <row r="15" ht="24" customHeight="1">
      <c r="A15" s="18" t="n">
        <v>9</v>
      </c>
      <c r="B15" s="32" t="n"/>
      <c r="C15" s="19" t="n"/>
      <c r="D15" s="19" t="n"/>
      <c r="E15" s="23">
        <f>IF(D15="","",IFERROR(INDEX('01_자재목록'!$D$7:$D$106,MATCH(D15,'01_자재목록'!$B$7:$B$106,0))&amp;"","자재코드 확인"))</f>
        <v/>
      </c>
      <c r="F15" s="19" t="n"/>
      <c r="G15" s="19" t="n"/>
      <c r="H15" s="30" t="n"/>
      <c r="I15" s="30" t="n"/>
      <c r="J15" s="23">
        <f>IF(D15="","",IFERROR(INDEX('01_자재목록'!$I$7:$I$106,MATCH(D15,'01_자재목록'!$B$7:$B$106,0))&amp;"","자재코드 확인"))</f>
        <v/>
      </c>
      <c r="K15" s="31">
        <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f>
        <v/>
      </c>
      <c r="L15" s="19" t="n"/>
      <c r="M15" s="19" t="n"/>
      <c r="N15" s="19" t="n"/>
      <c r="O15" s="27">
        <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f>
        <v/>
      </c>
    </row>
    <row r="16" ht="24" customHeight="1">
      <c r="A16" s="18" t="n">
        <v>10</v>
      </c>
      <c r="B16" s="32" t="n"/>
      <c r="C16" s="19" t="n"/>
      <c r="D16" s="19" t="n"/>
      <c r="E16" s="23">
        <f>IF(D16="","",IFERROR(INDEX('01_자재목록'!$D$7:$D$106,MATCH(D16,'01_자재목록'!$B$7:$B$106,0))&amp;"","자재코드 확인"))</f>
        <v/>
      </c>
      <c r="F16" s="19" t="n"/>
      <c r="G16" s="19" t="n"/>
      <c r="H16" s="30" t="n"/>
      <c r="I16" s="30" t="n"/>
      <c r="J16" s="23">
        <f>IF(D16="","",IFERROR(INDEX('01_자재목록'!$I$7:$I$106,MATCH(D16,'01_자재목록'!$B$7:$B$106,0))&amp;"","자재코드 확인"))</f>
        <v/>
      </c>
      <c r="K16" s="31">
        <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f>
        <v/>
      </c>
      <c r="L16" s="19" t="n"/>
      <c r="M16" s="19" t="n"/>
      <c r="N16" s="19" t="n"/>
      <c r="O16" s="27">
        <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f>
        <v/>
      </c>
    </row>
    <row r="17" ht="24" customHeight="1">
      <c r="A17" s="18" t="n">
        <v>11</v>
      </c>
      <c r="B17" s="32" t="n"/>
      <c r="C17" s="19" t="n"/>
      <c r="D17" s="19" t="n"/>
      <c r="E17" s="23">
        <f>IF(D17="","",IFERROR(INDEX('01_자재목록'!$D$7:$D$106,MATCH(D17,'01_자재목록'!$B$7:$B$106,0))&amp;"","자재코드 확인"))</f>
        <v/>
      </c>
      <c r="F17" s="19" t="n"/>
      <c r="G17" s="19" t="n"/>
      <c r="H17" s="30" t="n"/>
      <c r="I17" s="30" t="n"/>
      <c r="J17" s="23">
        <f>IF(D17="","",IFERROR(INDEX('01_자재목록'!$I$7:$I$106,MATCH(D17,'01_자재목록'!$B$7:$B$106,0))&amp;"","자재코드 확인"))</f>
        <v/>
      </c>
      <c r="K17" s="31">
        <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f>
        <v/>
      </c>
      <c r="L17" s="19" t="n"/>
      <c r="M17" s="19" t="n"/>
      <c r="N17" s="19" t="n"/>
      <c r="O17" s="27">
        <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f>
        <v/>
      </c>
    </row>
    <row r="18" ht="24" customHeight="1">
      <c r="A18" s="18" t="n">
        <v>12</v>
      </c>
      <c r="B18" s="32" t="n"/>
      <c r="C18" s="19" t="n"/>
      <c r="D18" s="19" t="n"/>
      <c r="E18" s="23">
        <f>IF(D18="","",IFERROR(INDEX('01_자재목록'!$D$7:$D$106,MATCH(D18,'01_자재목록'!$B$7:$B$106,0))&amp;"","자재코드 확인"))</f>
        <v/>
      </c>
      <c r="F18" s="19" t="n"/>
      <c r="G18" s="19" t="n"/>
      <c r="H18" s="30" t="n"/>
      <c r="I18" s="30" t="n"/>
      <c r="J18" s="23">
        <f>IF(D18="","",IFERROR(INDEX('01_자재목록'!$I$7:$I$106,MATCH(D18,'01_자재목록'!$B$7:$B$106,0))&amp;"","자재코드 확인"))</f>
        <v/>
      </c>
      <c r="K18" s="31">
        <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f>
        <v/>
      </c>
      <c r="L18" s="19" t="n"/>
      <c r="M18" s="19" t="n"/>
      <c r="N18" s="19" t="n"/>
      <c r="O18" s="27">
        <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f>
        <v/>
      </c>
    </row>
    <row r="19" ht="24" customHeight="1">
      <c r="A19" s="18" t="n">
        <v>13</v>
      </c>
      <c r="B19" s="32" t="n"/>
      <c r="C19" s="19" t="n"/>
      <c r="D19" s="19" t="n"/>
      <c r="E19" s="23">
        <f>IF(D19="","",IFERROR(INDEX('01_자재목록'!$D$7:$D$106,MATCH(D19,'01_자재목록'!$B$7:$B$106,0))&amp;"","자재코드 확인"))</f>
        <v/>
      </c>
      <c r="F19" s="19" t="n"/>
      <c r="G19" s="19" t="n"/>
      <c r="H19" s="30" t="n"/>
      <c r="I19" s="30" t="n"/>
      <c r="J19" s="23">
        <f>IF(D19="","",IFERROR(INDEX('01_자재목록'!$I$7:$I$106,MATCH(D19,'01_자재목록'!$B$7:$B$106,0))&amp;"","자재코드 확인"))</f>
        <v/>
      </c>
      <c r="K19" s="31">
        <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f>
        <v/>
      </c>
      <c r="L19" s="19" t="n"/>
      <c r="M19" s="19" t="n"/>
      <c r="N19" s="19" t="n"/>
      <c r="O19" s="27">
        <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f>
        <v/>
      </c>
    </row>
    <row r="20" ht="24" customHeight="1">
      <c r="A20" s="18" t="n">
        <v>14</v>
      </c>
      <c r="B20" s="32" t="n"/>
      <c r="C20" s="19" t="n"/>
      <c r="D20" s="19" t="n"/>
      <c r="E20" s="23">
        <f>IF(D20="","",IFERROR(INDEX('01_자재목록'!$D$7:$D$106,MATCH(D20,'01_자재목록'!$B$7:$B$106,0))&amp;"","자재코드 확인"))</f>
        <v/>
      </c>
      <c r="F20" s="19" t="n"/>
      <c r="G20" s="19" t="n"/>
      <c r="H20" s="30" t="n"/>
      <c r="I20" s="30" t="n"/>
      <c r="J20" s="23">
        <f>IF(D20="","",IFERROR(INDEX('01_자재목록'!$I$7:$I$106,MATCH(D20,'01_자재목록'!$B$7:$B$106,0))&amp;"","자재코드 확인"))</f>
        <v/>
      </c>
      <c r="K20" s="31">
        <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f>
        <v/>
      </c>
      <c r="L20" s="19" t="n"/>
      <c r="M20" s="19" t="n"/>
      <c r="N20" s="19" t="n"/>
      <c r="O20" s="27">
        <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f>
        <v/>
      </c>
    </row>
    <row r="21" ht="24" customHeight="1">
      <c r="A21" s="18" t="n">
        <v>15</v>
      </c>
      <c r="B21" s="32" t="n"/>
      <c r="C21" s="19" t="n"/>
      <c r="D21" s="19" t="n"/>
      <c r="E21" s="23">
        <f>IF(D21="","",IFERROR(INDEX('01_자재목록'!$D$7:$D$106,MATCH(D21,'01_자재목록'!$B$7:$B$106,0))&amp;"","자재코드 확인"))</f>
        <v/>
      </c>
      <c r="F21" s="19" t="n"/>
      <c r="G21" s="19" t="n"/>
      <c r="H21" s="30" t="n"/>
      <c r="I21" s="30" t="n"/>
      <c r="J21" s="23">
        <f>IF(D21="","",IFERROR(INDEX('01_자재목록'!$I$7:$I$106,MATCH(D21,'01_자재목록'!$B$7:$B$106,0))&amp;"","자재코드 확인"))</f>
        <v/>
      </c>
      <c r="K21" s="31">
        <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f>
        <v/>
      </c>
      <c r="L21" s="19" t="n"/>
      <c r="M21" s="19" t="n"/>
      <c r="N21" s="19" t="n"/>
      <c r="O21" s="27">
        <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f>
        <v/>
      </c>
    </row>
    <row r="22" ht="24" customHeight="1">
      <c r="A22" s="18" t="n">
        <v>16</v>
      </c>
      <c r="B22" s="32" t="n"/>
      <c r="C22" s="19" t="n"/>
      <c r="D22" s="19" t="n"/>
      <c r="E22" s="23">
        <f>IF(D22="","",IFERROR(INDEX('01_자재목록'!$D$7:$D$106,MATCH(D22,'01_자재목록'!$B$7:$B$106,0))&amp;"","자재코드 확인"))</f>
        <v/>
      </c>
      <c r="F22" s="19" t="n"/>
      <c r="G22" s="19" t="n"/>
      <c r="H22" s="30" t="n"/>
      <c r="I22" s="30" t="n"/>
      <c r="J22" s="23">
        <f>IF(D22="","",IFERROR(INDEX('01_자재목록'!$I$7:$I$106,MATCH(D22,'01_자재목록'!$B$7:$B$106,0))&amp;"","자재코드 확인"))</f>
        <v/>
      </c>
      <c r="K22" s="31">
        <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f>
        <v/>
      </c>
      <c r="L22" s="19" t="n"/>
      <c r="M22" s="19" t="n"/>
      <c r="N22" s="19" t="n"/>
      <c r="O22" s="27">
        <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f>
        <v/>
      </c>
    </row>
    <row r="23" ht="24" customHeight="1">
      <c r="A23" s="18" t="n">
        <v>17</v>
      </c>
      <c r="B23" s="32" t="n"/>
      <c r="C23" s="19" t="n"/>
      <c r="D23" s="19" t="n"/>
      <c r="E23" s="23">
        <f>IF(D23="","",IFERROR(INDEX('01_자재목록'!$D$7:$D$106,MATCH(D23,'01_자재목록'!$B$7:$B$106,0))&amp;"","자재코드 확인"))</f>
        <v/>
      </c>
      <c r="F23" s="19" t="n"/>
      <c r="G23" s="19" t="n"/>
      <c r="H23" s="30" t="n"/>
      <c r="I23" s="30" t="n"/>
      <c r="J23" s="23">
        <f>IF(D23="","",IFERROR(INDEX('01_자재목록'!$I$7:$I$106,MATCH(D23,'01_자재목록'!$B$7:$B$106,0))&amp;"","자재코드 확인"))</f>
        <v/>
      </c>
      <c r="K23" s="31">
        <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f>
        <v/>
      </c>
      <c r="L23" s="19" t="n"/>
      <c r="M23" s="19" t="n"/>
      <c r="N23" s="19" t="n"/>
      <c r="O23" s="27">
        <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f>
        <v/>
      </c>
    </row>
    <row r="24" ht="24" customHeight="1">
      <c r="A24" s="18" t="n">
        <v>18</v>
      </c>
      <c r="B24" s="32" t="n"/>
      <c r="C24" s="19" t="n"/>
      <c r="D24" s="19" t="n"/>
      <c r="E24" s="23">
        <f>IF(D24="","",IFERROR(INDEX('01_자재목록'!$D$7:$D$106,MATCH(D24,'01_자재목록'!$B$7:$B$106,0))&amp;"","자재코드 확인"))</f>
        <v/>
      </c>
      <c r="F24" s="19" t="n"/>
      <c r="G24" s="19" t="n"/>
      <c r="H24" s="30" t="n"/>
      <c r="I24" s="30" t="n"/>
      <c r="J24" s="23">
        <f>IF(D24="","",IFERROR(INDEX('01_자재목록'!$I$7:$I$106,MATCH(D24,'01_자재목록'!$B$7:$B$106,0))&amp;"","자재코드 확인"))</f>
        <v/>
      </c>
      <c r="K24" s="31">
        <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f>
        <v/>
      </c>
      <c r="L24" s="19" t="n"/>
      <c r="M24" s="19" t="n"/>
      <c r="N24" s="19" t="n"/>
      <c r="O24" s="27">
        <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f>
        <v/>
      </c>
    </row>
    <row r="25" ht="24" customHeight="1">
      <c r="A25" s="18" t="n">
        <v>19</v>
      </c>
      <c r="B25" s="32" t="n"/>
      <c r="C25" s="19" t="n"/>
      <c r="D25" s="19" t="n"/>
      <c r="E25" s="23">
        <f>IF(D25="","",IFERROR(INDEX('01_자재목록'!$D$7:$D$106,MATCH(D25,'01_자재목록'!$B$7:$B$106,0))&amp;"","자재코드 확인"))</f>
        <v/>
      </c>
      <c r="F25" s="19" t="n"/>
      <c r="G25" s="19" t="n"/>
      <c r="H25" s="30" t="n"/>
      <c r="I25" s="30" t="n"/>
      <c r="J25" s="23">
        <f>IF(D25="","",IFERROR(INDEX('01_자재목록'!$I$7:$I$106,MATCH(D25,'01_자재목록'!$B$7:$B$106,0))&amp;"","자재코드 확인"))</f>
        <v/>
      </c>
      <c r="K25" s="31">
        <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f>
        <v/>
      </c>
      <c r="L25" s="19" t="n"/>
      <c r="M25" s="19" t="n"/>
      <c r="N25" s="19" t="n"/>
      <c r="O25" s="27">
        <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f>
        <v/>
      </c>
    </row>
    <row r="26" ht="24" customHeight="1">
      <c r="A26" s="18" t="n">
        <v>20</v>
      </c>
      <c r="B26" s="32" t="n"/>
      <c r="C26" s="19" t="n"/>
      <c r="D26" s="19" t="n"/>
      <c r="E26" s="23">
        <f>IF(D26="","",IFERROR(INDEX('01_자재목록'!$D$7:$D$106,MATCH(D26,'01_자재목록'!$B$7:$B$106,0))&amp;"","자재코드 확인"))</f>
        <v/>
      </c>
      <c r="F26" s="19" t="n"/>
      <c r="G26" s="19" t="n"/>
      <c r="H26" s="30" t="n"/>
      <c r="I26" s="30" t="n"/>
      <c r="J26" s="23">
        <f>IF(D26="","",IFERROR(INDEX('01_자재목록'!$I$7:$I$106,MATCH(D26,'01_자재목록'!$B$7:$B$106,0))&amp;"","자재코드 확인"))</f>
        <v/>
      </c>
      <c r="K26" s="31">
        <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f>
        <v/>
      </c>
      <c r="L26" s="19" t="n"/>
      <c r="M26" s="19" t="n"/>
      <c r="N26" s="19" t="n"/>
      <c r="O26" s="27">
        <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f>
        <v/>
      </c>
    </row>
    <row r="27" ht="24" customHeight="1">
      <c r="A27" s="18" t="n">
        <v>21</v>
      </c>
      <c r="B27" s="32" t="n"/>
      <c r="C27" s="19" t="n"/>
      <c r="D27" s="19" t="n"/>
      <c r="E27" s="23">
        <f>IF(D27="","",IFERROR(INDEX('01_자재목록'!$D$7:$D$106,MATCH(D27,'01_자재목록'!$B$7:$B$106,0))&amp;"","자재코드 확인"))</f>
        <v/>
      </c>
      <c r="F27" s="19" t="n"/>
      <c r="G27" s="19" t="n"/>
      <c r="H27" s="30" t="n"/>
      <c r="I27" s="30" t="n"/>
      <c r="J27" s="23">
        <f>IF(D27="","",IFERROR(INDEX('01_자재목록'!$I$7:$I$106,MATCH(D27,'01_자재목록'!$B$7:$B$106,0))&amp;"","자재코드 확인"))</f>
        <v/>
      </c>
      <c r="K27" s="31">
        <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f>
        <v/>
      </c>
      <c r="L27" s="19" t="n"/>
      <c r="M27" s="19" t="n"/>
      <c r="N27" s="19" t="n"/>
      <c r="O27" s="27">
        <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f>
        <v/>
      </c>
    </row>
    <row r="28" ht="24" customHeight="1">
      <c r="A28" s="18" t="n">
        <v>22</v>
      </c>
      <c r="B28" s="32" t="n"/>
      <c r="C28" s="19" t="n"/>
      <c r="D28" s="19" t="n"/>
      <c r="E28" s="23">
        <f>IF(D28="","",IFERROR(INDEX('01_자재목록'!$D$7:$D$106,MATCH(D28,'01_자재목록'!$B$7:$B$106,0))&amp;"","자재코드 확인"))</f>
        <v/>
      </c>
      <c r="F28" s="19" t="n"/>
      <c r="G28" s="19" t="n"/>
      <c r="H28" s="30" t="n"/>
      <c r="I28" s="30" t="n"/>
      <c r="J28" s="23">
        <f>IF(D28="","",IFERROR(INDEX('01_자재목록'!$I$7:$I$106,MATCH(D28,'01_자재목록'!$B$7:$B$106,0))&amp;"","자재코드 확인"))</f>
        <v/>
      </c>
      <c r="K28" s="31">
        <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f>
        <v/>
      </c>
      <c r="L28" s="19" t="n"/>
      <c r="M28" s="19" t="n"/>
      <c r="N28" s="19" t="n"/>
      <c r="O28" s="27">
        <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f>
        <v/>
      </c>
    </row>
    <row r="29" ht="24" customHeight="1">
      <c r="A29" s="18" t="n">
        <v>23</v>
      </c>
      <c r="B29" s="32" t="n"/>
      <c r="C29" s="19" t="n"/>
      <c r="D29" s="19" t="n"/>
      <c r="E29" s="23">
        <f>IF(D29="","",IFERROR(INDEX('01_자재목록'!$D$7:$D$106,MATCH(D29,'01_자재목록'!$B$7:$B$106,0))&amp;"","자재코드 확인"))</f>
        <v/>
      </c>
      <c r="F29" s="19" t="n"/>
      <c r="G29" s="19" t="n"/>
      <c r="H29" s="30" t="n"/>
      <c r="I29" s="30" t="n"/>
      <c r="J29" s="23">
        <f>IF(D29="","",IFERROR(INDEX('01_자재목록'!$I$7:$I$106,MATCH(D29,'01_자재목록'!$B$7:$B$106,0))&amp;"","자재코드 확인"))</f>
        <v/>
      </c>
      <c r="K29" s="31">
        <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f>
        <v/>
      </c>
      <c r="L29" s="19" t="n"/>
      <c r="M29" s="19" t="n"/>
      <c r="N29" s="19" t="n"/>
      <c r="O29" s="27">
        <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f>
        <v/>
      </c>
    </row>
    <row r="30" ht="24" customHeight="1">
      <c r="A30" s="18" t="n">
        <v>24</v>
      </c>
      <c r="B30" s="32" t="n"/>
      <c r="C30" s="19" t="n"/>
      <c r="D30" s="19" t="n"/>
      <c r="E30" s="23">
        <f>IF(D30="","",IFERROR(INDEX('01_자재목록'!$D$7:$D$106,MATCH(D30,'01_자재목록'!$B$7:$B$106,0))&amp;"","자재코드 확인"))</f>
        <v/>
      </c>
      <c r="F30" s="19" t="n"/>
      <c r="G30" s="19" t="n"/>
      <c r="H30" s="30" t="n"/>
      <c r="I30" s="30" t="n"/>
      <c r="J30" s="23">
        <f>IF(D30="","",IFERROR(INDEX('01_자재목록'!$I$7:$I$106,MATCH(D30,'01_자재목록'!$B$7:$B$106,0))&amp;"","자재코드 확인"))</f>
        <v/>
      </c>
      <c r="K30" s="31">
        <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f>
        <v/>
      </c>
      <c r="L30" s="19" t="n"/>
      <c r="M30" s="19" t="n"/>
      <c r="N30" s="19" t="n"/>
      <c r="O30" s="27">
        <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f>
        <v/>
      </c>
    </row>
    <row r="31" ht="24" customHeight="1">
      <c r="A31" s="18" t="n">
        <v>25</v>
      </c>
      <c r="B31" s="32" t="n"/>
      <c r="C31" s="19" t="n"/>
      <c r="D31" s="19" t="n"/>
      <c r="E31" s="23">
        <f>IF(D31="","",IFERROR(INDEX('01_자재목록'!$D$7:$D$106,MATCH(D31,'01_자재목록'!$B$7:$B$106,0))&amp;"","자재코드 확인"))</f>
        <v/>
      </c>
      <c r="F31" s="19" t="n"/>
      <c r="G31" s="19" t="n"/>
      <c r="H31" s="30" t="n"/>
      <c r="I31" s="30" t="n"/>
      <c r="J31" s="23">
        <f>IF(D31="","",IFERROR(INDEX('01_자재목록'!$I$7:$I$106,MATCH(D31,'01_자재목록'!$B$7:$B$106,0))&amp;"","자재코드 확인"))</f>
        <v/>
      </c>
      <c r="K31" s="31">
        <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f>
        <v/>
      </c>
      <c r="L31" s="19" t="n"/>
      <c r="M31" s="19" t="n"/>
      <c r="N31" s="19" t="n"/>
      <c r="O31" s="27">
        <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f>
        <v/>
      </c>
    </row>
    <row r="32" ht="24" customHeight="1">
      <c r="A32" s="18" t="n">
        <v>26</v>
      </c>
      <c r="B32" s="32" t="n"/>
      <c r="C32" s="19" t="n"/>
      <c r="D32" s="19" t="n"/>
      <c r="E32" s="23">
        <f>IF(D32="","",IFERROR(INDEX('01_자재목록'!$D$7:$D$106,MATCH(D32,'01_자재목록'!$B$7:$B$106,0))&amp;"","자재코드 확인"))</f>
        <v/>
      </c>
      <c r="F32" s="19" t="n"/>
      <c r="G32" s="19" t="n"/>
      <c r="H32" s="30" t="n"/>
      <c r="I32" s="30" t="n"/>
      <c r="J32" s="23">
        <f>IF(D32="","",IFERROR(INDEX('01_자재목록'!$I$7:$I$106,MATCH(D32,'01_자재목록'!$B$7:$B$106,0))&amp;"","자재코드 확인"))</f>
        <v/>
      </c>
      <c r="K32" s="31">
        <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f>
        <v/>
      </c>
      <c r="L32" s="19" t="n"/>
      <c r="M32" s="19" t="n"/>
      <c r="N32" s="19" t="n"/>
      <c r="O32" s="27">
        <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f>
        <v/>
      </c>
    </row>
    <row r="33" ht="24" customHeight="1">
      <c r="A33" s="18" t="n">
        <v>27</v>
      </c>
      <c r="B33" s="32" t="n"/>
      <c r="C33" s="19" t="n"/>
      <c r="D33" s="19" t="n"/>
      <c r="E33" s="23">
        <f>IF(D33="","",IFERROR(INDEX('01_자재목록'!$D$7:$D$106,MATCH(D33,'01_자재목록'!$B$7:$B$106,0))&amp;"","자재코드 확인"))</f>
        <v/>
      </c>
      <c r="F33" s="19" t="n"/>
      <c r="G33" s="19" t="n"/>
      <c r="H33" s="30" t="n"/>
      <c r="I33" s="30" t="n"/>
      <c r="J33" s="23">
        <f>IF(D33="","",IFERROR(INDEX('01_자재목록'!$I$7:$I$106,MATCH(D33,'01_자재목록'!$B$7:$B$106,0))&amp;"","자재코드 확인"))</f>
        <v/>
      </c>
      <c r="K33" s="31">
        <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f>
        <v/>
      </c>
      <c r="L33" s="19" t="n"/>
      <c r="M33" s="19" t="n"/>
      <c r="N33" s="19" t="n"/>
      <c r="O33" s="27">
        <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f>
        <v/>
      </c>
    </row>
    <row r="34" ht="24" customHeight="1">
      <c r="A34" s="18" t="n">
        <v>28</v>
      </c>
      <c r="B34" s="32" t="n"/>
      <c r="C34" s="19" t="n"/>
      <c r="D34" s="19" t="n"/>
      <c r="E34" s="23">
        <f>IF(D34="","",IFERROR(INDEX('01_자재목록'!$D$7:$D$106,MATCH(D34,'01_자재목록'!$B$7:$B$106,0))&amp;"","자재코드 확인"))</f>
        <v/>
      </c>
      <c r="F34" s="19" t="n"/>
      <c r="G34" s="19" t="n"/>
      <c r="H34" s="30" t="n"/>
      <c r="I34" s="30" t="n"/>
      <c r="J34" s="23">
        <f>IF(D34="","",IFERROR(INDEX('01_자재목록'!$I$7:$I$106,MATCH(D34,'01_자재목록'!$B$7:$B$106,0))&amp;"","자재코드 확인"))</f>
        <v/>
      </c>
      <c r="K34" s="31">
        <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f>
        <v/>
      </c>
      <c r="L34" s="19" t="n"/>
      <c r="M34" s="19" t="n"/>
      <c r="N34" s="19" t="n"/>
      <c r="O34" s="27">
        <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f>
        <v/>
      </c>
    </row>
    <row r="35" ht="24" customHeight="1">
      <c r="A35" s="18" t="n">
        <v>29</v>
      </c>
      <c r="B35" s="32" t="n"/>
      <c r="C35" s="19" t="n"/>
      <c r="D35" s="19" t="n"/>
      <c r="E35" s="23">
        <f>IF(D35="","",IFERROR(INDEX('01_자재목록'!$D$7:$D$106,MATCH(D35,'01_자재목록'!$B$7:$B$106,0))&amp;"","자재코드 확인"))</f>
        <v/>
      </c>
      <c r="F35" s="19" t="n"/>
      <c r="G35" s="19" t="n"/>
      <c r="H35" s="30" t="n"/>
      <c r="I35" s="30" t="n"/>
      <c r="J35" s="23">
        <f>IF(D35="","",IFERROR(INDEX('01_자재목록'!$I$7:$I$106,MATCH(D35,'01_자재목록'!$B$7:$B$106,0))&amp;"","자재코드 확인"))</f>
        <v/>
      </c>
      <c r="K35" s="31">
        <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f>
        <v/>
      </c>
      <c r="L35" s="19" t="n"/>
      <c r="M35" s="19" t="n"/>
      <c r="N35" s="19" t="n"/>
      <c r="O35" s="27">
        <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f>
        <v/>
      </c>
    </row>
    <row r="36" ht="24" customHeight="1">
      <c r="A36" s="18" t="n">
        <v>30</v>
      </c>
      <c r="B36" s="32" t="n"/>
      <c r="C36" s="19" t="n"/>
      <c r="D36" s="19" t="n"/>
      <c r="E36" s="23">
        <f>IF(D36="","",IFERROR(INDEX('01_자재목록'!$D$7:$D$106,MATCH(D36,'01_자재목록'!$B$7:$B$106,0))&amp;"","자재코드 확인"))</f>
        <v/>
      </c>
      <c r="F36" s="19" t="n"/>
      <c r="G36" s="19" t="n"/>
      <c r="H36" s="30" t="n"/>
      <c r="I36" s="30" t="n"/>
      <c r="J36" s="23">
        <f>IF(D36="","",IFERROR(INDEX('01_자재목록'!$I$7:$I$106,MATCH(D36,'01_자재목록'!$B$7:$B$106,0))&amp;"","자재코드 확인"))</f>
        <v/>
      </c>
      <c r="K36" s="31">
        <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f>
        <v/>
      </c>
      <c r="L36" s="19" t="n"/>
      <c r="M36" s="19" t="n"/>
      <c r="N36" s="19" t="n"/>
      <c r="O36" s="27">
        <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f>
        <v/>
      </c>
    </row>
    <row r="37" ht="24" customHeight="1">
      <c r="A37" s="18" t="n">
        <v>31</v>
      </c>
      <c r="B37" s="32" t="n"/>
      <c r="C37" s="19" t="n"/>
      <c r="D37" s="19" t="n"/>
      <c r="E37" s="23">
        <f>IF(D37="","",IFERROR(INDEX('01_자재목록'!$D$7:$D$106,MATCH(D37,'01_자재목록'!$B$7:$B$106,0))&amp;"","자재코드 확인"))</f>
        <v/>
      </c>
      <c r="F37" s="19" t="n"/>
      <c r="G37" s="19" t="n"/>
      <c r="H37" s="30" t="n"/>
      <c r="I37" s="30" t="n"/>
      <c r="J37" s="23">
        <f>IF(D37="","",IFERROR(INDEX('01_자재목록'!$I$7:$I$106,MATCH(D37,'01_자재목록'!$B$7:$B$106,0))&amp;"","자재코드 확인"))</f>
        <v/>
      </c>
      <c r="K37" s="31">
        <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f>
        <v/>
      </c>
      <c r="L37" s="19" t="n"/>
      <c r="M37" s="19" t="n"/>
      <c r="N37" s="19" t="n"/>
      <c r="O37" s="27">
        <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f>
        <v/>
      </c>
    </row>
    <row r="38" ht="24" customHeight="1">
      <c r="A38" s="18" t="n">
        <v>32</v>
      </c>
      <c r="B38" s="32" t="n"/>
      <c r="C38" s="19" t="n"/>
      <c r="D38" s="19" t="n"/>
      <c r="E38" s="23">
        <f>IF(D38="","",IFERROR(INDEX('01_자재목록'!$D$7:$D$106,MATCH(D38,'01_자재목록'!$B$7:$B$106,0))&amp;"","자재코드 확인"))</f>
        <v/>
      </c>
      <c r="F38" s="19" t="n"/>
      <c r="G38" s="19" t="n"/>
      <c r="H38" s="30" t="n"/>
      <c r="I38" s="30" t="n"/>
      <c r="J38" s="23">
        <f>IF(D38="","",IFERROR(INDEX('01_자재목록'!$I$7:$I$106,MATCH(D38,'01_자재목록'!$B$7:$B$106,0))&amp;"","자재코드 확인"))</f>
        <v/>
      </c>
      <c r="K38" s="31">
        <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f>
        <v/>
      </c>
      <c r="L38" s="19" t="n"/>
      <c r="M38" s="19" t="n"/>
      <c r="N38" s="19" t="n"/>
      <c r="O38" s="27">
        <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f>
        <v/>
      </c>
    </row>
    <row r="39" ht="24" customHeight="1">
      <c r="A39" s="18" t="n">
        <v>33</v>
      </c>
      <c r="B39" s="32" t="n"/>
      <c r="C39" s="19" t="n"/>
      <c r="D39" s="19" t="n"/>
      <c r="E39" s="23">
        <f>IF(D39="","",IFERROR(INDEX('01_자재목록'!$D$7:$D$106,MATCH(D39,'01_자재목록'!$B$7:$B$106,0))&amp;"","자재코드 확인"))</f>
        <v/>
      </c>
      <c r="F39" s="19" t="n"/>
      <c r="G39" s="19" t="n"/>
      <c r="H39" s="30" t="n"/>
      <c r="I39" s="30" t="n"/>
      <c r="J39" s="23">
        <f>IF(D39="","",IFERROR(INDEX('01_자재목록'!$I$7:$I$106,MATCH(D39,'01_자재목록'!$B$7:$B$106,0))&amp;"","자재코드 확인"))</f>
        <v/>
      </c>
      <c r="K39" s="31">
        <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f>
        <v/>
      </c>
      <c r="L39" s="19" t="n"/>
      <c r="M39" s="19" t="n"/>
      <c r="N39" s="19" t="n"/>
      <c r="O39" s="27">
        <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f>
        <v/>
      </c>
    </row>
    <row r="40" ht="24" customHeight="1">
      <c r="A40" s="18" t="n">
        <v>34</v>
      </c>
      <c r="B40" s="32" t="n"/>
      <c r="C40" s="19" t="n"/>
      <c r="D40" s="19" t="n"/>
      <c r="E40" s="23">
        <f>IF(D40="","",IFERROR(INDEX('01_자재목록'!$D$7:$D$106,MATCH(D40,'01_자재목록'!$B$7:$B$106,0))&amp;"","자재코드 확인"))</f>
        <v/>
      </c>
      <c r="F40" s="19" t="n"/>
      <c r="G40" s="19" t="n"/>
      <c r="H40" s="30" t="n"/>
      <c r="I40" s="30" t="n"/>
      <c r="J40" s="23">
        <f>IF(D40="","",IFERROR(INDEX('01_자재목록'!$I$7:$I$106,MATCH(D40,'01_자재목록'!$B$7:$B$106,0))&amp;"","자재코드 확인"))</f>
        <v/>
      </c>
      <c r="K40" s="31">
        <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f>
        <v/>
      </c>
      <c r="L40" s="19" t="n"/>
      <c r="M40" s="19" t="n"/>
      <c r="N40" s="19" t="n"/>
      <c r="O40" s="27">
        <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f>
        <v/>
      </c>
    </row>
    <row r="41" ht="24" customHeight="1">
      <c r="A41" s="18" t="n">
        <v>35</v>
      </c>
      <c r="B41" s="32" t="n"/>
      <c r="C41" s="19" t="n"/>
      <c r="D41" s="19" t="n"/>
      <c r="E41" s="23">
        <f>IF(D41="","",IFERROR(INDEX('01_자재목록'!$D$7:$D$106,MATCH(D41,'01_자재목록'!$B$7:$B$106,0))&amp;"","자재코드 확인"))</f>
        <v/>
      </c>
      <c r="F41" s="19" t="n"/>
      <c r="G41" s="19" t="n"/>
      <c r="H41" s="30" t="n"/>
      <c r="I41" s="30" t="n"/>
      <c r="J41" s="23">
        <f>IF(D41="","",IFERROR(INDEX('01_자재목록'!$I$7:$I$106,MATCH(D41,'01_자재목록'!$B$7:$B$106,0))&amp;"","자재코드 확인"))</f>
        <v/>
      </c>
      <c r="K41" s="31">
        <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f>
        <v/>
      </c>
      <c r="L41" s="19" t="n"/>
      <c r="M41" s="19" t="n"/>
      <c r="N41" s="19" t="n"/>
      <c r="O41" s="27">
        <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f>
        <v/>
      </c>
    </row>
    <row r="42" ht="24" customHeight="1">
      <c r="A42" s="18" t="n">
        <v>36</v>
      </c>
      <c r="B42" s="32" t="n"/>
      <c r="C42" s="19" t="n"/>
      <c r="D42" s="19" t="n"/>
      <c r="E42" s="23">
        <f>IF(D42="","",IFERROR(INDEX('01_자재목록'!$D$7:$D$106,MATCH(D42,'01_자재목록'!$B$7:$B$106,0))&amp;"","자재코드 확인"))</f>
        <v/>
      </c>
      <c r="F42" s="19" t="n"/>
      <c r="G42" s="19" t="n"/>
      <c r="H42" s="30" t="n"/>
      <c r="I42" s="30" t="n"/>
      <c r="J42" s="23">
        <f>IF(D42="","",IFERROR(INDEX('01_자재목록'!$I$7:$I$106,MATCH(D42,'01_자재목록'!$B$7:$B$106,0))&amp;"","자재코드 확인"))</f>
        <v/>
      </c>
      <c r="K42" s="31">
        <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f>
        <v/>
      </c>
      <c r="L42" s="19" t="n"/>
      <c r="M42" s="19" t="n"/>
      <c r="N42" s="19" t="n"/>
      <c r="O42" s="27">
        <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f>
        <v/>
      </c>
    </row>
    <row r="43" ht="24" customHeight="1">
      <c r="A43" s="18" t="n">
        <v>37</v>
      </c>
      <c r="B43" s="32" t="n"/>
      <c r="C43" s="19" t="n"/>
      <c r="D43" s="19" t="n"/>
      <c r="E43" s="23">
        <f>IF(D43="","",IFERROR(INDEX('01_자재목록'!$D$7:$D$106,MATCH(D43,'01_자재목록'!$B$7:$B$106,0))&amp;"","자재코드 확인"))</f>
        <v/>
      </c>
      <c r="F43" s="19" t="n"/>
      <c r="G43" s="19" t="n"/>
      <c r="H43" s="30" t="n"/>
      <c r="I43" s="30" t="n"/>
      <c r="J43" s="23">
        <f>IF(D43="","",IFERROR(INDEX('01_자재목록'!$I$7:$I$106,MATCH(D43,'01_자재목록'!$B$7:$B$106,0))&amp;"","자재코드 확인"))</f>
        <v/>
      </c>
      <c r="K43" s="31">
        <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f>
        <v/>
      </c>
      <c r="L43" s="19" t="n"/>
      <c r="M43" s="19" t="n"/>
      <c r="N43" s="19" t="n"/>
      <c r="O43" s="27">
        <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f>
        <v/>
      </c>
    </row>
    <row r="44" ht="24" customHeight="1">
      <c r="A44" s="18" t="n">
        <v>38</v>
      </c>
      <c r="B44" s="32" t="n"/>
      <c r="C44" s="19" t="n"/>
      <c r="D44" s="19" t="n"/>
      <c r="E44" s="23">
        <f>IF(D44="","",IFERROR(INDEX('01_자재목록'!$D$7:$D$106,MATCH(D44,'01_자재목록'!$B$7:$B$106,0))&amp;"","자재코드 확인"))</f>
        <v/>
      </c>
      <c r="F44" s="19" t="n"/>
      <c r="G44" s="19" t="n"/>
      <c r="H44" s="30" t="n"/>
      <c r="I44" s="30" t="n"/>
      <c r="J44" s="23">
        <f>IF(D44="","",IFERROR(INDEX('01_자재목록'!$I$7:$I$106,MATCH(D44,'01_자재목록'!$B$7:$B$106,0))&amp;"","자재코드 확인"))</f>
        <v/>
      </c>
      <c r="K44" s="31">
        <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f>
        <v/>
      </c>
      <c r="L44" s="19" t="n"/>
      <c r="M44" s="19" t="n"/>
      <c r="N44" s="19" t="n"/>
      <c r="O44" s="27">
        <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f>
        <v/>
      </c>
    </row>
    <row r="45" ht="24" customHeight="1">
      <c r="A45" s="18" t="n">
        <v>39</v>
      </c>
      <c r="B45" s="32" t="n"/>
      <c r="C45" s="19" t="n"/>
      <c r="D45" s="19" t="n"/>
      <c r="E45" s="23">
        <f>IF(D45="","",IFERROR(INDEX('01_자재목록'!$D$7:$D$106,MATCH(D45,'01_자재목록'!$B$7:$B$106,0))&amp;"","자재코드 확인"))</f>
        <v/>
      </c>
      <c r="F45" s="19" t="n"/>
      <c r="G45" s="19" t="n"/>
      <c r="H45" s="30" t="n"/>
      <c r="I45" s="30" t="n"/>
      <c r="J45" s="23">
        <f>IF(D45="","",IFERROR(INDEX('01_자재목록'!$I$7:$I$106,MATCH(D45,'01_자재목록'!$B$7:$B$106,0))&amp;"","자재코드 확인"))</f>
        <v/>
      </c>
      <c r="K45" s="31">
        <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f>
        <v/>
      </c>
      <c r="L45" s="19" t="n"/>
      <c r="M45" s="19" t="n"/>
      <c r="N45" s="19" t="n"/>
      <c r="O45" s="27">
        <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f>
        <v/>
      </c>
    </row>
    <row r="46" ht="24" customHeight="1">
      <c r="A46" s="18" t="n">
        <v>40</v>
      </c>
      <c r="B46" s="32" t="n"/>
      <c r="C46" s="19" t="n"/>
      <c r="D46" s="19" t="n"/>
      <c r="E46" s="23">
        <f>IF(D46="","",IFERROR(INDEX('01_자재목록'!$D$7:$D$106,MATCH(D46,'01_자재목록'!$B$7:$B$106,0))&amp;"","자재코드 확인"))</f>
        <v/>
      </c>
      <c r="F46" s="19" t="n"/>
      <c r="G46" s="19" t="n"/>
      <c r="H46" s="30" t="n"/>
      <c r="I46" s="30" t="n"/>
      <c r="J46" s="23">
        <f>IF(D46="","",IFERROR(INDEX('01_자재목록'!$I$7:$I$106,MATCH(D46,'01_자재목록'!$B$7:$B$106,0))&amp;"","자재코드 확인"))</f>
        <v/>
      </c>
      <c r="K46" s="31">
        <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f>
        <v/>
      </c>
      <c r="L46" s="19" t="n"/>
      <c r="M46" s="19" t="n"/>
      <c r="N46" s="19" t="n"/>
      <c r="O46" s="27">
        <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f>
        <v/>
      </c>
    </row>
    <row r="47" ht="24" customHeight="1">
      <c r="A47" s="18" t="n">
        <v>41</v>
      </c>
      <c r="B47" s="32" t="n"/>
      <c r="C47" s="19" t="n"/>
      <c r="D47" s="19" t="n"/>
      <c r="E47" s="23">
        <f>IF(D47="","",IFERROR(INDEX('01_자재목록'!$D$7:$D$106,MATCH(D47,'01_자재목록'!$B$7:$B$106,0))&amp;"","자재코드 확인"))</f>
        <v/>
      </c>
      <c r="F47" s="19" t="n"/>
      <c r="G47" s="19" t="n"/>
      <c r="H47" s="30" t="n"/>
      <c r="I47" s="30" t="n"/>
      <c r="J47" s="23">
        <f>IF(D47="","",IFERROR(INDEX('01_자재목록'!$I$7:$I$106,MATCH(D47,'01_자재목록'!$B$7:$B$106,0))&amp;"","자재코드 확인"))</f>
        <v/>
      </c>
      <c r="K47" s="31">
        <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f>
        <v/>
      </c>
      <c r="L47" s="19" t="n"/>
      <c r="M47" s="19" t="n"/>
      <c r="N47" s="19" t="n"/>
      <c r="O47" s="27">
        <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f>
        <v/>
      </c>
    </row>
    <row r="48" ht="24" customHeight="1">
      <c r="A48" s="18" t="n">
        <v>42</v>
      </c>
      <c r="B48" s="32" t="n"/>
      <c r="C48" s="19" t="n"/>
      <c r="D48" s="19" t="n"/>
      <c r="E48" s="23">
        <f>IF(D48="","",IFERROR(INDEX('01_자재목록'!$D$7:$D$106,MATCH(D48,'01_자재목록'!$B$7:$B$106,0))&amp;"","자재코드 확인"))</f>
        <v/>
      </c>
      <c r="F48" s="19" t="n"/>
      <c r="G48" s="19" t="n"/>
      <c r="H48" s="30" t="n"/>
      <c r="I48" s="30" t="n"/>
      <c r="J48" s="23">
        <f>IF(D48="","",IFERROR(INDEX('01_자재목록'!$I$7:$I$106,MATCH(D48,'01_자재목록'!$B$7:$B$106,0))&amp;"","자재코드 확인"))</f>
        <v/>
      </c>
      <c r="K48" s="31">
        <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f>
        <v/>
      </c>
      <c r="L48" s="19" t="n"/>
      <c r="M48" s="19" t="n"/>
      <c r="N48" s="19" t="n"/>
      <c r="O48" s="27">
        <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f>
        <v/>
      </c>
    </row>
    <row r="49" ht="24" customHeight="1">
      <c r="A49" s="18" t="n">
        <v>43</v>
      </c>
      <c r="B49" s="32" t="n"/>
      <c r="C49" s="19" t="n"/>
      <c r="D49" s="19" t="n"/>
      <c r="E49" s="23">
        <f>IF(D49="","",IFERROR(INDEX('01_자재목록'!$D$7:$D$106,MATCH(D49,'01_자재목록'!$B$7:$B$106,0))&amp;"","자재코드 확인"))</f>
        <v/>
      </c>
      <c r="F49" s="19" t="n"/>
      <c r="G49" s="19" t="n"/>
      <c r="H49" s="30" t="n"/>
      <c r="I49" s="30" t="n"/>
      <c r="J49" s="23">
        <f>IF(D49="","",IFERROR(INDEX('01_자재목록'!$I$7:$I$106,MATCH(D49,'01_자재목록'!$B$7:$B$106,0))&amp;"","자재코드 확인"))</f>
        <v/>
      </c>
      <c r="K49" s="31">
        <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f>
        <v/>
      </c>
      <c r="L49" s="19" t="n"/>
      <c r="M49" s="19" t="n"/>
      <c r="N49" s="19" t="n"/>
      <c r="O49" s="27">
        <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f>
        <v/>
      </c>
    </row>
    <row r="50" ht="24" customHeight="1">
      <c r="A50" s="18" t="n">
        <v>44</v>
      </c>
      <c r="B50" s="32" t="n"/>
      <c r="C50" s="19" t="n"/>
      <c r="D50" s="19" t="n"/>
      <c r="E50" s="23">
        <f>IF(D50="","",IFERROR(INDEX('01_자재목록'!$D$7:$D$106,MATCH(D50,'01_자재목록'!$B$7:$B$106,0))&amp;"","자재코드 확인"))</f>
        <v/>
      </c>
      <c r="F50" s="19" t="n"/>
      <c r="G50" s="19" t="n"/>
      <c r="H50" s="30" t="n"/>
      <c r="I50" s="30" t="n"/>
      <c r="J50" s="23">
        <f>IF(D50="","",IFERROR(INDEX('01_자재목록'!$I$7:$I$106,MATCH(D50,'01_자재목록'!$B$7:$B$106,0))&amp;"","자재코드 확인"))</f>
        <v/>
      </c>
      <c r="K50" s="31">
        <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f>
        <v/>
      </c>
      <c r="L50" s="19" t="n"/>
      <c r="M50" s="19" t="n"/>
      <c r="N50" s="19" t="n"/>
      <c r="O50" s="27">
        <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f>
        <v/>
      </c>
    </row>
    <row r="51" ht="24" customHeight="1">
      <c r="A51" s="18" t="n">
        <v>45</v>
      </c>
      <c r="B51" s="32" t="n"/>
      <c r="C51" s="19" t="n"/>
      <c r="D51" s="19" t="n"/>
      <c r="E51" s="23">
        <f>IF(D51="","",IFERROR(INDEX('01_자재목록'!$D$7:$D$106,MATCH(D51,'01_자재목록'!$B$7:$B$106,0))&amp;"","자재코드 확인"))</f>
        <v/>
      </c>
      <c r="F51" s="19" t="n"/>
      <c r="G51" s="19" t="n"/>
      <c r="H51" s="30" t="n"/>
      <c r="I51" s="30" t="n"/>
      <c r="J51" s="23">
        <f>IF(D51="","",IFERROR(INDEX('01_자재목록'!$I$7:$I$106,MATCH(D51,'01_자재목록'!$B$7:$B$106,0))&amp;"","자재코드 확인"))</f>
        <v/>
      </c>
      <c r="K51" s="31">
        <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f>
        <v/>
      </c>
      <c r="L51" s="19" t="n"/>
      <c r="M51" s="19" t="n"/>
      <c r="N51" s="19" t="n"/>
      <c r="O51" s="27">
        <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f>
        <v/>
      </c>
    </row>
    <row r="52" ht="24" customHeight="1">
      <c r="A52" s="18" t="n">
        <v>46</v>
      </c>
      <c r="B52" s="32" t="n"/>
      <c r="C52" s="19" t="n"/>
      <c r="D52" s="19" t="n"/>
      <c r="E52" s="23">
        <f>IF(D52="","",IFERROR(INDEX('01_자재목록'!$D$7:$D$106,MATCH(D52,'01_자재목록'!$B$7:$B$106,0))&amp;"","자재코드 확인"))</f>
        <v/>
      </c>
      <c r="F52" s="19" t="n"/>
      <c r="G52" s="19" t="n"/>
      <c r="H52" s="30" t="n"/>
      <c r="I52" s="30" t="n"/>
      <c r="J52" s="23">
        <f>IF(D52="","",IFERROR(INDEX('01_자재목록'!$I$7:$I$106,MATCH(D52,'01_자재목록'!$B$7:$B$106,0))&amp;"","자재코드 확인"))</f>
        <v/>
      </c>
      <c r="K52" s="31">
        <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f>
        <v/>
      </c>
      <c r="L52" s="19" t="n"/>
      <c r="M52" s="19" t="n"/>
      <c r="N52" s="19" t="n"/>
      <c r="O52" s="27">
        <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f>
        <v/>
      </c>
    </row>
    <row r="53" ht="24" customHeight="1">
      <c r="A53" s="18" t="n">
        <v>47</v>
      </c>
      <c r="B53" s="32" t="n"/>
      <c r="C53" s="19" t="n"/>
      <c r="D53" s="19" t="n"/>
      <c r="E53" s="23">
        <f>IF(D53="","",IFERROR(INDEX('01_자재목록'!$D$7:$D$106,MATCH(D53,'01_자재목록'!$B$7:$B$106,0))&amp;"","자재코드 확인"))</f>
        <v/>
      </c>
      <c r="F53" s="19" t="n"/>
      <c r="G53" s="19" t="n"/>
      <c r="H53" s="30" t="n"/>
      <c r="I53" s="30" t="n"/>
      <c r="J53" s="23">
        <f>IF(D53="","",IFERROR(INDEX('01_자재목록'!$I$7:$I$106,MATCH(D53,'01_자재목록'!$B$7:$B$106,0))&amp;"","자재코드 확인"))</f>
        <v/>
      </c>
      <c r="K53" s="31">
        <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f>
        <v/>
      </c>
      <c r="L53" s="19" t="n"/>
      <c r="M53" s="19" t="n"/>
      <c r="N53" s="19" t="n"/>
      <c r="O53" s="27">
        <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f>
        <v/>
      </c>
    </row>
    <row r="54" ht="24" customHeight="1">
      <c r="A54" s="18" t="n">
        <v>48</v>
      </c>
      <c r="B54" s="32" t="n"/>
      <c r="C54" s="19" t="n"/>
      <c r="D54" s="19" t="n"/>
      <c r="E54" s="23">
        <f>IF(D54="","",IFERROR(INDEX('01_자재목록'!$D$7:$D$106,MATCH(D54,'01_자재목록'!$B$7:$B$106,0))&amp;"","자재코드 확인"))</f>
        <v/>
      </c>
      <c r="F54" s="19" t="n"/>
      <c r="G54" s="19" t="n"/>
      <c r="H54" s="30" t="n"/>
      <c r="I54" s="30" t="n"/>
      <c r="J54" s="23">
        <f>IF(D54="","",IFERROR(INDEX('01_자재목록'!$I$7:$I$106,MATCH(D54,'01_자재목록'!$B$7:$B$106,0))&amp;"","자재코드 확인"))</f>
        <v/>
      </c>
      <c r="K54" s="31">
        <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f>
        <v/>
      </c>
      <c r="L54" s="19" t="n"/>
      <c r="M54" s="19" t="n"/>
      <c r="N54" s="19" t="n"/>
      <c r="O54" s="27">
        <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f>
        <v/>
      </c>
    </row>
    <row r="55" ht="24" customHeight="1">
      <c r="A55" s="18" t="n">
        <v>49</v>
      </c>
      <c r="B55" s="32" t="n"/>
      <c r="C55" s="19" t="n"/>
      <c r="D55" s="19" t="n"/>
      <c r="E55" s="23">
        <f>IF(D55="","",IFERROR(INDEX('01_자재목록'!$D$7:$D$106,MATCH(D55,'01_자재목록'!$B$7:$B$106,0))&amp;"","자재코드 확인"))</f>
        <v/>
      </c>
      <c r="F55" s="19" t="n"/>
      <c r="G55" s="19" t="n"/>
      <c r="H55" s="30" t="n"/>
      <c r="I55" s="30" t="n"/>
      <c r="J55" s="23">
        <f>IF(D55="","",IFERROR(INDEX('01_자재목록'!$I$7:$I$106,MATCH(D55,'01_자재목록'!$B$7:$B$106,0))&amp;"","자재코드 확인"))</f>
        <v/>
      </c>
      <c r="K55" s="31">
        <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f>
        <v/>
      </c>
      <c r="L55" s="19" t="n"/>
      <c r="M55" s="19" t="n"/>
      <c r="N55" s="19" t="n"/>
      <c r="O55" s="27">
        <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f>
        <v/>
      </c>
    </row>
    <row r="56" ht="24" customHeight="1">
      <c r="A56" s="18" t="n">
        <v>50</v>
      </c>
      <c r="B56" s="32" t="n"/>
      <c r="C56" s="19" t="n"/>
      <c r="D56" s="19" t="n"/>
      <c r="E56" s="23">
        <f>IF(D56="","",IFERROR(INDEX('01_자재목록'!$D$7:$D$106,MATCH(D56,'01_자재목록'!$B$7:$B$106,0))&amp;"","자재코드 확인"))</f>
        <v/>
      </c>
      <c r="F56" s="19" t="n"/>
      <c r="G56" s="19" t="n"/>
      <c r="H56" s="30" t="n"/>
      <c r="I56" s="30" t="n"/>
      <c r="J56" s="23">
        <f>IF(D56="","",IFERROR(INDEX('01_자재목록'!$I$7:$I$106,MATCH(D56,'01_자재목록'!$B$7:$B$106,0))&amp;"","자재코드 확인"))</f>
        <v/>
      </c>
      <c r="K56" s="31">
        <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f>
        <v/>
      </c>
      <c r="L56" s="19" t="n"/>
      <c r="M56" s="19" t="n"/>
      <c r="N56" s="19" t="n"/>
      <c r="O56" s="27">
        <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f>
        <v/>
      </c>
    </row>
    <row r="57" ht="24" customHeight="1">
      <c r="A57" s="18" t="n">
        <v>51</v>
      </c>
      <c r="B57" s="32" t="n"/>
      <c r="C57" s="19" t="n"/>
      <c r="D57" s="19" t="n"/>
      <c r="E57" s="23">
        <f>IF(D57="","",IFERROR(INDEX('01_자재목록'!$D$7:$D$106,MATCH(D57,'01_자재목록'!$B$7:$B$106,0))&amp;"","자재코드 확인"))</f>
        <v/>
      </c>
      <c r="F57" s="19" t="n"/>
      <c r="G57" s="19" t="n"/>
      <c r="H57" s="30" t="n"/>
      <c r="I57" s="30" t="n"/>
      <c r="J57" s="23">
        <f>IF(D57="","",IFERROR(INDEX('01_자재목록'!$I$7:$I$106,MATCH(D57,'01_자재목록'!$B$7:$B$106,0))&amp;"","자재코드 확인"))</f>
        <v/>
      </c>
      <c r="K57" s="31">
        <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f>
        <v/>
      </c>
      <c r="L57" s="19" t="n"/>
      <c r="M57" s="19" t="n"/>
      <c r="N57" s="19" t="n"/>
      <c r="O57" s="27">
        <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f>
        <v/>
      </c>
    </row>
    <row r="58" ht="24" customHeight="1">
      <c r="A58" s="18" t="n">
        <v>52</v>
      </c>
      <c r="B58" s="32" t="n"/>
      <c r="C58" s="19" t="n"/>
      <c r="D58" s="19" t="n"/>
      <c r="E58" s="23">
        <f>IF(D58="","",IFERROR(INDEX('01_자재목록'!$D$7:$D$106,MATCH(D58,'01_자재목록'!$B$7:$B$106,0))&amp;"","자재코드 확인"))</f>
        <v/>
      </c>
      <c r="F58" s="19" t="n"/>
      <c r="G58" s="19" t="n"/>
      <c r="H58" s="30" t="n"/>
      <c r="I58" s="30" t="n"/>
      <c r="J58" s="23">
        <f>IF(D58="","",IFERROR(INDEX('01_자재목록'!$I$7:$I$106,MATCH(D58,'01_자재목록'!$B$7:$B$106,0))&amp;"","자재코드 확인"))</f>
        <v/>
      </c>
      <c r="K58" s="31">
        <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f>
        <v/>
      </c>
      <c r="L58" s="19" t="n"/>
      <c r="M58" s="19" t="n"/>
      <c r="N58" s="19" t="n"/>
      <c r="O58" s="27">
        <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f>
        <v/>
      </c>
    </row>
    <row r="59" ht="24" customHeight="1">
      <c r="A59" s="18" t="n">
        <v>53</v>
      </c>
      <c r="B59" s="32" t="n"/>
      <c r="C59" s="19" t="n"/>
      <c r="D59" s="19" t="n"/>
      <c r="E59" s="23">
        <f>IF(D59="","",IFERROR(INDEX('01_자재목록'!$D$7:$D$106,MATCH(D59,'01_자재목록'!$B$7:$B$106,0))&amp;"","자재코드 확인"))</f>
        <v/>
      </c>
      <c r="F59" s="19" t="n"/>
      <c r="G59" s="19" t="n"/>
      <c r="H59" s="30" t="n"/>
      <c r="I59" s="30" t="n"/>
      <c r="J59" s="23">
        <f>IF(D59="","",IFERROR(INDEX('01_자재목록'!$I$7:$I$106,MATCH(D59,'01_자재목록'!$B$7:$B$106,0))&amp;"","자재코드 확인"))</f>
        <v/>
      </c>
      <c r="K59" s="31">
        <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f>
        <v/>
      </c>
      <c r="L59" s="19" t="n"/>
      <c r="M59" s="19" t="n"/>
      <c r="N59" s="19" t="n"/>
      <c r="O59" s="27">
        <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f>
        <v/>
      </c>
    </row>
    <row r="60" ht="24" customHeight="1">
      <c r="A60" s="18" t="n">
        <v>54</v>
      </c>
      <c r="B60" s="32" t="n"/>
      <c r="C60" s="19" t="n"/>
      <c r="D60" s="19" t="n"/>
      <c r="E60" s="23">
        <f>IF(D60="","",IFERROR(INDEX('01_자재목록'!$D$7:$D$106,MATCH(D60,'01_자재목록'!$B$7:$B$106,0))&amp;"","자재코드 확인"))</f>
        <v/>
      </c>
      <c r="F60" s="19" t="n"/>
      <c r="G60" s="19" t="n"/>
      <c r="H60" s="30" t="n"/>
      <c r="I60" s="30" t="n"/>
      <c r="J60" s="23">
        <f>IF(D60="","",IFERROR(INDEX('01_자재목록'!$I$7:$I$106,MATCH(D60,'01_자재목록'!$B$7:$B$106,0))&amp;"","자재코드 확인"))</f>
        <v/>
      </c>
      <c r="K60" s="31">
        <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f>
        <v/>
      </c>
      <c r="L60" s="19" t="n"/>
      <c r="M60" s="19" t="n"/>
      <c r="N60" s="19" t="n"/>
      <c r="O60" s="27">
        <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f>
        <v/>
      </c>
    </row>
    <row r="61" ht="24" customHeight="1">
      <c r="A61" s="18" t="n">
        <v>55</v>
      </c>
      <c r="B61" s="32" t="n"/>
      <c r="C61" s="19" t="n"/>
      <c r="D61" s="19" t="n"/>
      <c r="E61" s="23">
        <f>IF(D61="","",IFERROR(INDEX('01_자재목록'!$D$7:$D$106,MATCH(D61,'01_자재목록'!$B$7:$B$106,0))&amp;"","자재코드 확인"))</f>
        <v/>
      </c>
      <c r="F61" s="19" t="n"/>
      <c r="G61" s="19" t="n"/>
      <c r="H61" s="30" t="n"/>
      <c r="I61" s="30" t="n"/>
      <c r="J61" s="23">
        <f>IF(D61="","",IFERROR(INDEX('01_자재목록'!$I$7:$I$106,MATCH(D61,'01_자재목록'!$B$7:$B$106,0))&amp;"","자재코드 확인"))</f>
        <v/>
      </c>
      <c r="K61" s="31">
        <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f>
        <v/>
      </c>
      <c r="L61" s="19" t="n"/>
      <c r="M61" s="19" t="n"/>
      <c r="N61" s="19" t="n"/>
      <c r="O61" s="27">
        <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f>
        <v/>
      </c>
    </row>
    <row r="62" ht="24" customHeight="1">
      <c r="A62" s="18" t="n">
        <v>56</v>
      </c>
      <c r="B62" s="32" t="n"/>
      <c r="C62" s="19" t="n"/>
      <c r="D62" s="19" t="n"/>
      <c r="E62" s="23">
        <f>IF(D62="","",IFERROR(INDEX('01_자재목록'!$D$7:$D$106,MATCH(D62,'01_자재목록'!$B$7:$B$106,0))&amp;"","자재코드 확인"))</f>
        <v/>
      </c>
      <c r="F62" s="19" t="n"/>
      <c r="G62" s="19" t="n"/>
      <c r="H62" s="30" t="n"/>
      <c r="I62" s="30" t="n"/>
      <c r="J62" s="23">
        <f>IF(D62="","",IFERROR(INDEX('01_자재목록'!$I$7:$I$106,MATCH(D62,'01_자재목록'!$B$7:$B$106,0))&amp;"","자재코드 확인"))</f>
        <v/>
      </c>
      <c r="K62" s="31">
        <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f>
        <v/>
      </c>
      <c r="L62" s="19" t="n"/>
      <c r="M62" s="19" t="n"/>
      <c r="N62" s="19" t="n"/>
      <c r="O62" s="27">
        <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f>
        <v/>
      </c>
    </row>
    <row r="63" ht="24" customHeight="1">
      <c r="A63" s="18" t="n">
        <v>57</v>
      </c>
      <c r="B63" s="32" t="n"/>
      <c r="C63" s="19" t="n"/>
      <c r="D63" s="19" t="n"/>
      <c r="E63" s="23">
        <f>IF(D63="","",IFERROR(INDEX('01_자재목록'!$D$7:$D$106,MATCH(D63,'01_자재목록'!$B$7:$B$106,0))&amp;"","자재코드 확인"))</f>
        <v/>
      </c>
      <c r="F63" s="19" t="n"/>
      <c r="G63" s="19" t="n"/>
      <c r="H63" s="30" t="n"/>
      <c r="I63" s="30" t="n"/>
      <c r="J63" s="23">
        <f>IF(D63="","",IFERROR(INDEX('01_자재목록'!$I$7:$I$106,MATCH(D63,'01_자재목록'!$B$7:$B$106,0))&amp;"","자재코드 확인"))</f>
        <v/>
      </c>
      <c r="K63" s="31">
        <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f>
        <v/>
      </c>
      <c r="L63" s="19" t="n"/>
      <c r="M63" s="19" t="n"/>
      <c r="N63" s="19" t="n"/>
      <c r="O63" s="27">
        <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f>
        <v/>
      </c>
    </row>
    <row r="64" ht="24" customHeight="1">
      <c r="A64" s="18" t="n">
        <v>58</v>
      </c>
      <c r="B64" s="32" t="n"/>
      <c r="C64" s="19" t="n"/>
      <c r="D64" s="19" t="n"/>
      <c r="E64" s="23">
        <f>IF(D64="","",IFERROR(INDEX('01_자재목록'!$D$7:$D$106,MATCH(D64,'01_자재목록'!$B$7:$B$106,0))&amp;"","자재코드 확인"))</f>
        <v/>
      </c>
      <c r="F64" s="19" t="n"/>
      <c r="G64" s="19" t="n"/>
      <c r="H64" s="30" t="n"/>
      <c r="I64" s="30" t="n"/>
      <c r="J64" s="23">
        <f>IF(D64="","",IFERROR(INDEX('01_자재목록'!$I$7:$I$106,MATCH(D64,'01_자재목록'!$B$7:$B$106,0))&amp;"","자재코드 확인"))</f>
        <v/>
      </c>
      <c r="K64" s="31">
        <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f>
        <v/>
      </c>
      <c r="L64" s="19" t="n"/>
      <c r="M64" s="19" t="n"/>
      <c r="N64" s="19" t="n"/>
      <c r="O64" s="27">
        <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f>
        <v/>
      </c>
    </row>
    <row r="65" ht="24" customHeight="1">
      <c r="A65" s="18" t="n">
        <v>59</v>
      </c>
      <c r="B65" s="32" t="n"/>
      <c r="C65" s="19" t="n"/>
      <c r="D65" s="19" t="n"/>
      <c r="E65" s="23">
        <f>IF(D65="","",IFERROR(INDEX('01_자재목록'!$D$7:$D$106,MATCH(D65,'01_자재목록'!$B$7:$B$106,0))&amp;"","자재코드 확인"))</f>
        <v/>
      </c>
      <c r="F65" s="19" t="n"/>
      <c r="G65" s="19" t="n"/>
      <c r="H65" s="30" t="n"/>
      <c r="I65" s="30" t="n"/>
      <c r="J65" s="23">
        <f>IF(D65="","",IFERROR(INDEX('01_자재목록'!$I$7:$I$106,MATCH(D65,'01_자재목록'!$B$7:$B$106,0))&amp;"","자재코드 확인"))</f>
        <v/>
      </c>
      <c r="K65" s="31">
        <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f>
        <v/>
      </c>
      <c r="L65" s="19" t="n"/>
      <c r="M65" s="19" t="n"/>
      <c r="N65" s="19" t="n"/>
      <c r="O65" s="27">
        <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f>
        <v/>
      </c>
    </row>
    <row r="66" ht="24" customHeight="1">
      <c r="A66" s="18" t="n">
        <v>60</v>
      </c>
      <c r="B66" s="32" t="n"/>
      <c r="C66" s="19" t="n"/>
      <c r="D66" s="19" t="n"/>
      <c r="E66" s="23">
        <f>IF(D66="","",IFERROR(INDEX('01_자재목록'!$D$7:$D$106,MATCH(D66,'01_자재목록'!$B$7:$B$106,0))&amp;"","자재코드 확인"))</f>
        <v/>
      </c>
      <c r="F66" s="19" t="n"/>
      <c r="G66" s="19" t="n"/>
      <c r="H66" s="30" t="n"/>
      <c r="I66" s="30" t="n"/>
      <c r="J66" s="23">
        <f>IF(D66="","",IFERROR(INDEX('01_자재목록'!$I$7:$I$106,MATCH(D66,'01_자재목록'!$B$7:$B$106,0))&amp;"","자재코드 확인"))</f>
        <v/>
      </c>
      <c r="K66" s="31">
        <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f>
        <v/>
      </c>
      <c r="L66" s="19" t="n"/>
      <c r="M66" s="19" t="n"/>
      <c r="N66" s="19" t="n"/>
      <c r="O66" s="27">
        <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f>
        <v/>
      </c>
    </row>
    <row r="67" ht="24" customHeight="1">
      <c r="A67" s="18" t="n">
        <v>61</v>
      </c>
      <c r="B67" s="32" t="n"/>
      <c r="C67" s="19" t="n"/>
      <c r="D67" s="19" t="n"/>
      <c r="E67" s="23">
        <f>IF(D67="","",IFERROR(INDEX('01_자재목록'!$D$7:$D$106,MATCH(D67,'01_자재목록'!$B$7:$B$106,0))&amp;"","자재코드 확인"))</f>
        <v/>
      </c>
      <c r="F67" s="19" t="n"/>
      <c r="G67" s="19" t="n"/>
      <c r="H67" s="30" t="n"/>
      <c r="I67" s="30" t="n"/>
      <c r="J67" s="23">
        <f>IF(D67="","",IFERROR(INDEX('01_자재목록'!$I$7:$I$106,MATCH(D67,'01_자재목록'!$B$7:$B$106,0))&amp;"","자재코드 확인"))</f>
        <v/>
      </c>
      <c r="K67" s="31">
        <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f>
        <v/>
      </c>
      <c r="L67" s="19" t="n"/>
      <c r="M67" s="19" t="n"/>
      <c r="N67" s="19" t="n"/>
      <c r="O67" s="27">
        <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f>
        <v/>
      </c>
    </row>
    <row r="68" ht="24" customHeight="1">
      <c r="A68" s="18" t="n">
        <v>62</v>
      </c>
      <c r="B68" s="32" t="n"/>
      <c r="C68" s="19" t="n"/>
      <c r="D68" s="19" t="n"/>
      <c r="E68" s="23">
        <f>IF(D68="","",IFERROR(INDEX('01_자재목록'!$D$7:$D$106,MATCH(D68,'01_자재목록'!$B$7:$B$106,0))&amp;"","자재코드 확인"))</f>
        <v/>
      </c>
      <c r="F68" s="19" t="n"/>
      <c r="G68" s="19" t="n"/>
      <c r="H68" s="30" t="n"/>
      <c r="I68" s="30" t="n"/>
      <c r="J68" s="23">
        <f>IF(D68="","",IFERROR(INDEX('01_자재목록'!$I$7:$I$106,MATCH(D68,'01_자재목록'!$B$7:$B$106,0))&amp;"","자재코드 확인"))</f>
        <v/>
      </c>
      <c r="K68" s="31">
        <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f>
        <v/>
      </c>
      <c r="L68" s="19" t="n"/>
      <c r="M68" s="19" t="n"/>
      <c r="N68" s="19" t="n"/>
      <c r="O68" s="27">
        <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f>
        <v/>
      </c>
    </row>
    <row r="69" ht="24" customHeight="1">
      <c r="A69" s="18" t="n">
        <v>63</v>
      </c>
      <c r="B69" s="32" t="n"/>
      <c r="C69" s="19" t="n"/>
      <c r="D69" s="19" t="n"/>
      <c r="E69" s="23">
        <f>IF(D69="","",IFERROR(INDEX('01_자재목록'!$D$7:$D$106,MATCH(D69,'01_자재목록'!$B$7:$B$106,0))&amp;"","자재코드 확인"))</f>
        <v/>
      </c>
      <c r="F69" s="19" t="n"/>
      <c r="G69" s="19" t="n"/>
      <c r="H69" s="30" t="n"/>
      <c r="I69" s="30" t="n"/>
      <c r="J69" s="23">
        <f>IF(D69="","",IFERROR(INDEX('01_자재목록'!$I$7:$I$106,MATCH(D69,'01_자재목록'!$B$7:$B$106,0))&amp;"","자재코드 확인"))</f>
        <v/>
      </c>
      <c r="K69" s="31">
        <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f>
        <v/>
      </c>
      <c r="L69" s="19" t="n"/>
      <c r="M69" s="19" t="n"/>
      <c r="N69" s="19" t="n"/>
      <c r="O69" s="27">
        <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f>
        <v/>
      </c>
    </row>
    <row r="70" ht="24" customHeight="1">
      <c r="A70" s="18" t="n">
        <v>64</v>
      </c>
      <c r="B70" s="32" t="n"/>
      <c r="C70" s="19" t="n"/>
      <c r="D70" s="19" t="n"/>
      <c r="E70" s="23">
        <f>IF(D70="","",IFERROR(INDEX('01_자재목록'!$D$7:$D$106,MATCH(D70,'01_자재목록'!$B$7:$B$106,0))&amp;"","자재코드 확인"))</f>
        <v/>
      </c>
      <c r="F70" s="19" t="n"/>
      <c r="G70" s="19" t="n"/>
      <c r="H70" s="30" t="n"/>
      <c r="I70" s="30" t="n"/>
      <c r="J70" s="23">
        <f>IF(D70="","",IFERROR(INDEX('01_자재목록'!$I$7:$I$106,MATCH(D70,'01_자재목록'!$B$7:$B$106,0))&amp;"","자재코드 확인"))</f>
        <v/>
      </c>
      <c r="K70" s="31">
        <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f>
        <v/>
      </c>
      <c r="L70" s="19" t="n"/>
      <c r="M70" s="19" t="n"/>
      <c r="N70" s="19" t="n"/>
      <c r="O70" s="27">
        <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f>
        <v/>
      </c>
    </row>
    <row r="71" ht="24" customHeight="1">
      <c r="A71" s="18" t="n">
        <v>65</v>
      </c>
      <c r="B71" s="32" t="n"/>
      <c r="C71" s="19" t="n"/>
      <c r="D71" s="19" t="n"/>
      <c r="E71" s="23">
        <f>IF(D71="","",IFERROR(INDEX('01_자재목록'!$D$7:$D$106,MATCH(D71,'01_자재목록'!$B$7:$B$106,0))&amp;"","자재코드 확인"))</f>
        <v/>
      </c>
      <c r="F71" s="19" t="n"/>
      <c r="G71" s="19" t="n"/>
      <c r="H71" s="30" t="n"/>
      <c r="I71" s="30" t="n"/>
      <c r="J71" s="23">
        <f>IF(D71="","",IFERROR(INDEX('01_자재목록'!$I$7:$I$106,MATCH(D71,'01_자재목록'!$B$7:$B$106,0))&amp;"","자재코드 확인"))</f>
        <v/>
      </c>
      <c r="K71" s="31">
        <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f>
        <v/>
      </c>
      <c r="L71" s="19" t="n"/>
      <c r="M71" s="19" t="n"/>
      <c r="N71" s="19" t="n"/>
      <c r="O71" s="27">
        <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f>
        <v/>
      </c>
    </row>
    <row r="72" ht="24" customHeight="1">
      <c r="A72" s="18" t="n">
        <v>66</v>
      </c>
      <c r="B72" s="32" t="n"/>
      <c r="C72" s="19" t="n"/>
      <c r="D72" s="19" t="n"/>
      <c r="E72" s="23">
        <f>IF(D72="","",IFERROR(INDEX('01_자재목록'!$D$7:$D$106,MATCH(D72,'01_자재목록'!$B$7:$B$106,0))&amp;"","자재코드 확인"))</f>
        <v/>
      </c>
      <c r="F72" s="19" t="n"/>
      <c r="G72" s="19" t="n"/>
      <c r="H72" s="30" t="n"/>
      <c r="I72" s="30" t="n"/>
      <c r="J72" s="23">
        <f>IF(D72="","",IFERROR(INDEX('01_자재목록'!$I$7:$I$106,MATCH(D72,'01_자재목록'!$B$7:$B$106,0))&amp;"","자재코드 확인"))</f>
        <v/>
      </c>
      <c r="K72" s="31">
        <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f>
        <v/>
      </c>
      <c r="L72" s="19" t="n"/>
      <c r="M72" s="19" t="n"/>
      <c r="N72" s="19" t="n"/>
      <c r="O72" s="27">
        <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f>
        <v/>
      </c>
    </row>
    <row r="73" ht="24" customHeight="1">
      <c r="A73" s="18" t="n">
        <v>67</v>
      </c>
      <c r="B73" s="32" t="n"/>
      <c r="C73" s="19" t="n"/>
      <c r="D73" s="19" t="n"/>
      <c r="E73" s="23">
        <f>IF(D73="","",IFERROR(INDEX('01_자재목록'!$D$7:$D$106,MATCH(D73,'01_자재목록'!$B$7:$B$106,0))&amp;"","자재코드 확인"))</f>
        <v/>
      </c>
      <c r="F73" s="19" t="n"/>
      <c r="G73" s="19" t="n"/>
      <c r="H73" s="30" t="n"/>
      <c r="I73" s="30" t="n"/>
      <c r="J73" s="23">
        <f>IF(D73="","",IFERROR(INDEX('01_자재목록'!$I$7:$I$106,MATCH(D73,'01_자재목록'!$B$7:$B$106,0))&amp;"","자재코드 확인"))</f>
        <v/>
      </c>
      <c r="K73" s="31">
        <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f>
        <v/>
      </c>
      <c r="L73" s="19" t="n"/>
      <c r="M73" s="19" t="n"/>
      <c r="N73" s="19" t="n"/>
      <c r="O73" s="27">
        <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f>
        <v/>
      </c>
    </row>
    <row r="74" ht="24" customHeight="1">
      <c r="A74" s="18" t="n">
        <v>68</v>
      </c>
      <c r="B74" s="32" t="n"/>
      <c r="C74" s="19" t="n"/>
      <c r="D74" s="19" t="n"/>
      <c r="E74" s="23">
        <f>IF(D74="","",IFERROR(INDEX('01_자재목록'!$D$7:$D$106,MATCH(D74,'01_자재목록'!$B$7:$B$106,0))&amp;"","자재코드 확인"))</f>
        <v/>
      </c>
      <c r="F74" s="19" t="n"/>
      <c r="G74" s="19" t="n"/>
      <c r="H74" s="30" t="n"/>
      <c r="I74" s="30" t="n"/>
      <c r="J74" s="23">
        <f>IF(D74="","",IFERROR(INDEX('01_자재목록'!$I$7:$I$106,MATCH(D74,'01_자재목록'!$B$7:$B$106,0))&amp;"","자재코드 확인"))</f>
        <v/>
      </c>
      <c r="K74" s="31">
        <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f>
        <v/>
      </c>
      <c r="L74" s="19" t="n"/>
      <c r="M74" s="19" t="n"/>
      <c r="N74" s="19" t="n"/>
      <c r="O74" s="27">
        <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f>
        <v/>
      </c>
    </row>
    <row r="75" ht="24" customHeight="1">
      <c r="A75" s="18" t="n">
        <v>69</v>
      </c>
      <c r="B75" s="32" t="n"/>
      <c r="C75" s="19" t="n"/>
      <c r="D75" s="19" t="n"/>
      <c r="E75" s="23">
        <f>IF(D75="","",IFERROR(INDEX('01_자재목록'!$D$7:$D$106,MATCH(D75,'01_자재목록'!$B$7:$B$106,0))&amp;"","자재코드 확인"))</f>
        <v/>
      </c>
      <c r="F75" s="19" t="n"/>
      <c r="G75" s="19" t="n"/>
      <c r="H75" s="30" t="n"/>
      <c r="I75" s="30" t="n"/>
      <c r="J75" s="23">
        <f>IF(D75="","",IFERROR(INDEX('01_자재목록'!$I$7:$I$106,MATCH(D75,'01_자재목록'!$B$7:$B$106,0))&amp;"","자재코드 확인"))</f>
        <v/>
      </c>
      <c r="K75" s="31">
        <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f>
        <v/>
      </c>
      <c r="L75" s="19" t="n"/>
      <c r="M75" s="19" t="n"/>
      <c r="N75" s="19" t="n"/>
      <c r="O75" s="27">
        <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f>
        <v/>
      </c>
    </row>
    <row r="76" ht="24" customHeight="1">
      <c r="A76" s="18" t="n">
        <v>70</v>
      </c>
      <c r="B76" s="32" t="n"/>
      <c r="C76" s="19" t="n"/>
      <c r="D76" s="19" t="n"/>
      <c r="E76" s="23">
        <f>IF(D76="","",IFERROR(INDEX('01_자재목록'!$D$7:$D$106,MATCH(D76,'01_자재목록'!$B$7:$B$106,0))&amp;"","자재코드 확인"))</f>
        <v/>
      </c>
      <c r="F76" s="19" t="n"/>
      <c r="G76" s="19" t="n"/>
      <c r="H76" s="30" t="n"/>
      <c r="I76" s="30" t="n"/>
      <c r="J76" s="23">
        <f>IF(D76="","",IFERROR(INDEX('01_자재목록'!$I$7:$I$106,MATCH(D76,'01_자재목록'!$B$7:$B$106,0))&amp;"","자재코드 확인"))</f>
        <v/>
      </c>
      <c r="K76" s="31">
        <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f>
        <v/>
      </c>
      <c r="L76" s="19" t="n"/>
      <c r="M76" s="19" t="n"/>
      <c r="N76" s="19" t="n"/>
      <c r="O76" s="27">
        <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f>
        <v/>
      </c>
    </row>
    <row r="77" ht="24" customHeight="1">
      <c r="A77" s="18" t="n">
        <v>71</v>
      </c>
      <c r="B77" s="32" t="n"/>
      <c r="C77" s="19" t="n"/>
      <c r="D77" s="19" t="n"/>
      <c r="E77" s="23">
        <f>IF(D77="","",IFERROR(INDEX('01_자재목록'!$D$7:$D$106,MATCH(D77,'01_자재목록'!$B$7:$B$106,0))&amp;"","자재코드 확인"))</f>
        <v/>
      </c>
      <c r="F77" s="19" t="n"/>
      <c r="G77" s="19" t="n"/>
      <c r="H77" s="30" t="n"/>
      <c r="I77" s="30" t="n"/>
      <c r="J77" s="23">
        <f>IF(D77="","",IFERROR(INDEX('01_자재목록'!$I$7:$I$106,MATCH(D77,'01_자재목록'!$B$7:$B$106,0))&amp;"","자재코드 확인"))</f>
        <v/>
      </c>
      <c r="K77" s="31">
        <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f>
        <v/>
      </c>
      <c r="L77" s="19" t="n"/>
      <c r="M77" s="19" t="n"/>
      <c r="N77" s="19" t="n"/>
      <c r="O77" s="27">
        <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f>
        <v/>
      </c>
    </row>
    <row r="78" ht="24" customHeight="1">
      <c r="A78" s="18" t="n">
        <v>72</v>
      </c>
      <c r="B78" s="32" t="n"/>
      <c r="C78" s="19" t="n"/>
      <c r="D78" s="19" t="n"/>
      <c r="E78" s="23">
        <f>IF(D78="","",IFERROR(INDEX('01_자재목록'!$D$7:$D$106,MATCH(D78,'01_자재목록'!$B$7:$B$106,0))&amp;"","자재코드 확인"))</f>
        <v/>
      </c>
      <c r="F78" s="19" t="n"/>
      <c r="G78" s="19" t="n"/>
      <c r="H78" s="30" t="n"/>
      <c r="I78" s="30" t="n"/>
      <c r="J78" s="23">
        <f>IF(D78="","",IFERROR(INDEX('01_자재목록'!$I$7:$I$106,MATCH(D78,'01_자재목록'!$B$7:$B$106,0))&amp;"","자재코드 확인"))</f>
        <v/>
      </c>
      <c r="K78" s="31">
        <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f>
        <v/>
      </c>
      <c r="L78" s="19" t="n"/>
      <c r="M78" s="19" t="n"/>
      <c r="N78" s="19" t="n"/>
      <c r="O78" s="27">
        <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f>
        <v/>
      </c>
    </row>
    <row r="79" ht="24" customHeight="1">
      <c r="A79" s="18" t="n">
        <v>73</v>
      </c>
      <c r="B79" s="32" t="n"/>
      <c r="C79" s="19" t="n"/>
      <c r="D79" s="19" t="n"/>
      <c r="E79" s="23">
        <f>IF(D79="","",IFERROR(INDEX('01_자재목록'!$D$7:$D$106,MATCH(D79,'01_자재목록'!$B$7:$B$106,0))&amp;"","자재코드 확인"))</f>
        <v/>
      </c>
      <c r="F79" s="19" t="n"/>
      <c r="G79" s="19" t="n"/>
      <c r="H79" s="30" t="n"/>
      <c r="I79" s="30" t="n"/>
      <c r="J79" s="23">
        <f>IF(D79="","",IFERROR(INDEX('01_자재목록'!$I$7:$I$106,MATCH(D79,'01_자재목록'!$B$7:$B$106,0))&amp;"","자재코드 확인"))</f>
        <v/>
      </c>
      <c r="K79" s="31">
        <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f>
        <v/>
      </c>
      <c r="L79" s="19" t="n"/>
      <c r="M79" s="19" t="n"/>
      <c r="N79" s="19" t="n"/>
      <c r="O79" s="27">
        <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f>
        <v/>
      </c>
    </row>
    <row r="80" ht="24" customHeight="1">
      <c r="A80" s="18" t="n">
        <v>74</v>
      </c>
      <c r="B80" s="32" t="n"/>
      <c r="C80" s="19" t="n"/>
      <c r="D80" s="19" t="n"/>
      <c r="E80" s="23">
        <f>IF(D80="","",IFERROR(INDEX('01_자재목록'!$D$7:$D$106,MATCH(D80,'01_자재목록'!$B$7:$B$106,0))&amp;"","자재코드 확인"))</f>
        <v/>
      </c>
      <c r="F80" s="19" t="n"/>
      <c r="G80" s="19" t="n"/>
      <c r="H80" s="30" t="n"/>
      <c r="I80" s="30" t="n"/>
      <c r="J80" s="23">
        <f>IF(D80="","",IFERROR(INDEX('01_자재목록'!$I$7:$I$106,MATCH(D80,'01_자재목록'!$B$7:$B$106,0))&amp;"","자재코드 확인"))</f>
        <v/>
      </c>
      <c r="K80" s="31">
        <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f>
        <v/>
      </c>
      <c r="L80" s="19" t="n"/>
      <c r="M80" s="19" t="n"/>
      <c r="N80" s="19" t="n"/>
      <c r="O80" s="27">
        <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f>
        <v/>
      </c>
    </row>
    <row r="81" ht="24" customHeight="1">
      <c r="A81" s="18" t="n">
        <v>75</v>
      </c>
      <c r="B81" s="32" t="n"/>
      <c r="C81" s="19" t="n"/>
      <c r="D81" s="19" t="n"/>
      <c r="E81" s="23">
        <f>IF(D81="","",IFERROR(INDEX('01_자재목록'!$D$7:$D$106,MATCH(D81,'01_자재목록'!$B$7:$B$106,0))&amp;"","자재코드 확인"))</f>
        <v/>
      </c>
      <c r="F81" s="19" t="n"/>
      <c r="G81" s="19" t="n"/>
      <c r="H81" s="30" t="n"/>
      <c r="I81" s="30" t="n"/>
      <c r="J81" s="23">
        <f>IF(D81="","",IFERROR(INDEX('01_자재목록'!$I$7:$I$106,MATCH(D81,'01_자재목록'!$B$7:$B$106,0))&amp;"","자재코드 확인"))</f>
        <v/>
      </c>
      <c r="K81" s="31">
        <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f>
        <v/>
      </c>
      <c r="L81" s="19" t="n"/>
      <c r="M81" s="19" t="n"/>
      <c r="N81" s="19" t="n"/>
      <c r="O81" s="27">
        <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f>
        <v/>
      </c>
    </row>
    <row r="82" ht="24" customHeight="1">
      <c r="A82" s="18" t="n">
        <v>76</v>
      </c>
      <c r="B82" s="32" t="n"/>
      <c r="C82" s="19" t="n"/>
      <c r="D82" s="19" t="n"/>
      <c r="E82" s="23">
        <f>IF(D82="","",IFERROR(INDEX('01_자재목록'!$D$7:$D$106,MATCH(D82,'01_자재목록'!$B$7:$B$106,0))&amp;"","자재코드 확인"))</f>
        <v/>
      </c>
      <c r="F82" s="19" t="n"/>
      <c r="G82" s="19" t="n"/>
      <c r="H82" s="30" t="n"/>
      <c r="I82" s="30" t="n"/>
      <c r="J82" s="23">
        <f>IF(D82="","",IFERROR(INDEX('01_자재목록'!$I$7:$I$106,MATCH(D82,'01_자재목록'!$B$7:$B$106,0))&amp;"","자재코드 확인"))</f>
        <v/>
      </c>
      <c r="K82" s="31">
        <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f>
        <v/>
      </c>
      <c r="L82" s="19" t="n"/>
      <c r="M82" s="19" t="n"/>
      <c r="N82" s="19" t="n"/>
      <c r="O82" s="27">
        <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f>
        <v/>
      </c>
    </row>
    <row r="83" ht="24" customHeight="1">
      <c r="A83" s="18" t="n">
        <v>77</v>
      </c>
      <c r="B83" s="32" t="n"/>
      <c r="C83" s="19" t="n"/>
      <c r="D83" s="19" t="n"/>
      <c r="E83" s="23">
        <f>IF(D83="","",IFERROR(INDEX('01_자재목록'!$D$7:$D$106,MATCH(D83,'01_자재목록'!$B$7:$B$106,0))&amp;"","자재코드 확인"))</f>
        <v/>
      </c>
      <c r="F83" s="19" t="n"/>
      <c r="G83" s="19" t="n"/>
      <c r="H83" s="30" t="n"/>
      <c r="I83" s="30" t="n"/>
      <c r="J83" s="23">
        <f>IF(D83="","",IFERROR(INDEX('01_자재목록'!$I$7:$I$106,MATCH(D83,'01_자재목록'!$B$7:$B$106,0))&amp;"","자재코드 확인"))</f>
        <v/>
      </c>
      <c r="K83" s="31">
        <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f>
        <v/>
      </c>
      <c r="L83" s="19" t="n"/>
      <c r="M83" s="19" t="n"/>
      <c r="N83" s="19" t="n"/>
      <c r="O83" s="27">
        <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f>
        <v/>
      </c>
    </row>
    <row r="84" ht="24" customHeight="1">
      <c r="A84" s="18" t="n">
        <v>78</v>
      </c>
      <c r="B84" s="32" t="n"/>
      <c r="C84" s="19" t="n"/>
      <c r="D84" s="19" t="n"/>
      <c r="E84" s="23">
        <f>IF(D84="","",IFERROR(INDEX('01_자재목록'!$D$7:$D$106,MATCH(D84,'01_자재목록'!$B$7:$B$106,0))&amp;"","자재코드 확인"))</f>
        <v/>
      </c>
      <c r="F84" s="19" t="n"/>
      <c r="G84" s="19" t="n"/>
      <c r="H84" s="30" t="n"/>
      <c r="I84" s="30" t="n"/>
      <c r="J84" s="23">
        <f>IF(D84="","",IFERROR(INDEX('01_자재목록'!$I$7:$I$106,MATCH(D84,'01_자재목록'!$B$7:$B$106,0))&amp;"","자재코드 확인"))</f>
        <v/>
      </c>
      <c r="K84" s="31">
        <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f>
        <v/>
      </c>
      <c r="L84" s="19" t="n"/>
      <c r="M84" s="19" t="n"/>
      <c r="N84" s="19" t="n"/>
      <c r="O84" s="27">
        <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f>
        <v/>
      </c>
    </row>
    <row r="85" ht="24" customHeight="1">
      <c r="A85" s="18" t="n">
        <v>79</v>
      </c>
      <c r="B85" s="32" t="n"/>
      <c r="C85" s="19" t="n"/>
      <c r="D85" s="19" t="n"/>
      <c r="E85" s="23">
        <f>IF(D85="","",IFERROR(INDEX('01_자재목록'!$D$7:$D$106,MATCH(D85,'01_자재목록'!$B$7:$B$106,0))&amp;"","자재코드 확인"))</f>
        <v/>
      </c>
      <c r="F85" s="19" t="n"/>
      <c r="G85" s="19" t="n"/>
      <c r="H85" s="30" t="n"/>
      <c r="I85" s="30" t="n"/>
      <c r="J85" s="23">
        <f>IF(D85="","",IFERROR(INDEX('01_자재목록'!$I$7:$I$106,MATCH(D85,'01_자재목록'!$B$7:$B$106,0))&amp;"","자재코드 확인"))</f>
        <v/>
      </c>
      <c r="K85" s="31">
        <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f>
        <v/>
      </c>
      <c r="L85" s="19" t="n"/>
      <c r="M85" s="19" t="n"/>
      <c r="N85" s="19" t="n"/>
      <c r="O85" s="27">
        <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f>
        <v/>
      </c>
    </row>
    <row r="86" ht="24" customHeight="1">
      <c r="A86" s="18" t="n">
        <v>80</v>
      </c>
      <c r="B86" s="32" t="n"/>
      <c r="C86" s="19" t="n"/>
      <c r="D86" s="19" t="n"/>
      <c r="E86" s="23">
        <f>IF(D86="","",IFERROR(INDEX('01_자재목록'!$D$7:$D$106,MATCH(D86,'01_자재목록'!$B$7:$B$106,0))&amp;"","자재코드 확인"))</f>
        <v/>
      </c>
      <c r="F86" s="19" t="n"/>
      <c r="G86" s="19" t="n"/>
      <c r="H86" s="30" t="n"/>
      <c r="I86" s="30" t="n"/>
      <c r="J86" s="23">
        <f>IF(D86="","",IFERROR(INDEX('01_자재목록'!$I$7:$I$106,MATCH(D86,'01_자재목록'!$B$7:$B$106,0))&amp;"","자재코드 확인"))</f>
        <v/>
      </c>
      <c r="K86" s="31">
        <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f>
        <v/>
      </c>
      <c r="L86" s="19" t="n"/>
      <c r="M86" s="19" t="n"/>
      <c r="N86" s="19" t="n"/>
      <c r="O86" s="27">
        <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f>
        <v/>
      </c>
    </row>
    <row r="87" ht="24" customHeight="1">
      <c r="A87" s="18" t="n">
        <v>81</v>
      </c>
      <c r="B87" s="32" t="n"/>
      <c r="C87" s="19" t="n"/>
      <c r="D87" s="19" t="n"/>
      <c r="E87" s="23">
        <f>IF(D87="","",IFERROR(INDEX('01_자재목록'!$D$7:$D$106,MATCH(D87,'01_자재목록'!$B$7:$B$106,0))&amp;"","자재코드 확인"))</f>
        <v/>
      </c>
      <c r="F87" s="19" t="n"/>
      <c r="G87" s="19" t="n"/>
      <c r="H87" s="30" t="n"/>
      <c r="I87" s="30" t="n"/>
      <c r="J87" s="23">
        <f>IF(D87="","",IFERROR(INDEX('01_자재목록'!$I$7:$I$106,MATCH(D87,'01_자재목록'!$B$7:$B$106,0))&amp;"","자재코드 확인"))</f>
        <v/>
      </c>
      <c r="K87" s="31">
        <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f>
        <v/>
      </c>
      <c r="L87" s="19" t="n"/>
      <c r="M87" s="19" t="n"/>
      <c r="N87" s="19" t="n"/>
      <c r="O87" s="27">
        <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f>
        <v/>
      </c>
    </row>
    <row r="88" ht="24" customHeight="1">
      <c r="A88" s="18" t="n">
        <v>82</v>
      </c>
      <c r="B88" s="32" t="n"/>
      <c r="C88" s="19" t="n"/>
      <c r="D88" s="19" t="n"/>
      <c r="E88" s="23">
        <f>IF(D88="","",IFERROR(INDEX('01_자재목록'!$D$7:$D$106,MATCH(D88,'01_자재목록'!$B$7:$B$106,0))&amp;"","자재코드 확인"))</f>
        <v/>
      </c>
      <c r="F88" s="19" t="n"/>
      <c r="G88" s="19" t="n"/>
      <c r="H88" s="30" t="n"/>
      <c r="I88" s="30" t="n"/>
      <c r="J88" s="23">
        <f>IF(D88="","",IFERROR(INDEX('01_자재목록'!$I$7:$I$106,MATCH(D88,'01_자재목록'!$B$7:$B$106,0))&amp;"","자재코드 확인"))</f>
        <v/>
      </c>
      <c r="K88" s="31">
        <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f>
        <v/>
      </c>
      <c r="L88" s="19" t="n"/>
      <c r="M88" s="19" t="n"/>
      <c r="N88" s="19" t="n"/>
      <c r="O88" s="27">
        <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f>
        <v/>
      </c>
    </row>
    <row r="89" ht="24" customHeight="1">
      <c r="A89" s="18" t="n">
        <v>83</v>
      </c>
      <c r="B89" s="32" t="n"/>
      <c r="C89" s="19" t="n"/>
      <c r="D89" s="19" t="n"/>
      <c r="E89" s="23">
        <f>IF(D89="","",IFERROR(INDEX('01_자재목록'!$D$7:$D$106,MATCH(D89,'01_자재목록'!$B$7:$B$106,0))&amp;"","자재코드 확인"))</f>
        <v/>
      </c>
      <c r="F89" s="19" t="n"/>
      <c r="G89" s="19" t="n"/>
      <c r="H89" s="30" t="n"/>
      <c r="I89" s="30" t="n"/>
      <c r="J89" s="23">
        <f>IF(D89="","",IFERROR(INDEX('01_자재목록'!$I$7:$I$106,MATCH(D89,'01_자재목록'!$B$7:$B$106,0))&amp;"","자재코드 확인"))</f>
        <v/>
      </c>
      <c r="K89" s="31">
        <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f>
        <v/>
      </c>
      <c r="L89" s="19" t="n"/>
      <c r="M89" s="19" t="n"/>
      <c r="N89" s="19" t="n"/>
      <c r="O89" s="27">
        <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f>
        <v/>
      </c>
    </row>
    <row r="90" ht="24" customHeight="1">
      <c r="A90" s="18" t="n">
        <v>84</v>
      </c>
      <c r="B90" s="32" t="n"/>
      <c r="C90" s="19" t="n"/>
      <c r="D90" s="19" t="n"/>
      <c r="E90" s="23">
        <f>IF(D90="","",IFERROR(INDEX('01_자재목록'!$D$7:$D$106,MATCH(D90,'01_자재목록'!$B$7:$B$106,0))&amp;"","자재코드 확인"))</f>
        <v/>
      </c>
      <c r="F90" s="19" t="n"/>
      <c r="G90" s="19" t="n"/>
      <c r="H90" s="30" t="n"/>
      <c r="I90" s="30" t="n"/>
      <c r="J90" s="23">
        <f>IF(D90="","",IFERROR(INDEX('01_자재목록'!$I$7:$I$106,MATCH(D90,'01_자재목록'!$B$7:$B$106,0))&amp;"","자재코드 확인"))</f>
        <v/>
      </c>
      <c r="K90" s="31">
        <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f>
        <v/>
      </c>
      <c r="L90" s="19" t="n"/>
      <c r="M90" s="19" t="n"/>
      <c r="N90" s="19" t="n"/>
      <c r="O90" s="27">
        <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f>
        <v/>
      </c>
    </row>
    <row r="91" ht="24" customHeight="1">
      <c r="A91" s="18" t="n">
        <v>85</v>
      </c>
      <c r="B91" s="32" t="n"/>
      <c r="C91" s="19" t="n"/>
      <c r="D91" s="19" t="n"/>
      <c r="E91" s="23">
        <f>IF(D91="","",IFERROR(INDEX('01_자재목록'!$D$7:$D$106,MATCH(D91,'01_자재목록'!$B$7:$B$106,0))&amp;"","자재코드 확인"))</f>
        <v/>
      </c>
      <c r="F91" s="19" t="n"/>
      <c r="G91" s="19" t="n"/>
      <c r="H91" s="30" t="n"/>
      <c r="I91" s="30" t="n"/>
      <c r="J91" s="23">
        <f>IF(D91="","",IFERROR(INDEX('01_자재목록'!$I$7:$I$106,MATCH(D91,'01_자재목록'!$B$7:$B$106,0))&amp;"","자재코드 확인"))</f>
        <v/>
      </c>
      <c r="K91" s="31">
        <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f>
        <v/>
      </c>
      <c r="L91" s="19" t="n"/>
      <c r="M91" s="19" t="n"/>
      <c r="N91" s="19" t="n"/>
      <c r="O91" s="27">
        <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f>
        <v/>
      </c>
    </row>
    <row r="92" ht="24" customHeight="1">
      <c r="A92" s="18" t="n">
        <v>86</v>
      </c>
      <c r="B92" s="32" t="n"/>
      <c r="C92" s="19" t="n"/>
      <c r="D92" s="19" t="n"/>
      <c r="E92" s="23">
        <f>IF(D92="","",IFERROR(INDEX('01_자재목록'!$D$7:$D$106,MATCH(D92,'01_자재목록'!$B$7:$B$106,0))&amp;"","자재코드 확인"))</f>
        <v/>
      </c>
      <c r="F92" s="19" t="n"/>
      <c r="G92" s="19" t="n"/>
      <c r="H92" s="30" t="n"/>
      <c r="I92" s="30" t="n"/>
      <c r="J92" s="23">
        <f>IF(D92="","",IFERROR(INDEX('01_자재목록'!$I$7:$I$106,MATCH(D92,'01_자재목록'!$B$7:$B$106,0))&amp;"","자재코드 확인"))</f>
        <v/>
      </c>
      <c r="K92" s="31">
        <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f>
        <v/>
      </c>
      <c r="L92" s="19" t="n"/>
      <c r="M92" s="19" t="n"/>
      <c r="N92" s="19" t="n"/>
      <c r="O92" s="27">
        <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f>
        <v/>
      </c>
    </row>
    <row r="93" ht="24" customHeight="1">
      <c r="A93" s="18" t="n">
        <v>87</v>
      </c>
      <c r="B93" s="32" t="n"/>
      <c r="C93" s="19" t="n"/>
      <c r="D93" s="19" t="n"/>
      <c r="E93" s="23">
        <f>IF(D93="","",IFERROR(INDEX('01_자재목록'!$D$7:$D$106,MATCH(D93,'01_자재목록'!$B$7:$B$106,0))&amp;"","자재코드 확인"))</f>
        <v/>
      </c>
      <c r="F93" s="19" t="n"/>
      <c r="G93" s="19" t="n"/>
      <c r="H93" s="30" t="n"/>
      <c r="I93" s="30" t="n"/>
      <c r="J93" s="23">
        <f>IF(D93="","",IFERROR(INDEX('01_자재목록'!$I$7:$I$106,MATCH(D93,'01_자재목록'!$B$7:$B$106,0))&amp;"","자재코드 확인"))</f>
        <v/>
      </c>
      <c r="K93" s="31">
        <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f>
        <v/>
      </c>
      <c r="L93" s="19" t="n"/>
      <c r="M93" s="19" t="n"/>
      <c r="N93" s="19" t="n"/>
      <c r="O93" s="27">
        <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f>
        <v/>
      </c>
    </row>
    <row r="94" ht="24" customHeight="1">
      <c r="A94" s="18" t="n">
        <v>88</v>
      </c>
      <c r="B94" s="32" t="n"/>
      <c r="C94" s="19" t="n"/>
      <c r="D94" s="19" t="n"/>
      <c r="E94" s="23">
        <f>IF(D94="","",IFERROR(INDEX('01_자재목록'!$D$7:$D$106,MATCH(D94,'01_자재목록'!$B$7:$B$106,0))&amp;"","자재코드 확인"))</f>
        <v/>
      </c>
      <c r="F94" s="19" t="n"/>
      <c r="G94" s="19" t="n"/>
      <c r="H94" s="30" t="n"/>
      <c r="I94" s="30" t="n"/>
      <c r="J94" s="23">
        <f>IF(D94="","",IFERROR(INDEX('01_자재목록'!$I$7:$I$106,MATCH(D94,'01_자재목록'!$B$7:$B$106,0))&amp;"","자재코드 확인"))</f>
        <v/>
      </c>
      <c r="K94" s="31">
        <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f>
        <v/>
      </c>
      <c r="L94" s="19" t="n"/>
      <c r="M94" s="19" t="n"/>
      <c r="N94" s="19" t="n"/>
      <c r="O94" s="27">
        <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f>
        <v/>
      </c>
    </row>
    <row r="95" ht="24" customHeight="1">
      <c r="A95" s="18" t="n">
        <v>89</v>
      </c>
      <c r="B95" s="32" t="n"/>
      <c r="C95" s="19" t="n"/>
      <c r="D95" s="19" t="n"/>
      <c r="E95" s="23">
        <f>IF(D95="","",IFERROR(INDEX('01_자재목록'!$D$7:$D$106,MATCH(D95,'01_자재목록'!$B$7:$B$106,0))&amp;"","자재코드 확인"))</f>
        <v/>
      </c>
      <c r="F95" s="19" t="n"/>
      <c r="G95" s="19" t="n"/>
      <c r="H95" s="30" t="n"/>
      <c r="I95" s="30" t="n"/>
      <c r="J95" s="23">
        <f>IF(D95="","",IFERROR(INDEX('01_자재목록'!$I$7:$I$106,MATCH(D95,'01_자재목록'!$B$7:$B$106,0))&amp;"","자재코드 확인"))</f>
        <v/>
      </c>
      <c r="K95" s="31">
        <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f>
        <v/>
      </c>
      <c r="L95" s="19" t="n"/>
      <c r="M95" s="19" t="n"/>
      <c r="N95" s="19" t="n"/>
      <c r="O95" s="27">
        <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f>
        <v/>
      </c>
    </row>
    <row r="96" ht="24" customHeight="1">
      <c r="A96" s="18" t="n">
        <v>90</v>
      </c>
      <c r="B96" s="32" t="n"/>
      <c r="C96" s="19" t="n"/>
      <c r="D96" s="19" t="n"/>
      <c r="E96" s="23">
        <f>IF(D96="","",IFERROR(INDEX('01_자재목록'!$D$7:$D$106,MATCH(D96,'01_자재목록'!$B$7:$B$106,0))&amp;"","자재코드 확인"))</f>
        <v/>
      </c>
      <c r="F96" s="19" t="n"/>
      <c r="G96" s="19" t="n"/>
      <c r="H96" s="30" t="n"/>
      <c r="I96" s="30" t="n"/>
      <c r="J96" s="23">
        <f>IF(D96="","",IFERROR(INDEX('01_자재목록'!$I$7:$I$106,MATCH(D96,'01_자재목록'!$B$7:$B$106,0))&amp;"","자재코드 확인"))</f>
        <v/>
      </c>
      <c r="K96" s="31">
        <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f>
        <v/>
      </c>
      <c r="L96" s="19" t="n"/>
      <c r="M96" s="19" t="n"/>
      <c r="N96" s="19" t="n"/>
      <c r="O96" s="27">
        <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f>
        <v/>
      </c>
    </row>
    <row r="97" ht="24" customHeight="1">
      <c r="A97" s="18" t="n">
        <v>91</v>
      </c>
      <c r="B97" s="32" t="n"/>
      <c r="C97" s="19" t="n"/>
      <c r="D97" s="19" t="n"/>
      <c r="E97" s="23">
        <f>IF(D97="","",IFERROR(INDEX('01_자재목록'!$D$7:$D$106,MATCH(D97,'01_자재목록'!$B$7:$B$106,0))&amp;"","자재코드 확인"))</f>
        <v/>
      </c>
      <c r="F97" s="19" t="n"/>
      <c r="G97" s="19" t="n"/>
      <c r="H97" s="30" t="n"/>
      <c r="I97" s="30" t="n"/>
      <c r="J97" s="23">
        <f>IF(D97="","",IFERROR(INDEX('01_자재목록'!$I$7:$I$106,MATCH(D97,'01_자재목록'!$B$7:$B$106,0))&amp;"","자재코드 확인"))</f>
        <v/>
      </c>
      <c r="K97" s="31">
        <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f>
        <v/>
      </c>
      <c r="L97" s="19" t="n"/>
      <c r="M97" s="19" t="n"/>
      <c r="N97" s="19" t="n"/>
      <c r="O97" s="27">
        <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f>
        <v/>
      </c>
    </row>
    <row r="98" ht="24" customHeight="1">
      <c r="A98" s="18" t="n">
        <v>92</v>
      </c>
      <c r="B98" s="32" t="n"/>
      <c r="C98" s="19" t="n"/>
      <c r="D98" s="19" t="n"/>
      <c r="E98" s="23">
        <f>IF(D98="","",IFERROR(INDEX('01_자재목록'!$D$7:$D$106,MATCH(D98,'01_자재목록'!$B$7:$B$106,0))&amp;"","자재코드 확인"))</f>
        <v/>
      </c>
      <c r="F98" s="19" t="n"/>
      <c r="G98" s="19" t="n"/>
      <c r="H98" s="30" t="n"/>
      <c r="I98" s="30" t="n"/>
      <c r="J98" s="23">
        <f>IF(D98="","",IFERROR(INDEX('01_자재목록'!$I$7:$I$106,MATCH(D98,'01_자재목록'!$B$7:$B$106,0))&amp;"","자재코드 확인"))</f>
        <v/>
      </c>
      <c r="K98" s="31">
        <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f>
        <v/>
      </c>
      <c r="L98" s="19" t="n"/>
      <c r="M98" s="19" t="n"/>
      <c r="N98" s="19" t="n"/>
      <c r="O98" s="27">
        <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f>
        <v/>
      </c>
    </row>
    <row r="99" ht="24" customHeight="1">
      <c r="A99" s="18" t="n">
        <v>93</v>
      </c>
      <c r="B99" s="32" t="n"/>
      <c r="C99" s="19" t="n"/>
      <c r="D99" s="19" t="n"/>
      <c r="E99" s="23">
        <f>IF(D99="","",IFERROR(INDEX('01_자재목록'!$D$7:$D$106,MATCH(D99,'01_자재목록'!$B$7:$B$106,0))&amp;"","자재코드 확인"))</f>
        <v/>
      </c>
      <c r="F99" s="19" t="n"/>
      <c r="G99" s="19" t="n"/>
      <c r="H99" s="30" t="n"/>
      <c r="I99" s="30" t="n"/>
      <c r="J99" s="23">
        <f>IF(D99="","",IFERROR(INDEX('01_자재목록'!$I$7:$I$106,MATCH(D99,'01_자재목록'!$B$7:$B$106,0))&amp;"","자재코드 확인"))</f>
        <v/>
      </c>
      <c r="K99" s="31">
        <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f>
        <v/>
      </c>
      <c r="L99" s="19" t="n"/>
      <c r="M99" s="19" t="n"/>
      <c r="N99" s="19" t="n"/>
      <c r="O99" s="27">
        <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f>
        <v/>
      </c>
    </row>
    <row r="100" ht="24" customHeight="1">
      <c r="A100" s="18" t="n">
        <v>94</v>
      </c>
      <c r="B100" s="32" t="n"/>
      <c r="C100" s="19" t="n"/>
      <c r="D100" s="19" t="n"/>
      <c r="E100" s="23">
        <f>IF(D100="","",IFERROR(INDEX('01_자재목록'!$D$7:$D$106,MATCH(D100,'01_자재목록'!$B$7:$B$106,0))&amp;"","자재코드 확인"))</f>
        <v/>
      </c>
      <c r="F100" s="19" t="n"/>
      <c r="G100" s="19" t="n"/>
      <c r="H100" s="30" t="n"/>
      <c r="I100" s="30" t="n"/>
      <c r="J100" s="23">
        <f>IF(D100="","",IFERROR(INDEX('01_자재목록'!$I$7:$I$106,MATCH(D100,'01_자재목록'!$B$7:$B$106,0))&amp;"","자재코드 확인"))</f>
        <v/>
      </c>
      <c r="K100" s="31">
        <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f>
        <v/>
      </c>
      <c r="L100" s="19" t="n"/>
      <c r="M100" s="19" t="n"/>
      <c r="N100" s="19" t="n"/>
      <c r="O100" s="27">
        <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f>
        <v/>
      </c>
    </row>
    <row r="101" ht="24" customHeight="1">
      <c r="A101" s="18" t="n">
        <v>95</v>
      </c>
      <c r="B101" s="32" t="n"/>
      <c r="C101" s="19" t="n"/>
      <c r="D101" s="19" t="n"/>
      <c r="E101" s="23">
        <f>IF(D101="","",IFERROR(INDEX('01_자재목록'!$D$7:$D$106,MATCH(D101,'01_자재목록'!$B$7:$B$106,0))&amp;"","자재코드 확인"))</f>
        <v/>
      </c>
      <c r="F101" s="19" t="n"/>
      <c r="G101" s="19" t="n"/>
      <c r="H101" s="30" t="n"/>
      <c r="I101" s="30" t="n"/>
      <c r="J101" s="23">
        <f>IF(D101="","",IFERROR(INDEX('01_자재목록'!$I$7:$I$106,MATCH(D101,'01_자재목록'!$B$7:$B$106,0))&amp;"","자재코드 확인"))</f>
        <v/>
      </c>
      <c r="K101" s="31">
        <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f>
        <v/>
      </c>
      <c r="L101" s="19" t="n"/>
      <c r="M101" s="19" t="n"/>
      <c r="N101" s="19" t="n"/>
      <c r="O101" s="27">
        <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f>
        <v/>
      </c>
    </row>
    <row r="102" ht="24" customHeight="1">
      <c r="A102" s="18" t="n">
        <v>96</v>
      </c>
      <c r="B102" s="32" t="n"/>
      <c r="C102" s="19" t="n"/>
      <c r="D102" s="19" t="n"/>
      <c r="E102" s="23">
        <f>IF(D102="","",IFERROR(INDEX('01_자재목록'!$D$7:$D$106,MATCH(D102,'01_자재목록'!$B$7:$B$106,0))&amp;"","자재코드 확인"))</f>
        <v/>
      </c>
      <c r="F102" s="19" t="n"/>
      <c r="G102" s="19" t="n"/>
      <c r="H102" s="30" t="n"/>
      <c r="I102" s="30" t="n"/>
      <c r="J102" s="23">
        <f>IF(D102="","",IFERROR(INDEX('01_자재목록'!$I$7:$I$106,MATCH(D102,'01_자재목록'!$B$7:$B$106,0))&amp;"","자재코드 확인"))</f>
        <v/>
      </c>
      <c r="K102" s="31">
        <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f>
        <v/>
      </c>
      <c r="L102" s="19" t="n"/>
      <c r="M102" s="19" t="n"/>
      <c r="N102" s="19" t="n"/>
      <c r="O102" s="27">
        <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f>
        <v/>
      </c>
    </row>
    <row r="103" ht="24" customHeight="1">
      <c r="A103" s="18" t="n">
        <v>97</v>
      </c>
      <c r="B103" s="32" t="n"/>
      <c r="C103" s="19" t="n"/>
      <c r="D103" s="19" t="n"/>
      <c r="E103" s="23">
        <f>IF(D103="","",IFERROR(INDEX('01_자재목록'!$D$7:$D$106,MATCH(D103,'01_자재목록'!$B$7:$B$106,0))&amp;"","자재코드 확인"))</f>
        <v/>
      </c>
      <c r="F103" s="19" t="n"/>
      <c r="G103" s="19" t="n"/>
      <c r="H103" s="30" t="n"/>
      <c r="I103" s="30" t="n"/>
      <c r="J103" s="23">
        <f>IF(D103="","",IFERROR(INDEX('01_자재목록'!$I$7:$I$106,MATCH(D103,'01_자재목록'!$B$7:$B$106,0))&amp;"","자재코드 확인"))</f>
        <v/>
      </c>
      <c r="K103" s="31">
        <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f>
        <v/>
      </c>
      <c r="L103" s="19" t="n"/>
      <c r="M103" s="19" t="n"/>
      <c r="N103" s="19" t="n"/>
      <c r="O103" s="27">
        <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f>
        <v/>
      </c>
    </row>
    <row r="104" ht="24" customHeight="1">
      <c r="A104" s="18" t="n">
        <v>98</v>
      </c>
      <c r="B104" s="32" t="n"/>
      <c r="C104" s="19" t="n"/>
      <c r="D104" s="19" t="n"/>
      <c r="E104" s="23">
        <f>IF(D104="","",IFERROR(INDEX('01_자재목록'!$D$7:$D$106,MATCH(D104,'01_자재목록'!$B$7:$B$106,0))&amp;"","자재코드 확인"))</f>
        <v/>
      </c>
      <c r="F104" s="19" t="n"/>
      <c r="G104" s="19" t="n"/>
      <c r="H104" s="30" t="n"/>
      <c r="I104" s="30" t="n"/>
      <c r="J104" s="23">
        <f>IF(D104="","",IFERROR(INDEX('01_자재목록'!$I$7:$I$106,MATCH(D104,'01_자재목록'!$B$7:$B$106,0))&amp;"","자재코드 확인"))</f>
        <v/>
      </c>
      <c r="K104" s="31">
        <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f>
        <v/>
      </c>
      <c r="L104" s="19" t="n"/>
      <c r="M104" s="19" t="n"/>
      <c r="N104" s="19" t="n"/>
      <c r="O104" s="27">
        <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f>
        <v/>
      </c>
    </row>
    <row r="105" ht="24" customHeight="1">
      <c r="A105" s="18" t="n">
        <v>99</v>
      </c>
      <c r="B105" s="32" t="n"/>
      <c r="C105" s="19" t="n"/>
      <c r="D105" s="19" t="n"/>
      <c r="E105" s="23">
        <f>IF(D105="","",IFERROR(INDEX('01_자재목록'!$D$7:$D$106,MATCH(D105,'01_자재목록'!$B$7:$B$106,0))&amp;"","자재코드 확인"))</f>
        <v/>
      </c>
      <c r="F105" s="19" t="n"/>
      <c r="G105" s="19" t="n"/>
      <c r="H105" s="30" t="n"/>
      <c r="I105" s="30" t="n"/>
      <c r="J105" s="23">
        <f>IF(D105="","",IFERROR(INDEX('01_자재목록'!$I$7:$I$106,MATCH(D105,'01_자재목록'!$B$7:$B$106,0))&amp;"","자재코드 확인"))</f>
        <v/>
      </c>
      <c r="K105" s="31">
        <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f>
        <v/>
      </c>
      <c r="L105" s="19" t="n"/>
      <c r="M105" s="19" t="n"/>
      <c r="N105" s="19" t="n"/>
      <c r="O105" s="27">
        <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f>
        <v/>
      </c>
    </row>
    <row r="106" ht="24" customHeight="1">
      <c r="A106" s="18" t="n">
        <v>100</v>
      </c>
      <c r="B106" s="32" t="n"/>
      <c r="C106" s="19" t="n"/>
      <c r="D106" s="19" t="n"/>
      <c r="E106" s="23">
        <f>IF(D106="","",IFERROR(INDEX('01_자재목록'!$D$7:$D$106,MATCH(D106,'01_자재목록'!$B$7:$B$106,0))&amp;"","자재코드 확인"))</f>
        <v/>
      </c>
      <c r="F106" s="19" t="n"/>
      <c r="G106" s="19" t="n"/>
      <c r="H106" s="30" t="n"/>
      <c r="I106" s="30" t="n"/>
      <c r="J106" s="23">
        <f>IF(D106="","",IFERROR(INDEX('01_자재목록'!$I$7:$I$106,MATCH(D106,'01_자재목록'!$B$7:$B$106,0))&amp;"","자재코드 확인"))</f>
        <v/>
      </c>
      <c r="K106" s="31">
        <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f>
        <v/>
      </c>
      <c r="L106" s="19" t="n"/>
      <c r="M106" s="19" t="n"/>
      <c r="N106" s="19" t="n"/>
      <c r="O106" s="27">
        <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f>
        <v/>
      </c>
    </row>
    <row r="107" ht="24" customHeight="1">
      <c r="A107" s="18" t="n">
        <v>101</v>
      </c>
      <c r="B107" s="32" t="n"/>
      <c r="C107" s="19" t="n"/>
      <c r="D107" s="19" t="n"/>
      <c r="E107" s="23">
        <f>IF(D107="","",IFERROR(INDEX('01_자재목록'!$D$7:$D$106,MATCH(D107,'01_자재목록'!$B$7:$B$106,0))&amp;"","자재코드 확인"))</f>
        <v/>
      </c>
      <c r="F107" s="19" t="n"/>
      <c r="G107" s="19" t="n"/>
      <c r="H107" s="30" t="n"/>
      <c r="I107" s="30" t="n"/>
      <c r="J107" s="23">
        <f>IF(D107="","",IFERROR(INDEX('01_자재목록'!$I$7:$I$106,MATCH(D107,'01_자재목록'!$B$7:$B$106,0))&amp;"","자재코드 확인"))</f>
        <v/>
      </c>
      <c r="K107" s="31">
        <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f>
        <v/>
      </c>
      <c r="L107" s="19" t="n"/>
      <c r="M107" s="19" t="n"/>
      <c r="N107" s="19" t="n"/>
      <c r="O107" s="27">
        <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f>
        <v/>
      </c>
    </row>
    <row r="108" ht="24" customHeight="1">
      <c r="A108" s="18" t="n">
        <v>102</v>
      </c>
      <c r="B108" s="32" t="n"/>
      <c r="C108" s="19" t="n"/>
      <c r="D108" s="19" t="n"/>
      <c r="E108" s="23">
        <f>IF(D108="","",IFERROR(INDEX('01_자재목록'!$D$7:$D$106,MATCH(D108,'01_자재목록'!$B$7:$B$106,0))&amp;"","자재코드 확인"))</f>
        <v/>
      </c>
      <c r="F108" s="19" t="n"/>
      <c r="G108" s="19" t="n"/>
      <c r="H108" s="30" t="n"/>
      <c r="I108" s="30" t="n"/>
      <c r="J108" s="23">
        <f>IF(D108="","",IFERROR(INDEX('01_자재목록'!$I$7:$I$106,MATCH(D108,'01_자재목록'!$B$7:$B$106,0))&amp;"","자재코드 확인"))</f>
        <v/>
      </c>
      <c r="K108" s="31">
        <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f>
        <v/>
      </c>
      <c r="L108" s="19" t="n"/>
      <c r="M108" s="19" t="n"/>
      <c r="N108" s="19" t="n"/>
      <c r="O108" s="27">
        <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f>
        <v/>
      </c>
    </row>
    <row r="109" ht="24" customHeight="1">
      <c r="A109" s="18" t="n">
        <v>103</v>
      </c>
      <c r="B109" s="32" t="n"/>
      <c r="C109" s="19" t="n"/>
      <c r="D109" s="19" t="n"/>
      <c r="E109" s="23">
        <f>IF(D109="","",IFERROR(INDEX('01_자재목록'!$D$7:$D$106,MATCH(D109,'01_자재목록'!$B$7:$B$106,0))&amp;"","자재코드 확인"))</f>
        <v/>
      </c>
      <c r="F109" s="19" t="n"/>
      <c r="G109" s="19" t="n"/>
      <c r="H109" s="30" t="n"/>
      <c r="I109" s="30" t="n"/>
      <c r="J109" s="23">
        <f>IF(D109="","",IFERROR(INDEX('01_자재목록'!$I$7:$I$106,MATCH(D109,'01_자재목록'!$B$7:$B$106,0))&amp;"","자재코드 확인"))</f>
        <v/>
      </c>
      <c r="K109" s="31">
        <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f>
        <v/>
      </c>
      <c r="L109" s="19" t="n"/>
      <c r="M109" s="19" t="n"/>
      <c r="N109" s="19" t="n"/>
      <c r="O109" s="27">
        <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f>
        <v/>
      </c>
    </row>
    <row r="110" ht="24" customHeight="1">
      <c r="A110" s="18" t="n">
        <v>104</v>
      </c>
      <c r="B110" s="32" t="n"/>
      <c r="C110" s="19" t="n"/>
      <c r="D110" s="19" t="n"/>
      <c r="E110" s="23">
        <f>IF(D110="","",IFERROR(INDEX('01_자재목록'!$D$7:$D$106,MATCH(D110,'01_자재목록'!$B$7:$B$106,0))&amp;"","자재코드 확인"))</f>
        <v/>
      </c>
      <c r="F110" s="19" t="n"/>
      <c r="G110" s="19" t="n"/>
      <c r="H110" s="30" t="n"/>
      <c r="I110" s="30" t="n"/>
      <c r="J110" s="23">
        <f>IF(D110="","",IFERROR(INDEX('01_자재목록'!$I$7:$I$106,MATCH(D110,'01_자재목록'!$B$7:$B$106,0))&amp;"","자재코드 확인"))</f>
        <v/>
      </c>
      <c r="K110" s="31">
        <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f>
        <v/>
      </c>
      <c r="L110" s="19" t="n"/>
      <c r="M110" s="19" t="n"/>
      <c r="N110" s="19" t="n"/>
      <c r="O110" s="27">
        <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f>
        <v/>
      </c>
    </row>
    <row r="111" ht="24" customHeight="1">
      <c r="A111" s="18" t="n">
        <v>105</v>
      </c>
      <c r="B111" s="32" t="n"/>
      <c r="C111" s="19" t="n"/>
      <c r="D111" s="19" t="n"/>
      <c r="E111" s="23">
        <f>IF(D111="","",IFERROR(INDEX('01_자재목록'!$D$7:$D$106,MATCH(D111,'01_자재목록'!$B$7:$B$106,0))&amp;"","자재코드 확인"))</f>
        <v/>
      </c>
      <c r="F111" s="19" t="n"/>
      <c r="G111" s="19" t="n"/>
      <c r="H111" s="30" t="n"/>
      <c r="I111" s="30" t="n"/>
      <c r="J111" s="23">
        <f>IF(D111="","",IFERROR(INDEX('01_자재목록'!$I$7:$I$106,MATCH(D111,'01_자재목록'!$B$7:$B$106,0))&amp;"","자재코드 확인"))</f>
        <v/>
      </c>
      <c r="K111" s="31">
        <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f>
        <v/>
      </c>
      <c r="L111" s="19" t="n"/>
      <c r="M111" s="19" t="n"/>
      <c r="N111" s="19" t="n"/>
      <c r="O111" s="27">
        <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f>
        <v/>
      </c>
    </row>
    <row r="112" ht="24" customHeight="1">
      <c r="A112" s="18" t="n">
        <v>106</v>
      </c>
      <c r="B112" s="32" t="n"/>
      <c r="C112" s="19" t="n"/>
      <c r="D112" s="19" t="n"/>
      <c r="E112" s="23">
        <f>IF(D112="","",IFERROR(INDEX('01_자재목록'!$D$7:$D$106,MATCH(D112,'01_자재목록'!$B$7:$B$106,0))&amp;"","자재코드 확인"))</f>
        <v/>
      </c>
      <c r="F112" s="19" t="n"/>
      <c r="G112" s="19" t="n"/>
      <c r="H112" s="30" t="n"/>
      <c r="I112" s="30" t="n"/>
      <c r="J112" s="23">
        <f>IF(D112="","",IFERROR(INDEX('01_자재목록'!$I$7:$I$106,MATCH(D112,'01_자재목록'!$B$7:$B$106,0))&amp;"","자재코드 확인"))</f>
        <v/>
      </c>
      <c r="K112" s="31">
        <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f>
        <v/>
      </c>
      <c r="L112" s="19" t="n"/>
      <c r="M112" s="19" t="n"/>
      <c r="N112" s="19" t="n"/>
      <c r="O112" s="27">
        <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f>
        <v/>
      </c>
    </row>
    <row r="113" ht="24" customHeight="1">
      <c r="A113" s="18" t="n">
        <v>107</v>
      </c>
      <c r="B113" s="32" t="n"/>
      <c r="C113" s="19" t="n"/>
      <c r="D113" s="19" t="n"/>
      <c r="E113" s="23">
        <f>IF(D113="","",IFERROR(INDEX('01_자재목록'!$D$7:$D$106,MATCH(D113,'01_자재목록'!$B$7:$B$106,0))&amp;"","자재코드 확인"))</f>
        <v/>
      </c>
      <c r="F113" s="19" t="n"/>
      <c r="G113" s="19" t="n"/>
      <c r="H113" s="30" t="n"/>
      <c r="I113" s="30" t="n"/>
      <c r="J113" s="23">
        <f>IF(D113="","",IFERROR(INDEX('01_자재목록'!$I$7:$I$106,MATCH(D113,'01_자재목록'!$B$7:$B$106,0))&amp;"","자재코드 확인"))</f>
        <v/>
      </c>
      <c r="K113" s="31">
        <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f>
        <v/>
      </c>
      <c r="L113" s="19" t="n"/>
      <c r="M113" s="19" t="n"/>
      <c r="N113" s="19" t="n"/>
      <c r="O113" s="27">
        <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f>
        <v/>
      </c>
    </row>
    <row r="114" ht="24" customHeight="1">
      <c r="A114" s="18" t="n">
        <v>108</v>
      </c>
      <c r="B114" s="32" t="n"/>
      <c r="C114" s="19" t="n"/>
      <c r="D114" s="19" t="n"/>
      <c r="E114" s="23">
        <f>IF(D114="","",IFERROR(INDEX('01_자재목록'!$D$7:$D$106,MATCH(D114,'01_자재목록'!$B$7:$B$106,0))&amp;"","자재코드 확인"))</f>
        <v/>
      </c>
      <c r="F114" s="19" t="n"/>
      <c r="G114" s="19" t="n"/>
      <c r="H114" s="30" t="n"/>
      <c r="I114" s="30" t="n"/>
      <c r="J114" s="23">
        <f>IF(D114="","",IFERROR(INDEX('01_자재목록'!$I$7:$I$106,MATCH(D114,'01_자재목록'!$B$7:$B$106,0))&amp;"","자재코드 확인"))</f>
        <v/>
      </c>
      <c r="K114" s="31">
        <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f>
        <v/>
      </c>
      <c r="L114" s="19" t="n"/>
      <c r="M114" s="19" t="n"/>
      <c r="N114" s="19" t="n"/>
      <c r="O114" s="27">
        <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f>
        <v/>
      </c>
    </row>
    <row r="115" ht="24" customHeight="1">
      <c r="A115" s="18" t="n">
        <v>109</v>
      </c>
      <c r="B115" s="32" t="n"/>
      <c r="C115" s="19" t="n"/>
      <c r="D115" s="19" t="n"/>
      <c r="E115" s="23">
        <f>IF(D115="","",IFERROR(INDEX('01_자재목록'!$D$7:$D$106,MATCH(D115,'01_자재목록'!$B$7:$B$106,0))&amp;"","자재코드 확인"))</f>
        <v/>
      </c>
      <c r="F115" s="19" t="n"/>
      <c r="G115" s="19" t="n"/>
      <c r="H115" s="30" t="n"/>
      <c r="I115" s="30" t="n"/>
      <c r="J115" s="23">
        <f>IF(D115="","",IFERROR(INDEX('01_자재목록'!$I$7:$I$106,MATCH(D115,'01_자재목록'!$B$7:$B$106,0))&amp;"","자재코드 확인"))</f>
        <v/>
      </c>
      <c r="K115" s="31">
        <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f>
        <v/>
      </c>
      <c r="L115" s="19" t="n"/>
      <c r="M115" s="19" t="n"/>
      <c r="N115" s="19" t="n"/>
      <c r="O115" s="27">
        <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f>
        <v/>
      </c>
    </row>
    <row r="116" ht="24" customHeight="1">
      <c r="A116" s="18" t="n">
        <v>110</v>
      </c>
      <c r="B116" s="32" t="n"/>
      <c r="C116" s="19" t="n"/>
      <c r="D116" s="19" t="n"/>
      <c r="E116" s="23">
        <f>IF(D116="","",IFERROR(INDEX('01_자재목록'!$D$7:$D$106,MATCH(D116,'01_자재목록'!$B$7:$B$106,0))&amp;"","자재코드 확인"))</f>
        <v/>
      </c>
      <c r="F116" s="19" t="n"/>
      <c r="G116" s="19" t="n"/>
      <c r="H116" s="30" t="n"/>
      <c r="I116" s="30" t="n"/>
      <c r="J116" s="23">
        <f>IF(D116="","",IFERROR(INDEX('01_자재목록'!$I$7:$I$106,MATCH(D116,'01_자재목록'!$B$7:$B$106,0))&amp;"","자재코드 확인"))</f>
        <v/>
      </c>
      <c r="K116" s="31">
        <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f>
        <v/>
      </c>
      <c r="L116" s="19" t="n"/>
      <c r="M116" s="19" t="n"/>
      <c r="N116" s="19" t="n"/>
      <c r="O116" s="27">
        <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f>
        <v/>
      </c>
    </row>
    <row r="117" ht="24" customHeight="1">
      <c r="A117" s="18" t="n">
        <v>111</v>
      </c>
      <c r="B117" s="32" t="n"/>
      <c r="C117" s="19" t="n"/>
      <c r="D117" s="19" t="n"/>
      <c r="E117" s="23">
        <f>IF(D117="","",IFERROR(INDEX('01_자재목록'!$D$7:$D$106,MATCH(D117,'01_자재목록'!$B$7:$B$106,0))&amp;"","자재코드 확인"))</f>
        <v/>
      </c>
      <c r="F117" s="19" t="n"/>
      <c r="G117" s="19" t="n"/>
      <c r="H117" s="30" t="n"/>
      <c r="I117" s="30" t="n"/>
      <c r="J117" s="23">
        <f>IF(D117="","",IFERROR(INDEX('01_자재목록'!$I$7:$I$106,MATCH(D117,'01_자재목록'!$B$7:$B$106,0))&amp;"","자재코드 확인"))</f>
        <v/>
      </c>
      <c r="K117" s="31">
        <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f>
        <v/>
      </c>
      <c r="L117" s="19" t="n"/>
      <c r="M117" s="19" t="n"/>
      <c r="N117" s="19" t="n"/>
      <c r="O117" s="27">
        <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f>
        <v/>
      </c>
    </row>
    <row r="118" ht="24" customHeight="1">
      <c r="A118" s="18" t="n">
        <v>112</v>
      </c>
      <c r="B118" s="32" t="n"/>
      <c r="C118" s="19" t="n"/>
      <c r="D118" s="19" t="n"/>
      <c r="E118" s="23">
        <f>IF(D118="","",IFERROR(INDEX('01_자재목록'!$D$7:$D$106,MATCH(D118,'01_자재목록'!$B$7:$B$106,0))&amp;"","자재코드 확인"))</f>
        <v/>
      </c>
      <c r="F118" s="19" t="n"/>
      <c r="G118" s="19" t="n"/>
      <c r="H118" s="30" t="n"/>
      <c r="I118" s="30" t="n"/>
      <c r="J118" s="23">
        <f>IF(D118="","",IFERROR(INDEX('01_자재목록'!$I$7:$I$106,MATCH(D118,'01_자재목록'!$B$7:$B$106,0))&amp;"","자재코드 확인"))</f>
        <v/>
      </c>
      <c r="K118" s="31">
        <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f>
        <v/>
      </c>
      <c r="L118" s="19" t="n"/>
      <c r="M118" s="19" t="n"/>
      <c r="N118" s="19" t="n"/>
      <c r="O118" s="27">
        <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f>
        <v/>
      </c>
    </row>
    <row r="119" ht="24" customHeight="1">
      <c r="A119" s="18" t="n">
        <v>113</v>
      </c>
      <c r="B119" s="32" t="n"/>
      <c r="C119" s="19" t="n"/>
      <c r="D119" s="19" t="n"/>
      <c r="E119" s="23">
        <f>IF(D119="","",IFERROR(INDEX('01_자재목록'!$D$7:$D$106,MATCH(D119,'01_자재목록'!$B$7:$B$106,0))&amp;"","자재코드 확인"))</f>
        <v/>
      </c>
      <c r="F119" s="19" t="n"/>
      <c r="G119" s="19" t="n"/>
      <c r="H119" s="30" t="n"/>
      <c r="I119" s="30" t="n"/>
      <c r="J119" s="23">
        <f>IF(D119="","",IFERROR(INDEX('01_자재목록'!$I$7:$I$106,MATCH(D119,'01_자재목록'!$B$7:$B$106,0))&amp;"","자재코드 확인"))</f>
        <v/>
      </c>
      <c r="K119" s="31">
        <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f>
        <v/>
      </c>
      <c r="L119" s="19" t="n"/>
      <c r="M119" s="19" t="n"/>
      <c r="N119" s="19" t="n"/>
      <c r="O119" s="27">
        <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f>
        <v/>
      </c>
    </row>
    <row r="120" ht="24" customHeight="1">
      <c r="A120" s="18" t="n">
        <v>114</v>
      </c>
      <c r="B120" s="32" t="n"/>
      <c r="C120" s="19" t="n"/>
      <c r="D120" s="19" t="n"/>
      <c r="E120" s="23">
        <f>IF(D120="","",IFERROR(INDEX('01_자재목록'!$D$7:$D$106,MATCH(D120,'01_자재목록'!$B$7:$B$106,0))&amp;"","자재코드 확인"))</f>
        <v/>
      </c>
      <c r="F120" s="19" t="n"/>
      <c r="G120" s="19" t="n"/>
      <c r="H120" s="30" t="n"/>
      <c r="I120" s="30" t="n"/>
      <c r="J120" s="23">
        <f>IF(D120="","",IFERROR(INDEX('01_자재목록'!$I$7:$I$106,MATCH(D120,'01_자재목록'!$B$7:$B$106,0))&amp;"","자재코드 확인"))</f>
        <v/>
      </c>
      <c r="K120" s="31">
        <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f>
        <v/>
      </c>
      <c r="L120" s="19" t="n"/>
      <c r="M120" s="19" t="n"/>
      <c r="N120" s="19" t="n"/>
      <c r="O120" s="27">
        <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f>
        <v/>
      </c>
    </row>
    <row r="121" ht="24" customHeight="1">
      <c r="A121" s="18" t="n">
        <v>115</v>
      </c>
      <c r="B121" s="32" t="n"/>
      <c r="C121" s="19" t="n"/>
      <c r="D121" s="19" t="n"/>
      <c r="E121" s="23">
        <f>IF(D121="","",IFERROR(INDEX('01_자재목록'!$D$7:$D$106,MATCH(D121,'01_자재목록'!$B$7:$B$106,0))&amp;"","자재코드 확인"))</f>
        <v/>
      </c>
      <c r="F121" s="19" t="n"/>
      <c r="G121" s="19" t="n"/>
      <c r="H121" s="30" t="n"/>
      <c r="I121" s="30" t="n"/>
      <c r="J121" s="23">
        <f>IF(D121="","",IFERROR(INDEX('01_자재목록'!$I$7:$I$106,MATCH(D121,'01_자재목록'!$B$7:$B$106,0))&amp;"","자재코드 확인"))</f>
        <v/>
      </c>
      <c r="K121" s="31">
        <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f>
        <v/>
      </c>
      <c r="L121" s="19" t="n"/>
      <c r="M121" s="19" t="n"/>
      <c r="N121" s="19" t="n"/>
      <c r="O121" s="27">
        <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f>
        <v/>
      </c>
    </row>
    <row r="122" ht="24" customHeight="1">
      <c r="A122" s="18" t="n">
        <v>116</v>
      </c>
      <c r="B122" s="32" t="n"/>
      <c r="C122" s="19" t="n"/>
      <c r="D122" s="19" t="n"/>
      <c r="E122" s="23">
        <f>IF(D122="","",IFERROR(INDEX('01_자재목록'!$D$7:$D$106,MATCH(D122,'01_자재목록'!$B$7:$B$106,0))&amp;"","자재코드 확인"))</f>
        <v/>
      </c>
      <c r="F122" s="19" t="n"/>
      <c r="G122" s="19" t="n"/>
      <c r="H122" s="30" t="n"/>
      <c r="I122" s="30" t="n"/>
      <c r="J122" s="23">
        <f>IF(D122="","",IFERROR(INDEX('01_자재목록'!$I$7:$I$106,MATCH(D122,'01_자재목록'!$B$7:$B$106,0))&amp;"","자재코드 확인"))</f>
        <v/>
      </c>
      <c r="K122" s="31">
        <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f>
        <v/>
      </c>
      <c r="L122" s="19" t="n"/>
      <c r="M122" s="19" t="n"/>
      <c r="N122" s="19" t="n"/>
      <c r="O122" s="27">
        <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f>
        <v/>
      </c>
    </row>
    <row r="123" ht="24" customHeight="1">
      <c r="A123" s="18" t="n">
        <v>117</v>
      </c>
      <c r="B123" s="32" t="n"/>
      <c r="C123" s="19" t="n"/>
      <c r="D123" s="19" t="n"/>
      <c r="E123" s="23">
        <f>IF(D123="","",IFERROR(INDEX('01_자재목록'!$D$7:$D$106,MATCH(D123,'01_자재목록'!$B$7:$B$106,0))&amp;"","자재코드 확인"))</f>
        <v/>
      </c>
      <c r="F123" s="19" t="n"/>
      <c r="G123" s="19" t="n"/>
      <c r="H123" s="30" t="n"/>
      <c r="I123" s="30" t="n"/>
      <c r="J123" s="23">
        <f>IF(D123="","",IFERROR(INDEX('01_자재목록'!$I$7:$I$106,MATCH(D123,'01_자재목록'!$B$7:$B$106,0))&amp;"","자재코드 확인"))</f>
        <v/>
      </c>
      <c r="K123" s="31">
        <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f>
        <v/>
      </c>
      <c r="L123" s="19" t="n"/>
      <c r="M123" s="19" t="n"/>
      <c r="N123" s="19" t="n"/>
      <c r="O123" s="27">
        <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f>
        <v/>
      </c>
    </row>
    <row r="124" ht="24" customHeight="1">
      <c r="A124" s="18" t="n">
        <v>118</v>
      </c>
      <c r="B124" s="32" t="n"/>
      <c r="C124" s="19" t="n"/>
      <c r="D124" s="19" t="n"/>
      <c r="E124" s="23">
        <f>IF(D124="","",IFERROR(INDEX('01_자재목록'!$D$7:$D$106,MATCH(D124,'01_자재목록'!$B$7:$B$106,0))&amp;"","자재코드 확인"))</f>
        <v/>
      </c>
      <c r="F124" s="19" t="n"/>
      <c r="G124" s="19" t="n"/>
      <c r="H124" s="30" t="n"/>
      <c r="I124" s="30" t="n"/>
      <c r="J124" s="23">
        <f>IF(D124="","",IFERROR(INDEX('01_자재목록'!$I$7:$I$106,MATCH(D124,'01_자재목록'!$B$7:$B$106,0))&amp;"","자재코드 확인"))</f>
        <v/>
      </c>
      <c r="K124" s="31">
        <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f>
        <v/>
      </c>
      <c r="L124" s="19" t="n"/>
      <c r="M124" s="19" t="n"/>
      <c r="N124" s="19" t="n"/>
      <c r="O124" s="27">
        <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f>
        <v/>
      </c>
    </row>
    <row r="125" ht="24" customHeight="1">
      <c r="A125" s="18" t="n">
        <v>119</v>
      </c>
      <c r="B125" s="32" t="n"/>
      <c r="C125" s="19" t="n"/>
      <c r="D125" s="19" t="n"/>
      <c r="E125" s="23">
        <f>IF(D125="","",IFERROR(INDEX('01_자재목록'!$D$7:$D$106,MATCH(D125,'01_자재목록'!$B$7:$B$106,0))&amp;"","자재코드 확인"))</f>
        <v/>
      </c>
      <c r="F125" s="19" t="n"/>
      <c r="G125" s="19" t="n"/>
      <c r="H125" s="30" t="n"/>
      <c r="I125" s="30" t="n"/>
      <c r="J125" s="23">
        <f>IF(D125="","",IFERROR(INDEX('01_자재목록'!$I$7:$I$106,MATCH(D125,'01_자재목록'!$B$7:$B$106,0))&amp;"","자재코드 확인"))</f>
        <v/>
      </c>
      <c r="K125" s="31">
        <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f>
        <v/>
      </c>
      <c r="L125" s="19" t="n"/>
      <c r="M125" s="19" t="n"/>
      <c r="N125" s="19" t="n"/>
      <c r="O125" s="27">
        <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f>
        <v/>
      </c>
    </row>
    <row r="126" ht="24" customHeight="1">
      <c r="A126" s="18" t="n">
        <v>120</v>
      </c>
      <c r="B126" s="32" t="n"/>
      <c r="C126" s="19" t="n"/>
      <c r="D126" s="19" t="n"/>
      <c r="E126" s="23">
        <f>IF(D126="","",IFERROR(INDEX('01_자재목록'!$D$7:$D$106,MATCH(D126,'01_자재목록'!$B$7:$B$106,0))&amp;"","자재코드 확인"))</f>
        <v/>
      </c>
      <c r="F126" s="19" t="n"/>
      <c r="G126" s="19" t="n"/>
      <c r="H126" s="30" t="n"/>
      <c r="I126" s="30" t="n"/>
      <c r="J126" s="23">
        <f>IF(D126="","",IFERROR(INDEX('01_자재목록'!$I$7:$I$106,MATCH(D126,'01_자재목록'!$B$7:$B$106,0))&amp;"","자재코드 확인"))</f>
        <v/>
      </c>
      <c r="K126" s="31">
        <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f>
        <v/>
      </c>
      <c r="L126" s="19" t="n"/>
      <c r="M126" s="19" t="n"/>
      <c r="N126" s="19" t="n"/>
      <c r="O126" s="27">
        <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f>
        <v/>
      </c>
    </row>
    <row r="127" ht="24" customHeight="1">
      <c r="A127" s="18" t="n">
        <v>121</v>
      </c>
      <c r="B127" s="32" t="n"/>
      <c r="C127" s="19" t="n"/>
      <c r="D127" s="19" t="n"/>
      <c r="E127" s="23">
        <f>IF(D127="","",IFERROR(INDEX('01_자재목록'!$D$7:$D$106,MATCH(D127,'01_자재목록'!$B$7:$B$106,0))&amp;"","자재코드 확인"))</f>
        <v/>
      </c>
      <c r="F127" s="19" t="n"/>
      <c r="G127" s="19" t="n"/>
      <c r="H127" s="30" t="n"/>
      <c r="I127" s="30" t="n"/>
      <c r="J127" s="23">
        <f>IF(D127="","",IFERROR(INDEX('01_자재목록'!$I$7:$I$106,MATCH(D127,'01_자재목록'!$B$7:$B$106,0))&amp;"","자재코드 확인"))</f>
        <v/>
      </c>
      <c r="K127" s="31">
        <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f>
        <v/>
      </c>
      <c r="L127" s="19" t="n"/>
      <c r="M127" s="19" t="n"/>
      <c r="N127" s="19" t="n"/>
      <c r="O127" s="27">
        <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f>
        <v/>
      </c>
    </row>
    <row r="128" ht="24" customHeight="1">
      <c r="A128" s="18" t="n">
        <v>122</v>
      </c>
      <c r="B128" s="32" t="n"/>
      <c r="C128" s="19" t="n"/>
      <c r="D128" s="19" t="n"/>
      <c r="E128" s="23">
        <f>IF(D128="","",IFERROR(INDEX('01_자재목록'!$D$7:$D$106,MATCH(D128,'01_자재목록'!$B$7:$B$106,0))&amp;"","자재코드 확인"))</f>
        <v/>
      </c>
      <c r="F128" s="19" t="n"/>
      <c r="G128" s="19" t="n"/>
      <c r="H128" s="30" t="n"/>
      <c r="I128" s="30" t="n"/>
      <c r="J128" s="23">
        <f>IF(D128="","",IFERROR(INDEX('01_자재목록'!$I$7:$I$106,MATCH(D128,'01_자재목록'!$B$7:$B$106,0))&amp;"","자재코드 확인"))</f>
        <v/>
      </c>
      <c r="K128" s="31">
        <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f>
        <v/>
      </c>
      <c r="L128" s="19" t="n"/>
      <c r="M128" s="19" t="n"/>
      <c r="N128" s="19" t="n"/>
      <c r="O128" s="27">
        <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f>
        <v/>
      </c>
    </row>
    <row r="129" ht="24" customHeight="1">
      <c r="A129" s="18" t="n">
        <v>123</v>
      </c>
      <c r="B129" s="32" t="n"/>
      <c r="C129" s="19" t="n"/>
      <c r="D129" s="19" t="n"/>
      <c r="E129" s="23">
        <f>IF(D129="","",IFERROR(INDEX('01_자재목록'!$D$7:$D$106,MATCH(D129,'01_자재목록'!$B$7:$B$106,0))&amp;"","자재코드 확인"))</f>
        <v/>
      </c>
      <c r="F129" s="19" t="n"/>
      <c r="G129" s="19" t="n"/>
      <c r="H129" s="30" t="n"/>
      <c r="I129" s="30" t="n"/>
      <c r="J129" s="23">
        <f>IF(D129="","",IFERROR(INDEX('01_자재목록'!$I$7:$I$106,MATCH(D129,'01_자재목록'!$B$7:$B$106,0))&amp;"","자재코드 확인"))</f>
        <v/>
      </c>
      <c r="K129" s="31">
        <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f>
        <v/>
      </c>
      <c r="L129" s="19" t="n"/>
      <c r="M129" s="19" t="n"/>
      <c r="N129" s="19" t="n"/>
      <c r="O129" s="27">
        <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f>
        <v/>
      </c>
    </row>
    <row r="130" ht="24" customHeight="1">
      <c r="A130" s="18" t="n">
        <v>124</v>
      </c>
      <c r="B130" s="32" t="n"/>
      <c r="C130" s="19" t="n"/>
      <c r="D130" s="19" t="n"/>
      <c r="E130" s="23">
        <f>IF(D130="","",IFERROR(INDEX('01_자재목록'!$D$7:$D$106,MATCH(D130,'01_자재목록'!$B$7:$B$106,0))&amp;"","자재코드 확인"))</f>
        <v/>
      </c>
      <c r="F130" s="19" t="n"/>
      <c r="G130" s="19" t="n"/>
      <c r="H130" s="30" t="n"/>
      <c r="I130" s="30" t="n"/>
      <c r="J130" s="23">
        <f>IF(D130="","",IFERROR(INDEX('01_자재목록'!$I$7:$I$106,MATCH(D130,'01_자재목록'!$B$7:$B$106,0))&amp;"","자재코드 확인"))</f>
        <v/>
      </c>
      <c r="K130" s="31">
        <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f>
        <v/>
      </c>
      <c r="L130" s="19" t="n"/>
      <c r="M130" s="19" t="n"/>
      <c r="N130" s="19" t="n"/>
      <c r="O130" s="27">
        <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f>
        <v/>
      </c>
    </row>
    <row r="131" ht="24" customHeight="1">
      <c r="A131" s="18" t="n">
        <v>125</v>
      </c>
      <c r="B131" s="32" t="n"/>
      <c r="C131" s="19" t="n"/>
      <c r="D131" s="19" t="n"/>
      <c r="E131" s="23">
        <f>IF(D131="","",IFERROR(INDEX('01_자재목록'!$D$7:$D$106,MATCH(D131,'01_자재목록'!$B$7:$B$106,0))&amp;"","자재코드 확인"))</f>
        <v/>
      </c>
      <c r="F131" s="19" t="n"/>
      <c r="G131" s="19" t="n"/>
      <c r="H131" s="30" t="n"/>
      <c r="I131" s="30" t="n"/>
      <c r="J131" s="23">
        <f>IF(D131="","",IFERROR(INDEX('01_자재목록'!$I$7:$I$106,MATCH(D131,'01_자재목록'!$B$7:$B$106,0))&amp;"","자재코드 확인"))</f>
        <v/>
      </c>
      <c r="K131" s="31">
        <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f>
        <v/>
      </c>
      <c r="L131" s="19" t="n"/>
      <c r="M131" s="19" t="n"/>
      <c r="N131" s="19" t="n"/>
      <c r="O131" s="27">
        <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f>
        <v/>
      </c>
    </row>
    <row r="132" ht="24" customHeight="1">
      <c r="A132" s="18" t="n">
        <v>126</v>
      </c>
      <c r="B132" s="32" t="n"/>
      <c r="C132" s="19" t="n"/>
      <c r="D132" s="19" t="n"/>
      <c r="E132" s="23">
        <f>IF(D132="","",IFERROR(INDEX('01_자재목록'!$D$7:$D$106,MATCH(D132,'01_자재목록'!$B$7:$B$106,0))&amp;"","자재코드 확인"))</f>
        <v/>
      </c>
      <c r="F132" s="19" t="n"/>
      <c r="G132" s="19" t="n"/>
      <c r="H132" s="30" t="n"/>
      <c r="I132" s="30" t="n"/>
      <c r="J132" s="23">
        <f>IF(D132="","",IFERROR(INDEX('01_자재목록'!$I$7:$I$106,MATCH(D132,'01_자재목록'!$B$7:$B$106,0))&amp;"","자재코드 확인"))</f>
        <v/>
      </c>
      <c r="K132" s="31">
        <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f>
        <v/>
      </c>
      <c r="L132" s="19" t="n"/>
      <c r="M132" s="19" t="n"/>
      <c r="N132" s="19" t="n"/>
      <c r="O132" s="27">
        <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f>
        <v/>
      </c>
    </row>
    <row r="133" ht="24" customHeight="1">
      <c r="A133" s="18" t="n">
        <v>127</v>
      </c>
      <c r="B133" s="32" t="n"/>
      <c r="C133" s="19" t="n"/>
      <c r="D133" s="19" t="n"/>
      <c r="E133" s="23">
        <f>IF(D133="","",IFERROR(INDEX('01_자재목록'!$D$7:$D$106,MATCH(D133,'01_자재목록'!$B$7:$B$106,0))&amp;"","자재코드 확인"))</f>
        <v/>
      </c>
      <c r="F133" s="19" t="n"/>
      <c r="G133" s="19" t="n"/>
      <c r="H133" s="30" t="n"/>
      <c r="I133" s="30" t="n"/>
      <c r="J133" s="23">
        <f>IF(D133="","",IFERROR(INDEX('01_자재목록'!$I$7:$I$106,MATCH(D133,'01_자재목록'!$B$7:$B$106,0))&amp;"","자재코드 확인"))</f>
        <v/>
      </c>
      <c r="K133" s="31">
        <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f>
        <v/>
      </c>
      <c r="L133" s="19" t="n"/>
      <c r="M133" s="19" t="n"/>
      <c r="N133" s="19" t="n"/>
      <c r="O133" s="27">
        <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f>
        <v/>
      </c>
    </row>
    <row r="134" ht="24" customHeight="1">
      <c r="A134" s="18" t="n">
        <v>128</v>
      </c>
      <c r="B134" s="32" t="n"/>
      <c r="C134" s="19" t="n"/>
      <c r="D134" s="19" t="n"/>
      <c r="E134" s="23">
        <f>IF(D134="","",IFERROR(INDEX('01_자재목록'!$D$7:$D$106,MATCH(D134,'01_자재목록'!$B$7:$B$106,0))&amp;"","자재코드 확인"))</f>
        <v/>
      </c>
      <c r="F134" s="19" t="n"/>
      <c r="G134" s="19" t="n"/>
      <c r="H134" s="30" t="n"/>
      <c r="I134" s="30" t="n"/>
      <c r="J134" s="23">
        <f>IF(D134="","",IFERROR(INDEX('01_자재목록'!$I$7:$I$106,MATCH(D134,'01_자재목록'!$B$7:$B$106,0))&amp;"","자재코드 확인"))</f>
        <v/>
      </c>
      <c r="K134" s="31">
        <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f>
        <v/>
      </c>
      <c r="L134" s="19" t="n"/>
      <c r="M134" s="19" t="n"/>
      <c r="N134" s="19" t="n"/>
      <c r="O134" s="27">
        <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f>
        <v/>
      </c>
    </row>
    <row r="135" ht="24" customHeight="1">
      <c r="A135" s="18" t="n">
        <v>129</v>
      </c>
      <c r="B135" s="32" t="n"/>
      <c r="C135" s="19" t="n"/>
      <c r="D135" s="19" t="n"/>
      <c r="E135" s="23">
        <f>IF(D135="","",IFERROR(INDEX('01_자재목록'!$D$7:$D$106,MATCH(D135,'01_자재목록'!$B$7:$B$106,0))&amp;"","자재코드 확인"))</f>
        <v/>
      </c>
      <c r="F135" s="19" t="n"/>
      <c r="G135" s="19" t="n"/>
      <c r="H135" s="30" t="n"/>
      <c r="I135" s="30" t="n"/>
      <c r="J135" s="23">
        <f>IF(D135="","",IFERROR(INDEX('01_자재목록'!$I$7:$I$106,MATCH(D135,'01_자재목록'!$B$7:$B$106,0))&amp;"","자재코드 확인"))</f>
        <v/>
      </c>
      <c r="K135" s="31">
        <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f>
        <v/>
      </c>
      <c r="L135" s="19" t="n"/>
      <c r="M135" s="19" t="n"/>
      <c r="N135" s="19" t="n"/>
      <c r="O135" s="27">
        <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f>
        <v/>
      </c>
    </row>
    <row r="136" ht="24" customHeight="1">
      <c r="A136" s="18" t="n">
        <v>130</v>
      </c>
      <c r="B136" s="32" t="n"/>
      <c r="C136" s="19" t="n"/>
      <c r="D136" s="19" t="n"/>
      <c r="E136" s="23">
        <f>IF(D136="","",IFERROR(INDEX('01_자재목록'!$D$7:$D$106,MATCH(D136,'01_자재목록'!$B$7:$B$106,0))&amp;"","자재코드 확인"))</f>
        <v/>
      </c>
      <c r="F136" s="19" t="n"/>
      <c r="G136" s="19" t="n"/>
      <c r="H136" s="30" t="n"/>
      <c r="I136" s="30" t="n"/>
      <c r="J136" s="23">
        <f>IF(D136="","",IFERROR(INDEX('01_자재목록'!$I$7:$I$106,MATCH(D136,'01_자재목록'!$B$7:$B$106,0))&amp;"","자재코드 확인"))</f>
        <v/>
      </c>
      <c r="K136" s="31">
        <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f>
        <v/>
      </c>
      <c r="L136" s="19" t="n"/>
      <c r="M136" s="19" t="n"/>
      <c r="N136" s="19" t="n"/>
      <c r="O136" s="27">
        <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f>
        <v/>
      </c>
    </row>
    <row r="137" ht="24" customHeight="1">
      <c r="A137" s="18" t="n">
        <v>131</v>
      </c>
      <c r="B137" s="32" t="n"/>
      <c r="C137" s="19" t="n"/>
      <c r="D137" s="19" t="n"/>
      <c r="E137" s="23">
        <f>IF(D137="","",IFERROR(INDEX('01_자재목록'!$D$7:$D$106,MATCH(D137,'01_자재목록'!$B$7:$B$106,0))&amp;"","자재코드 확인"))</f>
        <v/>
      </c>
      <c r="F137" s="19" t="n"/>
      <c r="G137" s="19" t="n"/>
      <c r="H137" s="30" t="n"/>
      <c r="I137" s="30" t="n"/>
      <c r="J137" s="23">
        <f>IF(D137="","",IFERROR(INDEX('01_자재목록'!$I$7:$I$106,MATCH(D137,'01_자재목록'!$B$7:$B$106,0))&amp;"","자재코드 확인"))</f>
        <v/>
      </c>
      <c r="K137" s="31">
        <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f>
        <v/>
      </c>
      <c r="L137" s="19" t="n"/>
      <c r="M137" s="19" t="n"/>
      <c r="N137" s="19" t="n"/>
      <c r="O137" s="27">
        <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f>
        <v/>
      </c>
    </row>
    <row r="138" ht="24" customHeight="1">
      <c r="A138" s="18" t="n">
        <v>132</v>
      </c>
      <c r="B138" s="32" t="n"/>
      <c r="C138" s="19" t="n"/>
      <c r="D138" s="19" t="n"/>
      <c r="E138" s="23">
        <f>IF(D138="","",IFERROR(INDEX('01_자재목록'!$D$7:$D$106,MATCH(D138,'01_자재목록'!$B$7:$B$106,0))&amp;"","자재코드 확인"))</f>
        <v/>
      </c>
      <c r="F138" s="19" t="n"/>
      <c r="G138" s="19" t="n"/>
      <c r="H138" s="30" t="n"/>
      <c r="I138" s="30" t="n"/>
      <c r="J138" s="23">
        <f>IF(D138="","",IFERROR(INDEX('01_자재목록'!$I$7:$I$106,MATCH(D138,'01_자재목록'!$B$7:$B$106,0))&amp;"","자재코드 확인"))</f>
        <v/>
      </c>
      <c r="K138" s="31">
        <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f>
        <v/>
      </c>
      <c r="L138" s="19" t="n"/>
      <c r="M138" s="19" t="n"/>
      <c r="N138" s="19" t="n"/>
      <c r="O138" s="27">
        <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f>
        <v/>
      </c>
    </row>
    <row r="139" ht="24" customHeight="1">
      <c r="A139" s="18" t="n">
        <v>133</v>
      </c>
      <c r="B139" s="32" t="n"/>
      <c r="C139" s="19" t="n"/>
      <c r="D139" s="19" t="n"/>
      <c r="E139" s="23">
        <f>IF(D139="","",IFERROR(INDEX('01_자재목록'!$D$7:$D$106,MATCH(D139,'01_자재목록'!$B$7:$B$106,0))&amp;"","자재코드 확인"))</f>
        <v/>
      </c>
      <c r="F139" s="19" t="n"/>
      <c r="G139" s="19" t="n"/>
      <c r="H139" s="30" t="n"/>
      <c r="I139" s="30" t="n"/>
      <c r="J139" s="23">
        <f>IF(D139="","",IFERROR(INDEX('01_자재목록'!$I$7:$I$106,MATCH(D139,'01_자재목록'!$B$7:$B$106,0))&amp;"","자재코드 확인"))</f>
        <v/>
      </c>
      <c r="K139" s="31">
        <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f>
        <v/>
      </c>
      <c r="L139" s="19" t="n"/>
      <c r="M139" s="19" t="n"/>
      <c r="N139" s="19" t="n"/>
      <c r="O139" s="27">
        <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f>
        <v/>
      </c>
    </row>
    <row r="140" ht="24" customHeight="1">
      <c r="A140" s="18" t="n">
        <v>134</v>
      </c>
      <c r="B140" s="32" t="n"/>
      <c r="C140" s="19" t="n"/>
      <c r="D140" s="19" t="n"/>
      <c r="E140" s="23">
        <f>IF(D140="","",IFERROR(INDEX('01_자재목록'!$D$7:$D$106,MATCH(D140,'01_자재목록'!$B$7:$B$106,0))&amp;"","자재코드 확인"))</f>
        <v/>
      </c>
      <c r="F140" s="19" t="n"/>
      <c r="G140" s="19" t="n"/>
      <c r="H140" s="30" t="n"/>
      <c r="I140" s="30" t="n"/>
      <c r="J140" s="23">
        <f>IF(D140="","",IFERROR(INDEX('01_자재목록'!$I$7:$I$106,MATCH(D140,'01_자재목록'!$B$7:$B$106,0))&amp;"","자재코드 확인"))</f>
        <v/>
      </c>
      <c r="K140" s="31">
        <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f>
        <v/>
      </c>
      <c r="L140" s="19" t="n"/>
      <c r="M140" s="19" t="n"/>
      <c r="N140" s="19" t="n"/>
      <c r="O140" s="27">
        <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f>
        <v/>
      </c>
    </row>
    <row r="141" ht="24" customHeight="1">
      <c r="A141" s="18" t="n">
        <v>135</v>
      </c>
      <c r="B141" s="32" t="n"/>
      <c r="C141" s="19" t="n"/>
      <c r="D141" s="19" t="n"/>
      <c r="E141" s="23">
        <f>IF(D141="","",IFERROR(INDEX('01_자재목록'!$D$7:$D$106,MATCH(D141,'01_자재목록'!$B$7:$B$106,0))&amp;"","자재코드 확인"))</f>
        <v/>
      </c>
      <c r="F141" s="19" t="n"/>
      <c r="G141" s="19" t="n"/>
      <c r="H141" s="30" t="n"/>
      <c r="I141" s="30" t="n"/>
      <c r="J141" s="23">
        <f>IF(D141="","",IFERROR(INDEX('01_자재목록'!$I$7:$I$106,MATCH(D141,'01_자재목록'!$B$7:$B$106,0))&amp;"","자재코드 확인"))</f>
        <v/>
      </c>
      <c r="K141" s="31">
        <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f>
        <v/>
      </c>
      <c r="L141" s="19" t="n"/>
      <c r="M141" s="19" t="n"/>
      <c r="N141" s="19" t="n"/>
      <c r="O141" s="27">
        <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f>
        <v/>
      </c>
    </row>
    <row r="142" ht="24" customHeight="1">
      <c r="A142" s="18" t="n">
        <v>136</v>
      </c>
      <c r="B142" s="32" t="n"/>
      <c r="C142" s="19" t="n"/>
      <c r="D142" s="19" t="n"/>
      <c r="E142" s="23">
        <f>IF(D142="","",IFERROR(INDEX('01_자재목록'!$D$7:$D$106,MATCH(D142,'01_자재목록'!$B$7:$B$106,0))&amp;"","자재코드 확인"))</f>
        <v/>
      </c>
      <c r="F142" s="19" t="n"/>
      <c r="G142" s="19" t="n"/>
      <c r="H142" s="30" t="n"/>
      <c r="I142" s="30" t="n"/>
      <c r="J142" s="23">
        <f>IF(D142="","",IFERROR(INDEX('01_자재목록'!$I$7:$I$106,MATCH(D142,'01_자재목록'!$B$7:$B$106,0))&amp;"","자재코드 확인"))</f>
        <v/>
      </c>
      <c r="K142" s="31">
        <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f>
        <v/>
      </c>
      <c r="L142" s="19" t="n"/>
      <c r="M142" s="19" t="n"/>
      <c r="N142" s="19" t="n"/>
      <c r="O142" s="27">
        <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f>
        <v/>
      </c>
    </row>
    <row r="143" ht="24" customHeight="1">
      <c r="A143" s="18" t="n">
        <v>137</v>
      </c>
      <c r="B143" s="32" t="n"/>
      <c r="C143" s="19" t="n"/>
      <c r="D143" s="19" t="n"/>
      <c r="E143" s="23">
        <f>IF(D143="","",IFERROR(INDEX('01_자재목록'!$D$7:$D$106,MATCH(D143,'01_자재목록'!$B$7:$B$106,0))&amp;"","자재코드 확인"))</f>
        <v/>
      </c>
      <c r="F143" s="19" t="n"/>
      <c r="G143" s="19" t="n"/>
      <c r="H143" s="30" t="n"/>
      <c r="I143" s="30" t="n"/>
      <c r="J143" s="23">
        <f>IF(D143="","",IFERROR(INDEX('01_자재목록'!$I$7:$I$106,MATCH(D143,'01_자재목록'!$B$7:$B$106,0))&amp;"","자재코드 확인"))</f>
        <v/>
      </c>
      <c r="K143" s="31">
        <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f>
        <v/>
      </c>
      <c r="L143" s="19" t="n"/>
      <c r="M143" s="19" t="n"/>
      <c r="N143" s="19" t="n"/>
      <c r="O143" s="27">
        <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f>
        <v/>
      </c>
    </row>
    <row r="144" ht="24" customHeight="1">
      <c r="A144" s="18" t="n">
        <v>138</v>
      </c>
      <c r="B144" s="32" t="n"/>
      <c r="C144" s="19" t="n"/>
      <c r="D144" s="19" t="n"/>
      <c r="E144" s="23">
        <f>IF(D144="","",IFERROR(INDEX('01_자재목록'!$D$7:$D$106,MATCH(D144,'01_자재목록'!$B$7:$B$106,0))&amp;"","자재코드 확인"))</f>
        <v/>
      </c>
      <c r="F144" s="19" t="n"/>
      <c r="G144" s="19" t="n"/>
      <c r="H144" s="30" t="n"/>
      <c r="I144" s="30" t="n"/>
      <c r="J144" s="23">
        <f>IF(D144="","",IFERROR(INDEX('01_자재목록'!$I$7:$I$106,MATCH(D144,'01_자재목록'!$B$7:$B$106,0))&amp;"","자재코드 확인"))</f>
        <v/>
      </c>
      <c r="K144" s="31">
        <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f>
        <v/>
      </c>
      <c r="L144" s="19" t="n"/>
      <c r="M144" s="19" t="n"/>
      <c r="N144" s="19" t="n"/>
      <c r="O144" s="27">
        <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f>
        <v/>
      </c>
    </row>
    <row r="145" ht="24" customHeight="1">
      <c r="A145" s="18" t="n">
        <v>139</v>
      </c>
      <c r="B145" s="32" t="n"/>
      <c r="C145" s="19" t="n"/>
      <c r="D145" s="19" t="n"/>
      <c r="E145" s="23">
        <f>IF(D145="","",IFERROR(INDEX('01_자재목록'!$D$7:$D$106,MATCH(D145,'01_자재목록'!$B$7:$B$106,0))&amp;"","자재코드 확인"))</f>
        <v/>
      </c>
      <c r="F145" s="19" t="n"/>
      <c r="G145" s="19" t="n"/>
      <c r="H145" s="30" t="n"/>
      <c r="I145" s="30" t="n"/>
      <c r="J145" s="23">
        <f>IF(D145="","",IFERROR(INDEX('01_자재목록'!$I$7:$I$106,MATCH(D145,'01_자재목록'!$B$7:$B$106,0))&amp;"","자재코드 확인"))</f>
        <v/>
      </c>
      <c r="K145" s="31">
        <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f>
        <v/>
      </c>
      <c r="L145" s="19" t="n"/>
      <c r="M145" s="19" t="n"/>
      <c r="N145" s="19" t="n"/>
      <c r="O145" s="27">
        <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f>
        <v/>
      </c>
    </row>
    <row r="146" ht="24" customHeight="1">
      <c r="A146" s="18" t="n">
        <v>140</v>
      </c>
      <c r="B146" s="32" t="n"/>
      <c r="C146" s="19" t="n"/>
      <c r="D146" s="19" t="n"/>
      <c r="E146" s="23">
        <f>IF(D146="","",IFERROR(INDEX('01_자재목록'!$D$7:$D$106,MATCH(D146,'01_자재목록'!$B$7:$B$106,0))&amp;"","자재코드 확인"))</f>
        <v/>
      </c>
      <c r="F146" s="19" t="n"/>
      <c r="G146" s="19" t="n"/>
      <c r="H146" s="30" t="n"/>
      <c r="I146" s="30" t="n"/>
      <c r="J146" s="23">
        <f>IF(D146="","",IFERROR(INDEX('01_자재목록'!$I$7:$I$106,MATCH(D146,'01_자재목록'!$B$7:$B$106,0))&amp;"","자재코드 확인"))</f>
        <v/>
      </c>
      <c r="K146" s="31">
        <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f>
        <v/>
      </c>
      <c r="L146" s="19" t="n"/>
      <c r="M146" s="19" t="n"/>
      <c r="N146" s="19" t="n"/>
      <c r="O146" s="27">
        <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f>
        <v/>
      </c>
    </row>
    <row r="147" ht="24" customHeight="1">
      <c r="A147" s="18" t="n">
        <v>141</v>
      </c>
      <c r="B147" s="32" t="n"/>
      <c r="C147" s="19" t="n"/>
      <c r="D147" s="19" t="n"/>
      <c r="E147" s="23">
        <f>IF(D147="","",IFERROR(INDEX('01_자재목록'!$D$7:$D$106,MATCH(D147,'01_자재목록'!$B$7:$B$106,0))&amp;"","자재코드 확인"))</f>
        <v/>
      </c>
      <c r="F147" s="19" t="n"/>
      <c r="G147" s="19" t="n"/>
      <c r="H147" s="30" t="n"/>
      <c r="I147" s="30" t="n"/>
      <c r="J147" s="23">
        <f>IF(D147="","",IFERROR(INDEX('01_자재목록'!$I$7:$I$106,MATCH(D147,'01_자재목록'!$B$7:$B$106,0))&amp;"","자재코드 확인"))</f>
        <v/>
      </c>
      <c r="K147" s="31">
        <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f>
        <v/>
      </c>
      <c r="L147" s="19" t="n"/>
      <c r="M147" s="19" t="n"/>
      <c r="N147" s="19" t="n"/>
      <c r="O147" s="27">
        <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f>
        <v/>
      </c>
    </row>
    <row r="148" ht="24" customHeight="1">
      <c r="A148" s="18" t="n">
        <v>142</v>
      </c>
      <c r="B148" s="32" t="n"/>
      <c r="C148" s="19" t="n"/>
      <c r="D148" s="19" t="n"/>
      <c r="E148" s="23">
        <f>IF(D148="","",IFERROR(INDEX('01_자재목록'!$D$7:$D$106,MATCH(D148,'01_자재목록'!$B$7:$B$106,0))&amp;"","자재코드 확인"))</f>
        <v/>
      </c>
      <c r="F148" s="19" t="n"/>
      <c r="G148" s="19" t="n"/>
      <c r="H148" s="30" t="n"/>
      <c r="I148" s="30" t="n"/>
      <c r="J148" s="23">
        <f>IF(D148="","",IFERROR(INDEX('01_자재목록'!$I$7:$I$106,MATCH(D148,'01_자재목록'!$B$7:$B$106,0))&amp;"","자재코드 확인"))</f>
        <v/>
      </c>
      <c r="K148" s="31">
        <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f>
        <v/>
      </c>
      <c r="L148" s="19" t="n"/>
      <c r="M148" s="19" t="n"/>
      <c r="N148" s="19" t="n"/>
      <c r="O148" s="27">
        <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f>
        <v/>
      </c>
    </row>
    <row r="149" ht="24" customHeight="1">
      <c r="A149" s="18" t="n">
        <v>143</v>
      </c>
      <c r="B149" s="32" t="n"/>
      <c r="C149" s="19" t="n"/>
      <c r="D149" s="19" t="n"/>
      <c r="E149" s="23">
        <f>IF(D149="","",IFERROR(INDEX('01_자재목록'!$D$7:$D$106,MATCH(D149,'01_자재목록'!$B$7:$B$106,0))&amp;"","자재코드 확인"))</f>
        <v/>
      </c>
      <c r="F149" s="19" t="n"/>
      <c r="G149" s="19" t="n"/>
      <c r="H149" s="30" t="n"/>
      <c r="I149" s="30" t="n"/>
      <c r="J149" s="23">
        <f>IF(D149="","",IFERROR(INDEX('01_자재목록'!$I$7:$I$106,MATCH(D149,'01_자재목록'!$B$7:$B$106,0))&amp;"","자재코드 확인"))</f>
        <v/>
      </c>
      <c r="K149" s="31">
        <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f>
        <v/>
      </c>
      <c r="L149" s="19" t="n"/>
      <c r="M149" s="19" t="n"/>
      <c r="N149" s="19" t="n"/>
      <c r="O149" s="27">
        <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f>
        <v/>
      </c>
    </row>
    <row r="150" ht="24" customHeight="1">
      <c r="A150" s="18" t="n">
        <v>144</v>
      </c>
      <c r="B150" s="32" t="n"/>
      <c r="C150" s="19" t="n"/>
      <c r="D150" s="19" t="n"/>
      <c r="E150" s="23">
        <f>IF(D150="","",IFERROR(INDEX('01_자재목록'!$D$7:$D$106,MATCH(D150,'01_자재목록'!$B$7:$B$106,0))&amp;"","자재코드 확인"))</f>
        <v/>
      </c>
      <c r="F150" s="19" t="n"/>
      <c r="G150" s="19" t="n"/>
      <c r="H150" s="30" t="n"/>
      <c r="I150" s="30" t="n"/>
      <c r="J150" s="23">
        <f>IF(D150="","",IFERROR(INDEX('01_자재목록'!$I$7:$I$106,MATCH(D150,'01_자재목록'!$B$7:$B$106,0))&amp;"","자재코드 확인"))</f>
        <v/>
      </c>
      <c r="K150" s="31">
        <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f>
        <v/>
      </c>
      <c r="L150" s="19" t="n"/>
      <c r="M150" s="19" t="n"/>
      <c r="N150" s="19" t="n"/>
      <c r="O150" s="27">
        <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f>
        <v/>
      </c>
    </row>
    <row r="151" ht="24" customHeight="1">
      <c r="A151" s="18" t="n">
        <v>145</v>
      </c>
      <c r="B151" s="32" t="n"/>
      <c r="C151" s="19" t="n"/>
      <c r="D151" s="19" t="n"/>
      <c r="E151" s="23">
        <f>IF(D151="","",IFERROR(INDEX('01_자재목록'!$D$7:$D$106,MATCH(D151,'01_자재목록'!$B$7:$B$106,0))&amp;"","자재코드 확인"))</f>
        <v/>
      </c>
      <c r="F151" s="19" t="n"/>
      <c r="G151" s="19" t="n"/>
      <c r="H151" s="30" t="n"/>
      <c r="I151" s="30" t="n"/>
      <c r="J151" s="23">
        <f>IF(D151="","",IFERROR(INDEX('01_자재목록'!$I$7:$I$106,MATCH(D151,'01_자재목록'!$B$7:$B$106,0))&amp;"","자재코드 확인"))</f>
        <v/>
      </c>
      <c r="K151" s="31">
        <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f>
        <v/>
      </c>
      <c r="L151" s="19" t="n"/>
      <c r="M151" s="19" t="n"/>
      <c r="N151" s="19" t="n"/>
      <c r="O151" s="27">
        <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f>
        <v/>
      </c>
    </row>
    <row r="152" ht="24" customHeight="1">
      <c r="A152" s="18" t="n">
        <v>146</v>
      </c>
      <c r="B152" s="32" t="n"/>
      <c r="C152" s="19" t="n"/>
      <c r="D152" s="19" t="n"/>
      <c r="E152" s="23">
        <f>IF(D152="","",IFERROR(INDEX('01_자재목록'!$D$7:$D$106,MATCH(D152,'01_자재목록'!$B$7:$B$106,0))&amp;"","자재코드 확인"))</f>
        <v/>
      </c>
      <c r="F152" s="19" t="n"/>
      <c r="G152" s="19" t="n"/>
      <c r="H152" s="30" t="n"/>
      <c r="I152" s="30" t="n"/>
      <c r="J152" s="23">
        <f>IF(D152="","",IFERROR(INDEX('01_자재목록'!$I$7:$I$106,MATCH(D152,'01_자재목록'!$B$7:$B$106,0))&amp;"","자재코드 확인"))</f>
        <v/>
      </c>
      <c r="K152" s="31">
        <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f>
        <v/>
      </c>
      <c r="L152" s="19" t="n"/>
      <c r="M152" s="19" t="n"/>
      <c r="N152" s="19" t="n"/>
      <c r="O152" s="27">
        <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f>
        <v/>
      </c>
    </row>
    <row r="153" ht="24" customHeight="1">
      <c r="A153" s="18" t="n">
        <v>147</v>
      </c>
      <c r="B153" s="32" t="n"/>
      <c r="C153" s="19" t="n"/>
      <c r="D153" s="19" t="n"/>
      <c r="E153" s="23">
        <f>IF(D153="","",IFERROR(INDEX('01_자재목록'!$D$7:$D$106,MATCH(D153,'01_자재목록'!$B$7:$B$106,0))&amp;"","자재코드 확인"))</f>
        <v/>
      </c>
      <c r="F153" s="19" t="n"/>
      <c r="G153" s="19" t="n"/>
      <c r="H153" s="30" t="n"/>
      <c r="I153" s="30" t="n"/>
      <c r="J153" s="23">
        <f>IF(D153="","",IFERROR(INDEX('01_자재목록'!$I$7:$I$106,MATCH(D153,'01_자재목록'!$B$7:$B$106,0))&amp;"","자재코드 확인"))</f>
        <v/>
      </c>
      <c r="K153" s="31">
        <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f>
        <v/>
      </c>
      <c r="L153" s="19" t="n"/>
      <c r="M153" s="19" t="n"/>
      <c r="N153" s="19" t="n"/>
      <c r="O153" s="27">
        <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f>
        <v/>
      </c>
    </row>
    <row r="154" ht="24" customHeight="1">
      <c r="A154" s="18" t="n">
        <v>148</v>
      </c>
      <c r="B154" s="32" t="n"/>
      <c r="C154" s="19" t="n"/>
      <c r="D154" s="19" t="n"/>
      <c r="E154" s="23">
        <f>IF(D154="","",IFERROR(INDEX('01_자재목록'!$D$7:$D$106,MATCH(D154,'01_자재목록'!$B$7:$B$106,0))&amp;"","자재코드 확인"))</f>
        <v/>
      </c>
      <c r="F154" s="19" t="n"/>
      <c r="G154" s="19" t="n"/>
      <c r="H154" s="30" t="n"/>
      <c r="I154" s="30" t="n"/>
      <c r="J154" s="23">
        <f>IF(D154="","",IFERROR(INDEX('01_자재목록'!$I$7:$I$106,MATCH(D154,'01_자재목록'!$B$7:$B$106,0))&amp;"","자재코드 확인"))</f>
        <v/>
      </c>
      <c r="K154" s="31">
        <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f>
        <v/>
      </c>
      <c r="L154" s="19" t="n"/>
      <c r="M154" s="19" t="n"/>
      <c r="N154" s="19" t="n"/>
      <c r="O154" s="27">
        <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f>
        <v/>
      </c>
    </row>
    <row r="155" ht="24" customHeight="1">
      <c r="A155" s="18" t="n">
        <v>149</v>
      </c>
      <c r="B155" s="32" t="n"/>
      <c r="C155" s="19" t="n"/>
      <c r="D155" s="19" t="n"/>
      <c r="E155" s="23">
        <f>IF(D155="","",IFERROR(INDEX('01_자재목록'!$D$7:$D$106,MATCH(D155,'01_자재목록'!$B$7:$B$106,0))&amp;"","자재코드 확인"))</f>
        <v/>
      </c>
      <c r="F155" s="19" t="n"/>
      <c r="G155" s="19" t="n"/>
      <c r="H155" s="30" t="n"/>
      <c r="I155" s="30" t="n"/>
      <c r="J155" s="23">
        <f>IF(D155="","",IFERROR(INDEX('01_자재목록'!$I$7:$I$106,MATCH(D155,'01_자재목록'!$B$7:$B$106,0))&amp;"","자재코드 확인"))</f>
        <v/>
      </c>
      <c r="K155" s="31">
        <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f>
        <v/>
      </c>
      <c r="L155" s="19" t="n"/>
      <c r="M155" s="19" t="n"/>
      <c r="N155" s="19" t="n"/>
      <c r="O155" s="27">
        <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f>
        <v/>
      </c>
    </row>
    <row r="156" ht="24" customHeight="1">
      <c r="A156" s="18" t="n">
        <v>150</v>
      </c>
      <c r="B156" s="32" t="n"/>
      <c r="C156" s="19" t="n"/>
      <c r="D156" s="19" t="n"/>
      <c r="E156" s="23">
        <f>IF(D156="","",IFERROR(INDEX('01_자재목록'!$D$7:$D$106,MATCH(D156,'01_자재목록'!$B$7:$B$106,0))&amp;"","자재코드 확인"))</f>
        <v/>
      </c>
      <c r="F156" s="19" t="n"/>
      <c r="G156" s="19" t="n"/>
      <c r="H156" s="30" t="n"/>
      <c r="I156" s="30" t="n"/>
      <c r="J156" s="23">
        <f>IF(D156="","",IFERROR(INDEX('01_자재목록'!$I$7:$I$106,MATCH(D156,'01_자재목록'!$B$7:$B$106,0))&amp;"","자재코드 확인"))</f>
        <v/>
      </c>
      <c r="K156" s="31">
        <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f>
        <v/>
      </c>
      <c r="L156" s="19" t="n"/>
      <c r="M156" s="19" t="n"/>
      <c r="N156" s="19" t="n"/>
      <c r="O156" s="27">
        <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f>
        <v/>
      </c>
    </row>
    <row r="157" ht="24" customHeight="1">
      <c r="A157" s="18" t="n">
        <v>151</v>
      </c>
      <c r="B157" s="32" t="n"/>
      <c r="C157" s="19" t="n"/>
      <c r="D157" s="19" t="n"/>
      <c r="E157" s="23">
        <f>IF(D157="","",IFERROR(INDEX('01_자재목록'!$D$7:$D$106,MATCH(D157,'01_자재목록'!$B$7:$B$106,0))&amp;"","자재코드 확인"))</f>
        <v/>
      </c>
      <c r="F157" s="19" t="n"/>
      <c r="G157" s="19" t="n"/>
      <c r="H157" s="30" t="n"/>
      <c r="I157" s="30" t="n"/>
      <c r="J157" s="23">
        <f>IF(D157="","",IFERROR(INDEX('01_자재목록'!$I$7:$I$106,MATCH(D157,'01_자재목록'!$B$7:$B$106,0))&amp;"","자재코드 확인"))</f>
        <v/>
      </c>
      <c r="K157" s="31">
        <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f>
        <v/>
      </c>
      <c r="L157" s="19" t="n"/>
      <c r="M157" s="19" t="n"/>
      <c r="N157" s="19" t="n"/>
      <c r="O157" s="27">
        <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f>
        <v/>
      </c>
    </row>
    <row r="158" ht="24" customHeight="1">
      <c r="A158" s="18" t="n">
        <v>152</v>
      </c>
      <c r="B158" s="32" t="n"/>
      <c r="C158" s="19" t="n"/>
      <c r="D158" s="19" t="n"/>
      <c r="E158" s="23">
        <f>IF(D158="","",IFERROR(INDEX('01_자재목록'!$D$7:$D$106,MATCH(D158,'01_자재목록'!$B$7:$B$106,0))&amp;"","자재코드 확인"))</f>
        <v/>
      </c>
      <c r="F158" s="19" t="n"/>
      <c r="G158" s="19" t="n"/>
      <c r="H158" s="30" t="n"/>
      <c r="I158" s="30" t="n"/>
      <c r="J158" s="23">
        <f>IF(D158="","",IFERROR(INDEX('01_자재목록'!$I$7:$I$106,MATCH(D158,'01_자재목록'!$B$7:$B$106,0))&amp;"","자재코드 확인"))</f>
        <v/>
      </c>
      <c r="K158" s="31">
        <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f>
        <v/>
      </c>
      <c r="L158" s="19" t="n"/>
      <c r="M158" s="19" t="n"/>
      <c r="N158" s="19" t="n"/>
      <c r="O158" s="27">
        <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f>
        <v/>
      </c>
    </row>
    <row r="159" ht="24" customHeight="1">
      <c r="A159" s="18" t="n">
        <v>153</v>
      </c>
      <c r="B159" s="32" t="n"/>
      <c r="C159" s="19" t="n"/>
      <c r="D159" s="19" t="n"/>
      <c r="E159" s="23">
        <f>IF(D159="","",IFERROR(INDEX('01_자재목록'!$D$7:$D$106,MATCH(D159,'01_자재목록'!$B$7:$B$106,0))&amp;"","자재코드 확인"))</f>
        <v/>
      </c>
      <c r="F159" s="19" t="n"/>
      <c r="G159" s="19" t="n"/>
      <c r="H159" s="30" t="n"/>
      <c r="I159" s="30" t="n"/>
      <c r="J159" s="23">
        <f>IF(D159="","",IFERROR(INDEX('01_자재목록'!$I$7:$I$106,MATCH(D159,'01_자재목록'!$B$7:$B$106,0))&amp;"","자재코드 확인"))</f>
        <v/>
      </c>
      <c r="K159" s="31">
        <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f>
        <v/>
      </c>
      <c r="L159" s="19" t="n"/>
      <c r="M159" s="19" t="n"/>
      <c r="N159" s="19" t="n"/>
      <c r="O159" s="27">
        <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f>
        <v/>
      </c>
    </row>
    <row r="160" ht="24" customHeight="1">
      <c r="A160" s="18" t="n">
        <v>154</v>
      </c>
      <c r="B160" s="32" t="n"/>
      <c r="C160" s="19" t="n"/>
      <c r="D160" s="19" t="n"/>
      <c r="E160" s="23">
        <f>IF(D160="","",IFERROR(INDEX('01_자재목록'!$D$7:$D$106,MATCH(D160,'01_자재목록'!$B$7:$B$106,0))&amp;"","자재코드 확인"))</f>
        <v/>
      </c>
      <c r="F160" s="19" t="n"/>
      <c r="G160" s="19" t="n"/>
      <c r="H160" s="30" t="n"/>
      <c r="I160" s="30" t="n"/>
      <c r="J160" s="23">
        <f>IF(D160="","",IFERROR(INDEX('01_자재목록'!$I$7:$I$106,MATCH(D160,'01_자재목록'!$B$7:$B$106,0))&amp;"","자재코드 확인"))</f>
        <v/>
      </c>
      <c r="K160" s="31">
        <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f>
        <v/>
      </c>
      <c r="L160" s="19" t="n"/>
      <c r="M160" s="19" t="n"/>
      <c r="N160" s="19" t="n"/>
      <c r="O160" s="27">
        <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f>
        <v/>
      </c>
    </row>
    <row r="161" ht="24" customHeight="1">
      <c r="A161" s="18" t="n">
        <v>155</v>
      </c>
      <c r="B161" s="32" t="n"/>
      <c r="C161" s="19" t="n"/>
      <c r="D161" s="19" t="n"/>
      <c r="E161" s="23">
        <f>IF(D161="","",IFERROR(INDEX('01_자재목록'!$D$7:$D$106,MATCH(D161,'01_자재목록'!$B$7:$B$106,0))&amp;"","자재코드 확인"))</f>
        <v/>
      </c>
      <c r="F161" s="19" t="n"/>
      <c r="G161" s="19" t="n"/>
      <c r="H161" s="30" t="n"/>
      <c r="I161" s="30" t="n"/>
      <c r="J161" s="23">
        <f>IF(D161="","",IFERROR(INDEX('01_자재목록'!$I$7:$I$106,MATCH(D161,'01_자재목록'!$B$7:$B$106,0))&amp;"","자재코드 확인"))</f>
        <v/>
      </c>
      <c r="K161" s="31">
        <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f>
        <v/>
      </c>
      <c r="L161" s="19" t="n"/>
      <c r="M161" s="19" t="n"/>
      <c r="N161" s="19" t="n"/>
      <c r="O161" s="27">
        <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f>
        <v/>
      </c>
    </row>
    <row r="162" ht="24" customHeight="1">
      <c r="A162" s="18" t="n">
        <v>156</v>
      </c>
      <c r="B162" s="32" t="n"/>
      <c r="C162" s="19" t="n"/>
      <c r="D162" s="19" t="n"/>
      <c r="E162" s="23">
        <f>IF(D162="","",IFERROR(INDEX('01_자재목록'!$D$7:$D$106,MATCH(D162,'01_자재목록'!$B$7:$B$106,0))&amp;"","자재코드 확인"))</f>
        <v/>
      </c>
      <c r="F162" s="19" t="n"/>
      <c r="G162" s="19" t="n"/>
      <c r="H162" s="30" t="n"/>
      <c r="I162" s="30" t="n"/>
      <c r="J162" s="23">
        <f>IF(D162="","",IFERROR(INDEX('01_자재목록'!$I$7:$I$106,MATCH(D162,'01_자재목록'!$B$7:$B$106,0))&amp;"","자재코드 확인"))</f>
        <v/>
      </c>
      <c r="K162" s="31">
        <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f>
        <v/>
      </c>
      <c r="L162" s="19" t="n"/>
      <c r="M162" s="19" t="n"/>
      <c r="N162" s="19" t="n"/>
      <c r="O162" s="27">
        <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f>
        <v/>
      </c>
    </row>
    <row r="163" ht="24" customHeight="1">
      <c r="A163" s="18" t="n">
        <v>157</v>
      </c>
      <c r="B163" s="32" t="n"/>
      <c r="C163" s="19" t="n"/>
      <c r="D163" s="19" t="n"/>
      <c r="E163" s="23">
        <f>IF(D163="","",IFERROR(INDEX('01_자재목록'!$D$7:$D$106,MATCH(D163,'01_자재목록'!$B$7:$B$106,0))&amp;"","자재코드 확인"))</f>
        <v/>
      </c>
      <c r="F163" s="19" t="n"/>
      <c r="G163" s="19" t="n"/>
      <c r="H163" s="30" t="n"/>
      <c r="I163" s="30" t="n"/>
      <c r="J163" s="23">
        <f>IF(D163="","",IFERROR(INDEX('01_자재목록'!$I$7:$I$106,MATCH(D163,'01_자재목록'!$B$7:$B$106,0))&amp;"","자재코드 확인"))</f>
        <v/>
      </c>
      <c r="K163" s="31">
        <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f>
        <v/>
      </c>
      <c r="L163" s="19" t="n"/>
      <c r="M163" s="19" t="n"/>
      <c r="N163" s="19" t="n"/>
      <c r="O163" s="27">
        <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f>
        <v/>
      </c>
    </row>
    <row r="164" ht="24" customHeight="1">
      <c r="A164" s="18" t="n">
        <v>158</v>
      </c>
      <c r="B164" s="32" t="n"/>
      <c r="C164" s="19" t="n"/>
      <c r="D164" s="19" t="n"/>
      <c r="E164" s="23">
        <f>IF(D164="","",IFERROR(INDEX('01_자재목록'!$D$7:$D$106,MATCH(D164,'01_자재목록'!$B$7:$B$106,0))&amp;"","자재코드 확인"))</f>
        <v/>
      </c>
      <c r="F164" s="19" t="n"/>
      <c r="G164" s="19" t="n"/>
      <c r="H164" s="30" t="n"/>
      <c r="I164" s="30" t="n"/>
      <c r="J164" s="23">
        <f>IF(D164="","",IFERROR(INDEX('01_자재목록'!$I$7:$I$106,MATCH(D164,'01_자재목록'!$B$7:$B$106,0))&amp;"","자재코드 확인"))</f>
        <v/>
      </c>
      <c r="K164" s="31">
        <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f>
        <v/>
      </c>
      <c r="L164" s="19" t="n"/>
      <c r="M164" s="19" t="n"/>
      <c r="N164" s="19" t="n"/>
      <c r="O164" s="27">
        <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f>
        <v/>
      </c>
    </row>
    <row r="165" ht="24" customHeight="1">
      <c r="A165" s="18" t="n">
        <v>159</v>
      </c>
      <c r="B165" s="32" t="n"/>
      <c r="C165" s="19" t="n"/>
      <c r="D165" s="19" t="n"/>
      <c r="E165" s="23">
        <f>IF(D165="","",IFERROR(INDEX('01_자재목록'!$D$7:$D$106,MATCH(D165,'01_자재목록'!$B$7:$B$106,0))&amp;"","자재코드 확인"))</f>
        <v/>
      </c>
      <c r="F165" s="19" t="n"/>
      <c r="G165" s="19" t="n"/>
      <c r="H165" s="30" t="n"/>
      <c r="I165" s="30" t="n"/>
      <c r="J165" s="23">
        <f>IF(D165="","",IFERROR(INDEX('01_자재목록'!$I$7:$I$106,MATCH(D165,'01_자재목록'!$B$7:$B$106,0))&amp;"","자재코드 확인"))</f>
        <v/>
      </c>
      <c r="K165" s="31">
        <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f>
        <v/>
      </c>
      <c r="L165" s="19" t="n"/>
      <c r="M165" s="19" t="n"/>
      <c r="N165" s="19" t="n"/>
      <c r="O165" s="27">
        <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f>
        <v/>
      </c>
    </row>
    <row r="166" ht="24" customHeight="1">
      <c r="A166" s="18" t="n">
        <v>160</v>
      </c>
      <c r="B166" s="32" t="n"/>
      <c r="C166" s="19" t="n"/>
      <c r="D166" s="19" t="n"/>
      <c r="E166" s="23">
        <f>IF(D166="","",IFERROR(INDEX('01_자재목록'!$D$7:$D$106,MATCH(D166,'01_자재목록'!$B$7:$B$106,0))&amp;"","자재코드 확인"))</f>
        <v/>
      </c>
      <c r="F166" s="19" t="n"/>
      <c r="G166" s="19" t="n"/>
      <c r="H166" s="30" t="n"/>
      <c r="I166" s="30" t="n"/>
      <c r="J166" s="23">
        <f>IF(D166="","",IFERROR(INDEX('01_자재목록'!$I$7:$I$106,MATCH(D166,'01_자재목록'!$B$7:$B$106,0))&amp;"","자재코드 확인"))</f>
        <v/>
      </c>
      <c r="K166" s="31">
        <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f>
        <v/>
      </c>
      <c r="L166" s="19" t="n"/>
      <c r="M166" s="19" t="n"/>
      <c r="N166" s="19" t="n"/>
      <c r="O166" s="27">
        <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f>
        <v/>
      </c>
    </row>
    <row r="167" ht="24" customHeight="1">
      <c r="A167" s="18" t="n">
        <v>161</v>
      </c>
      <c r="B167" s="32" t="n"/>
      <c r="C167" s="19" t="n"/>
      <c r="D167" s="19" t="n"/>
      <c r="E167" s="23">
        <f>IF(D167="","",IFERROR(INDEX('01_자재목록'!$D$7:$D$106,MATCH(D167,'01_자재목록'!$B$7:$B$106,0))&amp;"","자재코드 확인"))</f>
        <v/>
      </c>
      <c r="F167" s="19" t="n"/>
      <c r="G167" s="19" t="n"/>
      <c r="H167" s="30" t="n"/>
      <c r="I167" s="30" t="n"/>
      <c r="J167" s="23">
        <f>IF(D167="","",IFERROR(INDEX('01_자재목록'!$I$7:$I$106,MATCH(D167,'01_자재목록'!$B$7:$B$106,0))&amp;"","자재코드 확인"))</f>
        <v/>
      </c>
      <c r="K167" s="31">
        <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f>
        <v/>
      </c>
      <c r="L167" s="19" t="n"/>
      <c r="M167" s="19" t="n"/>
      <c r="N167" s="19" t="n"/>
      <c r="O167" s="27">
        <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f>
        <v/>
      </c>
    </row>
    <row r="168" ht="24" customHeight="1">
      <c r="A168" s="18" t="n">
        <v>162</v>
      </c>
      <c r="B168" s="32" t="n"/>
      <c r="C168" s="19" t="n"/>
      <c r="D168" s="19" t="n"/>
      <c r="E168" s="23">
        <f>IF(D168="","",IFERROR(INDEX('01_자재목록'!$D$7:$D$106,MATCH(D168,'01_자재목록'!$B$7:$B$106,0))&amp;"","자재코드 확인"))</f>
        <v/>
      </c>
      <c r="F168" s="19" t="n"/>
      <c r="G168" s="19" t="n"/>
      <c r="H168" s="30" t="n"/>
      <c r="I168" s="30" t="n"/>
      <c r="J168" s="23">
        <f>IF(D168="","",IFERROR(INDEX('01_자재목록'!$I$7:$I$106,MATCH(D168,'01_자재목록'!$B$7:$B$106,0))&amp;"","자재코드 확인"))</f>
        <v/>
      </c>
      <c r="K168" s="31">
        <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f>
        <v/>
      </c>
      <c r="L168" s="19" t="n"/>
      <c r="M168" s="19" t="n"/>
      <c r="N168" s="19" t="n"/>
      <c r="O168" s="27">
        <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f>
        <v/>
      </c>
    </row>
    <row r="169" ht="24" customHeight="1">
      <c r="A169" s="18" t="n">
        <v>163</v>
      </c>
      <c r="B169" s="32" t="n"/>
      <c r="C169" s="19" t="n"/>
      <c r="D169" s="19" t="n"/>
      <c r="E169" s="23">
        <f>IF(D169="","",IFERROR(INDEX('01_자재목록'!$D$7:$D$106,MATCH(D169,'01_자재목록'!$B$7:$B$106,0))&amp;"","자재코드 확인"))</f>
        <v/>
      </c>
      <c r="F169" s="19" t="n"/>
      <c r="G169" s="19" t="n"/>
      <c r="H169" s="30" t="n"/>
      <c r="I169" s="30" t="n"/>
      <c r="J169" s="23">
        <f>IF(D169="","",IFERROR(INDEX('01_자재목록'!$I$7:$I$106,MATCH(D169,'01_자재목록'!$B$7:$B$106,0))&amp;"","자재코드 확인"))</f>
        <v/>
      </c>
      <c r="K169" s="31">
        <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f>
        <v/>
      </c>
      <c r="L169" s="19" t="n"/>
      <c r="M169" s="19" t="n"/>
      <c r="N169" s="19" t="n"/>
      <c r="O169" s="27">
        <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f>
        <v/>
      </c>
    </row>
    <row r="170" ht="24" customHeight="1">
      <c r="A170" s="18" t="n">
        <v>164</v>
      </c>
      <c r="B170" s="32" t="n"/>
      <c r="C170" s="19" t="n"/>
      <c r="D170" s="19" t="n"/>
      <c r="E170" s="23">
        <f>IF(D170="","",IFERROR(INDEX('01_자재목록'!$D$7:$D$106,MATCH(D170,'01_자재목록'!$B$7:$B$106,0))&amp;"","자재코드 확인"))</f>
        <v/>
      </c>
      <c r="F170" s="19" t="n"/>
      <c r="G170" s="19" t="n"/>
      <c r="H170" s="30" t="n"/>
      <c r="I170" s="30" t="n"/>
      <c r="J170" s="23">
        <f>IF(D170="","",IFERROR(INDEX('01_자재목록'!$I$7:$I$106,MATCH(D170,'01_자재목록'!$B$7:$B$106,0))&amp;"","자재코드 확인"))</f>
        <v/>
      </c>
      <c r="K170" s="31">
        <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f>
        <v/>
      </c>
      <c r="L170" s="19" t="n"/>
      <c r="M170" s="19" t="n"/>
      <c r="N170" s="19" t="n"/>
      <c r="O170" s="27">
        <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f>
        <v/>
      </c>
    </row>
    <row r="171" ht="24" customHeight="1">
      <c r="A171" s="18" t="n">
        <v>165</v>
      </c>
      <c r="B171" s="32" t="n"/>
      <c r="C171" s="19" t="n"/>
      <c r="D171" s="19" t="n"/>
      <c r="E171" s="23">
        <f>IF(D171="","",IFERROR(INDEX('01_자재목록'!$D$7:$D$106,MATCH(D171,'01_자재목록'!$B$7:$B$106,0))&amp;"","자재코드 확인"))</f>
        <v/>
      </c>
      <c r="F171" s="19" t="n"/>
      <c r="G171" s="19" t="n"/>
      <c r="H171" s="30" t="n"/>
      <c r="I171" s="30" t="n"/>
      <c r="J171" s="23">
        <f>IF(D171="","",IFERROR(INDEX('01_자재목록'!$I$7:$I$106,MATCH(D171,'01_자재목록'!$B$7:$B$106,0))&amp;"","자재코드 확인"))</f>
        <v/>
      </c>
      <c r="K171" s="31">
        <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f>
        <v/>
      </c>
      <c r="L171" s="19" t="n"/>
      <c r="M171" s="19" t="n"/>
      <c r="N171" s="19" t="n"/>
      <c r="O171" s="27">
        <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f>
        <v/>
      </c>
    </row>
    <row r="172" ht="24" customHeight="1">
      <c r="A172" s="18" t="n">
        <v>166</v>
      </c>
      <c r="B172" s="32" t="n"/>
      <c r="C172" s="19" t="n"/>
      <c r="D172" s="19" t="n"/>
      <c r="E172" s="23">
        <f>IF(D172="","",IFERROR(INDEX('01_자재목록'!$D$7:$D$106,MATCH(D172,'01_자재목록'!$B$7:$B$106,0))&amp;"","자재코드 확인"))</f>
        <v/>
      </c>
      <c r="F172" s="19" t="n"/>
      <c r="G172" s="19" t="n"/>
      <c r="H172" s="30" t="n"/>
      <c r="I172" s="30" t="n"/>
      <c r="J172" s="23">
        <f>IF(D172="","",IFERROR(INDEX('01_자재목록'!$I$7:$I$106,MATCH(D172,'01_자재목록'!$B$7:$B$106,0))&amp;"","자재코드 확인"))</f>
        <v/>
      </c>
      <c r="K172" s="31">
        <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f>
        <v/>
      </c>
      <c r="L172" s="19" t="n"/>
      <c r="M172" s="19" t="n"/>
      <c r="N172" s="19" t="n"/>
      <c r="O172" s="27">
        <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f>
        <v/>
      </c>
    </row>
    <row r="173" ht="24" customHeight="1">
      <c r="A173" s="18" t="n">
        <v>167</v>
      </c>
      <c r="B173" s="32" t="n"/>
      <c r="C173" s="19" t="n"/>
      <c r="D173" s="19" t="n"/>
      <c r="E173" s="23">
        <f>IF(D173="","",IFERROR(INDEX('01_자재목록'!$D$7:$D$106,MATCH(D173,'01_자재목록'!$B$7:$B$106,0))&amp;"","자재코드 확인"))</f>
        <v/>
      </c>
      <c r="F173" s="19" t="n"/>
      <c r="G173" s="19" t="n"/>
      <c r="H173" s="30" t="n"/>
      <c r="I173" s="30" t="n"/>
      <c r="J173" s="23">
        <f>IF(D173="","",IFERROR(INDEX('01_자재목록'!$I$7:$I$106,MATCH(D173,'01_자재목록'!$B$7:$B$106,0))&amp;"","자재코드 확인"))</f>
        <v/>
      </c>
      <c r="K173" s="31">
        <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f>
        <v/>
      </c>
      <c r="L173" s="19" t="n"/>
      <c r="M173" s="19" t="n"/>
      <c r="N173" s="19" t="n"/>
      <c r="O173" s="27">
        <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f>
        <v/>
      </c>
    </row>
    <row r="174" ht="24" customHeight="1">
      <c r="A174" s="18" t="n">
        <v>168</v>
      </c>
      <c r="B174" s="32" t="n"/>
      <c r="C174" s="19" t="n"/>
      <c r="D174" s="19" t="n"/>
      <c r="E174" s="23">
        <f>IF(D174="","",IFERROR(INDEX('01_자재목록'!$D$7:$D$106,MATCH(D174,'01_자재목록'!$B$7:$B$106,0))&amp;"","자재코드 확인"))</f>
        <v/>
      </c>
      <c r="F174" s="19" t="n"/>
      <c r="G174" s="19" t="n"/>
      <c r="H174" s="30" t="n"/>
      <c r="I174" s="30" t="n"/>
      <c r="J174" s="23">
        <f>IF(D174="","",IFERROR(INDEX('01_자재목록'!$I$7:$I$106,MATCH(D174,'01_자재목록'!$B$7:$B$106,0))&amp;"","자재코드 확인"))</f>
        <v/>
      </c>
      <c r="K174" s="31">
        <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f>
        <v/>
      </c>
      <c r="L174" s="19" t="n"/>
      <c r="M174" s="19" t="n"/>
      <c r="N174" s="19" t="n"/>
      <c r="O174" s="27">
        <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f>
        <v/>
      </c>
    </row>
    <row r="175" ht="24" customHeight="1">
      <c r="A175" s="18" t="n">
        <v>169</v>
      </c>
      <c r="B175" s="32" t="n"/>
      <c r="C175" s="19" t="n"/>
      <c r="D175" s="19" t="n"/>
      <c r="E175" s="23">
        <f>IF(D175="","",IFERROR(INDEX('01_자재목록'!$D$7:$D$106,MATCH(D175,'01_자재목록'!$B$7:$B$106,0))&amp;"","자재코드 확인"))</f>
        <v/>
      </c>
      <c r="F175" s="19" t="n"/>
      <c r="G175" s="19" t="n"/>
      <c r="H175" s="30" t="n"/>
      <c r="I175" s="30" t="n"/>
      <c r="J175" s="23">
        <f>IF(D175="","",IFERROR(INDEX('01_자재목록'!$I$7:$I$106,MATCH(D175,'01_자재목록'!$B$7:$B$106,0))&amp;"","자재코드 확인"))</f>
        <v/>
      </c>
      <c r="K175" s="31">
        <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f>
        <v/>
      </c>
      <c r="L175" s="19" t="n"/>
      <c r="M175" s="19" t="n"/>
      <c r="N175" s="19" t="n"/>
      <c r="O175" s="27">
        <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f>
        <v/>
      </c>
    </row>
    <row r="176" ht="24" customHeight="1">
      <c r="A176" s="18" t="n">
        <v>170</v>
      </c>
      <c r="B176" s="32" t="n"/>
      <c r="C176" s="19" t="n"/>
      <c r="D176" s="19" t="n"/>
      <c r="E176" s="23">
        <f>IF(D176="","",IFERROR(INDEX('01_자재목록'!$D$7:$D$106,MATCH(D176,'01_자재목록'!$B$7:$B$106,0))&amp;"","자재코드 확인"))</f>
        <v/>
      </c>
      <c r="F176" s="19" t="n"/>
      <c r="G176" s="19" t="n"/>
      <c r="H176" s="30" t="n"/>
      <c r="I176" s="30" t="n"/>
      <c r="J176" s="23">
        <f>IF(D176="","",IFERROR(INDEX('01_자재목록'!$I$7:$I$106,MATCH(D176,'01_자재목록'!$B$7:$B$106,0))&amp;"","자재코드 확인"))</f>
        <v/>
      </c>
      <c r="K176" s="31">
        <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f>
        <v/>
      </c>
      <c r="L176" s="19" t="n"/>
      <c r="M176" s="19" t="n"/>
      <c r="N176" s="19" t="n"/>
      <c r="O176" s="27">
        <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f>
        <v/>
      </c>
    </row>
    <row r="177" ht="24" customHeight="1">
      <c r="A177" s="18" t="n">
        <v>171</v>
      </c>
      <c r="B177" s="32" t="n"/>
      <c r="C177" s="19" t="n"/>
      <c r="D177" s="19" t="n"/>
      <c r="E177" s="23">
        <f>IF(D177="","",IFERROR(INDEX('01_자재목록'!$D$7:$D$106,MATCH(D177,'01_자재목록'!$B$7:$B$106,0))&amp;"","자재코드 확인"))</f>
        <v/>
      </c>
      <c r="F177" s="19" t="n"/>
      <c r="G177" s="19" t="n"/>
      <c r="H177" s="30" t="n"/>
      <c r="I177" s="30" t="n"/>
      <c r="J177" s="23">
        <f>IF(D177="","",IFERROR(INDEX('01_자재목록'!$I$7:$I$106,MATCH(D177,'01_자재목록'!$B$7:$B$106,0))&amp;"","자재코드 확인"))</f>
        <v/>
      </c>
      <c r="K177" s="31">
        <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f>
        <v/>
      </c>
      <c r="L177" s="19" t="n"/>
      <c r="M177" s="19" t="n"/>
      <c r="N177" s="19" t="n"/>
      <c r="O177" s="27">
        <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f>
        <v/>
      </c>
    </row>
    <row r="178" ht="24" customHeight="1">
      <c r="A178" s="18" t="n">
        <v>172</v>
      </c>
      <c r="B178" s="32" t="n"/>
      <c r="C178" s="19" t="n"/>
      <c r="D178" s="19" t="n"/>
      <c r="E178" s="23">
        <f>IF(D178="","",IFERROR(INDEX('01_자재목록'!$D$7:$D$106,MATCH(D178,'01_자재목록'!$B$7:$B$106,0))&amp;"","자재코드 확인"))</f>
        <v/>
      </c>
      <c r="F178" s="19" t="n"/>
      <c r="G178" s="19" t="n"/>
      <c r="H178" s="30" t="n"/>
      <c r="I178" s="30" t="n"/>
      <c r="J178" s="23">
        <f>IF(D178="","",IFERROR(INDEX('01_자재목록'!$I$7:$I$106,MATCH(D178,'01_자재목록'!$B$7:$B$106,0))&amp;"","자재코드 확인"))</f>
        <v/>
      </c>
      <c r="K178" s="31">
        <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f>
        <v/>
      </c>
      <c r="L178" s="19" t="n"/>
      <c r="M178" s="19" t="n"/>
      <c r="N178" s="19" t="n"/>
      <c r="O178" s="27">
        <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f>
        <v/>
      </c>
    </row>
    <row r="179" ht="24" customHeight="1">
      <c r="A179" s="18" t="n">
        <v>173</v>
      </c>
      <c r="B179" s="32" t="n"/>
      <c r="C179" s="19" t="n"/>
      <c r="D179" s="19" t="n"/>
      <c r="E179" s="23">
        <f>IF(D179="","",IFERROR(INDEX('01_자재목록'!$D$7:$D$106,MATCH(D179,'01_자재목록'!$B$7:$B$106,0))&amp;"","자재코드 확인"))</f>
        <v/>
      </c>
      <c r="F179" s="19" t="n"/>
      <c r="G179" s="19" t="n"/>
      <c r="H179" s="30" t="n"/>
      <c r="I179" s="30" t="n"/>
      <c r="J179" s="23">
        <f>IF(D179="","",IFERROR(INDEX('01_자재목록'!$I$7:$I$106,MATCH(D179,'01_자재목록'!$B$7:$B$106,0))&amp;"","자재코드 확인"))</f>
        <v/>
      </c>
      <c r="K179" s="31">
        <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f>
        <v/>
      </c>
      <c r="L179" s="19" t="n"/>
      <c r="M179" s="19" t="n"/>
      <c r="N179" s="19" t="n"/>
      <c r="O179" s="27">
        <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f>
        <v/>
      </c>
    </row>
    <row r="180" ht="24" customHeight="1">
      <c r="A180" s="18" t="n">
        <v>174</v>
      </c>
      <c r="B180" s="32" t="n"/>
      <c r="C180" s="19" t="n"/>
      <c r="D180" s="19" t="n"/>
      <c r="E180" s="23">
        <f>IF(D180="","",IFERROR(INDEX('01_자재목록'!$D$7:$D$106,MATCH(D180,'01_자재목록'!$B$7:$B$106,0))&amp;"","자재코드 확인"))</f>
        <v/>
      </c>
      <c r="F180" s="19" t="n"/>
      <c r="G180" s="19" t="n"/>
      <c r="H180" s="30" t="n"/>
      <c r="I180" s="30" t="n"/>
      <c r="J180" s="23">
        <f>IF(D180="","",IFERROR(INDEX('01_자재목록'!$I$7:$I$106,MATCH(D180,'01_자재목록'!$B$7:$B$106,0))&amp;"","자재코드 확인"))</f>
        <v/>
      </c>
      <c r="K180" s="31">
        <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f>
        <v/>
      </c>
      <c r="L180" s="19" t="n"/>
      <c r="M180" s="19" t="n"/>
      <c r="N180" s="19" t="n"/>
      <c r="O180" s="27">
        <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f>
        <v/>
      </c>
    </row>
    <row r="181" ht="24" customHeight="1">
      <c r="A181" s="18" t="n">
        <v>175</v>
      </c>
      <c r="B181" s="32" t="n"/>
      <c r="C181" s="19" t="n"/>
      <c r="D181" s="19" t="n"/>
      <c r="E181" s="23">
        <f>IF(D181="","",IFERROR(INDEX('01_자재목록'!$D$7:$D$106,MATCH(D181,'01_자재목록'!$B$7:$B$106,0))&amp;"","자재코드 확인"))</f>
        <v/>
      </c>
      <c r="F181" s="19" t="n"/>
      <c r="G181" s="19" t="n"/>
      <c r="H181" s="30" t="n"/>
      <c r="I181" s="30" t="n"/>
      <c r="J181" s="23">
        <f>IF(D181="","",IFERROR(INDEX('01_자재목록'!$I$7:$I$106,MATCH(D181,'01_자재목록'!$B$7:$B$106,0))&amp;"","자재코드 확인"))</f>
        <v/>
      </c>
      <c r="K181" s="31">
        <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f>
        <v/>
      </c>
      <c r="L181" s="19" t="n"/>
      <c r="M181" s="19" t="n"/>
      <c r="N181" s="19" t="n"/>
      <c r="O181" s="27">
        <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f>
        <v/>
      </c>
    </row>
    <row r="182" ht="24" customHeight="1">
      <c r="A182" s="18" t="n">
        <v>176</v>
      </c>
      <c r="B182" s="32" t="n"/>
      <c r="C182" s="19" t="n"/>
      <c r="D182" s="19" t="n"/>
      <c r="E182" s="23">
        <f>IF(D182="","",IFERROR(INDEX('01_자재목록'!$D$7:$D$106,MATCH(D182,'01_자재목록'!$B$7:$B$106,0))&amp;"","자재코드 확인"))</f>
        <v/>
      </c>
      <c r="F182" s="19" t="n"/>
      <c r="G182" s="19" t="n"/>
      <c r="H182" s="30" t="n"/>
      <c r="I182" s="30" t="n"/>
      <c r="J182" s="23">
        <f>IF(D182="","",IFERROR(INDEX('01_자재목록'!$I$7:$I$106,MATCH(D182,'01_자재목록'!$B$7:$B$106,0))&amp;"","자재코드 확인"))</f>
        <v/>
      </c>
      <c r="K182" s="31">
        <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f>
        <v/>
      </c>
      <c r="L182" s="19" t="n"/>
      <c r="M182" s="19" t="n"/>
      <c r="N182" s="19" t="n"/>
      <c r="O182" s="27">
        <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f>
        <v/>
      </c>
    </row>
    <row r="183" ht="24" customHeight="1">
      <c r="A183" s="18" t="n">
        <v>177</v>
      </c>
      <c r="B183" s="32" t="n"/>
      <c r="C183" s="19" t="n"/>
      <c r="D183" s="19" t="n"/>
      <c r="E183" s="23">
        <f>IF(D183="","",IFERROR(INDEX('01_자재목록'!$D$7:$D$106,MATCH(D183,'01_자재목록'!$B$7:$B$106,0))&amp;"","자재코드 확인"))</f>
        <v/>
      </c>
      <c r="F183" s="19" t="n"/>
      <c r="G183" s="19" t="n"/>
      <c r="H183" s="30" t="n"/>
      <c r="I183" s="30" t="n"/>
      <c r="J183" s="23">
        <f>IF(D183="","",IFERROR(INDEX('01_자재목록'!$I$7:$I$106,MATCH(D183,'01_자재목록'!$B$7:$B$106,0))&amp;"","자재코드 확인"))</f>
        <v/>
      </c>
      <c r="K183" s="31">
        <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f>
        <v/>
      </c>
      <c r="L183" s="19" t="n"/>
      <c r="M183" s="19" t="n"/>
      <c r="N183" s="19" t="n"/>
      <c r="O183" s="27">
        <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f>
        <v/>
      </c>
    </row>
    <row r="184" ht="24" customHeight="1">
      <c r="A184" s="18" t="n">
        <v>178</v>
      </c>
      <c r="B184" s="32" t="n"/>
      <c r="C184" s="19" t="n"/>
      <c r="D184" s="19" t="n"/>
      <c r="E184" s="23">
        <f>IF(D184="","",IFERROR(INDEX('01_자재목록'!$D$7:$D$106,MATCH(D184,'01_자재목록'!$B$7:$B$106,0))&amp;"","자재코드 확인"))</f>
        <v/>
      </c>
      <c r="F184" s="19" t="n"/>
      <c r="G184" s="19" t="n"/>
      <c r="H184" s="30" t="n"/>
      <c r="I184" s="30" t="n"/>
      <c r="J184" s="23">
        <f>IF(D184="","",IFERROR(INDEX('01_자재목록'!$I$7:$I$106,MATCH(D184,'01_자재목록'!$B$7:$B$106,0))&amp;"","자재코드 확인"))</f>
        <v/>
      </c>
      <c r="K184" s="31">
        <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f>
        <v/>
      </c>
      <c r="L184" s="19" t="n"/>
      <c r="M184" s="19" t="n"/>
      <c r="N184" s="19" t="n"/>
      <c r="O184" s="27">
        <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f>
        <v/>
      </c>
    </row>
    <row r="185" ht="24" customHeight="1">
      <c r="A185" s="18" t="n">
        <v>179</v>
      </c>
      <c r="B185" s="32" t="n"/>
      <c r="C185" s="19" t="n"/>
      <c r="D185" s="19" t="n"/>
      <c r="E185" s="23">
        <f>IF(D185="","",IFERROR(INDEX('01_자재목록'!$D$7:$D$106,MATCH(D185,'01_자재목록'!$B$7:$B$106,0))&amp;"","자재코드 확인"))</f>
        <v/>
      </c>
      <c r="F185" s="19" t="n"/>
      <c r="G185" s="19" t="n"/>
      <c r="H185" s="30" t="n"/>
      <c r="I185" s="30" t="n"/>
      <c r="J185" s="23">
        <f>IF(D185="","",IFERROR(INDEX('01_자재목록'!$I$7:$I$106,MATCH(D185,'01_자재목록'!$B$7:$B$106,0))&amp;"","자재코드 확인"))</f>
        <v/>
      </c>
      <c r="K185" s="31">
        <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f>
        <v/>
      </c>
      <c r="L185" s="19" t="n"/>
      <c r="M185" s="19" t="n"/>
      <c r="N185" s="19" t="n"/>
      <c r="O185" s="27">
        <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f>
        <v/>
      </c>
    </row>
    <row r="186" ht="24" customHeight="1">
      <c r="A186" s="18" t="n">
        <v>180</v>
      </c>
      <c r="B186" s="32" t="n"/>
      <c r="C186" s="19" t="n"/>
      <c r="D186" s="19" t="n"/>
      <c r="E186" s="23">
        <f>IF(D186="","",IFERROR(INDEX('01_자재목록'!$D$7:$D$106,MATCH(D186,'01_자재목록'!$B$7:$B$106,0))&amp;"","자재코드 확인"))</f>
        <v/>
      </c>
      <c r="F186" s="19" t="n"/>
      <c r="G186" s="19" t="n"/>
      <c r="H186" s="30" t="n"/>
      <c r="I186" s="30" t="n"/>
      <c r="J186" s="23">
        <f>IF(D186="","",IFERROR(INDEX('01_자재목록'!$I$7:$I$106,MATCH(D186,'01_자재목록'!$B$7:$B$106,0))&amp;"","자재코드 확인"))</f>
        <v/>
      </c>
      <c r="K186" s="31">
        <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f>
        <v/>
      </c>
      <c r="L186" s="19" t="n"/>
      <c r="M186" s="19" t="n"/>
      <c r="N186" s="19" t="n"/>
      <c r="O186" s="27">
        <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f>
        <v/>
      </c>
    </row>
    <row r="187" ht="24" customHeight="1">
      <c r="A187" s="18" t="n">
        <v>181</v>
      </c>
      <c r="B187" s="32" t="n"/>
      <c r="C187" s="19" t="n"/>
      <c r="D187" s="19" t="n"/>
      <c r="E187" s="23">
        <f>IF(D187="","",IFERROR(INDEX('01_자재목록'!$D$7:$D$106,MATCH(D187,'01_자재목록'!$B$7:$B$106,0))&amp;"","자재코드 확인"))</f>
        <v/>
      </c>
      <c r="F187" s="19" t="n"/>
      <c r="G187" s="19" t="n"/>
      <c r="H187" s="30" t="n"/>
      <c r="I187" s="30" t="n"/>
      <c r="J187" s="23">
        <f>IF(D187="","",IFERROR(INDEX('01_자재목록'!$I$7:$I$106,MATCH(D187,'01_자재목록'!$B$7:$B$106,0))&amp;"","자재코드 확인"))</f>
        <v/>
      </c>
      <c r="K187" s="31">
        <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f>
        <v/>
      </c>
      <c r="L187" s="19" t="n"/>
      <c r="M187" s="19" t="n"/>
      <c r="N187" s="19" t="n"/>
      <c r="O187" s="27">
        <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f>
        <v/>
      </c>
    </row>
    <row r="188" ht="24" customHeight="1">
      <c r="A188" s="18" t="n">
        <v>182</v>
      </c>
      <c r="B188" s="32" t="n"/>
      <c r="C188" s="19" t="n"/>
      <c r="D188" s="19" t="n"/>
      <c r="E188" s="23">
        <f>IF(D188="","",IFERROR(INDEX('01_자재목록'!$D$7:$D$106,MATCH(D188,'01_자재목록'!$B$7:$B$106,0))&amp;"","자재코드 확인"))</f>
        <v/>
      </c>
      <c r="F188" s="19" t="n"/>
      <c r="G188" s="19" t="n"/>
      <c r="H188" s="30" t="n"/>
      <c r="I188" s="30" t="n"/>
      <c r="J188" s="23">
        <f>IF(D188="","",IFERROR(INDEX('01_자재목록'!$I$7:$I$106,MATCH(D188,'01_자재목록'!$B$7:$B$106,0))&amp;"","자재코드 확인"))</f>
        <v/>
      </c>
      <c r="K188" s="31">
        <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f>
        <v/>
      </c>
      <c r="L188" s="19" t="n"/>
      <c r="M188" s="19" t="n"/>
      <c r="N188" s="19" t="n"/>
      <c r="O188" s="27">
        <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f>
        <v/>
      </c>
    </row>
    <row r="189" ht="24" customHeight="1">
      <c r="A189" s="18" t="n">
        <v>183</v>
      </c>
      <c r="B189" s="32" t="n"/>
      <c r="C189" s="19" t="n"/>
      <c r="D189" s="19" t="n"/>
      <c r="E189" s="23">
        <f>IF(D189="","",IFERROR(INDEX('01_자재목록'!$D$7:$D$106,MATCH(D189,'01_자재목록'!$B$7:$B$106,0))&amp;"","자재코드 확인"))</f>
        <v/>
      </c>
      <c r="F189" s="19" t="n"/>
      <c r="G189" s="19" t="n"/>
      <c r="H189" s="30" t="n"/>
      <c r="I189" s="30" t="n"/>
      <c r="J189" s="23">
        <f>IF(D189="","",IFERROR(INDEX('01_자재목록'!$I$7:$I$106,MATCH(D189,'01_자재목록'!$B$7:$B$106,0))&amp;"","자재코드 확인"))</f>
        <v/>
      </c>
      <c r="K189" s="31">
        <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f>
        <v/>
      </c>
      <c r="L189" s="19" t="n"/>
      <c r="M189" s="19" t="n"/>
      <c r="N189" s="19" t="n"/>
      <c r="O189" s="27">
        <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f>
        <v/>
      </c>
    </row>
    <row r="190" ht="24" customHeight="1">
      <c r="A190" s="18" t="n">
        <v>184</v>
      </c>
      <c r="B190" s="32" t="n"/>
      <c r="C190" s="19" t="n"/>
      <c r="D190" s="19" t="n"/>
      <c r="E190" s="23">
        <f>IF(D190="","",IFERROR(INDEX('01_자재목록'!$D$7:$D$106,MATCH(D190,'01_자재목록'!$B$7:$B$106,0))&amp;"","자재코드 확인"))</f>
        <v/>
      </c>
      <c r="F190" s="19" t="n"/>
      <c r="G190" s="19" t="n"/>
      <c r="H190" s="30" t="n"/>
      <c r="I190" s="30" t="n"/>
      <c r="J190" s="23">
        <f>IF(D190="","",IFERROR(INDEX('01_자재목록'!$I$7:$I$106,MATCH(D190,'01_자재목록'!$B$7:$B$106,0))&amp;"","자재코드 확인"))</f>
        <v/>
      </c>
      <c r="K190" s="31">
        <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f>
        <v/>
      </c>
      <c r="L190" s="19" t="n"/>
      <c r="M190" s="19" t="n"/>
      <c r="N190" s="19" t="n"/>
      <c r="O190" s="27">
        <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f>
        <v/>
      </c>
    </row>
    <row r="191" ht="24" customHeight="1">
      <c r="A191" s="18" t="n">
        <v>185</v>
      </c>
      <c r="B191" s="32" t="n"/>
      <c r="C191" s="19" t="n"/>
      <c r="D191" s="19" t="n"/>
      <c r="E191" s="23">
        <f>IF(D191="","",IFERROR(INDEX('01_자재목록'!$D$7:$D$106,MATCH(D191,'01_자재목록'!$B$7:$B$106,0))&amp;"","자재코드 확인"))</f>
        <v/>
      </c>
      <c r="F191" s="19" t="n"/>
      <c r="G191" s="19" t="n"/>
      <c r="H191" s="30" t="n"/>
      <c r="I191" s="30" t="n"/>
      <c r="J191" s="23">
        <f>IF(D191="","",IFERROR(INDEX('01_자재목록'!$I$7:$I$106,MATCH(D191,'01_자재목록'!$B$7:$B$106,0))&amp;"","자재코드 확인"))</f>
        <v/>
      </c>
      <c r="K191" s="31">
        <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f>
        <v/>
      </c>
      <c r="L191" s="19" t="n"/>
      <c r="M191" s="19" t="n"/>
      <c r="N191" s="19" t="n"/>
      <c r="O191" s="27">
        <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f>
        <v/>
      </c>
    </row>
    <row r="192" ht="24" customHeight="1">
      <c r="A192" s="18" t="n">
        <v>186</v>
      </c>
      <c r="B192" s="32" t="n"/>
      <c r="C192" s="19" t="n"/>
      <c r="D192" s="19" t="n"/>
      <c r="E192" s="23">
        <f>IF(D192="","",IFERROR(INDEX('01_자재목록'!$D$7:$D$106,MATCH(D192,'01_자재목록'!$B$7:$B$106,0))&amp;"","자재코드 확인"))</f>
        <v/>
      </c>
      <c r="F192" s="19" t="n"/>
      <c r="G192" s="19" t="n"/>
      <c r="H192" s="30" t="n"/>
      <c r="I192" s="30" t="n"/>
      <c r="J192" s="23">
        <f>IF(D192="","",IFERROR(INDEX('01_자재목록'!$I$7:$I$106,MATCH(D192,'01_자재목록'!$B$7:$B$106,0))&amp;"","자재코드 확인"))</f>
        <v/>
      </c>
      <c r="K192" s="31">
        <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f>
        <v/>
      </c>
      <c r="L192" s="19" t="n"/>
      <c r="M192" s="19" t="n"/>
      <c r="N192" s="19" t="n"/>
      <c r="O192" s="27">
        <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f>
        <v/>
      </c>
    </row>
    <row r="193" ht="24" customHeight="1">
      <c r="A193" s="18" t="n">
        <v>187</v>
      </c>
      <c r="B193" s="32" t="n"/>
      <c r="C193" s="19" t="n"/>
      <c r="D193" s="19" t="n"/>
      <c r="E193" s="23">
        <f>IF(D193="","",IFERROR(INDEX('01_자재목록'!$D$7:$D$106,MATCH(D193,'01_자재목록'!$B$7:$B$106,0))&amp;"","자재코드 확인"))</f>
        <v/>
      </c>
      <c r="F193" s="19" t="n"/>
      <c r="G193" s="19" t="n"/>
      <c r="H193" s="30" t="n"/>
      <c r="I193" s="30" t="n"/>
      <c r="J193" s="23">
        <f>IF(D193="","",IFERROR(INDEX('01_자재목록'!$I$7:$I$106,MATCH(D193,'01_자재목록'!$B$7:$B$106,0))&amp;"","자재코드 확인"))</f>
        <v/>
      </c>
      <c r="K193" s="31">
        <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f>
        <v/>
      </c>
      <c r="L193" s="19" t="n"/>
      <c r="M193" s="19" t="n"/>
      <c r="N193" s="19" t="n"/>
      <c r="O193" s="27">
        <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f>
        <v/>
      </c>
    </row>
    <row r="194" ht="24" customHeight="1">
      <c r="A194" s="18" t="n">
        <v>188</v>
      </c>
      <c r="B194" s="32" t="n"/>
      <c r="C194" s="19" t="n"/>
      <c r="D194" s="19" t="n"/>
      <c r="E194" s="23">
        <f>IF(D194="","",IFERROR(INDEX('01_자재목록'!$D$7:$D$106,MATCH(D194,'01_자재목록'!$B$7:$B$106,0))&amp;"","자재코드 확인"))</f>
        <v/>
      </c>
      <c r="F194" s="19" t="n"/>
      <c r="G194" s="19" t="n"/>
      <c r="H194" s="30" t="n"/>
      <c r="I194" s="30" t="n"/>
      <c r="J194" s="23">
        <f>IF(D194="","",IFERROR(INDEX('01_자재목록'!$I$7:$I$106,MATCH(D194,'01_자재목록'!$B$7:$B$106,0))&amp;"","자재코드 확인"))</f>
        <v/>
      </c>
      <c r="K194" s="31">
        <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f>
        <v/>
      </c>
      <c r="L194" s="19" t="n"/>
      <c r="M194" s="19" t="n"/>
      <c r="N194" s="19" t="n"/>
      <c r="O194" s="27">
        <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f>
        <v/>
      </c>
    </row>
    <row r="195" ht="24" customHeight="1">
      <c r="A195" s="18" t="n">
        <v>189</v>
      </c>
      <c r="B195" s="32" t="n"/>
      <c r="C195" s="19" t="n"/>
      <c r="D195" s="19" t="n"/>
      <c r="E195" s="23">
        <f>IF(D195="","",IFERROR(INDEX('01_자재목록'!$D$7:$D$106,MATCH(D195,'01_자재목록'!$B$7:$B$106,0))&amp;"","자재코드 확인"))</f>
        <v/>
      </c>
      <c r="F195" s="19" t="n"/>
      <c r="G195" s="19" t="n"/>
      <c r="H195" s="30" t="n"/>
      <c r="I195" s="30" t="n"/>
      <c r="J195" s="23">
        <f>IF(D195="","",IFERROR(INDEX('01_자재목록'!$I$7:$I$106,MATCH(D195,'01_자재목록'!$B$7:$B$106,0))&amp;"","자재코드 확인"))</f>
        <v/>
      </c>
      <c r="K195" s="31">
        <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f>
        <v/>
      </c>
      <c r="L195" s="19" t="n"/>
      <c r="M195" s="19" t="n"/>
      <c r="N195" s="19" t="n"/>
      <c r="O195" s="27">
        <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f>
        <v/>
      </c>
    </row>
    <row r="196" ht="24" customHeight="1">
      <c r="A196" s="18" t="n">
        <v>190</v>
      </c>
      <c r="B196" s="32" t="n"/>
      <c r="C196" s="19" t="n"/>
      <c r="D196" s="19" t="n"/>
      <c r="E196" s="23">
        <f>IF(D196="","",IFERROR(INDEX('01_자재목록'!$D$7:$D$106,MATCH(D196,'01_자재목록'!$B$7:$B$106,0))&amp;"","자재코드 확인"))</f>
        <v/>
      </c>
      <c r="F196" s="19" t="n"/>
      <c r="G196" s="19" t="n"/>
      <c r="H196" s="30" t="n"/>
      <c r="I196" s="30" t="n"/>
      <c r="J196" s="23">
        <f>IF(D196="","",IFERROR(INDEX('01_자재목록'!$I$7:$I$106,MATCH(D196,'01_자재목록'!$B$7:$B$106,0))&amp;"","자재코드 확인"))</f>
        <v/>
      </c>
      <c r="K196" s="31">
        <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f>
        <v/>
      </c>
      <c r="L196" s="19" t="n"/>
      <c r="M196" s="19" t="n"/>
      <c r="N196" s="19" t="n"/>
      <c r="O196" s="27">
        <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f>
        <v/>
      </c>
    </row>
    <row r="197" ht="24" customHeight="1">
      <c r="A197" s="18" t="n">
        <v>191</v>
      </c>
      <c r="B197" s="32" t="n"/>
      <c r="C197" s="19" t="n"/>
      <c r="D197" s="19" t="n"/>
      <c r="E197" s="23">
        <f>IF(D197="","",IFERROR(INDEX('01_자재목록'!$D$7:$D$106,MATCH(D197,'01_자재목록'!$B$7:$B$106,0))&amp;"","자재코드 확인"))</f>
        <v/>
      </c>
      <c r="F197" s="19" t="n"/>
      <c r="G197" s="19" t="n"/>
      <c r="H197" s="30" t="n"/>
      <c r="I197" s="30" t="n"/>
      <c r="J197" s="23">
        <f>IF(D197="","",IFERROR(INDEX('01_자재목록'!$I$7:$I$106,MATCH(D197,'01_자재목록'!$B$7:$B$106,0))&amp;"","자재코드 확인"))</f>
        <v/>
      </c>
      <c r="K197" s="31">
        <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f>
        <v/>
      </c>
      <c r="L197" s="19" t="n"/>
      <c r="M197" s="19" t="n"/>
      <c r="N197" s="19" t="n"/>
      <c r="O197" s="27">
        <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f>
        <v/>
      </c>
    </row>
    <row r="198" ht="24" customHeight="1">
      <c r="A198" s="18" t="n">
        <v>192</v>
      </c>
      <c r="B198" s="32" t="n"/>
      <c r="C198" s="19" t="n"/>
      <c r="D198" s="19" t="n"/>
      <c r="E198" s="23">
        <f>IF(D198="","",IFERROR(INDEX('01_자재목록'!$D$7:$D$106,MATCH(D198,'01_자재목록'!$B$7:$B$106,0))&amp;"","자재코드 확인"))</f>
        <v/>
      </c>
      <c r="F198" s="19" t="n"/>
      <c r="G198" s="19" t="n"/>
      <c r="H198" s="30" t="n"/>
      <c r="I198" s="30" t="n"/>
      <c r="J198" s="23">
        <f>IF(D198="","",IFERROR(INDEX('01_자재목록'!$I$7:$I$106,MATCH(D198,'01_자재목록'!$B$7:$B$106,0))&amp;"","자재코드 확인"))</f>
        <v/>
      </c>
      <c r="K198" s="31">
        <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f>
        <v/>
      </c>
      <c r="L198" s="19" t="n"/>
      <c r="M198" s="19" t="n"/>
      <c r="N198" s="19" t="n"/>
      <c r="O198" s="27">
        <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f>
        <v/>
      </c>
    </row>
    <row r="199" ht="24" customHeight="1">
      <c r="A199" s="18" t="n">
        <v>193</v>
      </c>
      <c r="B199" s="32" t="n"/>
      <c r="C199" s="19" t="n"/>
      <c r="D199" s="19" t="n"/>
      <c r="E199" s="23">
        <f>IF(D199="","",IFERROR(INDEX('01_자재목록'!$D$7:$D$106,MATCH(D199,'01_자재목록'!$B$7:$B$106,0))&amp;"","자재코드 확인"))</f>
        <v/>
      </c>
      <c r="F199" s="19" t="n"/>
      <c r="G199" s="19" t="n"/>
      <c r="H199" s="30" t="n"/>
      <c r="I199" s="30" t="n"/>
      <c r="J199" s="23">
        <f>IF(D199="","",IFERROR(INDEX('01_자재목록'!$I$7:$I$106,MATCH(D199,'01_자재목록'!$B$7:$B$106,0))&amp;"","자재코드 확인"))</f>
        <v/>
      </c>
      <c r="K199" s="31">
        <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f>
        <v/>
      </c>
      <c r="L199" s="19" t="n"/>
      <c r="M199" s="19" t="n"/>
      <c r="N199" s="19" t="n"/>
      <c r="O199" s="27">
        <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f>
        <v/>
      </c>
    </row>
    <row r="200" ht="24" customHeight="1">
      <c r="A200" s="18" t="n">
        <v>194</v>
      </c>
      <c r="B200" s="32" t="n"/>
      <c r="C200" s="19" t="n"/>
      <c r="D200" s="19" t="n"/>
      <c r="E200" s="23">
        <f>IF(D200="","",IFERROR(INDEX('01_자재목록'!$D$7:$D$106,MATCH(D200,'01_자재목록'!$B$7:$B$106,0))&amp;"","자재코드 확인"))</f>
        <v/>
      </c>
      <c r="F200" s="19" t="n"/>
      <c r="G200" s="19" t="n"/>
      <c r="H200" s="30" t="n"/>
      <c r="I200" s="30" t="n"/>
      <c r="J200" s="23">
        <f>IF(D200="","",IFERROR(INDEX('01_자재목록'!$I$7:$I$106,MATCH(D200,'01_자재목록'!$B$7:$B$106,0))&amp;"","자재코드 확인"))</f>
        <v/>
      </c>
      <c r="K200" s="31">
        <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f>
        <v/>
      </c>
      <c r="L200" s="19" t="n"/>
      <c r="M200" s="19" t="n"/>
      <c r="N200" s="19" t="n"/>
      <c r="O200" s="27">
        <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f>
        <v/>
      </c>
    </row>
    <row r="201" ht="24" customHeight="1">
      <c r="A201" s="18" t="n">
        <v>195</v>
      </c>
      <c r="B201" s="32" t="n"/>
      <c r="C201" s="19" t="n"/>
      <c r="D201" s="19" t="n"/>
      <c r="E201" s="23">
        <f>IF(D201="","",IFERROR(INDEX('01_자재목록'!$D$7:$D$106,MATCH(D201,'01_자재목록'!$B$7:$B$106,0))&amp;"","자재코드 확인"))</f>
        <v/>
      </c>
      <c r="F201" s="19" t="n"/>
      <c r="G201" s="19" t="n"/>
      <c r="H201" s="30" t="n"/>
      <c r="I201" s="30" t="n"/>
      <c r="J201" s="23">
        <f>IF(D201="","",IFERROR(INDEX('01_자재목록'!$I$7:$I$106,MATCH(D201,'01_자재목록'!$B$7:$B$106,0))&amp;"","자재코드 확인"))</f>
        <v/>
      </c>
      <c r="K201" s="31">
        <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f>
        <v/>
      </c>
      <c r="L201" s="19" t="n"/>
      <c r="M201" s="19" t="n"/>
      <c r="N201" s="19" t="n"/>
      <c r="O201" s="27">
        <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f>
        <v/>
      </c>
    </row>
    <row r="202" ht="24" customHeight="1">
      <c r="A202" s="18" t="n">
        <v>196</v>
      </c>
      <c r="B202" s="32" t="n"/>
      <c r="C202" s="19" t="n"/>
      <c r="D202" s="19" t="n"/>
      <c r="E202" s="23">
        <f>IF(D202="","",IFERROR(INDEX('01_자재목록'!$D$7:$D$106,MATCH(D202,'01_자재목록'!$B$7:$B$106,0))&amp;"","자재코드 확인"))</f>
        <v/>
      </c>
      <c r="F202" s="19" t="n"/>
      <c r="G202" s="19" t="n"/>
      <c r="H202" s="30" t="n"/>
      <c r="I202" s="30" t="n"/>
      <c r="J202" s="23">
        <f>IF(D202="","",IFERROR(INDEX('01_자재목록'!$I$7:$I$106,MATCH(D202,'01_자재목록'!$B$7:$B$106,0))&amp;"","자재코드 확인"))</f>
        <v/>
      </c>
      <c r="K202" s="31">
        <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f>
        <v/>
      </c>
      <c r="L202" s="19" t="n"/>
      <c r="M202" s="19" t="n"/>
      <c r="N202" s="19" t="n"/>
      <c r="O202" s="27">
        <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f>
        <v/>
      </c>
    </row>
    <row r="203" ht="24" customHeight="1">
      <c r="A203" s="18" t="n">
        <v>197</v>
      </c>
      <c r="B203" s="32" t="n"/>
      <c r="C203" s="19" t="n"/>
      <c r="D203" s="19" t="n"/>
      <c r="E203" s="23">
        <f>IF(D203="","",IFERROR(INDEX('01_자재목록'!$D$7:$D$106,MATCH(D203,'01_자재목록'!$B$7:$B$106,0))&amp;"","자재코드 확인"))</f>
        <v/>
      </c>
      <c r="F203" s="19" t="n"/>
      <c r="G203" s="19" t="n"/>
      <c r="H203" s="30" t="n"/>
      <c r="I203" s="30" t="n"/>
      <c r="J203" s="23">
        <f>IF(D203="","",IFERROR(INDEX('01_자재목록'!$I$7:$I$106,MATCH(D203,'01_자재목록'!$B$7:$B$106,0))&amp;"","자재코드 확인"))</f>
        <v/>
      </c>
      <c r="K203" s="31">
        <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f>
        <v/>
      </c>
      <c r="L203" s="19" t="n"/>
      <c r="M203" s="19" t="n"/>
      <c r="N203" s="19" t="n"/>
      <c r="O203" s="27">
        <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f>
        <v/>
      </c>
    </row>
    <row r="204" ht="24" customHeight="1">
      <c r="A204" s="18" t="n">
        <v>198</v>
      </c>
      <c r="B204" s="32" t="n"/>
      <c r="C204" s="19" t="n"/>
      <c r="D204" s="19" t="n"/>
      <c r="E204" s="23">
        <f>IF(D204="","",IFERROR(INDEX('01_자재목록'!$D$7:$D$106,MATCH(D204,'01_자재목록'!$B$7:$B$106,0))&amp;"","자재코드 확인"))</f>
        <v/>
      </c>
      <c r="F204" s="19" t="n"/>
      <c r="G204" s="19" t="n"/>
      <c r="H204" s="30" t="n"/>
      <c r="I204" s="30" t="n"/>
      <c r="J204" s="23">
        <f>IF(D204="","",IFERROR(INDEX('01_자재목록'!$I$7:$I$106,MATCH(D204,'01_자재목록'!$B$7:$B$106,0))&amp;"","자재코드 확인"))</f>
        <v/>
      </c>
      <c r="K204" s="31">
        <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f>
        <v/>
      </c>
      <c r="L204" s="19" t="n"/>
      <c r="M204" s="19" t="n"/>
      <c r="N204" s="19" t="n"/>
      <c r="O204" s="27">
        <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f>
        <v/>
      </c>
    </row>
    <row r="205" ht="24" customHeight="1">
      <c r="A205" s="18" t="n">
        <v>199</v>
      </c>
      <c r="B205" s="32" t="n"/>
      <c r="C205" s="19" t="n"/>
      <c r="D205" s="19" t="n"/>
      <c r="E205" s="23">
        <f>IF(D205="","",IFERROR(INDEX('01_자재목록'!$D$7:$D$106,MATCH(D205,'01_자재목록'!$B$7:$B$106,0))&amp;"","자재코드 확인"))</f>
        <v/>
      </c>
      <c r="F205" s="19" t="n"/>
      <c r="G205" s="19" t="n"/>
      <c r="H205" s="30" t="n"/>
      <c r="I205" s="30" t="n"/>
      <c r="J205" s="23">
        <f>IF(D205="","",IFERROR(INDEX('01_자재목록'!$I$7:$I$106,MATCH(D205,'01_자재목록'!$B$7:$B$106,0))&amp;"","자재코드 확인"))</f>
        <v/>
      </c>
      <c r="K205" s="31">
        <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f>
        <v/>
      </c>
      <c r="L205" s="19" t="n"/>
      <c r="M205" s="19" t="n"/>
      <c r="N205" s="19" t="n"/>
      <c r="O205" s="27">
        <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f>
        <v/>
      </c>
    </row>
    <row r="206" ht="24" customHeight="1">
      <c r="A206" s="18" t="n">
        <v>200</v>
      </c>
      <c r="B206" s="32" t="n"/>
      <c r="C206" s="19" t="n"/>
      <c r="D206" s="19" t="n"/>
      <c r="E206" s="23">
        <f>IF(D206="","",IFERROR(INDEX('01_자재목록'!$D$7:$D$106,MATCH(D206,'01_자재목록'!$B$7:$B$106,0))&amp;"","자재코드 확인"))</f>
        <v/>
      </c>
      <c r="F206" s="19" t="n"/>
      <c r="G206" s="19" t="n"/>
      <c r="H206" s="30" t="n"/>
      <c r="I206" s="30" t="n"/>
      <c r="J206" s="23">
        <f>IF(D206="","",IFERROR(INDEX('01_자재목록'!$I$7:$I$106,MATCH(D206,'01_자재목록'!$B$7:$B$106,0))&amp;"","자재코드 확인"))</f>
        <v/>
      </c>
      <c r="K206" s="31">
        <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f>
        <v/>
      </c>
      <c r="L206" s="19" t="n"/>
      <c r="M206" s="19" t="n"/>
      <c r="N206" s="19" t="n"/>
      <c r="O206" s="27">
        <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f>
        <v/>
      </c>
    </row>
  </sheetData>
  <mergeCells count="5">
    <mergeCell ref="A2:O2"/>
    <mergeCell ref="A1:O1"/>
    <mergeCell ref="A5:O5"/>
    <mergeCell ref="A4:O4"/>
    <mergeCell ref="A3:O3"/>
  </mergeCells>
  <conditionalFormatting sqref="K7:K206">
    <cfRule type="cellIs" priority="1" operator="lessThan" dxfId="0">
      <formula>0</formula>
    </cfRule>
    <cfRule type="containsText" priority="2" operator="containsText" dxfId="0" text="확인"/>
  </conditionalFormatting>
  <dataValidations count="4">
    <dataValidation sqref="C7:C206" showDropDown="0" showInputMessage="0" showErrorMessage="0" allowBlank="0" type="list">
      <formula1>"입고,출고,조정"</formula1>
    </dataValidation>
    <dataValidation sqref="D7:D206" showDropDown="0" showInputMessage="0" showErrorMessage="0" allowBlank="0" type="list">
      <formula1>INDIRECT("'01_자재목록'!$B$7:$B$106")</formula1>
    </dataValidation>
    <dataValidation sqref="H7:H206" showDropDown="0" showInputMessage="0" showErrorMessage="0" allowBlank="0" type="decimal" operator="greaterThanOrEqual">
      <formula1>0</formula1>
    </dataValidation>
    <dataValidation sqref="I7:I2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17" customWidth="1" min="6" max="6"/>
    <col width="24" customWidth="1" min="7" max="7"/>
    <col width="24" customWidth="1" min="8" max="8"/>
    <col width="24" customWidth="1" min="9" max="9"/>
    <col width="24" customWidth="1" min="10" max="10"/>
    <col width="17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</cols>
  <sheetData>
    <row r="1" ht="32" customHeight="1">
      <c r="A1" s="2" t="inlineStr">
        <is>
          <t>용접 부자재 관리대장 — 유효기간 | Rev.00</t>
        </is>
      </c>
    </row>
    <row r="2" ht="44" customHeight="1">
      <c r="A2" s="3" t="inlineStr">
        <is>
          <t>유효기간 대상 LOT만 등록. 제조 LOT 또는 사내 입고 LOT 입력. 개봉 후 기한이 있으면 실제 마감일로 유효기한을 입력하세요. 소진·폐기는 운영상태 변경(재고 차감은 입출고 시트에 별도 입력).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자재명(자동)</t>
        </is>
      </c>
      <c r="D6" s="9" t="inlineStr">
        <is>
          <t>제조 LOT</t>
        </is>
      </c>
      <c r="E6" s="9" t="inlineStr">
        <is>
          <t>사내 입고 LOT</t>
        </is>
      </c>
      <c r="F6" s="9" t="inlineStr">
        <is>
          <t>유효기한</t>
        </is>
      </c>
      <c r="G6" s="9" t="inlineStr">
        <is>
          <t>개봉일자(해당 시)</t>
        </is>
      </c>
      <c r="H6" s="9" t="inlineStr">
        <is>
          <t>보관위치</t>
        </is>
      </c>
      <c r="I6" s="9" t="inlineStr">
        <is>
          <t>보관상태</t>
        </is>
      </c>
      <c r="J6" s="9" t="inlineStr">
        <is>
          <t>LOT 운영상태</t>
        </is>
      </c>
      <c r="K6" s="9" t="inlineStr">
        <is>
          <t>잔여일수(자동)</t>
        </is>
      </c>
      <c r="L6" s="9" t="inlineStr">
        <is>
          <t>유효기간 상태(자동)</t>
        </is>
      </c>
      <c r="M6" s="9" t="inlineStr">
        <is>
          <t>조치내용</t>
        </is>
      </c>
      <c r="N6" s="9" t="inlineStr">
        <is>
          <t>담당자</t>
        </is>
      </c>
      <c r="O6" s="9" t="inlineStr">
        <is>
          <t>비고(선택)</t>
        </is>
      </c>
      <c r="P6" s="9" t="inlineStr">
        <is>
          <t>관리구분(자동)</t>
        </is>
      </c>
    </row>
    <row r="7" ht="24" customHeight="1">
      <c r="A7" s="18" t="n">
        <v>1</v>
      </c>
      <c r="B7" s="19" t="n"/>
      <c r="C7" s="23">
        <f>IF(B7="","",IFERROR(INDEX('01_자재목록'!$D$7:$D$106,MATCH(B7,'01_자재목록'!$B$7:$B$106,0))&amp;"","자재코드 확인"))</f>
        <v/>
      </c>
      <c r="D7" s="19" t="n"/>
      <c r="E7" s="19" t="n"/>
      <c r="F7" s="32" t="n"/>
      <c r="G7" s="32" t="n"/>
      <c r="H7" s="19" t="n"/>
      <c r="I7" s="19" t="n"/>
      <c r="J7" s="19" t="n"/>
      <c r="K7" s="33">
        <f>IF(OR(B7="",F7=""),"",IF(ISNUMBER(F7),F7-TODAY(),"날짜 확인"))</f>
        <v/>
      </c>
      <c r="L7" s="23">
        <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f>
        <v/>
      </c>
      <c r="M7" s="19" t="n"/>
      <c r="N7" s="19" t="n"/>
      <c r="O7" s="19" t="n"/>
      <c r="P7" s="27">
        <f>IF(B7="","",IF(COUNTIF('01_자재목록'!$B$7:$B$106,B7)&lt;&gt;1,"자재코드 확인",IF(INDEX('01_자재목록'!$R$7:$R$106,MATCH(B7,'01_자재목록'!$B$7:$B$106,0))="","구분 미입력",INDEX('01_자재목록'!$R$7:$R$106,MATCH(B7,'01_자재목록'!$B$7:$B$106,0)))))</f>
        <v/>
      </c>
    </row>
    <row r="8" ht="24" customHeight="1">
      <c r="A8" s="18" t="n">
        <v>2</v>
      </c>
      <c r="B8" s="19" t="n"/>
      <c r="C8" s="23">
        <f>IF(B8="","",IFERROR(INDEX('01_자재목록'!$D$7:$D$106,MATCH(B8,'01_자재목록'!$B$7:$B$106,0))&amp;"","자재코드 확인"))</f>
        <v/>
      </c>
      <c r="D8" s="19" t="n"/>
      <c r="E8" s="19" t="n"/>
      <c r="F8" s="32" t="n"/>
      <c r="G8" s="32" t="n"/>
      <c r="H8" s="19" t="n"/>
      <c r="I8" s="19" t="n"/>
      <c r="J8" s="19" t="n"/>
      <c r="K8" s="33">
        <f>IF(OR(B8="",F8=""),"",IF(ISNUMBER(F8),F8-TODAY(),"날짜 확인"))</f>
        <v/>
      </c>
      <c r="L8" s="23">
        <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f>
        <v/>
      </c>
      <c r="M8" s="19" t="n"/>
      <c r="N8" s="19" t="n"/>
      <c r="O8" s="19" t="n"/>
      <c r="P8" s="27">
        <f>IF(B8="","",IF(COUNTIF('01_자재목록'!$B$7:$B$106,B8)&lt;&gt;1,"자재코드 확인",IF(INDEX('01_자재목록'!$R$7:$R$106,MATCH(B8,'01_자재목록'!$B$7:$B$106,0))="","구분 미입력",INDEX('01_자재목록'!$R$7:$R$106,MATCH(B8,'01_자재목록'!$B$7:$B$106,0)))))</f>
        <v/>
      </c>
    </row>
    <row r="9" ht="24" customHeight="1">
      <c r="A9" s="18" t="n">
        <v>3</v>
      </c>
      <c r="B9" s="19" t="n"/>
      <c r="C9" s="23">
        <f>IF(B9="","",IFERROR(INDEX('01_자재목록'!$D$7:$D$106,MATCH(B9,'01_자재목록'!$B$7:$B$106,0))&amp;"","자재코드 확인"))</f>
        <v/>
      </c>
      <c r="D9" s="19" t="n"/>
      <c r="E9" s="19" t="n"/>
      <c r="F9" s="32" t="n"/>
      <c r="G9" s="32" t="n"/>
      <c r="H9" s="19" t="n"/>
      <c r="I9" s="19" t="n"/>
      <c r="J9" s="19" t="n"/>
      <c r="K9" s="33">
        <f>IF(OR(B9="",F9=""),"",IF(ISNUMBER(F9),F9-TODAY(),"날짜 확인"))</f>
        <v/>
      </c>
      <c r="L9" s="23">
        <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f>
        <v/>
      </c>
      <c r="M9" s="19" t="n"/>
      <c r="N9" s="19" t="n"/>
      <c r="O9" s="19" t="n"/>
      <c r="P9" s="27">
        <f>IF(B9="","",IF(COUNTIF('01_자재목록'!$B$7:$B$106,B9)&lt;&gt;1,"자재코드 확인",IF(INDEX('01_자재목록'!$R$7:$R$106,MATCH(B9,'01_자재목록'!$B$7:$B$106,0))="","구분 미입력",INDEX('01_자재목록'!$R$7:$R$106,MATCH(B9,'01_자재목록'!$B$7:$B$106,0)))))</f>
        <v/>
      </c>
    </row>
    <row r="10" ht="24" customHeight="1">
      <c r="A10" s="18" t="n">
        <v>4</v>
      </c>
      <c r="B10" s="19" t="n"/>
      <c r="C10" s="23">
        <f>IF(B10="","",IFERROR(INDEX('01_자재목록'!$D$7:$D$106,MATCH(B10,'01_자재목록'!$B$7:$B$106,0))&amp;"","자재코드 확인"))</f>
        <v/>
      </c>
      <c r="D10" s="19" t="n"/>
      <c r="E10" s="19" t="n"/>
      <c r="F10" s="32" t="n"/>
      <c r="G10" s="32" t="n"/>
      <c r="H10" s="19" t="n"/>
      <c r="I10" s="19" t="n"/>
      <c r="J10" s="19" t="n"/>
      <c r="K10" s="33">
        <f>IF(OR(B10="",F10=""),"",IF(ISNUMBER(F10),F10-TODAY(),"날짜 확인"))</f>
        <v/>
      </c>
      <c r="L10" s="23">
        <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f>
        <v/>
      </c>
      <c r="M10" s="19" t="n"/>
      <c r="N10" s="19" t="n"/>
      <c r="O10" s="19" t="n"/>
      <c r="P10" s="27">
        <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f>
        <v/>
      </c>
    </row>
    <row r="11" ht="24" customHeight="1">
      <c r="A11" s="18" t="n">
        <v>5</v>
      </c>
      <c r="B11" s="19" t="n"/>
      <c r="C11" s="23">
        <f>IF(B11="","",IFERROR(INDEX('01_자재목록'!$D$7:$D$106,MATCH(B11,'01_자재목록'!$B$7:$B$106,0))&amp;"","자재코드 확인"))</f>
        <v/>
      </c>
      <c r="D11" s="19" t="n"/>
      <c r="E11" s="19" t="n"/>
      <c r="F11" s="32" t="n"/>
      <c r="G11" s="32" t="n"/>
      <c r="H11" s="19" t="n"/>
      <c r="I11" s="19" t="n"/>
      <c r="J11" s="19" t="n"/>
      <c r="K11" s="33">
        <f>IF(OR(B11="",F11=""),"",IF(ISNUMBER(F11),F11-TODAY(),"날짜 확인"))</f>
        <v/>
      </c>
      <c r="L11" s="23">
        <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f>
        <v/>
      </c>
      <c r="M11" s="19" t="n"/>
      <c r="N11" s="19" t="n"/>
      <c r="O11" s="19" t="n"/>
      <c r="P11" s="27">
        <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f>
        <v/>
      </c>
    </row>
    <row r="12" ht="24" customHeight="1">
      <c r="A12" s="18" t="n">
        <v>6</v>
      </c>
      <c r="B12" s="19" t="n"/>
      <c r="C12" s="23">
        <f>IF(B12="","",IFERROR(INDEX('01_자재목록'!$D$7:$D$106,MATCH(B12,'01_자재목록'!$B$7:$B$106,0))&amp;"","자재코드 확인"))</f>
        <v/>
      </c>
      <c r="D12" s="19" t="n"/>
      <c r="E12" s="19" t="n"/>
      <c r="F12" s="32" t="n"/>
      <c r="G12" s="32" t="n"/>
      <c r="H12" s="19" t="n"/>
      <c r="I12" s="19" t="n"/>
      <c r="J12" s="19" t="n"/>
      <c r="K12" s="33">
        <f>IF(OR(B12="",F12=""),"",IF(ISNUMBER(F12),F12-TODAY(),"날짜 확인"))</f>
        <v/>
      </c>
      <c r="L12" s="23">
        <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f>
        <v/>
      </c>
      <c r="M12" s="19" t="n"/>
      <c r="N12" s="19" t="n"/>
      <c r="O12" s="19" t="n"/>
      <c r="P12" s="27">
        <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f>
        <v/>
      </c>
    </row>
    <row r="13" ht="24" customHeight="1">
      <c r="A13" s="18" t="n">
        <v>7</v>
      </c>
      <c r="B13" s="19" t="n"/>
      <c r="C13" s="23">
        <f>IF(B13="","",IFERROR(INDEX('01_자재목록'!$D$7:$D$106,MATCH(B13,'01_자재목록'!$B$7:$B$106,0))&amp;"","자재코드 확인"))</f>
        <v/>
      </c>
      <c r="D13" s="19" t="n"/>
      <c r="E13" s="19" t="n"/>
      <c r="F13" s="32" t="n"/>
      <c r="G13" s="32" t="n"/>
      <c r="H13" s="19" t="n"/>
      <c r="I13" s="19" t="n"/>
      <c r="J13" s="19" t="n"/>
      <c r="K13" s="33">
        <f>IF(OR(B13="",F13=""),"",IF(ISNUMBER(F13),F13-TODAY(),"날짜 확인"))</f>
        <v/>
      </c>
      <c r="L13" s="23">
        <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f>
        <v/>
      </c>
      <c r="M13" s="19" t="n"/>
      <c r="N13" s="19" t="n"/>
      <c r="O13" s="19" t="n"/>
      <c r="P13" s="27">
        <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f>
        <v/>
      </c>
    </row>
    <row r="14" ht="24" customHeight="1">
      <c r="A14" s="18" t="n">
        <v>8</v>
      </c>
      <c r="B14" s="19" t="n"/>
      <c r="C14" s="23">
        <f>IF(B14="","",IFERROR(INDEX('01_자재목록'!$D$7:$D$106,MATCH(B14,'01_자재목록'!$B$7:$B$106,0))&amp;"","자재코드 확인"))</f>
        <v/>
      </c>
      <c r="D14" s="19" t="n"/>
      <c r="E14" s="19" t="n"/>
      <c r="F14" s="32" t="n"/>
      <c r="G14" s="32" t="n"/>
      <c r="H14" s="19" t="n"/>
      <c r="I14" s="19" t="n"/>
      <c r="J14" s="19" t="n"/>
      <c r="K14" s="33">
        <f>IF(OR(B14="",F14=""),"",IF(ISNUMBER(F14),F14-TODAY(),"날짜 확인"))</f>
        <v/>
      </c>
      <c r="L14" s="23">
        <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f>
        <v/>
      </c>
      <c r="M14" s="19" t="n"/>
      <c r="N14" s="19" t="n"/>
      <c r="O14" s="19" t="n"/>
      <c r="P14" s="27">
        <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f>
        <v/>
      </c>
    </row>
    <row r="15" ht="24" customHeight="1">
      <c r="A15" s="18" t="n">
        <v>9</v>
      </c>
      <c r="B15" s="19" t="n"/>
      <c r="C15" s="23">
        <f>IF(B15="","",IFERROR(INDEX('01_자재목록'!$D$7:$D$106,MATCH(B15,'01_자재목록'!$B$7:$B$106,0))&amp;"","자재코드 확인"))</f>
        <v/>
      </c>
      <c r="D15" s="19" t="n"/>
      <c r="E15" s="19" t="n"/>
      <c r="F15" s="32" t="n"/>
      <c r="G15" s="32" t="n"/>
      <c r="H15" s="19" t="n"/>
      <c r="I15" s="19" t="n"/>
      <c r="J15" s="19" t="n"/>
      <c r="K15" s="33">
        <f>IF(OR(B15="",F15=""),"",IF(ISNUMBER(F15),F15-TODAY(),"날짜 확인"))</f>
        <v/>
      </c>
      <c r="L15" s="23">
        <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f>
        <v/>
      </c>
      <c r="M15" s="19" t="n"/>
      <c r="N15" s="19" t="n"/>
      <c r="O15" s="19" t="n"/>
      <c r="P15" s="27">
        <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f>
        <v/>
      </c>
    </row>
    <row r="16" ht="24" customHeight="1">
      <c r="A16" s="18" t="n">
        <v>10</v>
      </c>
      <c r="B16" s="19" t="n"/>
      <c r="C16" s="23">
        <f>IF(B16="","",IFERROR(INDEX('01_자재목록'!$D$7:$D$106,MATCH(B16,'01_자재목록'!$B$7:$B$106,0))&amp;"","자재코드 확인"))</f>
        <v/>
      </c>
      <c r="D16" s="19" t="n"/>
      <c r="E16" s="19" t="n"/>
      <c r="F16" s="32" t="n"/>
      <c r="G16" s="32" t="n"/>
      <c r="H16" s="19" t="n"/>
      <c r="I16" s="19" t="n"/>
      <c r="J16" s="19" t="n"/>
      <c r="K16" s="33">
        <f>IF(OR(B16="",F16=""),"",IF(ISNUMBER(F16),F16-TODAY(),"날짜 확인"))</f>
        <v/>
      </c>
      <c r="L16" s="23">
        <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f>
        <v/>
      </c>
      <c r="M16" s="19" t="n"/>
      <c r="N16" s="19" t="n"/>
      <c r="O16" s="19" t="n"/>
      <c r="P16" s="27">
        <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f>
        <v/>
      </c>
    </row>
    <row r="17" ht="24" customHeight="1">
      <c r="A17" s="18" t="n">
        <v>11</v>
      </c>
      <c r="B17" s="19" t="n"/>
      <c r="C17" s="23">
        <f>IF(B17="","",IFERROR(INDEX('01_자재목록'!$D$7:$D$106,MATCH(B17,'01_자재목록'!$B$7:$B$106,0))&amp;"","자재코드 확인"))</f>
        <v/>
      </c>
      <c r="D17" s="19" t="n"/>
      <c r="E17" s="19" t="n"/>
      <c r="F17" s="32" t="n"/>
      <c r="G17" s="32" t="n"/>
      <c r="H17" s="19" t="n"/>
      <c r="I17" s="19" t="n"/>
      <c r="J17" s="19" t="n"/>
      <c r="K17" s="33">
        <f>IF(OR(B17="",F17=""),"",IF(ISNUMBER(F17),F17-TODAY(),"날짜 확인"))</f>
        <v/>
      </c>
      <c r="L17" s="23">
        <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f>
        <v/>
      </c>
      <c r="M17" s="19" t="n"/>
      <c r="N17" s="19" t="n"/>
      <c r="O17" s="19" t="n"/>
      <c r="P17" s="27">
        <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f>
        <v/>
      </c>
    </row>
    <row r="18" ht="24" customHeight="1">
      <c r="A18" s="18" t="n">
        <v>12</v>
      </c>
      <c r="B18" s="19" t="n"/>
      <c r="C18" s="23">
        <f>IF(B18="","",IFERROR(INDEX('01_자재목록'!$D$7:$D$106,MATCH(B18,'01_자재목록'!$B$7:$B$106,0))&amp;"","자재코드 확인"))</f>
        <v/>
      </c>
      <c r="D18" s="19" t="n"/>
      <c r="E18" s="19" t="n"/>
      <c r="F18" s="32" t="n"/>
      <c r="G18" s="32" t="n"/>
      <c r="H18" s="19" t="n"/>
      <c r="I18" s="19" t="n"/>
      <c r="J18" s="19" t="n"/>
      <c r="K18" s="33">
        <f>IF(OR(B18="",F18=""),"",IF(ISNUMBER(F18),F18-TODAY(),"날짜 확인"))</f>
        <v/>
      </c>
      <c r="L18" s="23">
        <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f>
        <v/>
      </c>
      <c r="M18" s="19" t="n"/>
      <c r="N18" s="19" t="n"/>
      <c r="O18" s="19" t="n"/>
      <c r="P18" s="27">
        <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f>
        <v/>
      </c>
    </row>
    <row r="19" ht="24" customHeight="1">
      <c r="A19" s="18" t="n">
        <v>13</v>
      </c>
      <c r="B19" s="19" t="n"/>
      <c r="C19" s="23">
        <f>IF(B19="","",IFERROR(INDEX('01_자재목록'!$D$7:$D$106,MATCH(B19,'01_자재목록'!$B$7:$B$106,0))&amp;"","자재코드 확인"))</f>
        <v/>
      </c>
      <c r="D19" s="19" t="n"/>
      <c r="E19" s="19" t="n"/>
      <c r="F19" s="32" t="n"/>
      <c r="G19" s="32" t="n"/>
      <c r="H19" s="19" t="n"/>
      <c r="I19" s="19" t="n"/>
      <c r="J19" s="19" t="n"/>
      <c r="K19" s="33">
        <f>IF(OR(B19="",F19=""),"",IF(ISNUMBER(F19),F19-TODAY(),"날짜 확인"))</f>
        <v/>
      </c>
      <c r="L19" s="23">
        <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f>
        <v/>
      </c>
      <c r="M19" s="19" t="n"/>
      <c r="N19" s="19" t="n"/>
      <c r="O19" s="19" t="n"/>
      <c r="P19" s="27">
        <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f>
        <v/>
      </c>
    </row>
    <row r="20" ht="24" customHeight="1">
      <c r="A20" s="18" t="n">
        <v>14</v>
      </c>
      <c r="B20" s="19" t="n"/>
      <c r="C20" s="23">
        <f>IF(B20="","",IFERROR(INDEX('01_자재목록'!$D$7:$D$106,MATCH(B20,'01_자재목록'!$B$7:$B$106,0))&amp;"","자재코드 확인"))</f>
        <v/>
      </c>
      <c r="D20" s="19" t="n"/>
      <c r="E20" s="19" t="n"/>
      <c r="F20" s="32" t="n"/>
      <c r="G20" s="32" t="n"/>
      <c r="H20" s="19" t="n"/>
      <c r="I20" s="19" t="n"/>
      <c r="J20" s="19" t="n"/>
      <c r="K20" s="33">
        <f>IF(OR(B20="",F20=""),"",IF(ISNUMBER(F20),F20-TODAY(),"날짜 확인"))</f>
        <v/>
      </c>
      <c r="L20" s="23">
        <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f>
        <v/>
      </c>
      <c r="M20" s="19" t="n"/>
      <c r="N20" s="19" t="n"/>
      <c r="O20" s="19" t="n"/>
      <c r="P20" s="27">
        <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f>
        <v/>
      </c>
    </row>
    <row r="21" ht="24" customHeight="1">
      <c r="A21" s="18" t="n">
        <v>15</v>
      </c>
      <c r="B21" s="19" t="n"/>
      <c r="C21" s="23">
        <f>IF(B21="","",IFERROR(INDEX('01_자재목록'!$D$7:$D$106,MATCH(B21,'01_자재목록'!$B$7:$B$106,0))&amp;"","자재코드 확인"))</f>
        <v/>
      </c>
      <c r="D21" s="19" t="n"/>
      <c r="E21" s="19" t="n"/>
      <c r="F21" s="32" t="n"/>
      <c r="G21" s="32" t="n"/>
      <c r="H21" s="19" t="n"/>
      <c r="I21" s="19" t="n"/>
      <c r="J21" s="19" t="n"/>
      <c r="K21" s="33">
        <f>IF(OR(B21="",F21=""),"",IF(ISNUMBER(F21),F21-TODAY(),"날짜 확인"))</f>
        <v/>
      </c>
      <c r="L21" s="23">
        <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f>
        <v/>
      </c>
      <c r="M21" s="19" t="n"/>
      <c r="N21" s="19" t="n"/>
      <c r="O21" s="19" t="n"/>
      <c r="P21" s="27">
        <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f>
        <v/>
      </c>
    </row>
    <row r="22" ht="24" customHeight="1">
      <c r="A22" s="18" t="n">
        <v>16</v>
      </c>
      <c r="B22" s="19" t="n"/>
      <c r="C22" s="23">
        <f>IF(B22="","",IFERROR(INDEX('01_자재목록'!$D$7:$D$106,MATCH(B22,'01_자재목록'!$B$7:$B$106,0))&amp;"","자재코드 확인"))</f>
        <v/>
      </c>
      <c r="D22" s="19" t="n"/>
      <c r="E22" s="19" t="n"/>
      <c r="F22" s="32" t="n"/>
      <c r="G22" s="32" t="n"/>
      <c r="H22" s="19" t="n"/>
      <c r="I22" s="19" t="n"/>
      <c r="J22" s="19" t="n"/>
      <c r="K22" s="33">
        <f>IF(OR(B22="",F22=""),"",IF(ISNUMBER(F22),F22-TODAY(),"날짜 확인"))</f>
        <v/>
      </c>
      <c r="L22" s="23">
        <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f>
        <v/>
      </c>
      <c r="M22" s="19" t="n"/>
      <c r="N22" s="19" t="n"/>
      <c r="O22" s="19" t="n"/>
      <c r="P22" s="27">
        <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f>
        <v/>
      </c>
    </row>
    <row r="23" ht="24" customHeight="1">
      <c r="A23" s="18" t="n">
        <v>17</v>
      </c>
      <c r="B23" s="19" t="n"/>
      <c r="C23" s="23">
        <f>IF(B23="","",IFERROR(INDEX('01_자재목록'!$D$7:$D$106,MATCH(B23,'01_자재목록'!$B$7:$B$106,0))&amp;"","자재코드 확인"))</f>
        <v/>
      </c>
      <c r="D23" s="19" t="n"/>
      <c r="E23" s="19" t="n"/>
      <c r="F23" s="32" t="n"/>
      <c r="G23" s="32" t="n"/>
      <c r="H23" s="19" t="n"/>
      <c r="I23" s="19" t="n"/>
      <c r="J23" s="19" t="n"/>
      <c r="K23" s="33">
        <f>IF(OR(B23="",F23=""),"",IF(ISNUMBER(F23),F23-TODAY(),"날짜 확인"))</f>
        <v/>
      </c>
      <c r="L23" s="23">
        <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f>
        <v/>
      </c>
      <c r="M23" s="19" t="n"/>
      <c r="N23" s="19" t="n"/>
      <c r="O23" s="19" t="n"/>
      <c r="P23" s="27">
        <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f>
        <v/>
      </c>
    </row>
    <row r="24" ht="24" customHeight="1">
      <c r="A24" s="18" t="n">
        <v>18</v>
      </c>
      <c r="B24" s="19" t="n"/>
      <c r="C24" s="23">
        <f>IF(B24="","",IFERROR(INDEX('01_자재목록'!$D$7:$D$106,MATCH(B24,'01_자재목록'!$B$7:$B$106,0))&amp;"","자재코드 확인"))</f>
        <v/>
      </c>
      <c r="D24" s="19" t="n"/>
      <c r="E24" s="19" t="n"/>
      <c r="F24" s="32" t="n"/>
      <c r="G24" s="32" t="n"/>
      <c r="H24" s="19" t="n"/>
      <c r="I24" s="19" t="n"/>
      <c r="J24" s="19" t="n"/>
      <c r="K24" s="33">
        <f>IF(OR(B24="",F24=""),"",IF(ISNUMBER(F24),F24-TODAY(),"날짜 확인"))</f>
        <v/>
      </c>
      <c r="L24" s="23">
        <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f>
        <v/>
      </c>
      <c r="M24" s="19" t="n"/>
      <c r="N24" s="19" t="n"/>
      <c r="O24" s="19" t="n"/>
      <c r="P24" s="27">
        <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f>
        <v/>
      </c>
    </row>
    <row r="25" ht="24" customHeight="1">
      <c r="A25" s="18" t="n">
        <v>19</v>
      </c>
      <c r="B25" s="19" t="n"/>
      <c r="C25" s="23">
        <f>IF(B25="","",IFERROR(INDEX('01_자재목록'!$D$7:$D$106,MATCH(B25,'01_자재목록'!$B$7:$B$106,0))&amp;"","자재코드 확인"))</f>
        <v/>
      </c>
      <c r="D25" s="19" t="n"/>
      <c r="E25" s="19" t="n"/>
      <c r="F25" s="32" t="n"/>
      <c r="G25" s="32" t="n"/>
      <c r="H25" s="19" t="n"/>
      <c r="I25" s="19" t="n"/>
      <c r="J25" s="19" t="n"/>
      <c r="K25" s="33">
        <f>IF(OR(B25="",F25=""),"",IF(ISNUMBER(F25),F25-TODAY(),"날짜 확인"))</f>
        <v/>
      </c>
      <c r="L25" s="23">
        <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f>
        <v/>
      </c>
      <c r="M25" s="19" t="n"/>
      <c r="N25" s="19" t="n"/>
      <c r="O25" s="19" t="n"/>
      <c r="P25" s="27">
        <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f>
        <v/>
      </c>
    </row>
    <row r="26" ht="24" customHeight="1">
      <c r="A26" s="18" t="n">
        <v>20</v>
      </c>
      <c r="B26" s="19" t="n"/>
      <c r="C26" s="23">
        <f>IF(B26="","",IFERROR(INDEX('01_자재목록'!$D$7:$D$106,MATCH(B26,'01_자재목록'!$B$7:$B$106,0))&amp;"","자재코드 확인"))</f>
        <v/>
      </c>
      <c r="D26" s="19" t="n"/>
      <c r="E26" s="19" t="n"/>
      <c r="F26" s="32" t="n"/>
      <c r="G26" s="32" t="n"/>
      <c r="H26" s="19" t="n"/>
      <c r="I26" s="19" t="n"/>
      <c r="J26" s="19" t="n"/>
      <c r="K26" s="33">
        <f>IF(OR(B26="",F26=""),"",IF(ISNUMBER(F26),F26-TODAY(),"날짜 확인"))</f>
        <v/>
      </c>
      <c r="L26" s="23">
        <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f>
        <v/>
      </c>
      <c r="M26" s="19" t="n"/>
      <c r="N26" s="19" t="n"/>
      <c r="O26" s="19" t="n"/>
      <c r="P26" s="27">
        <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f>
        <v/>
      </c>
    </row>
    <row r="27" ht="24" customHeight="1">
      <c r="A27" s="18" t="n">
        <v>21</v>
      </c>
      <c r="B27" s="19" t="n"/>
      <c r="C27" s="23">
        <f>IF(B27="","",IFERROR(INDEX('01_자재목록'!$D$7:$D$106,MATCH(B27,'01_자재목록'!$B$7:$B$106,0))&amp;"","자재코드 확인"))</f>
        <v/>
      </c>
      <c r="D27" s="19" t="n"/>
      <c r="E27" s="19" t="n"/>
      <c r="F27" s="32" t="n"/>
      <c r="G27" s="32" t="n"/>
      <c r="H27" s="19" t="n"/>
      <c r="I27" s="19" t="n"/>
      <c r="J27" s="19" t="n"/>
      <c r="K27" s="33">
        <f>IF(OR(B27="",F27=""),"",IF(ISNUMBER(F27),F27-TODAY(),"날짜 확인"))</f>
        <v/>
      </c>
      <c r="L27" s="23">
        <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f>
        <v/>
      </c>
      <c r="M27" s="19" t="n"/>
      <c r="N27" s="19" t="n"/>
      <c r="O27" s="19" t="n"/>
      <c r="P27" s="27">
        <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f>
        <v/>
      </c>
    </row>
    <row r="28" ht="24" customHeight="1">
      <c r="A28" s="18" t="n">
        <v>22</v>
      </c>
      <c r="B28" s="19" t="n"/>
      <c r="C28" s="23">
        <f>IF(B28="","",IFERROR(INDEX('01_자재목록'!$D$7:$D$106,MATCH(B28,'01_자재목록'!$B$7:$B$106,0))&amp;"","자재코드 확인"))</f>
        <v/>
      </c>
      <c r="D28" s="19" t="n"/>
      <c r="E28" s="19" t="n"/>
      <c r="F28" s="32" t="n"/>
      <c r="G28" s="32" t="n"/>
      <c r="H28" s="19" t="n"/>
      <c r="I28" s="19" t="n"/>
      <c r="J28" s="19" t="n"/>
      <c r="K28" s="33">
        <f>IF(OR(B28="",F28=""),"",IF(ISNUMBER(F28),F28-TODAY(),"날짜 확인"))</f>
        <v/>
      </c>
      <c r="L28" s="23">
        <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f>
        <v/>
      </c>
      <c r="M28" s="19" t="n"/>
      <c r="N28" s="19" t="n"/>
      <c r="O28" s="19" t="n"/>
      <c r="P28" s="27">
        <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f>
        <v/>
      </c>
    </row>
    <row r="29" ht="24" customHeight="1">
      <c r="A29" s="18" t="n">
        <v>23</v>
      </c>
      <c r="B29" s="19" t="n"/>
      <c r="C29" s="23">
        <f>IF(B29="","",IFERROR(INDEX('01_자재목록'!$D$7:$D$106,MATCH(B29,'01_자재목록'!$B$7:$B$106,0))&amp;"","자재코드 확인"))</f>
        <v/>
      </c>
      <c r="D29" s="19" t="n"/>
      <c r="E29" s="19" t="n"/>
      <c r="F29" s="32" t="n"/>
      <c r="G29" s="32" t="n"/>
      <c r="H29" s="19" t="n"/>
      <c r="I29" s="19" t="n"/>
      <c r="J29" s="19" t="n"/>
      <c r="K29" s="33">
        <f>IF(OR(B29="",F29=""),"",IF(ISNUMBER(F29),F29-TODAY(),"날짜 확인"))</f>
        <v/>
      </c>
      <c r="L29" s="23">
        <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f>
        <v/>
      </c>
      <c r="M29" s="19" t="n"/>
      <c r="N29" s="19" t="n"/>
      <c r="O29" s="19" t="n"/>
      <c r="P29" s="27">
        <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f>
        <v/>
      </c>
    </row>
    <row r="30" ht="24" customHeight="1">
      <c r="A30" s="18" t="n">
        <v>24</v>
      </c>
      <c r="B30" s="19" t="n"/>
      <c r="C30" s="23">
        <f>IF(B30="","",IFERROR(INDEX('01_자재목록'!$D$7:$D$106,MATCH(B30,'01_자재목록'!$B$7:$B$106,0))&amp;"","자재코드 확인"))</f>
        <v/>
      </c>
      <c r="D30" s="19" t="n"/>
      <c r="E30" s="19" t="n"/>
      <c r="F30" s="32" t="n"/>
      <c r="G30" s="32" t="n"/>
      <c r="H30" s="19" t="n"/>
      <c r="I30" s="19" t="n"/>
      <c r="J30" s="19" t="n"/>
      <c r="K30" s="33">
        <f>IF(OR(B30="",F30=""),"",IF(ISNUMBER(F30),F30-TODAY(),"날짜 확인"))</f>
        <v/>
      </c>
      <c r="L30" s="23">
        <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f>
        <v/>
      </c>
      <c r="M30" s="19" t="n"/>
      <c r="N30" s="19" t="n"/>
      <c r="O30" s="19" t="n"/>
      <c r="P30" s="27">
        <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f>
        <v/>
      </c>
    </row>
    <row r="31" ht="24" customHeight="1">
      <c r="A31" s="18" t="n">
        <v>25</v>
      </c>
      <c r="B31" s="19" t="n"/>
      <c r="C31" s="23">
        <f>IF(B31="","",IFERROR(INDEX('01_자재목록'!$D$7:$D$106,MATCH(B31,'01_자재목록'!$B$7:$B$106,0))&amp;"","자재코드 확인"))</f>
        <v/>
      </c>
      <c r="D31" s="19" t="n"/>
      <c r="E31" s="19" t="n"/>
      <c r="F31" s="32" t="n"/>
      <c r="G31" s="32" t="n"/>
      <c r="H31" s="19" t="n"/>
      <c r="I31" s="19" t="n"/>
      <c r="J31" s="19" t="n"/>
      <c r="K31" s="33">
        <f>IF(OR(B31="",F31=""),"",IF(ISNUMBER(F31),F31-TODAY(),"날짜 확인"))</f>
        <v/>
      </c>
      <c r="L31" s="23">
        <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f>
        <v/>
      </c>
      <c r="M31" s="19" t="n"/>
      <c r="N31" s="19" t="n"/>
      <c r="O31" s="19" t="n"/>
      <c r="P31" s="27">
        <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f>
        <v/>
      </c>
    </row>
    <row r="32" ht="24" customHeight="1">
      <c r="A32" s="18" t="n">
        <v>26</v>
      </c>
      <c r="B32" s="19" t="n"/>
      <c r="C32" s="23">
        <f>IF(B32="","",IFERROR(INDEX('01_자재목록'!$D$7:$D$106,MATCH(B32,'01_자재목록'!$B$7:$B$106,0))&amp;"","자재코드 확인"))</f>
        <v/>
      </c>
      <c r="D32" s="19" t="n"/>
      <c r="E32" s="19" t="n"/>
      <c r="F32" s="32" t="n"/>
      <c r="G32" s="32" t="n"/>
      <c r="H32" s="19" t="n"/>
      <c r="I32" s="19" t="n"/>
      <c r="J32" s="19" t="n"/>
      <c r="K32" s="33">
        <f>IF(OR(B32="",F32=""),"",IF(ISNUMBER(F32),F32-TODAY(),"날짜 확인"))</f>
        <v/>
      </c>
      <c r="L32" s="23">
        <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f>
        <v/>
      </c>
      <c r="M32" s="19" t="n"/>
      <c r="N32" s="19" t="n"/>
      <c r="O32" s="19" t="n"/>
      <c r="P32" s="27">
        <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f>
        <v/>
      </c>
    </row>
    <row r="33" ht="24" customHeight="1">
      <c r="A33" s="18" t="n">
        <v>27</v>
      </c>
      <c r="B33" s="19" t="n"/>
      <c r="C33" s="23">
        <f>IF(B33="","",IFERROR(INDEX('01_자재목록'!$D$7:$D$106,MATCH(B33,'01_자재목록'!$B$7:$B$106,0))&amp;"","자재코드 확인"))</f>
        <v/>
      </c>
      <c r="D33" s="19" t="n"/>
      <c r="E33" s="19" t="n"/>
      <c r="F33" s="32" t="n"/>
      <c r="G33" s="32" t="n"/>
      <c r="H33" s="19" t="n"/>
      <c r="I33" s="19" t="n"/>
      <c r="J33" s="19" t="n"/>
      <c r="K33" s="33">
        <f>IF(OR(B33="",F33=""),"",IF(ISNUMBER(F33),F33-TODAY(),"날짜 확인"))</f>
        <v/>
      </c>
      <c r="L33" s="23">
        <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f>
        <v/>
      </c>
      <c r="M33" s="19" t="n"/>
      <c r="N33" s="19" t="n"/>
      <c r="O33" s="19" t="n"/>
      <c r="P33" s="27">
        <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f>
        <v/>
      </c>
    </row>
    <row r="34" ht="24" customHeight="1">
      <c r="A34" s="18" t="n">
        <v>28</v>
      </c>
      <c r="B34" s="19" t="n"/>
      <c r="C34" s="23">
        <f>IF(B34="","",IFERROR(INDEX('01_자재목록'!$D$7:$D$106,MATCH(B34,'01_자재목록'!$B$7:$B$106,0))&amp;"","자재코드 확인"))</f>
        <v/>
      </c>
      <c r="D34" s="19" t="n"/>
      <c r="E34" s="19" t="n"/>
      <c r="F34" s="32" t="n"/>
      <c r="G34" s="32" t="n"/>
      <c r="H34" s="19" t="n"/>
      <c r="I34" s="19" t="n"/>
      <c r="J34" s="19" t="n"/>
      <c r="K34" s="33">
        <f>IF(OR(B34="",F34=""),"",IF(ISNUMBER(F34),F34-TODAY(),"날짜 확인"))</f>
        <v/>
      </c>
      <c r="L34" s="23">
        <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f>
        <v/>
      </c>
      <c r="M34" s="19" t="n"/>
      <c r="N34" s="19" t="n"/>
      <c r="O34" s="19" t="n"/>
      <c r="P34" s="27">
        <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f>
        <v/>
      </c>
    </row>
    <row r="35" ht="24" customHeight="1">
      <c r="A35" s="18" t="n">
        <v>29</v>
      </c>
      <c r="B35" s="19" t="n"/>
      <c r="C35" s="23">
        <f>IF(B35="","",IFERROR(INDEX('01_자재목록'!$D$7:$D$106,MATCH(B35,'01_자재목록'!$B$7:$B$106,0))&amp;"","자재코드 확인"))</f>
        <v/>
      </c>
      <c r="D35" s="19" t="n"/>
      <c r="E35" s="19" t="n"/>
      <c r="F35" s="32" t="n"/>
      <c r="G35" s="32" t="n"/>
      <c r="H35" s="19" t="n"/>
      <c r="I35" s="19" t="n"/>
      <c r="J35" s="19" t="n"/>
      <c r="K35" s="33">
        <f>IF(OR(B35="",F35=""),"",IF(ISNUMBER(F35),F35-TODAY(),"날짜 확인"))</f>
        <v/>
      </c>
      <c r="L35" s="23">
        <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f>
        <v/>
      </c>
      <c r="M35" s="19" t="n"/>
      <c r="N35" s="19" t="n"/>
      <c r="O35" s="19" t="n"/>
      <c r="P35" s="27">
        <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f>
        <v/>
      </c>
    </row>
    <row r="36" ht="24" customHeight="1">
      <c r="A36" s="18" t="n">
        <v>30</v>
      </c>
      <c r="B36" s="19" t="n"/>
      <c r="C36" s="23">
        <f>IF(B36="","",IFERROR(INDEX('01_자재목록'!$D$7:$D$106,MATCH(B36,'01_자재목록'!$B$7:$B$106,0))&amp;"","자재코드 확인"))</f>
        <v/>
      </c>
      <c r="D36" s="19" t="n"/>
      <c r="E36" s="19" t="n"/>
      <c r="F36" s="32" t="n"/>
      <c r="G36" s="32" t="n"/>
      <c r="H36" s="19" t="n"/>
      <c r="I36" s="19" t="n"/>
      <c r="J36" s="19" t="n"/>
      <c r="K36" s="33">
        <f>IF(OR(B36="",F36=""),"",IF(ISNUMBER(F36),F36-TODAY(),"날짜 확인"))</f>
        <v/>
      </c>
      <c r="L36" s="23">
        <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f>
        <v/>
      </c>
      <c r="M36" s="19" t="n"/>
      <c r="N36" s="19" t="n"/>
      <c r="O36" s="19" t="n"/>
      <c r="P36" s="27">
        <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f>
        <v/>
      </c>
    </row>
    <row r="37" ht="24" customHeight="1">
      <c r="A37" s="18" t="n">
        <v>31</v>
      </c>
      <c r="B37" s="19" t="n"/>
      <c r="C37" s="23">
        <f>IF(B37="","",IFERROR(INDEX('01_자재목록'!$D$7:$D$106,MATCH(B37,'01_자재목록'!$B$7:$B$106,0))&amp;"","자재코드 확인"))</f>
        <v/>
      </c>
      <c r="D37" s="19" t="n"/>
      <c r="E37" s="19" t="n"/>
      <c r="F37" s="32" t="n"/>
      <c r="G37" s="32" t="n"/>
      <c r="H37" s="19" t="n"/>
      <c r="I37" s="19" t="n"/>
      <c r="J37" s="19" t="n"/>
      <c r="K37" s="33">
        <f>IF(OR(B37="",F37=""),"",IF(ISNUMBER(F37),F37-TODAY(),"날짜 확인"))</f>
        <v/>
      </c>
      <c r="L37" s="23">
        <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f>
        <v/>
      </c>
      <c r="M37" s="19" t="n"/>
      <c r="N37" s="19" t="n"/>
      <c r="O37" s="19" t="n"/>
      <c r="P37" s="27">
        <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f>
        <v/>
      </c>
    </row>
    <row r="38" ht="24" customHeight="1">
      <c r="A38" s="18" t="n">
        <v>32</v>
      </c>
      <c r="B38" s="19" t="n"/>
      <c r="C38" s="23">
        <f>IF(B38="","",IFERROR(INDEX('01_자재목록'!$D$7:$D$106,MATCH(B38,'01_자재목록'!$B$7:$B$106,0))&amp;"","자재코드 확인"))</f>
        <v/>
      </c>
      <c r="D38" s="19" t="n"/>
      <c r="E38" s="19" t="n"/>
      <c r="F38" s="32" t="n"/>
      <c r="G38" s="32" t="n"/>
      <c r="H38" s="19" t="n"/>
      <c r="I38" s="19" t="n"/>
      <c r="J38" s="19" t="n"/>
      <c r="K38" s="33">
        <f>IF(OR(B38="",F38=""),"",IF(ISNUMBER(F38),F38-TODAY(),"날짜 확인"))</f>
        <v/>
      </c>
      <c r="L38" s="23">
        <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f>
        <v/>
      </c>
      <c r="M38" s="19" t="n"/>
      <c r="N38" s="19" t="n"/>
      <c r="O38" s="19" t="n"/>
      <c r="P38" s="27">
        <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f>
        <v/>
      </c>
    </row>
    <row r="39" ht="24" customHeight="1">
      <c r="A39" s="18" t="n">
        <v>33</v>
      </c>
      <c r="B39" s="19" t="n"/>
      <c r="C39" s="23">
        <f>IF(B39="","",IFERROR(INDEX('01_자재목록'!$D$7:$D$106,MATCH(B39,'01_자재목록'!$B$7:$B$106,0))&amp;"","자재코드 확인"))</f>
        <v/>
      </c>
      <c r="D39" s="19" t="n"/>
      <c r="E39" s="19" t="n"/>
      <c r="F39" s="32" t="n"/>
      <c r="G39" s="32" t="n"/>
      <c r="H39" s="19" t="n"/>
      <c r="I39" s="19" t="n"/>
      <c r="J39" s="19" t="n"/>
      <c r="K39" s="33">
        <f>IF(OR(B39="",F39=""),"",IF(ISNUMBER(F39),F39-TODAY(),"날짜 확인"))</f>
        <v/>
      </c>
      <c r="L39" s="23">
        <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f>
        <v/>
      </c>
      <c r="M39" s="19" t="n"/>
      <c r="N39" s="19" t="n"/>
      <c r="O39" s="19" t="n"/>
      <c r="P39" s="27">
        <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f>
        <v/>
      </c>
    </row>
    <row r="40" ht="24" customHeight="1">
      <c r="A40" s="18" t="n">
        <v>34</v>
      </c>
      <c r="B40" s="19" t="n"/>
      <c r="C40" s="23">
        <f>IF(B40="","",IFERROR(INDEX('01_자재목록'!$D$7:$D$106,MATCH(B40,'01_자재목록'!$B$7:$B$106,0))&amp;"","자재코드 확인"))</f>
        <v/>
      </c>
      <c r="D40" s="19" t="n"/>
      <c r="E40" s="19" t="n"/>
      <c r="F40" s="32" t="n"/>
      <c r="G40" s="32" t="n"/>
      <c r="H40" s="19" t="n"/>
      <c r="I40" s="19" t="n"/>
      <c r="J40" s="19" t="n"/>
      <c r="K40" s="33">
        <f>IF(OR(B40="",F40=""),"",IF(ISNUMBER(F40),F40-TODAY(),"날짜 확인"))</f>
        <v/>
      </c>
      <c r="L40" s="23">
        <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f>
        <v/>
      </c>
      <c r="M40" s="19" t="n"/>
      <c r="N40" s="19" t="n"/>
      <c r="O40" s="19" t="n"/>
      <c r="P40" s="27">
        <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f>
        <v/>
      </c>
    </row>
    <row r="41" ht="24" customHeight="1">
      <c r="A41" s="18" t="n">
        <v>35</v>
      </c>
      <c r="B41" s="19" t="n"/>
      <c r="C41" s="23">
        <f>IF(B41="","",IFERROR(INDEX('01_자재목록'!$D$7:$D$106,MATCH(B41,'01_자재목록'!$B$7:$B$106,0))&amp;"","자재코드 확인"))</f>
        <v/>
      </c>
      <c r="D41" s="19" t="n"/>
      <c r="E41" s="19" t="n"/>
      <c r="F41" s="32" t="n"/>
      <c r="G41" s="32" t="n"/>
      <c r="H41" s="19" t="n"/>
      <c r="I41" s="19" t="n"/>
      <c r="J41" s="19" t="n"/>
      <c r="K41" s="33">
        <f>IF(OR(B41="",F41=""),"",IF(ISNUMBER(F41),F41-TODAY(),"날짜 확인"))</f>
        <v/>
      </c>
      <c r="L41" s="23">
        <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f>
        <v/>
      </c>
      <c r="M41" s="19" t="n"/>
      <c r="N41" s="19" t="n"/>
      <c r="O41" s="19" t="n"/>
      <c r="P41" s="27">
        <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f>
        <v/>
      </c>
    </row>
    <row r="42" ht="24" customHeight="1">
      <c r="A42" s="18" t="n">
        <v>36</v>
      </c>
      <c r="B42" s="19" t="n"/>
      <c r="C42" s="23">
        <f>IF(B42="","",IFERROR(INDEX('01_자재목록'!$D$7:$D$106,MATCH(B42,'01_자재목록'!$B$7:$B$106,0))&amp;"","자재코드 확인"))</f>
        <v/>
      </c>
      <c r="D42" s="19" t="n"/>
      <c r="E42" s="19" t="n"/>
      <c r="F42" s="32" t="n"/>
      <c r="G42" s="32" t="n"/>
      <c r="H42" s="19" t="n"/>
      <c r="I42" s="19" t="n"/>
      <c r="J42" s="19" t="n"/>
      <c r="K42" s="33">
        <f>IF(OR(B42="",F42=""),"",IF(ISNUMBER(F42),F42-TODAY(),"날짜 확인"))</f>
        <v/>
      </c>
      <c r="L42" s="23">
        <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f>
        <v/>
      </c>
      <c r="M42" s="19" t="n"/>
      <c r="N42" s="19" t="n"/>
      <c r="O42" s="19" t="n"/>
      <c r="P42" s="27">
        <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f>
        <v/>
      </c>
    </row>
    <row r="43" ht="24" customHeight="1">
      <c r="A43" s="18" t="n">
        <v>37</v>
      </c>
      <c r="B43" s="19" t="n"/>
      <c r="C43" s="23">
        <f>IF(B43="","",IFERROR(INDEX('01_자재목록'!$D$7:$D$106,MATCH(B43,'01_자재목록'!$B$7:$B$106,0))&amp;"","자재코드 확인"))</f>
        <v/>
      </c>
      <c r="D43" s="19" t="n"/>
      <c r="E43" s="19" t="n"/>
      <c r="F43" s="32" t="n"/>
      <c r="G43" s="32" t="n"/>
      <c r="H43" s="19" t="n"/>
      <c r="I43" s="19" t="n"/>
      <c r="J43" s="19" t="n"/>
      <c r="K43" s="33">
        <f>IF(OR(B43="",F43=""),"",IF(ISNUMBER(F43),F43-TODAY(),"날짜 확인"))</f>
        <v/>
      </c>
      <c r="L43" s="23">
        <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f>
        <v/>
      </c>
      <c r="M43" s="19" t="n"/>
      <c r="N43" s="19" t="n"/>
      <c r="O43" s="19" t="n"/>
      <c r="P43" s="27">
        <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f>
        <v/>
      </c>
    </row>
    <row r="44" ht="24" customHeight="1">
      <c r="A44" s="18" t="n">
        <v>38</v>
      </c>
      <c r="B44" s="19" t="n"/>
      <c r="C44" s="23">
        <f>IF(B44="","",IFERROR(INDEX('01_자재목록'!$D$7:$D$106,MATCH(B44,'01_자재목록'!$B$7:$B$106,0))&amp;"","자재코드 확인"))</f>
        <v/>
      </c>
      <c r="D44" s="19" t="n"/>
      <c r="E44" s="19" t="n"/>
      <c r="F44" s="32" t="n"/>
      <c r="G44" s="32" t="n"/>
      <c r="H44" s="19" t="n"/>
      <c r="I44" s="19" t="n"/>
      <c r="J44" s="19" t="n"/>
      <c r="K44" s="33">
        <f>IF(OR(B44="",F44=""),"",IF(ISNUMBER(F44),F44-TODAY(),"날짜 확인"))</f>
        <v/>
      </c>
      <c r="L44" s="23">
        <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f>
        <v/>
      </c>
      <c r="M44" s="19" t="n"/>
      <c r="N44" s="19" t="n"/>
      <c r="O44" s="19" t="n"/>
      <c r="P44" s="27">
        <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f>
        <v/>
      </c>
    </row>
    <row r="45" ht="24" customHeight="1">
      <c r="A45" s="18" t="n">
        <v>39</v>
      </c>
      <c r="B45" s="19" t="n"/>
      <c r="C45" s="23">
        <f>IF(B45="","",IFERROR(INDEX('01_자재목록'!$D$7:$D$106,MATCH(B45,'01_자재목록'!$B$7:$B$106,0))&amp;"","자재코드 확인"))</f>
        <v/>
      </c>
      <c r="D45" s="19" t="n"/>
      <c r="E45" s="19" t="n"/>
      <c r="F45" s="32" t="n"/>
      <c r="G45" s="32" t="n"/>
      <c r="H45" s="19" t="n"/>
      <c r="I45" s="19" t="n"/>
      <c r="J45" s="19" t="n"/>
      <c r="K45" s="33">
        <f>IF(OR(B45="",F45=""),"",IF(ISNUMBER(F45),F45-TODAY(),"날짜 확인"))</f>
        <v/>
      </c>
      <c r="L45" s="23">
        <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f>
        <v/>
      </c>
      <c r="M45" s="19" t="n"/>
      <c r="N45" s="19" t="n"/>
      <c r="O45" s="19" t="n"/>
      <c r="P45" s="27">
        <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f>
        <v/>
      </c>
    </row>
    <row r="46" ht="24" customHeight="1">
      <c r="A46" s="18" t="n">
        <v>40</v>
      </c>
      <c r="B46" s="19" t="n"/>
      <c r="C46" s="23">
        <f>IF(B46="","",IFERROR(INDEX('01_자재목록'!$D$7:$D$106,MATCH(B46,'01_자재목록'!$B$7:$B$106,0))&amp;"","자재코드 확인"))</f>
        <v/>
      </c>
      <c r="D46" s="19" t="n"/>
      <c r="E46" s="19" t="n"/>
      <c r="F46" s="32" t="n"/>
      <c r="G46" s="32" t="n"/>
      <c r="H46" s="19" t="n"/>
      <c r="I46" s="19" t="n"/>
      <c r="J46" s="19" t="n"/>
      <c r="K46" s="33">
        <f>IF(OR(B46="",F46=""),"",IF(ISNUMBER(F46),F46-TODAY(),"날짜 확인"))</f>
        <v/>
      </c>
      <c r="L46" s="23">
        <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f>
        <v/>
      </c>
      <c r="M46" s="19" t="n"/>
      <c r="N46" s="19" t="n"/>
      <c r="O46" s="19" t="n"/>
      <c r="P46" s="27">
        <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f>
        <v/>
      </c>
    </row>
    <row r="47" ht="24" customHeight="1">
      <c r="A47" s="18" t="n">
        <v>41</v>
      </c>
      <c r="B47" s="19" t="n"/>
      <c r="C47" s="23">
        <f>IF(B47="","",IFERROR(INDEX('01_자재목록'!$D$7:$D$106,MATCH(B47,'01_자재목록'!$B$7:$B$106,0))&amp;"","자재코드 확인"))</f>
        <v/>
      </c>
      <c r="D47" s="19" t="n"/>
      <c r="E47" s="19" t="n"/>
      <c r="F47" s="32" t="n"/>
      <c r="G47" s="32" t="n"/>
      <c r="H47" s="19" t="n"/>
      <c r="I47" s="19" t="n"/>
      <c r="J47" s="19" t="n"/>
      <c r="K47" s="33">
        <f>IF(OR(B47="",F47=""),"",IF(ISNUMBER(F47),F47-TODAY(),"날짜 확인"))</f>
        <v/>
      </c>
      <c r="L47" s="23">
        <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f>
        <v/>
      </c>
      <c r="M47" s="19" t="n"/>
      <c r="N47" s="19" t="n"/>
      <c r="O47" s="19" t="n"/>
      <c r="P47" s="27">
        <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f>
        <v/>
      </c>
    </row>
    <row r="48" ht="24" customHeight="1">
      <c r="A48" s="18" t="n">
        <v>42</v>
      </c>
      <c r="B48" s="19" t="n"/>
      <c r="C48" s="23">
        <f>IF(B48="","",IFERROR(INDEX('01_자재목록'!$D$7:$D$106,MATCH(B48,'01_자재목록'!$B$7:$B$106,0))&amp;"","자재코드 확인"))</f>
        <v/>
      </c>
      <c r="D48" s="19" t="n"/>
      <c r="E48" s="19" t="n"/>
      <c r="F48" s="32" t="n"/>
      <c r="G48" s="32" t="n"/>
      <c r="H48" s="19" t="n"/>
      <c r="I48" s="19" t="n"/>
      <c r="J48" s="19" t="n"/>
      <c r="K48" s="33">
        <f>IF(OR(B48="",F48=""),"",IF(ISNUMBER(F48),F48-TODAY(),"날짜 확인"))</f>
        <v/>
      </c>
      <c r="L48" s="23">
        <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f>
        <v/>
      </c>
      <c r="M48" s="19" t="n"/>
      <c r="N48" s="19" t="n"/>
      <c r="O48" s="19" t="n"/>
      <c r="P48" s="27">
        <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f>
        <v/>
      </c>
    </row>
    <row r="49" ht="24" customHeight="1">
      <c r="A49" s="18" t="n">
        <v>43</v>
      </c>
      <c r="B49" s="19" t="n"/>
      <c r="C49" s="23">
        <f>IF(B49="","",IFERROR(INDEX('01_자재목록'!$D$7:$D$106,MATCH(B49,'01_자재목록'!$B$7:$B$106,0))&amp;"","자재코드 확인"))</f>
        <v/>
      </c>
      <c r="D49" s="19" t="n"/>
      <c r="E49" s="19" t="n"/>
      <c r="F49" s="32" t="n"/>
      <c r="G49" s="32" t="n"/>
      <c r="H49" s="19" t="n"/>
      <c r="I49" s="19" t="n"/>
      <c r="J49" s="19" t="n"/>
      <c r="K49" s="33">
        <f>IF(OR(B49="",F49=""),"",IF(ISNUMBER(F49),F49-TODAY(),"날짜 확인"))</f>
        <v/>
      </c>
      <c r="L49" s="23">
        <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f>
        <v/>
      </c>
      <c r="M49" s="19" t="n"/>
      <c r="N49" s="19" t="n"/>
      <c r="O49" s="19" t="n"/>
      <c r="P49" s="27">
        <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f>
        <v/>
      </c>
    </row>
    <row r="50" ht="24" customHeight="1">
      <c r="A50" s="18" t="n">
        <v>44</v>
      </c>
      <c r="B50" s="19" t="n"/>
      <c r="C50" s="23">
        <f>IF(B50="","",IFERROR(INDEX('01_자재목록'!$D$7:$D$106,MATCH(B50,'01_자재목록'!$B$7:$B$106,0))&amp;"","자재코드 확인"))</f>
        <v/>
      </c>
      <c r="D50" s="19" t="n"/>
      <c r="E50" s="19" t="n"/>
      <c r="F50" s="32" t="n"/>
      <c r="G50" s="32" t="n"/>
      <c r="H50" s="19" t="n"/>
      <c r="I50" s="19" t="n"/>
      <c r="J50" s="19" t="n"/>
      <c r="K50" s="33">
        <f>IF(OR(B50="",F50=""),"",IF(ISNUMBER(F50),F50-TODAY(),"날짜 확인"))</f>
        <v/>
      </c>
      <c r="L50" s="23">
        <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f>
        <v/>
      </c>
      <c r="M50" s="19" t="n"/>
      <c r="N50" s="19" t="n"/>
      <c r="O50" s="19" t="n"/>
      <c r="P50" s="27">
        <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f>
        <v/>
      </c>
    </row>
    <row r="51" ht="24" customHeight="1">
      <c r="A51" s="18" t="n">
        <v>45</v>
      </c>
      <c r="B51" s="19" t="n"/>
      <c r="C51" s="23">
        <f>IF(B51="","",IFERROR(INDEX('01_자재목록'!$D$7:$D$106,MATCH(B51,'01_자재목록'!$B$7:$B$106,0))&amp;"","자재코드 확인"))</f>
        <v/>
      </c>
      <c r="D51" s="19" t="n"/>
      <c r="E51" s="19" t="n"/>
      <c r="F51" s="32" t="n"/>
      <c r="G51" s="32" t="n"/>
      <c r="H51" s="19" t="n"/>
      <c r="I51" s="19" t="n"/>
      <c r="J51" s="19" t="n"/>
      <c r="K51" s="33">
        <f>IF(OR(B51="",F51=""),"",IF(ISNUMBER(F51),F51-TODAY(),"날짜 확인"))</f>
        <v/>
      </c>
      <c r="L51" s="23">
        <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f>
        <v/>
      </c>
      <c r="M51" s="19" t="n"/>
      <c r="N51" s="19" t="n"/>
      <c r="O51" s="19" t="n"/>
      <c r="P51" s="27">
        <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f>
        <v/>
      </c>
    </row>
    <row r="52" ht="24" customHeight="1">
      <c r="A52" s="18" t="n">
        <v>46</v>
      </c>
      <c r="B52" s="19" t="n"/>
      <c r="C52" s="23">
        <f>IF(B52="","",IFERROR(INDEX('01_자재목록'!$D$7:$D$106,MATCH(B52,'01_자재목록'!$B$7:$B$106,0))&amp;"","자재코드 확인"))</f>
        <v/>
      </c>
      <c r="D52" s="19" t="n"/>
      <c r="E52" s="19" t="n"/>
      <c r="F52" s="32" t="n"/>
      <c r="G52" s="32" t="n"/>
      <c r="H52" s="19" t="n"/>
      <c r="I52" s="19" t="n"/>
      <c r="J52" s="19" t="n"/>
      <c r="K52" s="33">
        <f>IF(OR(B52="",F52=""),"",IF(ISNUMBER(F52),F52-TODAY(),"날짜 확인"))</f>
        <v/>
      </c>
      <c r="L52" s="23">
        <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f>
        <v/>
      </c>
      <c r="M52" s="19" t="n"/>
      <c r="N52" s="19" t="n"/>
      <c r="O52" s="19" t="n"/>
      <c r="P52" s="27">
        <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f>
        <v/>
      </c>
    </row>
    <row r="53" ht="24" customHeight="1">
      <c r="A53" s="18" t="n">
        <v>47</v>
      </c>
      <c r="B53" s="19" t="n"/>
      <c r="C53" s="23">
        <f>IF(B53="","",IFERROR(INDEX('01_자재목록'!$D$7:$D$106,MATCH(B53,'01_자재목록'!$B$7:$B$106,0))&amp;"","자재코드 확인"))</f>
        <v/>
      </c>
      <c r="D53" s="19" t="n"/>
      <c r="E53" s="19" t="n"/>
      <c r="F53" s="32" t="n"/>
      <c r="G53" s="32" t="n"/>
      <c r="H53" s="19" t="n"/>
      <c r="I53" s="19" t="n"/>
      <c r="J53" s="19" t="n"/>
      <c r="K53" s="33">
        <f>IF(OR(B53="",F53=""),"",IF(ISNUMBER(F53),F53-TODAY(),"날짜 확인"))</f>
        <v/>
      </c>
      <c r="L53" s="23">
        <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f>
        <v/>
      </c>
      <c r="M53" s="19" t="n"/>
      <c r="N53" s="19" t="n"/>
      <c r="O53" s="19" t="n"/>
      <c r="P53" s="27">
        <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f>
        <v/>
      </c>
    </row>
    <row r="54" ht="24" customHeight="1">
      <c r="A54" s="18" t="n">
        <v>48</v>
      </c>
      <c r="B54" s="19" t="n"/>
      <c r="C54" s="23">
        <f>IF(B54="","",IFERROR(INDEX('01_자재목록'!$D$7:$D$106,MATCH(B54,'01_자재목록'!$B$7:$B$106,0))&amp;"","자재코드 확인"))</f>
        <v/>
      </c>
      <c r="D54" s="19" t="n"/>
      <c r="E54" s="19" t="n"/>
      <c r="F54" s="32" t="n"/>
      <c r="G54" s="32" t="n"/>
      <c r="H54" s="19" t="n"/>
      <c r="I54" s="19" t="n"/>
      <c r="J54" s="19" t="n"/>
      <c r="K54" s="33">
        <f>IF(OR(B54="",F54=""),"",IF(ISNUMBER(F54),F54-TODAY(),"날짜 확인"))</f>
        <v/>
      </c>
      <c r="L54" s="23">
        <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f>
        <v/>
      </c>
      <c r="M54" s="19" t="n"/>
      <c r="N54" s="19" t="n"/>
      <c r="O54" s="19" t="n"/>
      <c r="P54" s="27">
        <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f>
        <v/>
      </c>
    </row>
    <row r="55" ht="24" customHeight="1">
      <c r="A55" s="18" t="n">
        <v>49</v>
      </c>
      <c r="B55" s="19" t="n"/>
      <c r="C55" s="23">
        <f>IF(B55="","",IFERROR(INDEX('01_자재목록'!$D$7:$D$106,MATCH(B55,'01_자재목록'!$B$7:$B$106,0))&amp;"","자재코드 확인"))</f>
        <v/>
      </c>
      <c r="D55" s="19" t="n"/>
      <c r="E55" s="19" t="n"/>
      <c r="F55" s="32" t="n"/>
      <c r="G55" s="32" t="n"/>
      <c r="H55" s="19" t="n"/>
      <c r="I55" s="19" t="n"/>
      <c r="J55" s="19" t="n"/>
      <c r="K55" s="33">
        <f>IF(OR(B55="",F55=""),"",IF(ISNUMBER(F55),F55-TODAY(),"날짜 확인"))</f>
        <v/>
      </c>
      <c r="L55" s="23">
        <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f>
        <v/>
      </c>
      <c r="M55" s="19" t="n"/>
      <c r="N55" s="19" t="n"/>
      <c r="O55" s="19" t="n"/>
      <c r="P55" s="27">
        <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f>
        <v/>
      </c>
    </row>
    <row r="56" ht="24" customHeight="1">
      <c r="A56" s="18" t="n">
        <v>50</v>
      </c>
      <c r="B56" s="19" t="n"/>
      <c r="C56" s="23">
        <f>IF(B56="","",IFERROR(INDEX('01_자재목록'!$D$7:$D$106,MATCH(B56,'01_자재목록'!$B$7:$B$106,0))&amp;"","자재코드 확인"))</f>
        <v/>
      </c>
      <c r="D56" s="19" t="n"/>
      <c r="E56" s="19" t="n"/>
      <c r="F56" s="32" t="n"/>
      <c r="G56" s="32" t="n"/>
      <c r="H56" s="19" t="n"/>
      <c r="I56" s="19" t="n"/>
      <c r="J56" s="19" t="n"/>
      <c r="K56" s="33">
        <f>IF(OR(B56="",F56=""),"",IF(ISNUMBER(F56),F56-TODAY(),"날짜 확인"))</f>
        <v/>
      </c>
      <c r="L56" s="23">
        <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f>
        <v/>
      </c>
      <c r="M56" s="19" t="n"/>
      <c r="N56" s="19" t="n"/>
      <c r="O56" s="19" t="n"/>
      <c r="P56" s="27">
        <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f>
        <v/>
      </c>
    </row>
    <row r="57" ht="24" customHeight="1">
      <c r="A57" s="18" t="n">
        <v>51</v>
      </c>
      <c r="B57" s="19" t="n"/>
      <c r="C57" s="23">
        <f>IF(B57="","",IFERROR(INDEX('01_자재목록'!$D$7:$D$106,MATCH(B57,'01_자재목록'!$B$7:$B$106,0))&amp;"","자재코드 확인"))</f>
        <v/>
      </c>
      <c r="D57" s="19" t="n"/>
      <c r="E57" s="19" t="n"/>
      <c r="F57" s="32" t="n"/>
      <c r="G57" s="32" t="n"/>
      <c r="H57" s="19" t="n"/>
      <c r="I57" s="19" t="n"/>
      <c r="J57" s="19" t="n"/>
      <c r="K57" s="33">
        <f>IF(OR(B57="",F57=""),"",IF(ISNUMBER(F57),F57-TODAY(),"날짜 확인"))</f>
        <v/>
      </c>
      <c r="L57" s="23">
        <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f>
        <v/>
      </c>
      <c r="M57" s="19" t="n"/>
      <c r="N57" s="19" t="n"/>
      <c r="O57" s="19" t="n"/>
      <c r="P57" s="27">
        <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f>
        <v/>
      </c>
    </row>
    <row r="58" ht="24" customHeight="1">
      <c r="A58" s="18" t="n">
        <v>52</v>
      </c>
      <c r="B58" s="19" t="n"/>
      <c r="C58" s="23">
        <f>IF(B58="","",IFERROR(INDEX('01_자재목록'!$D$7:$D$106,MATCH(B58,'01_자재목록'!$B$7:$B$106,0))&amp;"","자재코드 확인"))</f>
        <v/>
      </c>
      <c r="D58" s="19" t="n"/>
      <c r="E58" s="19" t="n"/>
      <c r="F58" s="32" t="n"/>
      <c r="G58" s="32" t="n"/>
      <c r="H58" s="19" t="n"/>
      <c r="I58" s="19" t="n"/>
      <c r="J58" s="19" t="n"/>
      <c r="K58" s="33">
        <f>IF(OR(B58="",F58=""),"",IF(ISNUMBER(F58),F58-TODAY(),"날짜 확인"))</f>
        <v/>
      </c>
      <c r="L58" s="23">
        <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f>
        <v/>
      </c>
      <c r="M58" s="19" t="n"/>
      <c r="N58" s="19" t="n"/>
      <c r="O58" s="19" t="n"/>
      <c r="P58" s="27">
        <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f>
        <v/>
      </c>
    </row>
    <row r="59" ht="24" customHeight="1">
      <c r="A59" s="18" t="n">
        <v>53</v>
      </c>
      <c r="B59" s="19" t="n"/>
      <c r="C59" s="23">
        <f>IF(B59="","",IFERROR(INDEX('01_자재목록'!$D$7:$D$106,MATCH(B59,'01_자재목록'!$B$7:$B$106,0))&amp;"","자재코드 확인"))</f>
        <v/>
      </c>
      <c r="D59" s="19" t="n"/>
      <c r="E59" s="19" t="n"/>
      <c r="F59" s="32" t="n"/>
      <c r="G59" s="32" t="n"/>
      <c r="H59" s="19" t="n"/>
      <c r="I59" s="19" t="n"/>
      <c r="J59" s="19" t="n"/>
      <c r="K59" s="33">
        <f>IF(OR(B59="",F59=""),"",IF(ISNUMBER(F59),F59-TODAY(),"날짜 확인"))</f>
        <v/>
      </c>
      <c r="L59" s="23">
        <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f>
        <v/>
      </c>
      <c r="M59" s="19" t="n"/>
      <c r="N59" s="19" t="n"/>
      <c r="O59" s="19" t="n"/>
      <c r="P59" s="27">
        <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f>
        <v/>
      </c>
    </row>
    <row r="60" ht="24" customHeight="1">
      <c r="A60" s="18" t="n">
        <v>54</v>
      </c>
      <c r="B60" s="19" t="n"/>
      <c r="C60" s="23">
        <f>IF(B60="","",IFERROR(INDEX('01_자재목록'!$D$7:$D$106,MATCH(B60,'01_자재목록'!$B$7:$B$106,0))&amp;"","자재코드 확인"))</f>
        <v/>
      </c>
      <c r="D60" s="19" t="n"/>
      <c r="E60" s="19" t="n"/>
      <c r="F60" s="32" t="n"/>
      <c r="G60" s="32" t="n"/>
      <c r="H60" s="19" t="n"/>
      <c r="I60" s="19" t="n"/>
      <c r="J60" s="19" t="n"/>
      <c r="K60" s="33">
        <f>IF(OR(B60="",F60=""),"",IF(ISNUMBER(F60),F60-TODAY(),"날짜 확인"))</f>
        <v/>
      </c>
      <c r="L60" s="23">
        <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f>
        <v/>
      </c>
      <c r="M60" s="19" t="n"/>
      <c r="N60" s="19" t="n"/>
      <c r="O60" s="19" t="n"/>
      <c r="P60" s="27">
        <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f>
        <v/>
      </c>
    </row>
    <row r="61" ht="24" customHeight="1">
      <c r="A61" s="18" t="n">
        <v>55</v>
      </c>
      <c r="B61" s="19" t="n"/>
      <c r="C61" s="23">
        <f>IF(B61="","",IFERROR(INDEX('01_자재목록'!$D$7:$D$106,MATCH(B61,'01_자재목록'!$B$7:$B$106,0))&amp;"","자재코드 확인"))</f>
        <v/>
      </c>
      <c r="D61" s="19" t="n"/>
      <c r="E61" s="19" t="n"/>
      <c r="F61" s="32" t="n"/>
      <c r="G61" s="32" t="n"/>
      <c r="H61" s="19" t="n"/>
      <c r="I61" s="19" t="n"/>
      <c r="J61" s="19" t="n"/>
      <c r="K61" s="33">
        <f>IF(OR(B61="",F61=""),"",IF(ISNUMBER(F61),F61-TODAY(),"날짜 확인"))</f>
        <v/>
      </c>
      <c r="L61" s="23">
        <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f>
        <v/>
      </c>
      <c r="M61" s="19" t="n"/>
      <c r="N61" s="19" t="n"/>
      <c r="O61" s="19" t="n"/>
      <c r="P61" s="27">
        <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f>
        <v/>
      </c>
    </row>
    <row r="62" ht="24" customHeight="1">
      <c r="A62" s="18" t="n">
        <v>56</v>
      </c>
      <c r="B62" s="19" t="n"/>
      <c r="C62" s="23">
        <f>IF(B62="","",IFERROR(INDEX('01_자재목록'!$D$7:$D$106,MATCH(B62,'01_자재목록'!$B$7:$B$106,0))&amp;"","자재코드 확인"))</f>
        <v/>
      </c>
      <c r="D62" s="19" t="n"/>
      <c r="E62" s="19" t="n"/>
      <c r="F62" s="32" t="n"/>
      <c r="G62" s="32" t="n"/>
      <c r="H62" s="19" t="n"/>
      <c r="I62" s="19" t="n"/>
      <c r="J62" s="19" t="n"/>
      <c r="K62" s="33">
        <f>IF(OR(B62="",F62=""),"",IF(ISNUMBER(F62),F62-TODAY(),"날짜 확인"))</f>
        <v/>
      </c>
      <c r="L62" s="23">
        <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f>
        <v/>
      </c>
      <c r="M62" s="19" t="n"/>
      <c r="N62" s="19" t="n"/>
      <c r="O62" s="19" t="n"/>
      <c r="P62" s="27">
        <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f>
        <v/>
      </c>
    </row>
    <row r="63" ht="24" customHeight="1">
      <c r="A63" s="18" t="n">
        <v>57</v>
      </c>
      <c r="B63" s="19" t="n"/>
      <c r="C63" s="23">
        <f>IF(B63="","",IFERROR(INDEX('01_자재목록'!$D$7:$D$106,MATCH(B63,'01_자재목록'!$B$7:$B$106,0))&amp;"","자재코드 확인"))</f>
        <v/>
      </c>
      <c r="D63" s="19" t="n"/>
      <c r="E63" s="19" t="n"/>
      <c r="F63" s="32" t="n"/>
      <c r="G63" s="32" t="n"/>
      <c r="H63" s="19" t="n"/>
      <c r="I63" s="19" t="n"/>
      <c r="J63" s="19" t="n"/>
      <c r="K63" s="33">
        <f>IF(OR(B63="",F63=""),"",IF(ISNUMBER(F63),F63-TODAY(),"날짜 확인"))</f>
        <v/>
      </c>
      <c r="L63" s="23">
        <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f>
        <v/>
      </c>
      <c r="M63" s="19" t="n"/>
      <c r="N63" s="19" t="n"/>
      <c r="O63" s="19" t="n"/>
      <c r="P63" s="27">
        <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f>
        <v/>
      </c>
    </row>
    <row r="64" ht="24" customHeight="1">
      <c r="A64" s="18" t="n">
        <v>58</v>
      </c>
      <c r="B64" s="19" t="n"/>
      <c r="C64" s="23">
        <f>IF(B64="","",IFERROR(INDEX('01_자재목록'!$D$7:$D$106,MATCH(B64,'01_자재목록'!$B$7:$B$106,0))&amp;"","자재코드 확인"))</f>
        <v/>
      </c>
      <c r="D64" s="19" t="n"/>
      <c r="E64" s="19" t="n"/>
      <c r="F64" s="32" t="n"/>
      <c r="G64" s="32" t="n"/>
      <c r="H64" s="19" t="n"/>
      <c r="I64" s="19" t="n"/>
      <c r="J64" s="19" t="n"/>
      <c r="K64" s="33">
        <f>IF(OR(B64="",F64=""),"",IF(ISNUMBER(F64),F64-TODAY(),"날짜 확인"))</f>
        <v/>
      </c>
      <c r="L64" s="23">
        <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f>
        <v/>
      </c>
      <c r="M64" s="19" t="n"/>
      <c r="N64" s="19" t="n"/>
      <c r="O64" s="19" t="n"/>
      <c r="P64" s="27">
        <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f>
        <v/>
      </c>
    </row>
    <row r="65" ht="24" customHeight="1">
      <c r="A65" s="18" t="n">
        <v>59</v>
      </c>
      <c r="B65" s="19" t="n"/>
      <c r="C65" s="23">
        <f>IF(B65="","",IFERROR(INDEX('01_자재목록'!$D$7:$D$106,MATCH(B65,'01_자재목록'!$B$7:$B$106,0))&amp;"","자재코드 확인"))</f>
        <v/>
      </c>
      <c r="D65" s="19" t="n"/>
      <c r="E65" s="19" t="n"/>
      <c r="F65" s="32" t="n"/>
      <c r="G65" s="32" t="n"/>
      <c r="H65" s="19" t="n"/>
      <c r="I65" s="19" t="n"/>
      <c r="J65" s="19" t="n"/>
      <c r="K65" s="33">
        <f>IF(OR(B65="",F65=""),"",IF(ISNUMBER(F65),F65-TODAY(),"날짜 확인"))</f>
        <v/>
      </c>
      <c r="L65" s="23">
        <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f>
        <v/>
      </c>
      <c r="M65" s="19" t="n"/>
      <c r="N65" s="19" t="n"/>
      <c r="O65" s="19" t="n"/>
      <c r="P65" s="27">
        <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f>
        <v/>
      </c>
    </row>
    <row r="66" ht="24" customHeight="1">
      <c r="A66" s="18" t="n">
        <v>60</v>
      </c>
      <c r="B66" s="19" t="n"/>
      <c r="C66" s="23">
        <f>IF(B66="","",IFERROR(INDEX('01_자재목록'!$D$7:$D$106,MATCH(B66,'01_자재목록'!$B$7:$B$106,0))&amp;"","자재코드 확인"))</f>
        <v/>
      </c>
      <c r="D66" s="19" t="n"/>
      <c r="E66" s="19" t="n"/>
      <c r="F66" s="32" t="n"/>
      <c r="G66" s="32" t="n"/>
      <c r="H66" s="19" t="n"/>
      <c r="I66" s="19" t="n"/>
      <c r="J66" s="19" t="n"/>
      <c r="K66" s="33">
        <f>IF(OR(B66="",F66=""),"",IF(ISNUMBER(F66),F66-TODAY(),"날짜 확인"))</f>
        <v/>
      </c>
      <c r="L66" s="23">
        <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f>
        <v/>
      </c>
      <c r="M66" s="19" t="n"/>
      <c r="N66" s="19" t="n"/>
      <c r="O66" s="19" t="n"/>
      <c r="P66" s="27">
        <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f>
        <v/>
      </c>
    </row>
    <row r="67" ht="24" customHeight="1">
      <c r="A67" s="18" t="n">
        <v>61</v>
      </c>
      <c r="B67" s="19" t="n"/>
      <c r="C67" s="23">
        <f>IF(B67="","",IFERROR(INDEX('01_자재목록'!$D$7:$D$106,MATCH(B67,'01_자재목록'!$B$7:$B$106,0))&amp;"","자재코드 확인"))</f>
        <v/>
      </c>
      <c r="D67" s="19" t="n"/>
      <c r="E67" s="19" t="n"/>
      <c r="F67" s="32" t="n"/>
      <c r="G67" s="32" t="n"/>
      <c r="H67" s="19" t="n"/>
      <c r="I67" s="19" t="n"/>
      <c r="J67" s="19" t="n"/>
      <c r="K67" s="33">
        <f>IF(OR(B67="",F67=""),"",IF(ISNUMBER(F67),F67-TODAY(),"날짜 확인"))</f>
        <v/>
      </c>
      <c r="L67" s="23">
        <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f>
        <v/>
      </c>
      <c r="M67" s="19" t="n"/>
      <c r="N67" s="19" t="n"/>
      <c r="O67" s="19" t="n"/>
      <c r="P67" s="27">
        <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f>
        <v/>
      </c>
    </row>
    <row r="68" ht="24" customHeight="1">
      <c r="A68" s="18" t="n">
        <v>62</v>
      </c>
      <c r="B68" s="19" t="n"/>
      <c r="C68" s="23">
        <f>IF(B68="","",IFERROR(INDEX('01_자재목록'!$D$7:$D$106,MATCH(B68,'01_자재목록'!$B$7:$B$106,0))&amp;"","자재코드 확인"))</f>
        <v/>
      </c>
      <c r="D68" s="19" t="n"/>
      <c r="E68" s="19" t="n"/>
      <c r="F68" s="32" t="n"/>
      <c r="G68" s="32" t="n"/>
      <c r="H68" s="19" t="n"/>
      <c r="I68" s="19" t="n"/>
      <c r="J68" s="19" t="n"/>
      <c r="K68" s="33">
        <f>IF(OR(B68="",F68=""),"",IF(ISNUMBER(F68),F68-TODAY(),"날짜 확인"))</f>
        <v/>
      </c>
      <c r="L68" s="23">
        <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f>
        <v/>
      </c>
      <c r="M68" s="19" t="n"/>
      <c r="N68" s="19" t="n"/>
      <c r="O68" s="19" t="n"/>
      <c r="P68" s="27">
        <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f>
        <v/>
      </c>
    </row>
    <row r="69" ht="24" customHeight="1">
      <c r="A69" s="18" t="n">
        <v>63</v>
      </c>
      <c r="B69" s="19" t="n"/>
      <c r="C69" s="23">
        <f>IF(B69="","",IFERROR(INDEX('01_자재목록'!$D$7:$D$106,MATCH(B69,'01_자재목록'!$B$7:$B$106,0))&amp;"","자재코드 확인"))</f>
        <v/>
      </c>
      <c r="D69" s="19" t="n"/>
      <c r="E69" s="19" t="n"/>
      <c r="F69" s="32" t="n"/>
      <c r="G69" s="32" t="n"/>
      <c r="H69" s="19" t="n"/>
      <c r="I69" s="19" t="n"/>
      <c r="J69" s="19" t="n"/>
      <c r="K69" s="33">
        <f>IF(OR(B69="",F69=""),"",IF(ISNUMBER(F69),F69-TODAY(),"날짜 확인"))</f>
        <v/>
      </c>
      <c r="L69" s="23">
        <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f>
        <v/>
      </c>
      <c r="M69" s="19" t="n"/>
      <c r="N69" s="19" t="n"/>
      <c r="O69" s="19" t="n"/>
      <c r="P69" s="27">
        <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f>
        <v/>
      </c>
    </row>
    <row r="70" ht="24" customHeight="1">
      <c r="A70" s="18" t="n">
        <v>64</v>
      </c>
      <c r="B70" s="19" t="n"/>
      <c r="C70" s="23">
        <f>IF(B70="","",IFERROR(INDEX('01_자재목록'!$D$7:$D$106,MATCH(B70,'01_자재목록'!$B$7:$B$106,0))&amp;"","자재코드 확인"))</f>
        <v/>
      </c>
      <c r="D70" s="19" t="n"/>
      <c r="E70" s="19" t="n"/>
      <c r="F70" s="32" t="n"/>
      <c r="G70" s="32" t="n"/>
      <c r="H70" s="19" t="n"/>
      <c r="I70" s="19" t="n"/>
      <c r="J70" s="19" t="n"/>
      <c r="K70" s="33">
        <f>IF(OR(B70="",F70=""),"",IF(ISNUMBER(F70),F70-TODAY(),"날짜 확인"))</f>
        <v/>
      </c>
      <c r="L70" s="23">
        <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f>
        <v/>
      </c>
      <c r="M70" s="19" t="n"/>
      <c r="N70" s="19" t="n"/>
      <c r="O70" s="19" t="n"/>
      <c r="P70" s="27">
        <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f>
        <v/>
      </c>
    </row>
    <row r="71" ht="24" customHeight="1">
      <c r="A71" s="18" t="n">
        <v>65</v>
      </c>
      <c r="B71" s="19" t="n"/>
      <c r="C71" s="23">
        <f>IF(B71="","",IFERROR(INDEX('01_자재목록'!$D$7:$D$106,MATCH(B71,'01_자재목록'!$B$7:$B$106,0))&amp;"","자재코드 확인"))</f>
        <v/>
      </c>
      <c r="D71" s="19" t="n"/>
      <c r="E71" s="19" t="n"/>
      <c r="F71" s="32" t="n"/>
      <c r="G71" s="32" t="n"/>
      <c r="H71" s="19" t="n"/>
      <c r="I71" s="19" t="n"/>
      <c r="J71" s="19" t="n"/>
      <c r="K71" s="33">
        <f>IF(OR(B71="",F71=""),"",IF(ISNUMBER(F71),F71-TODAY(),"날짜 확인"))</f>
        <v/>
      </c>
      <c r="L71" s="23">
        <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f>
        <v/>
      </c>
      <c r="M71" s="19" t="n"/>
      <c r="N71" s="19" t="n"/>
      <c r="O71" s="19" t="n"/>
      <c r="P71" s="27">
        <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f>
        <v/>
      </c>
    </row>
    <row r="72" ht="24" customHeight="1">
      <c r="A72" s="18" t="n">
        <v>66</v>
      </c>
      <c r="B72" s="19" t="n"/>
      <c r="C72" s="23">
        <f>IF(B72="","",IFERROR(INDEX('01_자재목록'!$D$7:$D$106,MATCH(B72,'01_자재목록'!$B$7:$B$106,0))&amp;"","자재코드 확인"))</f>
        <v/>
      </c>
      <c r="D72" s="19" t="n"/>
      <c r="E72" s="19" t="n"/>
      <c r="F72" s="32" t="n"/>
      <c r="G72" s="32" t="n"/>
      <c r="H72" s="19" t="n"/>
      <c r="I72" s="19" t="n"/>
      <c r="J72" s="19" t="n"/>
      <c r="K72" s="33">
        <f>IF(OR(B72="",F72=""),"",IF(ISNUMBER(F72),F72-TODAY(),"날짜 확인"))</f>
        <v/>
      </c>
      <c r="L72" s="23">
        <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f>
        <v/>
      </c>
      <c r="M72" s="19" t="n"/>
      <c r="N72" s="19" t="n"/>
      <c r="O72" s="19" t="n"/>
      <c r="P72" s="27">
        <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f>
        <v/>
      </c>
    </row>
    <row r="73" ht="24" customHeight="1">
      <c r="A73" s="18" t="n">
        <v>67</v>
      </c>
      <c r="B73" s="19" t="n"/>
      <c r="C73" s="23">
        <f>IF(B73="","",IFERROR(INDEX('01_자재목록'!$D$7:$D$106,MATCH(B73,'01_자재목록'!$B$7:$B$106,0))&amp;"","자재코드 확인"))</f>
        <v/>
      </c>
      <c r="D73" s="19" t="n"/>
      <c r="E73" s="19" t="n"/>
      <c r="F73" s="32" t="n"/>
      <c r="G73" s="32" t="n"/>
      <c r="H73" s="19" t="n"/>
      <c r="I73" s="19" t="n"/>
      <c r="J73" s="19" t="n"/>
      <c r="K73" s="33">
        <f>IF(OR(B73="",F73=""),"",IF(ISNUMBER(F73),F73-TODAY(),"날짜 확인"))</f>
        <v/>
      </c>
      <c r="L73" s="23">
        <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f>
        <v/>
      </c>
      <c r="M73" s="19" t="n"/>
      <c r="N73" s="19" t="n"/>
      <c r="O73" s="19" t="n"/>
      <c r="P73" s="27">
        <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f>
        <v/>
      </c>
    </row>
    <row r="74" ht="24" customHeight="1">
      <c r="A74" s="18" t="n">
        <v>68</v>
      </c>
      <c r="B74" s="19" t="n"/>
      <c r="C74" s="23">
        <f>IF(B74="","",IFERROR(INDEX('01_자재목록'!$D$7:$D$106,MATCH(B74,'01_자재목록'!$B$7:$B$106,0))&amp;"","자재코드 확인"))</f>
        <v/>
      </c>
      <c r="D74" s="19" t="n"/>
      <c r="E74" s="19" t="n"/>
      <c r="F74" s="32" t="n"/>
      <c r="G74" s="32" t="n"/>
      <c r="H74" s="19" t="n"/>
      <c r="I74" s="19" t="n"/>
      <c r="J74" s="19" t="n"/>
      <c r="K74" s="33">
        <f>IF(OR(B74="",F74=""),"",IF(ISNUMBER(F74),F74-TODAY(),"날짜 확인"))</f>
        <v/>
      </c>
      <c r="L74" s="23">
        <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f>
        <v/>
      </c>
      <c r="M74" s="19" t="n"/>
      <c r="N74" s="19" t="n"/>
      <c r="O74" s="19" t="n"/>
      <c r="P74" s="27">
        <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f>
        <v/>
      </c>
    </row>
    <row r="75" ht="24" customHeight="1">
      <c r="A75" s="18" t="n">
        <v>69</v>
      </c>
      <c r="B75" s="19" t="n"/>
      <c r="C75" s="23">
        <f>IF(B75="","",IFERROR(INDEX('01_자재목록'!$D$7:$D$106,MATCH(B75,'01_자재목록'!$B$7:$B$106,0))&amp;"","자재코드 확인"))</f>
        <v/>
      </c>
      <c r="D75" s="19" t="n"/>
      <c r="E75" s="19" t="n"/>
      <c r="F75" s="32" t="n"/>
      <c r="G75" s="32" t="n"/>
      <c r="H75" s="19" t="n"/>
      <c r="I75" s="19" t="n"/>
      <c r="J75" s="19" t="n"/>
      <c r="K75" s="33">
        <f>IF(OR(B75="",F75=""),"",IF(ISNUMBER(F75),F75-TODAY(),"날짜 확인"))</f>
        <v/>
      </c>
      <c r="L75" s="23">
        <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f>
        <v/>
      </c>
      <c r="M75" s="19" t="n"/>
      <c r="N75" s="19" t="n"/>
      <c r="O75" s="19" t="n"/>
      <c r="P75" s="27">
        <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f>
        <v/>
      </c>
    </row>
    <row r="76" ht="24" customHeight="1">
      <c r="A76" s="18" t="n">
        <v>70</v>
      </c>
      <c r="B76" s="19" t="n"/>
      <c r="C76" s="23">
        <f>IF(B76="","",IFERROR(INDEX('01_자재목록'!$D$7:$D$106,MATCH(B76,'01_자재목록'!$B$7:$B$106,0))&amp;"","자재코드 확인"))</f>
        <v/>
      </c>
      <c r="D76" s="19" t="n"/>
      <c r="E76" s="19" t="n"/>
      <c r="F76" s="32" t="n"/>
      <c r="G76" s="32" t="n"/>
      <c r="H76" s="19" t="n"/>
      <c r="I76" s="19" t="n"/>
      <c r="J76" s="19" t="n"/>
      <c r="K76" s="33">
        <f>IF(OR(B76="",F76=""),"",IF(ISNUMBER(F76),F76-TODAY(),"날짜 확인"))</f>
        <v/>
      </c>
      <c r="L76" s="23">
        <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f>
        <v/>
      </c>
      <c r="M76" s="19" t="n"/>
      <c r="N76" s="19" t="n"/>
      <c r="O76" s="19" t="n"/>
      <c r="P76" s="27">
        <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f>
        <v/>
      </c>
    </row>
    <row r="77" ht="24" customHeight="1">
      <c r="A77" s="18" t="n">
        <v>71</v>
      </c>
      <c r="B77" s="19" t="n"/>
      <c r="C77" s="23">
        <f>IF(B77="","",IFERROR(INDEX('01_자재목록'!$D$7:$D$106,MATCH(B77,'01_자재목록'!$B$7:$B$106,0))&amp;"","자재코드 확인"))</f>
        <v/>
      </c>
      <c r="D77" s="19" t="n"/>
      <c r="E77" s="19" t="n"/>
      <c r="F77" s="32" t="n"/>
      <c r="G77" s="32" t="n"/>
      <c r="H77" s="19" t="n"/>
      <c r="I77" s="19" t="n"/>
      <c r="J77" s="19" t="n"/>
      <c r="K77" s="33">
        <f>IF(OR(B77="",F77=""),"",IF(ISNUMBER(F77),F77-TODAY(),"날짜 확인"))</f>
        <v/>
      </c>
      <c r="L77" s="23">
        <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f>
        <v/>
      </c>
      <c r="M77" s="19" t="n"/>
      <c r="N77" s="19" t="n"/>
      <c r="O77" s="19" t="n"/>
      <c r="P77" s="27">
        <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f>
        <v/>
      </c>
    </row>
    <row r="78" ht="24" customHeight="1">
      <c r="A78" s="18" t="n">
        <v>72</v>
      </c>
      <c r="B78" s="19" t="n"/>
      <c r="C78" s="23">
        <f>IF(B78="","",IFERROR(INDEX('01_자재목록'!$D$7:$D$106,MATCH(B78,'01_자재목록'!$B$7:$B$106,0))&amp;"","자재코드 확인"))</f>
        <v/>
      </c>
      <c r="D78" s="19" t="n"/>
      <c r="E78" s="19" t="n"/>
      <c r="F78" s="32" t="n"/>
      <c r="G78" s="32" t="n"/>
      <c r="H78" s="19" t="n"/>
      <c r="I78" s="19" t="n"/>
      <c r="J78" s="19" t="n"/>
      <c r="K78" s="33">
        <f>IF(OR(B78="",F78=""),"",IF(ISNUMBER(F78),F78-TODAY(),"날짜 확인"))</f>
        <v/>
      </c>
      <c r="L78" s="23">
        <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f>
        <v/>
      </c>
      <c r="M78" s="19" t="n"/>
      <c r="N78" s="19" t="n"/>
      <c r="O78" s="19" t="n"/>
      <c r="P78" s="27">
        <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f>
        <v/>
      </c>
    </row>
    <row r="79" ht="24" customHeight="1">
      <c r="A79" s="18" t="n">
        <v>73</v>
      </c>
      <c r="B79" s="19" t="n"/>
      <c r="C79" s="23">
        <f>IF(B79="","",IFERROR(INDEX('01_자재목록'!$D$7:$D$106,MATCH(B79,'01_자재목록'!$B$7:$B$106,0))&amp;"","자재코드 확인"))</f>
        <v/>
      </c>
      <c r="D79" s="19" t="n"/>
      <c r="E79" s="19" t="n"/>
      <c r="F79" s="32" t="n"/>
      <c r="G79" s="32" t="n"/>
      <c r="H79" s="19" t="n"/>
      <c r="I79" s="19" t="n"/>
      <c r="J79" s="19" t="n"/>
      <c r="K79" s="33">
        <f>IF(OR(B79="",F79=""),"",IF(ISNUMBER(F79),F79-TODAY(),"날짜 확인"))</f>
        <v/>
      </c>
      <c r="L79" s="23">
        <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f>
        <v/>
      </c>
      <c r="M79" s="19" t="n"/>
      <c r="N79" s="19" t="n"/>
      <c r="O79" s="19" t="n"/>
      <c r="P79" s="27">
        <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f>
        <v/>
      </c>
    </row>
    <row r="80" ht="24" customHeight="1">
      <c r="A80" s="18" t="n">
        <v>74</v>
      </c>
      <c r="B80" s="19" t="n"/>
      <c r="C80" s="23">
        <f>IF(B80="","",IFERROR(INDEX('01_자재목록'!$D$7:$D$106,MATCH(B80,'01_자재목록'!$B$7:$B$106,0))&amp;"","자재코드 확인"))</f>
        <v/>
      </c>
      <c r="D80" s="19" t="n"/>
      <c r="E80" s="19" t="n"/>
      <c r="F80" s="32" t="n"/>
      <c r="G80" s="32" t="n"/>
      <c r="H80" s="19" t="n"/>
      <c r="I80" s="19" t="n"/>
      <c r="J80" s="19" t="n"/>
      <c r="K80" s="33">
        <f>IF(OR(B80="",F80=""),"",IF(ISNUMBER(F80),F80-TODAY(),"날짜 확인"))</f>
        <v/>
      </c>
      <c r="L80" s="23">
        <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f>
        <v/>
      </c>
      <c r="M80" s="19" t="n"/>
      <c r="N80" s="19" t="n"/>
      <c r="O80" s="19" t="n"/>
      <c r="P80" s="27">
        <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f>
        <v/>
      </c>
    </row>
    <row r="81" ht="24" customHeight="1">
      <c r="A81" s="18" t="n">
        <v>75</v>
      </c>
      <c r="B81" s="19" t="n"/>
      <c r="C81" s="23">
        <f>IF(B81="","",IFERROR(INDEX('01_자재목록'!$D$7:$D$106,MATCH(B81,'01_자재목록'!$B$7:$B$106,0))&amp;"","자재코드 확인"))</f>
        <v/>
      </c>
      <c r="D81" s="19" t="n"/>
      <c r="E81" s="19" t="n"/>
      <c r="F81" s="32" t="n"/>
      <c r="G81" s="32" t="n"/>
      <c r="H81" s="19" t="n"/>
      <c r="I81" s="19" t="n"/>
      <c r="J81" s="19" t="n"/>
      <c r="K81" s="33">
        <f>IF(OR(B81="",F81=""),"",IF(ISNUMBER(F81),F81-TODAY(),"날짜 확인"))</f>
        <v/>
      </c>
      <c r="L81" s="23">
        <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f>
        <v/>
      </c>
      <c r="M81" s="19" t="n"/>
      <c r="N81" s="19" t="n"/>
      <c r="O81" s="19" t="n"/>
      <c r="P81" s="27">
        <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f>
        <v/>
      </c>
    </row>
    <row r="82" ht="24" customHeight="1">
      <c r="A82" s="18" t="n">
        <v>76</v>
      </c>
      <c r="B82" s="19" t="n"/>
      <c r="C82" s="23">
        <f>IF(B82="","",IFERROR(INDEX('01_자재목록'!$D$7:$D$106,MATCH(B82,'01_자재목록'!$B$7:$B$106,0))&amp;"","자재코드 확인"))</f>
        <v/>
      </c>
      <c r="D82" s="19" t="n"/>
      <c r="E82" s="19" t="n"/>
      <c r="F82" s="32" t="n"/>
      <c r="G82" s="32" t="n"/>
      <c r="H82" s="19" t="n"/>
      <c r="I82" s="19" t="n"/>
      <c r="J82" s="19" t="n"/>
      <c r="K82" s="33">
        <f>IF(OR(B82="",F82=""),"",IF(ISNUMBER(F82),F82-TODAY(),"날짜 확인"))</f>
        <v/>
      </c>
      <c r="L82" s="23">
        <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f>
        <v/>
      </c>
      <c r="M82" s="19" t="n"/>
      <c r="N82" s="19" t="n"/>
      <c r="O82" s="19" t="n"/>
      <c r="P82" s="27">
        <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f>
        <v/>
      </c>
    </row>
    <row r="83" ht="24" customHeight="1">
      <c r="A83" s="18" t="n">
        <v>77</v>
      </c>
      <c r="B83" s="19" t="n"/>
      <c r="C83" s="23">
        <f>IF(B83="","",IFERROR(INDEX('01_자재목록'!$D$7:$D$106,MATCH(B83,'01_자재목록'!$B$7:$B$106,0))&amp;"","자재코드 확인"))</f>
        <v/>
      </c>
      <c r="D83" s="19" t="n"/>
      <c r="E83" s="19" t="n"/>
      <c r="F83" s="32" t="n"/>
      <c r="G83" s="32" t="n"/>
      <c r="H83" s="19" t="n"/>
      <c r="I83" s="19" t="n"/>
      <c r="J83" s="19" t="n"/>
      <c r="K83" s="33">
        <f>IF(OR(B83="",F83=""),"",IF(ISNUMBER(F83),F83-TODAY(),"날짜 확인"))</f>
        <v/>
      </c>
      <c r="L83" s="23">
        <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f>
        <v/>
      </c>
      <c r="M83" s="19" t="n"/>
      <c r="N83" s="19" t="n"/>
      <c r="O83" s="19" t="n"/>
      <c r="P83" s="27">
        <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f>
        <v/>
      </c>
    </row>
    <row r="84" ht="24" customHeight="1">
      <c r="A84" s="18" t="n">
        <v>78</v>
      </c>
      <c r="B84" s="19" t="n"/>
      <c r="C84" s="23">
        <f>IF(B84="","",IFERROR(INDEX('01_자재목록'!$D$7:$D$106,MATCH(B84,'01_자재목록'!$B$7:$B$106,0))&amp;"","자재코드 확인"))</f>
        <v/>
      </c>
      <c r="D84" s="19" t="n"/>
      <c r="E84" s="19" t="n"/>
      <c r="F84" s="32" t="n"/>
      <c r="G84" s="32" t="n"/>
      <c r="H84" s="19" t="n"/>
      <c r="I84" s="19" t="n"/>
      <c r="J84" s="19" t="n"/>
      <c r="K84" s="33">
        <f>IF(OR(B84="",F84=""),"",IF(ISNUMBER(F84),F84-TODAY(),"날짜 확인"))</f>
        <v/>
      </c>
      <c r="L84" s="23">
        <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f>
        <v/>
      </c>
      <c r="M84" s="19" t="n"/>
      <c r="N84" s="19" t="n"/>
      <c r="O84" s="19" t="n"/>
      <c r="P84" s="27">
        <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f>
        <v/>
      </c>
    </row>
    <row r="85" ht="24" customHeight="1">
      <c r="A85" s="18" t="n">
        <v>79</v>
      </c>
      <c r="B85" s="19" t="n"/>
      <c r="C85" s="23">
        <f>IF(B85="","",IFERROR(INDEX('01_자재목록'!$D$7:$D$106,MATCH(B85,'01_자재목록'!$B$7:$B$106,0))&amp;"","자재코드 확인"))</f>
        <v/>
      </c>
      <c r="D85" s="19" t="n"/>
      <c r="E85" s="19" t="n"/>
      <c r="F85" s="32" t="n"/>
      <c r="G85" s="32" t="n"/>
      <c r="H85" s="19" t="n"/>
      <c r="I85" s="19" t="n"/>
      <c r="J85" s="19" t="n"/>
      <c r="K85" s="33">
        <f>IF(OR(B85="",F85=""),"",IF(ISNUMBER(F85),F85-TODAY(),"날짜 확인"))</f>
        <v/>
      </c>
      <c r="L85" s="23">
        <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f>
        <v/>
      </c>
      <c r="M85" s="19" t="n"/>
      <c r="N85" s="19" t="n"/>
      <c r="O85" s="19" t="n"/>
      <c r="P85" s="27">
        <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f>
        <v/>
      </c>
    </row>
    <row r="86" ht="24" customHeight="1">
      <c r="A86" s="18" t="n">
        <v>80</v>
      </c>
      <c r="B86" s="19" t="n"/>
      <c r="C86" s="23">
        <f>IF(B86="","",IFERROR(INDEX('01_자재목록'!$D$7:$D$106,MATCH(B86,'01_자재목록'!$B$7:$B$106,0))&amp;"","자재코드 확인"))</f>
        <v/>
      </c>
      <c r="D86" s="19" t="n"/>
      <c r="E86" s="19" t="n"/>
      <c r="F86" s="32" t="n"/>
      <c r="G86" s="32" t="n"/>
      <c r="H86" s="19" t="n"/>
      <c r="I86" s="19" t="n"/>
      <c r="J86" s="19" t="n"/>
      <c r="K86" s="33">
        <f>IF(OR(B86="",F86=""),"",IF(ISNUMBER(F86),F86-TODAY(),"날짜 확인"))</f>
        <v/>
      </c>
      <c r="L86" s="23">
        <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f>
        <v/>
      </c>
      <c r="M86" s="19" t="n"/>
      <c r="N86" s="19" t="n"/>
      <c r="O86" s="19" t="n"/>
      <c r="P86" s="27">
        <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f>
        <v/>
      </c>
    </row>
    <row r="87" ht="24" customHeight="1">
      <c r="A87" s="18" t="n">
        <v>81</v>
      </c>
      <c r="B87" s="19" t="n"/>
      <c r="C87" s="23">
        <f>IF(B87="","",IFERROR(INDEX('01_자재목록'!$D$7:$D$106,MATCH(B87,'01_자재목록'!$B$7:$B$106,0))&amp;"","자재코드 확인"))</f>
        <v/>
      </c>
      <c r="D87" s="19" t="n"/>
      <c r="E87" s="19" t="n"/>
      <c r="F87" s="32" t="n"/>
      <c r="G87" s="32" t="n"/>
      <c r="H87" s="19" t="n"/>
      <c r="I87" s="19" t="n"/>
      <c r="J87" s="19" t="n"/>
      <c r="K87" s="33">
        <f>IF(OR(B87="",F87=""),"",IF(ISNUMBER(F87),F87-TODAY(),"날짜 확인"))</f>
        <v/>
      </c>
      <c r="L87" s="23">
        <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f>
        <v/>
      </c>
      <c r="M87" s="19" t="n"/>
      <c r="N87" s="19" t="n"/>
      <c r="O87" s="19" t="n"/>
      <c r="P87" s="27">
        <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f>
        <v/>
      </c>
    </row>
    <row r="88" ht="24" customHeight="1">
      <c r="A88" s="18" t="n">
        <v>82</v>
      </c>
      <c r="B88" s="19" t="n"/>
      <c r="C88" s="23">
        <f>IF(B88="","",IFERROR(INDEX('01_자재목록'!$D$7:$D$106,MATCH(B88,'01_자재목록'!$B$7:$B$106,0))&amp;"","자재코드 확인"))</f>
        <v/>
      </c>
      <c r="D88" s="19" t="n"/>
      <c r="E88" s="19" t="n"/>
      <c r="F88" s="32" t="n"/>
      <c r="G88" s="32" t="n"/>
      <c r="H88" s="19" t="n"/>
      <c r="I88" s="19" t="n"/>
      <c r="J88" s="19" t="n"/>
      <c r="K88" s="33">
        <f>IF(OR(B88="",F88=""),"",IF(ISNUMBER(F88),F88-TODAY(),"날짜 확인"))</f>
        <v/>
      </c>
      <c r="L88" s="23">
        <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f>
        <v/>
      </c>
      <c r="M88" s="19" t="n"/>
      <c r="N88" s="19" t="n"/>
      <c r="O88" s="19" t="n"/>
      <c r="P88" s="27">
        <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f>
        <v/>
      </c>
    </row>
    <row r="89" ht="24" customHeight="1">
      <c r="A89" s="18" t="n">
        <v>83</v>
      </c>
      <c r="B89" s="19" t="n"/>
      <c r="C89" s="23">
        <f>IF(B89="","",IFERROR(INDEX('01_자재목록'!$D$7:$D$106,MATCH(B89,'01_자재목록'!$B$7:$B$106,0))&amp;"","자재코드 확인"))</f>
        <v/>
      </c>
      <c r="D89" s="19" t="n"/>
      <c r="E89" s="19" t="n"/>
      <c r="F89" s="32" t="n"/>
      <c r="G89" s="32" t="n"/>
      <c r="H89" s="19" t="n"/>
      <c r="I89" s="19" t="n"/>
      <c r="J89" s="19" t="n"/>
      <c r="K89" s="33">
        <f>IF(OR(B89="",F89=""),"",IF(ISNUMBER(F89),F89-TODAY(),"날짜 확인"))</f>
        <v/>
      </c>
      <c r="L89" s="23">
        <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f>
        <v/>
      </c>
      <c r="M89" s="19" t="n"/>
      <c r="N89" s="19" t="n"/>
      <c r="O89" s="19" t="n"/>
      <c r="P89" s="27">
        <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f>
        <v/>
      </c>
    </row>
    <row r="90" ht="24" customHeight="1">
      <c r="A90" s="18" t="n">
        <v>84</v>
      </c>
      <c r="B90" s="19" t="n"/>
      <c r="C90" s="23">
        <f>IF(B90="","",IFERROR(INDEX('01_자재목록'!$D$7:$D$106,MATCH(B90,'01_자재목록'!$B$7:$B$106,0))&amp;"","자재코드 확인"))</f>
        <v/>
      </c>
      <c r="D90" s="19" t="n"/>
      <c r="E90" s="19" t="n"/>
      <c r="F90" s="32" t="n"/>
      <c r="G90" s="32" t="n"/>
      <c r="H90" s="19" t="n"/>
      <c r="I90" s="19" t="n"/>
      <c r="J90" s="19" t="n"/>
      <c r="K90" s="33">
        <f>IF(OR(B90="",F90=""),"",IF(ISNUMBER(F90),F90-TODAY(),"날짜 확인"))</f>
        <v/>
      </c>
      <c r="L90" s="23">
        <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f>
        <v/>
      </c>
      <c r="M90" s="19" t="n"/>
      <c r="N90" s="19" t="n"/>
      <c r="O90" s="19" t="n"/>
      <c r="P90" s="27">
        <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f>
        <v/>
      </c>
    </row>
    <row r="91" ht="24" customHeight="1">
      <c r="A91" s="18" t="n">
        <v>85</v>
      </c>
      <c r="B91" s="19" t="n"/>
      <c r="C91" s="23">
        <f>IF(B91="","",IFERROR(INDEX('01_자재목록'!$D$7:$D$106,MATCH(B91,'01_자재목록'!$B$7:$B$106,0))&amp;"","자재코드 확인"))</f>
        <v/>
      </c>
      <c r="D91" s="19" t="n"/>
      <c r="E91" s="19" t="n"/>
      <c r="F91" s="32" t="n"/>
      <c r="G91" s="32" t="n"/>
      <c r="H91" s="19" t="n"/>
      <c r="I91" s="19" t="n"/>
      <c r="J91" s="19" t="n"/>
      <c r="K91" s="33">
        <f>IF(OR(B91="",F91=""),"",IF(ISNUMBER(F91),F91-TODAY(),"날짜 확인"))</f>
        <v/>
      </c>
      <c r="L91" s="23">
        <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f>
        <v/>
      </c>
      <c r="M91" s="19" t="n"/>
      <c r="N91" s="19" t="n"/>
      <c r="O91" s="19" t="n"/>
      <c r="P91" s="27">
        <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f>
        <v/>
      </c>
    </row>
    <row r="92" ht="24" customHeight="1">
      <c r="A92" s="18" t="n">
        <v>86</v>
      </c>
      <c r="B92" s="19" t="n"/>
      <c r="C92" s="23">
        <f>IF(B92="","",IFERROR(INDEX('01_자재목록'!$D$7:$D$106,MATCH(B92,'01_자재목록'!$B$7:$B$106,0))&amp;"","자재코드 확인"))</f>
        <v/>
      </c>
      <c r="D92" s="19" t="n"/>
      <c r="E92" s="19" t="n"/>
      <c r="F92" s="32" t="n"/>
      <c r="G92" s="32" t="n"/>
      <c r="H92" s="19" t="n"/>
      <c r="I92" s="19" t="n"/>
      <c r="J92" s="19" t="n"/>
      <c r="K92" s="33">
        <f>IF(OR(B92="",F92=""),"",IF(ISNUMBER(F92),F92-TODAY(),"날짜 확인"))</f>
        <v/>
      </c>
      <c r="L92" s="23">
        <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f>
        <v/>
      </c>
      <c r="M92" s="19" t="n"/>
      <c r="N92" s="19" t="n"/>
      <c r="O92" s="19" t="n"/>
      <c r="P92" s="27">
        <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f>
        <v/>
      </c>
    </row>
    <row r="93" ht="24" customHeight="1">
      <c r="A93" s="18" t="n">
        <v>87</v>
      </c>
      <c r="B93" s="19" t="n"/>
      <c r="C93" s="23">
        <f>IF(B93="","",IFERROR(INDEX('01_자재목록'!$D$7:$D$106,MATCH(B93,'01_자재목록'!$B$7:$B$106,0))&amp;"","자재코드 확인"))</f>
        <v/>
      </c>
      <c r="D93" s="19" t="n"/>
      <c r="E93" s="19" t="n"/>
      <c r="F93" s="32" t="n"/>
      <c r="G93" s="32" t="n"/>
      <c r="H93" s="19" t="n"/>
      <c r="I93" s="19" t="n"/>
      <c r="J93" s="19" t="n"/>
      <c r="K93" s="33">
        <f>IF(OR(B93="",F93=""),"",IF(ISNUMBER(F93),F93-TODAY(),"날짜 확인"))</f>
        <v/>
      </c>
      <c r="L93" s="23">
        <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f>
        <v/>
      </c>
      <c r="M93" s="19" t="n"/>
      <c r="N93" s="19" t="n"/>
      <c r="O93" s="19" t="n"/>
      <c r="P93" s="27">
        <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f>
        <v/>
      </c>
    </row>
    <row r="94" ht="24" customHeight="1">
      <c r="A94" s="18" t="n">
        <v>88</v>
      </c>
      <c r="B94" s="19" t="n"/>
      <c r="C94" s="23">
        <f>IF(B94="","",IFERROR(INDEX('01_자재목록'!$D$7:$D$106,MATCH(B94,'01_자재목록'!$B$7:$B$106,0))&amp;"","자재코드 확인"))</f>
        <v/>
      </c>
      <c r="D94" s="19" t="n"/>
      <c r="E94" s="19" t="n"/>
      <c r="F94" s="32" t="n"/>
      <c r="G94" s="32" t="n"/>
      <c r="H94" s="19" t="n"/>
      <c r="I94" s="19" t="n"/>
      <c r="J94" s="19" t="n"/>
      <c r="K94" s="33">
        <f>IF(OR(B94="",F94=""),"",IF(ISNUMBER(F94),F94-TODAY(),"날짜 확인"))</f>
        <v/>
      </c>
      <c r="L94" s="23">
        <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f>
        <v/>
      </c>
      <c r="M94" s="19" t="n"/>
      <c r="N94" s="19" t="n"/>
      <c r="O94" s="19" t="n"/>
      <c r="P94" s="27">
        <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f>
        <v/>
      </c>
    </row>
    <row r="95" ht="24" customHeight="1">
      <c r="A95" s="18" t="n">
        <v>89</v>
      </c>
      <c r="B95" s="19" t="n"/>
      <c r="C95" s="23">
        <f>IF(B95="","",IFERROR(INDEX('01_자재목록'!$D$7:$D$106,MATCH(B95,'01_자재목록'!$B$7:$B$106,0))&amp;"","자재코드 확인"))</f>
        <v/>
      </c>
      <c r="D95" s="19" t="n"/>
      <c r="E95" s="19" t="n"/>
      <c r="F95" s="32" t="n"/>
      <c r="G95" s="32" t="n"/>
      <c r="H95" s="19" t="n"/>
      <c r="I95" s="19" t="n"/>
      <c r="J95" s="19" t="n"/>
      <c r="K95" s="33">
        <f>IF(OR(B95="",F95=""),"",IF(ISNUMBER(F95),F95-TODAY(),"날짜 확인"))</f>
        <v/>
      </c>
      <c r="L95" s="23">
        <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f>
        <v/>
      </c>
      <c r="M95" s="19" t="n"/>
      <c r="N95" s="19" t="n"/>
      <c r="O95" s="19" t="n"/>
      <c r="P95" s="27">
        <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f>
        <v/>
      </c>
    </row>
    <row r="96" ht="24" customHeight="1">
      <c r="A96" s="18" t="n">
        <v>90</v>
      </c>
      <c r="B96" s="19" t="n"/>
      <c r="C96" s="23">
        <f>IF(B96="","",IFERROR(INDEX('01_자재목록'!$D$7:$D$106,MATCH(B96,'01_자재목록'!$B$7:$B$106,0))&amp;"","자재코드 확인"))</f>
        <v/>
      </c>
      <c r="D96" s="19" t="n"/>
      <c r="E96" s="19" t="n"/>
      <c r="F96" s="32" t="n"/>
      <c r="G96" s="32" t="n"/>
      <c r="H96" s="19" t="n"/>
      <c r="I96" s="19" t="n"/>
      <c r="J96" s="19" t="n"/>
      <c r="K96" s="33">
        <f>IF(OR(B96="",F96=""),"",IF(ISNUMBER(F96),F96-TODAY(),"날짜 확인"))</f>
        <v/>
      </c>
      <c r="L96" s="23">
        <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f>
        <v/>
      </c>
      <c r="M96" s="19" t="n"/>
      <c r="N96" s="19" t="n"/>
      <c r="O96" s="19" t="n"/>
      <c r="P96" s="27">
        <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f>
        <v/>
      </c>
    </row>
    <row r="97" ht="24" customHeight="1">
      <c r="A97" s="18" t="n">
        <v>91</v>
      </c>
      <c r="B97" s="19" t="n"/>
      <c r="C97" s="23">
        <f>IF(B97="","",IFERROR(INDEX('01_자재목록'!$D$7:$D$106,MATCH(B97,'01_자재목록'!$B$7:$B$106,0))&amp;"","자재코드 확인"))</f>
        <v/>
      </c>
      <c r="D97" s="19" t="n"/>
      <c r="E97" s="19" t="n"/>
      <c r="F97" s="32" t="n"/>
      <c r="G97" s="32" t="n"/>
      <c r="H97" s="19" t="n"/>
      <c r="I97" s="19" t="n"/>
      <c r="J97" s="19" t="n"/>
      <c r="K97" s="33">
        <f>IF(OR(B97="",F97=""),"",IF(ISNUMBER(F97),F97-TODAY(),"날짜 확인"))</f>
        <v/>
      </c>
      <c r="L97" s="23">
        <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f>
        <v/>
      </c>
      <c r="M97" s="19" t="n"/>
      <c r="N97" s="19" t="n"/>
      <c r="O97" s="19" t="n"/>
      <c r="P97" s="27">
        <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f>
        <v/>
      </c>
    </row>
    <row r="98" ht="24" customHeight="1">
      <c r="A98" s="18" t="n">
        <v>92</v>
      </c>
      <c r="B98" s="19" t="n"/>
      <c r="C98" s="23">
        <f>IF(B98="","",IFERROR(INDEX('01_자재목록'!$D$7:$D$106,MATCH(B98,'01_자재목록'!$B$7:$B$106,0))&amp;"","자재코드 확인"))</f>
        <v/>
      </c>
      <c r="D98" s="19" t="n"/>
      <c r="E98" s="19" t="n"/>
      <c r="F98" s="32" t="n"/>
      <c r="G98" s="32" t="n"/>
      <c r="H98" s="19" t="n"/>
      <c r="I98" s="19" t="n"/>
      <c r="J98" s="19" t="n"/>
      <c r="K98" s="33">
        <f>IF(OR(B98="",F98=""),"",IF(ISNUMBER(F98),F98-TODAY(),"날짜 확인"))</f>
        <v/>
      </c>
      <c r="L98" s="23">
        <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f>
        <v/>
      </c>
      <c r="M98" s="19" t="n"/>
      <c r="N98" s="19" t="n"/>
      <c r="O98" s="19" t="n"/>
      <c r="P98" s="27">
        <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f>
        <v/>
      </c>
    </row>
    <row r="99" ht="24" customHeight="1">
      <c r="A99" s="18" t="n">
        <v>93</v>
      </c>
      <c r="B99" s="19" t="n"/>
      <c r="C99" s="23">
        <f>IF(B99="","",IFERROR(INDEX('01_자재목록'!$D$7:$D$106,MATCH(B99,'01_자재목록'!$B$7:$B$106,0))&amp;"","자재코드 확인"))</f>
        <v/>
      </c>
      <c r="D99" s="19" t="n"/>
      <c r="E99" s="19" t="n"/>
      <c r="F99" s="32" t="n"/>
      <c r="G99" s="32" t="n"/>
      <c r="H99" s="19" t="n"/>
      <c r="I99" s="19" t="n"/>
      <c r="J99" s="19" t="n"/>
      <c r="K99" s="33">
        <f>IF(OR(B99="",F99=""),"",IF(ISNUMBER(F99),F99-TODAY(),"날짜 확인"))</f>
        <v/>
      </c>
      <c r="L99" s="23">
        <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f>
        <v/>
      </c>
      <c r="M99" s="19" t="n"/>
      <c r="N99" s="19" t="n"/>
      <c r="O99" s="19" t="n"/>
      <c r="P99" s="27">
        <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f>
        <v/>
      </c>
    </row>
    <row r="100" ht="24" customHeight="1">
      <c r="A100" s="18" t="n">
        <v>94</v>
      </c>
      <c r="B100" s="19" t="n"/>
      <c r="C100" s="23">
        <f>IF(B100="","",IFERROR(INDEX('01_자재목록'!$D$7:$D$106,MATCH(B100,'01_자재목록'!$B$7:$B$106,0))&amp;"","자재코드 확인"))</f>
        <v/>
      </c>
      <c r="D100" s="19" t="n"/>
      <c r="E100" s="19" t="n"/>
      <c r="F100" s="32" t="n"/>
      <c r="G100" s="32" t="n"/>
      <c r="H100" s="19" t="n"/>
      <c r="I100" s="19" t="n"/>
      <c r="J100" s="19" t="n"/>
      <c r="K100" s="33">
        <f>IF(OR(B100="",F100=""),"",IF(ISNUMBER(F100),F100-TODAY(),"날짜 확인"))</f>
        <v/>
      </c>
      <c r="L100" s="23">
        <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f>
        <v/>
      </c>
      <c r="M100" s="19" t="n"/>
      <c r="N100" s="19" t="n"/>
      <c r="O100" s="19" t="n"/>
      <c r="P100" s="27">
        <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f>
        <v/>
      </c>
    </row>
    <row r="101" ht="24" customHeight="1">
      <c r="A101" s="18" t="n">
        <v>95</v>
      </c>
      <c r="B101" s="19" t="n"/>
      <c r="C101" s="23">
        <f>IF(B101="","",IFERROR(INDEX('01_자재목록'!$D$7:$D$106,MATCH(B101,'01_자재목록'!$B$7:$B$106,0))&amp;"","자재코드 확인"))</f>
        <v/>
      </c>
      <c r="D101" s="19" t="n"/>
      <c r="E101" s="19" t="n"/>
      <c r="F101" s="32" t="n"/>
      <c r="G101" s="32" t="n"/>
      <c r="H101" s="19" t="n"/>
      <c r="I101" s="19" t="n"/>
      <c r="J101" s="19" t="n"/>
      <c r="K101" s="33">
        <f>IF(OR(B101="",F101=""),"",IF(ISNUMBER(F101),F101-TODAY(),"날짜 확인"))</f>
        <v/>
      </c>
      <c r="L101" s="23">
        <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f>
        <v/>
      </c>
      <c r="M101" s="19" t="n"/>
      <c r="N101" s="19" t="n"/>
      <c r="O101" s="19" t="n"/>
      <c r="P101" s="27">
        <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f>
        <v/>
      </c>
    </row>
    <row r="102" ht="24" customHeight="1">
      <c r="A102" s="18" t="n">
        <v>96</v>
      </c>
      <c r="B102" s="19" t="n"/>
      <c r="C102" s="23">
        <f>IF(B102="","",IFERROR(INDEX('01_자재목록'!$D$7:$D$106,MATCH(B102,'01_자재목록'!$B$7:$B$106,0))&amp;"","자재코드 확인"))</f>
        <v/>
      </c>
      <c r="D102" s="19" t="n"/>
      <c r="E102" s="19" t="n"/>
      <c r="F102" s="32" t="n"/>
      <c r="G102" s="32" t="n"/>
      <c r="H102" s="19" t="n"/>
      <c r="I102" s="19" t="n"/>
      <c r="J102" s="19" t="n"/>
      <c r="K102" s="33">
        <f>IF(OR(B102="",F102=""),"",IF(ISNUMBER(F102),F102-TODAY(),"날짜 확인"))</f>
        <v/>
      </c>
      <c r="L102" s="23">
        <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f>
        <v/>
      </c>
      <c r="M102" s="19" t="n"/>
      <c r="N102" s="19" t="n"/>
      <c r="O102" s="19" t="n"/>
      <c r="P102" s="27">
        <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f>
        <v/>
      </c>
    </row>
    <row r="103" ht="24" customHeight="1">
      <c r="A103" s="18" t="n">
        <v>97</v>
      </c>
      <c r="B103" s="19" t="n"/>
      <c r="C103" s="23">
        <f>IF(B103="","",IFERROR(INDEX('01_자재목록'!$D$7:$D$106,MATCH(B103,'01_자재목록'!$B$7:$B$106,0))&amp;"","자재코드 확인"))</f>
        <v/>
      </c>
      <c r="D103" s="19" t="n"/>
      <c r="E103" s="19" t="n"/>
      <c r="F103" s="32" t="n"/>
      <c r="G103" s="32" t="n"/>
      <c r="H103" s="19" t="n"/>
      <c r="I103" s="19" t="n"/>
      <c r="J103" s="19" t="n"/>
      <c r="K103" s="33">
        <f>IF(OR(B103="",F103=""),"",IF(ISNUMBER(F103),F103-TODAY(),"날짜 확인"))</f>
        <v/>
      </c>
      <c r="L103" s="23">
        <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f>
        <v/>
      </c>
      <c r="M103" s="19" t="n"/>
      <c r="N103" s="19" t="n"/>
      <c r="O103" s="19" t="n"/>
      <c r="P103" s="27">
        <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f>
        <v/>
      </c>
    </row>
    <row r="104" ht="24" customHeight="1">
      <c r="A104" s="18" t="n">
        <v>98</v>
      </c>
      <c r="B104" s="19" t="n"/>
      <c r="C104" s="23">
        <f>IF(B104="","",IFERROR(INDEX('01_자재목록'!$D$7:$D$106,MATCH(B104,'01_자재목록'!$B$7:$B$106,0))&amp;"","자재코드 확인"))</f>
        <v/>
      </c>
      <c r="D104" s="19" t="n"/>
      <c r="E104" s="19" t="n"/>
      <c r="F104" s="32" t="n"/>
      <c r="G104" s="32" t="n"/>
      <c r="H104" s="19" t="n"/>
      <c r="I104" s="19" t="n"/>
      <c r="J104" s="19" t="n"/>
      <c r="K104" s="33">
        <f>IF(OR(B104="",F104=""),"",IF(ISNUMBER(F104),F104-TODAY(),"날짜 확인"))</f>
        <v/>
      </c>
      <c r="L104" s="23">
        <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f>
        <v/>
      </c>
      <c r="M104" s="19" t="n"/>
      <c r="N104" s="19" t="n"/>
      <c r="O104" s="19" t="n"/>
      <c r="P104" s="27">
        <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f>
        <v/>
      </c>
    </row>
    <row r="105" ht="24" customHeight="1">
      <c r="A105" s="18" t="n">
        <v>99</v>
      </c>
      <c r="B105" s="19" t="n"/>
      <c r="C105" s="23">
        <f>IF(B105="","",IFERROR(INDEX('01_자재목록'!$D$7:$D$106,MATCH(B105,'01_자재목록'!$B$7:$B$106,0))&amp;"","자재코드 확인"))</f>
        <v/>
      </c>
      <c r="D105" s="19" t="n"/>
      <c r="E105" s="19" t="n"/>
      <c r="F105" s="32" t="n"/>
      <c r="G105" s="32" t="n"/>
      <c r="H105" s="19" t="n"/>
      <c r="I105" s="19" t="n"/>
      <c r="J105" s="19" t="n"/>
      <c r="K105" s="33">
        <f>IF(OR(B105="",F105=""),"",IF(ISNUMBER(F105),F105-TODAY(),"날짜 확인"))</f>
        <v/>
      </c>
      <c r="L105" s="23">
        <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f>
        <v/>
      </c>
      <c r="M105" s="19" t="n"/>
      <c r="N105" s="19" t="n"/>
      <c r="O105" s="19" t="n"/>
      <c r="P105" s="27">
        <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f>
        <v/>
      </c>
    </row>
    <row r="106" ht="24" customHeight="1">
      <c r="A106" s="18" t="n">
        <v>100</v>
      </c>
      <c r="B106" s="19" t="n"/>
      <c r="C106" s="23">
        <f>IF(B106="","",IFERROR(INDEX('01_자재목록'!$D$7:$D$106,MATCH(B106,'01_자재목록'!$B$7:$B$106,0))&amp;"","자재코드 확인"))</f>
        <v/>
      </c>
      <c r="D106" s="19" t="n"/>
      <c r="E106" s="19" t="n"/>
      <c r="F106" s="32" t="n"/>
      <c r="G106" s="32" t="n"/>
      <c r="H106" s="19" t="n"/>
      <c r="I106" s="19" t="n"/>
      <c r="J106" s="19" t="n"/>
      <c r="K106" s="33">
        <f>IF(OR(B106="",F106=""),"",IF(ISNUMBER(F106),F106-TODAY(),"날짜 확인"))</f>
        <v/>
      </c>
      <c r="L106" s="23">
        <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f>
        <v/>
      </c>
      <c r="M106" s="19" t="n"/>
      <c r="N106" s="19" t="n"/>
      <c r="O106" s="19" t="n"/>
      <c r="P106" s="27">
        <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f>
        <v/>
      </c>
    </row>
    <row r="107" ht="24" customHeight="1">
      <c r="A107" s="18" t="n">
        <v>101</v>
      </c>
      <c r="B107" s="19" t="n"/>
      <c r="C107" s="23">
        <f>IF(B107="","",IFERROR(INDEX('01_자재목록'!$D$7:$D$106,MATCH(B107,'01_자재목록'!$B$7:$B$106,0))&amp;"","자재코드 확인"))</f>
        <v/>
      </c>
      <c r="D107" s="19" t="n"/>
      <c r="E107" s="19" t="n"/>
      <c r="F107" s="32" t="n"/>
      <c r="G107" s="32" t="n"/>
      <c r="H107" s="19" t="n"/>
      <c r="I107" s="19" t="n"/>
      <c r="J107" s="19" t="n"/>
      <c r="K107" s="33">
        <f>IF(OR(B107="",F107=""),"",IF(ISNUMBER(F107),F107-TODAY(),"날짜 확인"))</f>
        <v/>
      </c>
      <c r="L107" s="23">
        <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f>
        <v/>
      </c>
      <c r="M107" s="19" t="n"/>
      <c r="N107" s="19" t="n"/>
      <c r="O107" s="19" t="n"/>
      <c r="P107" s="27">
        <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f>
        <v/>
      </c>
    </row>
    <row r="108" ht="24" customHeight="1">
      <c r="A108" s="18" t="n">
        <v>102</v>
      </c>
      <c r="B108" s="19" t="n"/>
      <c r="C108" s="23">
        <f>IF(B108="","",IFERROR(INDEX('01_자재목록'!$D$7:$D$106,MATCH(B108,'01_자재목록'!$B$7:$B$106,0))&amp;"","자재코드 확인"))</f>
        <v/>
      </c>
      <c r="D108" s="19" t="n"/>
      <c r="E108" s="19" t="n"/>
      <c r="F108" s="32" t="n"/>
      <c r="G108" s="32" t="n"/>
      <c r="H108" s="19" t="n"/>
      <c r="I108" s="19" t="n"/>
      <c r="J108" s="19" t="n"/>
      <c r="K108" s="33">
        <f>IF(OR(B108="",F108=""),"",IF(ISNUMBER(F108),F108-TODAY(),"날짜 확인"))</f>
        <v/>
      </c>
      <c r="L108" s="23">
        <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f>
        <v/>
      </c>
      <c r="M108" s="19" t="n"/>
      <c r="N108" s="19" t="n"/>
      <c r="O108" s="19" t="n"/>
      <c r="P108" s="27">
        <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f>
        <v/>
      </c>
    </row>
    <row r="109" ht="24" customHeight="1">
      <c r="A109" s="18" t="n">
        <v>103</v>
      </c>
      <c r="B109" s="19" t="n"/>
      <c r="C109" s="23">
        <f>IF(B109="","",IFERROR(INDEX('01_자재목록'!$D$7:$D$106,MATCH(B109,'01_자재목록'!$B$7:$B$106,0))&amp;"","자재코드 확인"))</f>
        <v/>
      </c>
      <c r="D109" s="19" t="n"/>
      <c r="E109" s="19" t="n"/>
      <c r="F109" s="32" t="n"/>
      <c r="G109" s="32" t="n"/>
      <c r="H109" s="19" t="n"/>
      <c r="I109" s="19" t="n"/>
      <c r="J109" s="19" t="n"/>
      <c r="K109" s="33">
        <f>IF(OR(B109="",F109=""),"",IF(ISNUMBER(F109),F109-TODAY(),"날짜 확인"))</f>
        <v/>
      </c>
      <c r="L109" s="23">
        <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f>
        <v/>
      </c>
      <c r="M109" s="19" t="n"/>
      <c r="N109" s="19" t="n"/>
      <c r="O109" s="19" t="n"/>
      <c r="P109" s="27">
        <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f>
        <v/>
      </c>
    </row>
    <row r="110" ht="24" customHeight="1">
      <c r="A110" s="18" t="n">
        <v>104</v>
      </c>
      <c r="B110" s="19" t="n"/>
      <c r="C110" s="23">
        <f>IF(B110="","",IFERROR(INDEX('01_자재목록'!$D$7:$D$106,MATCH(B110,'01_자재목록'!$B$7:$B$106,0))&amp;"","자재코드 확인"))</f>
        <v/>
      </c>
      <c r="D110" s="19" t="n"/>
      <c r="E110" s="19" t="n"/>
      <c r="F110" s="32" t="n"/>
      <c r="G110" s="32" t="n"/>
      <c r="H110" s="19" t="n"/>
      <c r="I110" s="19" t="n"/>
      <c r="J110" s="19" t="n"/>
      <c r="K110" s="33">
        <f>IF(OR(B110="",F110=""),"",IF(ISNUMBER(F110),F110-TODAY(),"날짜 확인"))</f>
        <v/>
      </c>
      <c r="L110" s="23">
        <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f>
        <v/>
      </c>
      <c r="M110" s="19" t="n"/>
      <c r="N110" s="19" t="n"/>
      <c r="O110" s="19" t="n"/>
      <c r="P110" s="27">
        <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f>
        <v/>
      </c>
    </row>
    <row r="111" ht="24" customHeight="1">
      <c r="A111" s="18" t="n">
        <v>105</v>
      </c>
      <c r="B111" s="19" t="n"/>
      <c r="C111" s="23">
        <f>IF(B111="","",IFERROR(INDEX('01_자재목록'!$D$7:$D$106,MATCH(B111,'01_자재목록'!$B$7:$B$106,0))&amp;"","자재코드 확인"))</f>
        <v/>
      </c>
      <c r="D111" s="19" t="n"/>
      <c r="E111" s="19" t="n"/>
      <c r="F111" s="32" t="n"/>
      <c r="G111" s="32" t="n"/>
      <c r="H111" s="19" t="n"/>
      <c r="I111" s="19" t="n"/>
      <c r="J111" s="19" t="n"/>
      <c r="K111" s="33">
        <f>IF(OR(B111="",F111=""),"",IF(ISNUMBER(F111),F111-TODAY(),"날짜 확인"))</f>
        <v/>
      </c>
      <c r="L111" s="23">
        <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f>
        <v/>
      </c>
      <c r="M111" s="19" t="n"/>
      <c r="N111" s="19" t="n"/>
      <c r="O111" s="19" t="n"/>
      <c r="P111" s="27">
        <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f>
        <v/>
      </c>
    </row>
    <row r="112" ht="24" customHeight="1">
      <c r="A112" s="18" t="n">
        <v>106</v>
      </c>
      <c r="B112" s="19" t="n"/>
      <c r="C112" s="23">
        <f>IF(B112="","",IFERROR(INDEX('01_자재목록'!$D$7:$D$106,MATCH(B112,'01_자재목록'!$B$7:$B$106,0))&amp;"","자재코드 확인"))</f>
        <v/>
      </c>
      <c r="D112" s="19" t="n"/>
      <c r="E112" s="19" t="n"/>
      <c r="F112" s="32" t="n"/>
      <c r="G112" s="32" t="n"/>
      <c r="H112" s="19" t="n"/>
      <c r="I112" s="19" t="n"/>
      <c r="J112" s="19" t="n"/>
      <c r="K112" s="33">
        <f>IF(OR(B112="",F112=""),"",IF(ISNUMBER(F112),F112-TODAY(),"날짜 확인"))</f>
        <v/>
      </c>
      <c r="L112" s="23">
        <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f>
        <v/>
      </c>
      <c r="M112" s="19" t="n"/>
      <c r="N112" s="19" t="n"/>
      <c r="O112" s="19" t="n"/>
      <c r="P112" s="27">
        <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f>
        <v/>
      </c>
    </row>
    <row r="113" ht="24" customHeight="1">
      <c r="A113" s="18" t="n">
        <v>107</v>
      </c>
      <c r="B113" s="19" t="n"/>
      <c r="C113" s="23">
        <f>IF(B113="","",IFERROR(INDEX('01_자재목록'!$D$7:$D$106,MATCH(B113,'01_자재목록'!$B$7:$B$106,0))&amp;"","자재코드 확인"))</f>
        <v/>
      </c>
      <c r="D113" s="19" t="n"/>
      <c r="E113" s="19" t="n"/>
      <c r="F113" s="32" t="n"/>
      <c r="G113" s="32" t="n"/>
      <c r="H113" s="19" t="n"/>
      <c r="I113" s="19" t="n"/>
      <c r="J113" s="19" t="n"/>
      <c r="K113" s="33">
        <f>IF(OR(B113="",F113=""),"",IF(ISNUMBER(F113),F113-TODAY(),"날짜 확인"))</f>
        <v/>
      </c>
      <c r="L113" s="23">
        <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f>
        <v/>
      </c>
      <c r="M113" s="19" t="n"/>
      <c r="N113" s="19" t="n"/>
      <c r="O113" s="19" t="n"/>
      <c r="P113" s="27">
        <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f>
        <v/>
      </c>
    </row>
    <row r="114" ht="24" customHeight="1">
      <c r="A114" s="18" t="n">
        <v>108</v>
      </c>
      <c r="B114" s="19" t="n"/>
      <c r="C114" s="23">
        <f>IF(B114="","",IFERROR(INDEX('01_자재목록'!$D$7:$D$106,MATCH(B114,'01_자재목록'!$B$7:$B$106,0))&amp;"","자재코드 확인"))</f>
        <v/>
      </c>
      <c r="D114" s="19" t="n"/>
      <c r="E114" s="19" t="n"/>
      <c r="F114" s="32" t="n"/>
      <c r="G114" s="32" t="n"/>
      <c r="H114" s="19" t="n"/>
      <c r="I114" s="19" t="n"/>
      <c r="J114" s="19" t="n"/>
      <c r="K114" s="33">
        <f>IF(OR(B114="",F114=""),"",IF(ISNUMBER(F114),F114-TODAY(),"날짜 확인"))</f>
        <v/>
      </c>
      <c r="L114" s="23">
        <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f>
        <v/>
      </c>
      <c r="M114" s="19" t="n"/>
      <c r="N114" s="19" t="n"/>
      <c r="O114" s="19" t="n"/>
      <c r="P114" s="27">
        <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f>
        <v/>
      </c>
    </row>
    <row r="115" ht="24" customHeight="1">
      <c r="A115" s="18" t="n">
        <v>109</v>
      </c>
      <c r="B115" s="19" t="n"/>
      <c r="C115" s="23">
        <f>IF(B115="","",IFERROR(INDEX('01_자재목록'!$D$7:$D$106,MATCH(B115,'01_자재목록'!$B$7:$B$106,0))&amp;"","자재코드 확인"))</f>
        <v/>
      </c>
      <c r="D115" s="19" t="n"/>
      <c r="E115" s="19" t="n"/>
      <c r="F115" s="32" t="n"/>
      <c r="G115" s="32" t="n"/>
      <c r="H115" s="19" t="n"/>
      <c r="I115" s="19" t="n"/>
      <c r="J115" s="19" t="n"/>
      <c r="K115" s="33">
        <f>IF(OR(B115="",F115=""),"",IF(ISNUMBER(F115),F115-TODAY(),"날짜 확인"))</f>
        <v/>
      </c>
      <c r="L115" s="23">
        <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f>
        <v/>
      </c>
      <c r="M115" s="19" t="n"/>
      <c r="N115" s="19" t="n"/>
      <c r="O115" s="19" t="n"/>
      <c r="P115" s="27">
        <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f>
        <v/>
      </c>
    </row>
    <row r="116" ht="24" customHeight="1">
      <c r="A116" s="18" t="n">
        <v>110</v>
      </c>
      <c r="B116" s="19" t="n"/>
      <c r="C116" s="23">
        <f>IF(B116="","",IFERROR(INDEX('01_자재목록'!$D$7:$D$106,MATCH(B116,'01_자재목록'!$B$7:$B$106,0))&amp;"","자재코드 확인"))</f>
        <v/>
      </c>
      <c r="D116" s="19" t="n"/>
      <c r="E116" s="19" t="n"/>
      <c r="F116" s="32" t="n"/>
      <c r="G116" s="32" t="n"/>
      <c r="H116" s="19" t="n"/>
      <c r="I116" s="19" t="n"/>
      <c r="J116" s="19" t="n"/>
      <c r="K116" s="33">
        <f>IF(OR(B116="",F116=""),"",IF(ISNUMBER(F116),F116-TODAY(),"날짜 확인"))</f>
        <v/>
      </c>
      <c r="L116" s="23">
        <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f>
        <v/>
      </c>
      <c r="M116" s="19" t="n"/>
      <c r="N116" s="19" t="n"/>
      <c r="O116" s="19" t="n"/>
      <c r="P116" s="27">
        <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f>
        <v/>
      </c>
    </row>
    <row r="117" ht="24" customHeight="1">
      <c r="A117" s="18" t="n">
        <v>111</v>
      </c>
      <c r="B117" s="19" t="n"/>
      <c r="C117" s="23">
        <f>IF(B117="","",IFERROR(INDEX('01_자재목록'!$D$7:$D$106,MATCH(B117,'01_자재목록'!$B$7:$B$106,0))&amp;"","자재코드 확인"))</f>
        <v/>
      </c>
      <c r="D117" s="19" t="n"/>
      <c r="E117" s="19" t="n"/>
      <c r="F117" s="32" t="n"/>
      <c r="G117" s="32" t="n"/>
      <c r="H117" s="19" t="n"/>
      <c r="I117" s="19" t="n"/>
      <c r="J117" s="19" t="n"/>
      <c r="K117" s="33">
        <f>IF(OR(B117="",F117=""),"",IF(ISNUMBER(F117),F117-TODAY(),"날짜 확인"))</f>
        <v/>
      </c>
      <c r="L117" s="23">
        <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f>
        <v/>
      </c>
      <c r="M117" s="19" t="n"/>
      <c r="N117" s="19" t="n"/>
      <c r="O117" s="19" t="n"/>
      <c r="P117" s="27">
        <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f>
        <v/>
      </c>
    </row>
    <row r="118" ht="24" customHeight="1">
      <c r="A118" s="18" t="n">
        <v>112</v>
      </c>
      <c r="B118" s="19" t="n"/>
      <c r="C118" s="23">
        <f>IF(B118="","",IFERROR(INDEX('01_자재목록'!$D$7:$D$106,MATCH(B118,'01_자재목록'!$B$7:$B$106,0))&amp;"","자재코드 확인"))</f>
        <v/>
      </c>
      <c r="D118" s="19" t="n"/>
      <c r="E118" s="19" t="n"/>
      <c r="F118" s="32" t="n"/>
      <c r="G118" s="32" t="n"/>
      <c r="H118" s="19" t="n"/>
      <c r="I118" s="19" t="n"/>
      <c r="J118" s="19" t="n"/>
      <c r="K118" s="33">
        <f>IF(OR(B118="",F118=""),"",IF(ISNUMBER(F118),F118-TODAY(),"날짜 확인"))</f>
        <v/>
      </c>
      <c r="L118" s="23">
        <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f>
        <v/>
      </c>
      <c r="M118" s="19" t="n"/>
      <c r="N118" s="19" t="n"/>
      <c r="O118" s="19" t="n"/>
      <c r="P118" s="27">
        <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f>
        <v/>
      </c>
    </row>
    <row r="119" ht="24" customHeight="1">
      <c r="A119" s="18" t="n">
        <v>113</v>
      </c>
      <c r="B119" s="19" t="n"/>
      <c r="C119" s="23">
        <f>IF(B119="","",IFERROR(INDEX('01_자재목록'!$D$7:$D$106,MATCH(B119,'01_자재목록'!$B$7:$B$106,0))&amp;"","자재코드 확인"))</f>
        <v/>
      </c>
      <c r="D119" s="19" t="n"/>
      <c r="E119" s="19" t="n"/>
      <c r="F119" s="32" t="n"/>
      <c r="G119" s="32" t="n"/>
      <c r="H119" s="19" t="n"/>
      <c r="I119" s="19" t="n"/>
      <c r="J119" s="19" t="n"/>
      <c r="K119" s="33">
        <f>IF(OR(B119="",F119=""),"",IF(ISNUMBER(F119),F119-TODAY(),"날짜 확인"))</f>
        <v/>
      </c>
      <c r="L119" s="23">
        <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f>
        <v/>
      </c>
      <c r="M119" s="19" t="n"/>
      <c r="N119" s="19" t="n"/>
      <c r="O119" s="19" t="n"/>
      <c r="P119" s="27">
        <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f>
        <v/>
      </c>
    </row>
    <row r="120" ht="24" customHeight="1">
      <c r="A120" s="18" t="n">
        <v>114</v>
      </c>
      <c r="B120" s="19" t="n"/>
      <c r="C120" s="23">
        <f>IF(B120="","",IFERROR(INDEX('01_자재목록'!$D$7:$D$106,MATCH(B120,'01_자재목록'!$B$7:$B$106,0))&amp;"","자재코드 확인"))</f>
        <v/>
      </c>
      <c r="D120" s="19" t="n"/>
      <c r="E120" s="19" t="n"/>
      <c r="F120" s="32" t="n"/>
      <c r="G120" s="32" t="n"/>
      <c r="H120" s="19" t="n"/>
      <c r="I120" s="19" t="n"/>
      <c r="J120" s="19" t="n"/>
      <c r="K120" s="33">
        <f>IF(OR(B120="",F120=""),"",IF(ISNUMBER(F120),F120-TODAY(),"날짜 확인"))</f>
        <v/>
      </c>
      <c r="L120" s="23">
        <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f>
        <v/>
      </c>
      <c r="M120" s="19" t="n"/>
      <c r="N120" s="19" t="n"/>
      <c r="O120" s="19" t="n"/>
      <c r="P120" s="27">
        <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f>
        <v/>
      </c>
    </row>
    <row r="121" ht="24" customHeight="1">
      <c r="A121" s="18" t="n">
        <v>115</v>
      </c>
      <c r="B121" s="19" t="n"/>
      <c r="C121" s="23">
        <f>IF(B121="","",IFERROR(INDEX('01_자재목록'!$D$7:$D$106,MATCH(B121,'01_자재목록'!$B$7:$B$106,0))&amp;"","자재코드 확인"))</f>
        <v/>
      </c>
      <c r="D121" s="19" t="n"/>
      <c r="E121" s="19" t="n"/>
      <c r="F121" s="32" t="n"/>
      <c r="G121" s="32" t="n"/>
      <c r="H121" s="19" t="n"/>
      <c r="I121" s="19" t="n"/>
      <c r="J121" s="19" t="n"/>
      <c r="K121" s="33">
        <f>IF(OR(B121="",F121=""),"",IF(ISNUMBER(F121),F121-TODAY(),"날짜 확인"))</f>
        <v/>
      </c>
      <c r="L121" s="23">
        <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f>
        <v/>
      </c>
      <c r="M121" s="19" t="n"/>
      <c r="N121" s="19" t="n"/>
      <c r="O121" s="19" t="n"/>
      <c r="P121" s="27">
        <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f>
        <v/>
      </c>
    </row>
    <row r="122" ht="24" customHeight="1">
      <c r="A122" s="18" t="n">
        <v>116</v>
      </c>
      <c r="B122" s="19" t="n"/>
      <c r="C122" s="23">
        <f>IF(B122="","",IFERROR(INDEX('01_자재목록'!$D$7:$D$106,MATCH(B122,'01_자재목록'!$B$7:$B$106,0))&amp;"","자재코드 확인"))</f>
        <v/>
      </c>
      <c r="D122" s="19" t="n"/>
      <c r="E122" s="19" t="n"/>
      <c r="F122" s="32" t="n"/>
      <c r="G122" s="32" t="n"/>
      <c r="H122" s="19" t="n"/>
      <c r="I122" s="19" t="n"/>
      <c r="J122" s="19" t="n"/>
      <c r="K122" s="33">
        <f>IF(OR(B122="",F122=""),"",IF(ISNUMBER(F122),F122-TODAY(),"날짜 확인"))</f>
        <v/>
      </c>
      <c r="L122" s="23">
        <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f>
        <v/>
      </c>
      <c r="M122" s="19" t="n"/>
      <c r="N122" s="19" t="n"/>
      <c r="O122" s="19" t="n"/>
      <c r="P122" s="27">
        <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f>
        <v/>
      </c>
    </row>
    <row r="123" ht="24" customHeight="1">
      <c r="A123" s="18" t="n">
        <v>117</v>
      </c>
      <c r="B123" s="19" t="n"/>
      <c r="C123" s="23">
        <f>IF(B123="","",IFERROR(INDEX('01_자재목록'!$D$7:$D$106,MATCH(B123,'01_자재목록'!$B$7:$B$106,0))&amp;"","자재코드 확인"))</f>
        <v/>
      </c>
      <c r="D123" s="19" t="n"/>
      <c r="E123" s="19" t="n"/>
      <c r="F123" s="32" t="n"/>
      <c r="G123" s="32" t="n"/>
      <c r="H123" s="19" t="n"/>
      <c r="I123" s="19" t="n"/>
      <c r="J123" s="19" t="n"/>
      <c r="K123" s="33">
        <f>IF(OR(B123="",F123=""),"",IF(ISNUMBER(F123),F123-TODAY(),"날짜 확인"))</f>
        <v/>
      </c>
      <c r="L123" s="23">
        <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f>
        <v/>
      </c>
      <c r="M123" s="19" t="n"/>
      <c r="N123" s="19" t="n"/>
      <c r="O123" s="19" t="n"/>
      <c r="P123" s="27">
        <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f>
        <v/>
      </c>
    </row>
    <row r="124" ht="24" customHeight="1">
      <c r="A124" s="18" t="n">
        <v>118</v>
      </c>
      <c r="B124" s="19" t="n"/>
      <c r="C124" s="23">
        <f>IF(B124="","",IFERROR(INDEX('01_자재목록'!$D$7:$D$106,MATCH(B124,'01_자재목록'!$B$7:$B$106,0))&amp;"","자재코드 확인"))</f>
        <v/>
      </c>
      <c r="D124" s="19" t="n"/>
      <c r="E124" s="19" t="n"/>
      <c r="F124" s="32" t="n"/>
      <c r="G124" s="32" t="n"/>
      <c r="H124" s="19" t="n"/>
      <c r="I124" s="19" t="n"/>
      <c r="J124" s="19" t="n"/>
      <c r="K124" s="33">
        <f>IF(OR(B124="",F124=""),"",IF(ISNUMBER(F124),F124-TODAY(),"날짜 확인"))</f>
        <v/>
      </c>
      <c r="L124" s="23">
        <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f>
        <v/>
      </c>
      <c r="M124" s="19" t="n"/>
      <c r="N124" s="19" t="n"/>
      <c r="O124" s="19" t="n"/>
      <c r="P124" s="27">
        <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f>
        <v/>
      </c>
    </row>
    <row r="125" ht="24" customHeight="1">
      <c r="A125" s="18" t="n">
        <v>119</v>
      </c>
      <c r="B125" s="19" t="n"/>
      <c r="C125" s="23">
        <f>IF(B125="","",IFERROR(INDEX('01_자재목록'!$D$7:$D$106,MATCH(B125,'01_자재목록'!$B$7:$B$106,0))&amp;"","자재코드 확인"))</f>
        <v/>
      </c>
      <c r="D125" s="19" t="n"/>
      <c r="E125" s="19" t="n"/>
      <c r="F125" s="32" t="n"/>
      <c r="G125" s="32" t="n"/>
      <c r="H125" s="19" t="n"/>
      <c r="I125" s="19" t="n"/>
      <c r="J125" s="19" t="n"/>
      <c r="K125" s="33">
        <f>IF(OR(B125="",F125=""),"",IF(ISNUMBER(F125),F125-TODAY(),"날짜 확인"))</f>
        <v/>
      </c>
      <c r="L125" s="23">
        <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f>
        <v/>
      </c>
      <c r="M125" s="19" t="n"/>
      <c r="N125" s="19" t="n"/>
      <c r="O125" s="19" t="n"/>
      <c r="P125" s="27">
        <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f>
        <v/>
      </c>
    </row>
    <row r="126" ht="24" customHeight="1">
      <c r="A126" s="18" t="n">
        <v>120</v>
      </c>
      <c r="B126" s="19" t="n"/>
      <c r="C126" s="23">
        <f>IF(B126="","",IFERROR(INDEX('01_자재목록'!$D$7:$D$106,MATCH(B126,'01_자재목록'!$B$7:$B$106,0))&amp;"","자재코드 확인"))</f>
        <v/>
      </c>
      <c r="D126" s="19" t="n"/>
      <c r="E126" s="19" t="n"/>
      <c r="F126" s="32" t="n"/>
      <c r="G126" s="32" t="n"/>
      <c r="H126" s="19" t="n"/>
      <c r="I126" s="19" t="n"/>
      <c r="J126" s="19" t="n"/>
      <c r="K126" s="33">
        <f>IF(OR(B126="",F126=""),"",IF(ISNUMBER(F126),F126-TODAY(),"날짜 확인"))</f>
        <v/>
      </c>
      <c r="L126" s="23">
        <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f>
        <v/>
      </c>
      <c r="M126" s="19" t="n"/>
      <c r="N126" s="19" t="n"/>
      <c r="O126" s="19" t="n"/>
      <c r="P126" s="27">
        <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f>
        <v/>
      </c>
    </row>
    <row r="127" ht="24" customHeight="1">
      <c r="A127" s="18" t="n">
        <v>121</v>
      </c>
      <c r="B127" s="19" t="n"/>
      <c r="C127" s="23">
        <f>IF(B127="","",IFERROR(INDEX('01_자재목록'!$D$7:$D$106,MATCH(B127,'01_자재목록'!$B$7:$B$106,0))&amp;"","자재코드 확인"))</f>
        <v/>
      </c>
      <c r="D127" s="19" t="n"/>
      <c r="E127" s="19" t="n"/>
      <c r="F127" s="32" t="n"/>
      <c r="G127" s="32" t="n"/>
      <c r="H127" s="19" t="n"/>
      <c r="I127" s="19" t="n"/>
      <c r="J127" s="19" t="n"/>
      <c r="K127" s="33">
        <f>IF(OR(B127="",F127=""),"",IF(ISNUMBER(F127),F127-TODAY(),"날짜 확인"))</f>
        <v/>
      </c>
      <c r="L127" s="23">
        <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f>
        <v/>
      </c>
      <c r="M127" s="19" t="n"/>
      <c r="N127" s="19" t="n"/>
      <c r="O127" s="19" t="n"/>
      <c r="P127" s="27">
        <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f>
        <v/>
      </c>
    </row>
    <row r="128" ht="24" customHeight="1">
      <c r="A128" s="18" t="n">
        <v>122</v>
      </c>
      <c r="B128" s="19" t="n"/>
      <c r="C128" s="23">
        <f>IF(B128="","",IFERROR(INDEX('01_자재목록'!$D$7:$D$106,MATCH(B128,'01_자재목록'!$B$7:$B$106,0))&amp;"","자재코드 확인"))</f>
        <v/>
      </c>
      <c r="D128" s="19" t="n"/>
      <c r="E128" s="19" t="n"/>
      <c r="F128" s="32" t="n"/>
      <c r="G128" s="32" t="n"/>
      <c r="H128" s="19" t="n"/>
      <c r="I128" s="19" t="n"/>
      <c r="J128" s="19" t="n"/>
      <c r="K128" s="33">
        <f>IF(OR(B128="",F128=""),"",IF(ISNUMBER(F128),F128-TODAY(),"날짜 확인"))</f>
        <v/>
      </c>
      <c r="L128" s="23">
        <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f>
        <v/>
      </c>
      <c r="M128" s="19" t="n"/>
      <c r="N128" s="19" t="n"/>
      <c r="O128" s="19" t="n"/>
      <c r="P128" s="27">
        <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f>
        <v/>
      </c>
    </row>
    <row r="129" ht="24" customHeight="1">
      <c r="A129" s="18" t="n">
        <v>123</v>
      </c>
      <c r="B129" s="19" t="n"/>
      <c r="C129" s="23">
        <f>IF(B129="","",IFERROR(INDEX('01_자재목록'!$D$7:$D$106,MATCH(B129,'01_자재목록'!$B$7:$B$106,0))&amp;"","자재코드 확인"))</f>
        <v/>
      </c>
      <c r="D129" s="19" t="n"/>
      <c r="E129" s="19" t="n"/>
      <c r="F129" s="32" t="n"/>
      <c r="G129" s="32" t="n"/>
      <c r="H129" s="19" t="n"/>
      <c r="I129" s="19" t="n"/>
      <c r="J129" s="19" t="n"/>
      <c r="K129" s="33">
        <f>IF(OR(B129="",F129=""),"",IF(ISNUMBER(F129),F129-TODAY(),"날짜 확인"))</f>
        <v/>
      </c>
      <c r="L129" s="23">
        <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f>
        <v/>
      </c>
      <c r="M129" s="19" t="n"/>
      <c r="N129" s="19" t="n"/>
      <c r="O129" s="19" t="n"/>
      <c r="P129" s="27">
        <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f>
        <v/>
      </c>
    </row>
    <row r="130" ht="24" customHeight="1">
      <c r="A130" s="18" t="n">
        <v>124</v>
      </c>
      <c r="B130" s="19" t="n"/>
      <c r="C130" s="23">
        <f>IF(B130="","",IFERROR(INDEX('01_자재목록'!$D$7:$D$106,MATCH(B130,'01_자재목록'!$B$7:$B$106,0))&amp;"","자재코드 확인"))</f>
        <v/>
      </c>
      <c r="D130" s="19" t="n"/>
      <c r="E130" s="19" t="n"/>
      <c r="F130" s="32" t="n"/>
      <c r="G130" s="32" t="n"/>
      <c r="H130" s="19" t="n"/>
      <c r="I130" s="19" t="n"/>
      <c r="J130" s="19" t="n"/>
      <c r="K130" s="33">
        <f>IF(OR(B130="",F130=""),"",IF(ISNUMBER(F130),F130-TODAY(),"날짜 확인"))</f>
        <v/>
      </c>
      <c r="L130" s="23">
        <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f>
        <v/>
      </c>
      <c r="M130" s="19" t="n"/>
      <c r="N130" s="19" t="n"/>
      <c r="O130" s="19" t="n"/>
      <c r="P130" s="27">
        <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f>
        <v/>
      </c>
    </row>
    <row r="131" ht="24" customHeight="1">
      <c r="A131" s="18" t="n">
        <v>125</v>
      </c>
      <c r="B131" s="19" t="n"/>
      <c r="C131" s="23">
        <f>IF(B131="","",IFERROR(INDEX('01_자재목록'!$D$7:$D$106,MATCH(B131,'01_자재목록'!$B$7:$B$106,0))&amp;"","자재코드 확인"))</f>
        <v/>
      </c>
      <c r="D131" s="19" t="n"/>
      <c r="E131" s="19" t="n"/>
      <c r="F131" s="32" t="n"/>
      <c r="G131" s="32" t="n"/>
      <c r="H131" s="19" t="n"/>
      <c r="I131" s="19" t="n"/>
      <c r="J131" s="19" t="n"/>
      <c r="K131" s="33">
        <f>IF(OR(B131="",F131=""),"",IF(ISNUMBER(F131),F131-TODAY(),"날짜 확인"))</f>
        <v/>
      </c>
      <c r="L131" s="23">
        <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f>
        <v/>
      </c>
      <c r="M131" s="19" t="n"/>
      <c r="N131" s="19" t="n"/>
      <c r="O131" s="19" t="n"/>
      <c r="P131" s="27">
        <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f>
        <v/>
      </c>
    </row>
    <row r="132" ht="24" customHeight="1">
      <c r="A132" s="18" t="n">
        <v>126</v>
      </c>
      <c r="B132" s="19" t="n"/>
      <c r="C132" s="23">
        <f>IF(B132="","",IFERROR(INDEX('01_자재목록'!$D$7:$D$106,MATCH(B132,'01_자재목록'!$B$7:$B$106,0))&amp;"","자재코드 확인"))</f>
        <v/>
      </c>
      <c r="D132" s="19" t="n"/>
      <c r="E132" s="19" t="n"/>
      <c r="F132" s="32" t="n"/>
      <c r="G132" s="32" t="n"/>
      <c r="H132" s="19" t="n"/>
      <c r="I132" s="19" t="n"/>
      <c r="J132" s="19" t="n"/>
      <c r="K132" s="33">
        <f>IF(OR(B132="",F132=""),"",IF(ISNUMBER(F132),F132-TODAY(),"날짜 확인"))</f>
        <v/>
      </c>
      <c r="L132" s="23">
        <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f>
        <v/>
      </c>
      <c r="M132" s="19" t="n"/>
      <c r="N132" s="19" t="n"/>
      <c r="O132" s="19" t="n"/>
      <c r="P132" s="27">
        <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f>
        <v/>
      </c>
    </row>
    <row r="133" ht="24" customHeight="1">
      <c r="A133" s="18" t="n">
        <v>127</v>
      </c>
      <c r="B133" s="19" t="n"/>
      <c r="C133" s="23">
        <f>IF(B133="","",IFERROR(INDEX('01_자재목록'!$D$7:$D$106,MATCH(B133,'01_자재목록'!$B$7:$B$106,0))&amp;"","자재코드 확인"))</f>
        <v/>
      </c>
      <c r="D133" s="19" t="n"/>
      <c r="E133" s="19" t="n"/>
      <c r="F133" s="32" t="n"/>
      <c r="G133" s="32" t="n"/>
      <c r="H133" s="19" t="n"/>
      <c r="I133" s="19" t="n"/>
      <c r="J133" s="19" t="n"/>
      <c r="K133" s="33">
        <f>IF(OR(B133="",F133=""),"",IF(ISNUMBER(F133),F133-TODAY(),"날짜 확인"))</f>
        <v/>
      </c>
      <c r="L133" s="23">
        <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f>
        <v/>
      </c>
      <c r="M133" s="19" t="n"/>
      <c r="N133" s="19" t="n"/>
      <c r="O133" s="19" t="n"/>
      <c r="P133" s="27">
        <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f>
        <v/>
      </c>
    </row>
    <row r="134" ht="24" customHeight="1">
      <c r="A134" s="18" t="n">
        <v>128</v>
      </c>
      <c r="B134" s="19" t="n"/>
      <c r="C134" s="23">
        <f>IF(B134="","",IFERROR(INDEX('01_자재목록'!$D$7:$D$106,MATCH(B134,'01_자재목록'!$B$7:$B$106,0))&amp;"","자재코드 확인"))</f>
        <v/>
      </c>
      <c r="D134" s="19" t="n"/>
      <c r="E134" s="19" t="n"/>
      <c r="F134" s="32" t="n"/>
      <c r="G134" s="32" t="n"/>
      <c r="H134" s="19" t="n"/>
      <c r="I134" s="19" t="n"/>
      <c r="J134" s="19" t="n"/>
      <c r="K134" s="33">
        <f>IF(OR(B134="",F134=""),"",IF(ISNUMBER(F134),F134-TODAY(),"날짜 확인"))</f>
        <v/>
      </c>
      <c r="L134" s="23">
        <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f>
        <v/>
      </c>
      <c r="M134" s="19" t="n"/>
      <c r="N134" s="19" t="n"/>
      <c r="O134" s="19" t="n"/>
      <c r="P134" s="27">
        <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f>
        <v/>
      </c>
    </row>
    <row r="135" ht="24" customHeight="1">
      <c r="A135" s="18" t="n">
        <v>129</v>
      </c>
      <c r="B135" s="19" t="n"/>
      <c r="C135" s="23">
        <f>IF(B135="","",IFERROR(INDEX('01_자재목록'!$D$7:$D$106,MATCH(B135,'01_자재목록'!$B$7:$B$106,0))&amp;"","자재코드 확인"))</f>
        <v/>
      </c>
      <c r="D135" s="19" t="n"/>
      <c r="E135" s="19" t="n"/>
      <c r="F135" s="32" t="n"/>
      <c r="G135" s="32" t="n"/>
      <c r="H135" s="19" t="n"/>
      <c r="I135" s="19" t="n"/>
      <c r="J135" s="19" t="n"/>
      <c r="K135" s="33">
        <f>IF(OR(B135="",F135=""),"",IF(ISNUMBER(F135),F135-TODAY(),"날짜 확인"))</f>
        <v/>
      </c>
      <c r="L135" s="23">
        <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f>
        <v/>
      </c>
      <c r="M135" s="19" t="n"/>
      <c r="N135" s="19" t="n"/>
      <c r="O135" s="19" t="n"/>
      <c r="P135" s="27">
        <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f>
        <v/>
      </c>
    </row>
    <row r="136" ht="24" customHeight="1">
      <c r="A136" s="18" t="n">
        <v>130</v>
      </c>
      <c r="B136" s="19" t="n"/>
      <c r="C136" s="23">
        <f>IF(B136="","",IFERROR(INDEX('01_자재목록'!$D$7:$D$106,MATCH(B136,'01_자재목록'!$B$7:$B$106,0))&amp;"","자재코드 확인"))</f>
        <v/>
      </c>
      <c r="D136" s="19" t="n"/>
      <c r="E136" s="19" t="n"/>
      <c r="F136" s="32" t="n"/>
      <c r="G136" s="32" t="n"/>
      <c r="H136" s="19" t="n"/>
      <c r="I136" s="19" t="n"/>
      <c r="J136" s="19" t="n"/>
      <c r="K136" s="33">
        <f>IF(OR(B136="",F136=""),"",IF(ISNUMBER(F136),F136-TODAY(),"날짜 확인"))</f>
        <v/>
      </c>
      <c r="L136" s="23">
        <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f>
        <v/>
      </c>
      <c r="M136" s="19" t="n"/>
      <c r="N136" s="19" t="n"/>
      <c r="O136" s="19" t="n"/>
      <c r="P136" s="27">
        <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f>
        <v/>
      </c>
    </row>
    <row r="137" ht="24" customHeight="1">
      <c r="A137" s="18" t="n">
        <v>131</v>
      </c>
      <c r="B137" s="19" t="n"/>
      <c r="C137" s="23">
        <f>IF(B137="","",IFERROR(INDEX('01_자재목록'!$D$7:$D$106,MATCH(B137,'01_자재목록'!$B$7:$B$106,0))&amp;"","자재코드 확인"))</f>
        <v/>
      </c>
      <c r="D137" s="19" t="n"/>
      <c r="E137" s="19" t="n"/>
      <c r="F137" s="32" t="n"/>
      <c r="G137" s="32" t="n"/>
      <c r="H137" s="19" t="n"/>
      <c r="I137" s="19" t="n"/>
      <c r="J137" s="19" t="n"/>
      <c r="K137" s="33">
        <f>IF(OR(B137="",F137=""),"",IF(ISNUMBER(F137),F137-TODAY(),"날짜 확인"))</f>
        <v/>
      </c>
      <c r="L137" s="23">
        <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f>
        <v/>
      </c>
      <c r="M137" s="19" t="n"/>
      <c r="N137" s="19" t="n"/>
      <c r="O137" s="19" t="n"/>
      <c r="P137" s="27">
        <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f>
        <v/>
      </c>
    </row>
    <row r="138" ht="24" customHeight="1">
      <c r="A138" s="18" t="n">
        <v>132</v>
      </c>
      <c r="B138" s="19" t="n"/>
      <c r="C138" s="23">
        <f>IF(B138="","",IFERROR(INDEX('01_자재목록'!$D$7:$D$106,MATCH(B138,'01_자재목록'!$B$7:$B$106,0))&amp;"","자재코드 확인"))</f>
        <v/>
      </c>
      <c r="D138" s="19" t="n"/>
      <c r="E138" s="19" t="n"/>
      <c r="F138" s="32" t="n"/>
      <c r="G138" s="32" t="n"/>
      <c r="H138" s="19" t="n"/>
      <c r="I138" s="19" t="n"/>
      <c r="J138" s="19" t="n"/>
      <c r="K138" s="33">
        <f>IF(OR(B138="",F138=""),"",IF(ISNUMBER(F138),F138-TODAY(),"날짜 확인"))</f>
        <v/>
      </c>
      <c r="L138" s="23">
        <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f>
        <v/>
      </c>
      <c r="M138" s="19" t="n"/>
      <c r="N138" s="19" t="n"/>
      <c r="O138" s="19" t="n"/>
      <c r="P138" s="27">
        <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f>
        <v/>
      </c>
    </row>
    <row r="139" ht="24" customHeight="1">
      <c r="A139" s="18" t="n">
        <v>133</v>
      </c>
      <c r="B139" s="19" t="n"/>
      <c r="C139" s="23">
        <f>IF(B139="","",IFERROR(INDEX('01_자재목록'!$D$7:$D$106,MATCH(B139,'01_자재목록'!$B$7:$B$106,0))&amp;"","자재코드 확인"))</f>
        <v/>
      </c>
      <c r="D139" s="19" t="n"/>
      <c r="E139" s="19" t="n"/>
      <c r="F139" s="32" t="n"/>
      <c r="G139" s="32" t="n"/>
      <c r="H139" s="19" t="n"/>
      <c r="I139" s="19" t="n"/>
      <c r="J139" s="19" t="n"/>
      <c r="K139" s="33">
        <f>IF(OR(B139="",F139=""),"",IF(ISNUMBER(F139),F139-TODAY(),"날짜 확인"))</f>
        <v/>
      </c>
      <c r="L139" s="23">
        <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f>
        <v/>
      </c>
      <c r="M139" s="19" t="n"/>
      <c r="N139" s="19" t="n"/>
      <c r="O139" s="19" t="n"/>
      <c r="P139" s="27">
        <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f>
        <v/>
      </c>
    </row>
    <row r="140" ht="24" customHeight="1">
      <c r="A140" s="18" t="n">
        <v>134</v>
      </c>
      <c r="B140" s="19" t="n"/>
      <c r="C140" s="23">
        <f>IF(B140="","",IFERROR(INDEX('01_자재목록'!$D$7:$D$106,MATCH(B140,'01_자재목록'!$B$7:$B$106,0))&amp;"","자재코드 확인"))</f>
        <v/>
      </c>
      <c r="D140" s="19" t="n"/>
      <c r="E140" s="19" t="n"/>
      <c r="F140" s="32" t="n"/>
      <c r="G140" s="32" t="n"/>
      <c r="H140" s="19" t="n"/>
      <c r="I140" s="19" t="n"/>
      <c r="J140" s="19" t="n"/>
      <c r="K140" s="33">
        <f>IF(OR(B140="",F140=""),"",IF(ISNUMBER(F140),F140-TODAY(),"날짜 확인"))</f>
        <v/>
      </c>
      <c r="L140" s="23">
        <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f>
        <v/>
      </c>
      <c r="M140" s="19" t="n"/>
      <c r="N140" s="19" t="n"/>
      <c r="O140" s="19" t="n"/>
      <c r="P140" s="27">
        <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f>
        <v/>
      </c>
    </row>
    <row r="141" ht="24" customHeight="1">
      <c r="A141" s="18" t="n">
        <v>135</v>
      </c>
      <c r="B141" s="19" t="n"/>
      <c r="C141" s="23">
        <f>IF(B141="","",IFERROR(INDEX('01_자재목록'!$D$7:$D$106,MATCH(B141,'01_자재목록'!$B$7:$B$106,0))&amp;"","자재코드 확인"))</f>
        <v/>
      </c>
      <c r="D141" s="19" t="n"/>
      <c r="E141" s="19" t="n"/>
      <c r="F141" s="32" t="n"/>
      <c r="G141" s="32" t="n"/>
      <c r="H141" s="19" t="n"/>
      <c r="I141" s="19" t="n"/>
      <c r="J141" s="19" t="n"/>
      <c r="K141" s="33">
        <f>IF(OR(B141="",F141=""),"",IF(ISNUMBER(F141),F141-TODAY(),"날짜 확인"))</f>
        <v/>
      </c>
      <c r="L141" s="23">
        <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f>
        <v/>
      </c>
      <c r="M141" s="19" t="n"/>
      <c r="N141" s="19" t="n"/>
      <c r="O141" s="19" t="n"/>
      <c r="P141" s="27">
        <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f>
        <v/>
      </c>
    </row>
    <row r="142" ht="24" customHeight="1">
      <c r="A142" s="18" t="n">
        <v>136</v>
      </c>
      <c r="B142" s="19" t="n"/>
      <c r="C142" s="23">
        <f>IF(B142="","",IFERROR(INDEX('01_자재목록'!$D$7:$D$106,MATCH(B142,'01_자재목록'!$B$7:$B$106,0))&amp;"","자재코드 확인"))</f>
        <v/>
      </c>
      <c r="D142" s="19" t="n"/>
      <c r="E142" s="19" t="n"/>
      <c r="F142" s="32" t="n"/>
      <c r="G142" s="32" t="n"/>
      <c r="H142" s="19" t="n"/>
      <c r="I142" s="19" t="n"/>
      <c r="J142" s="19" t="n"/>
      <c r="K142" s="33">
        <f>IF(OR(B142="",F142=""),"",IF(ISNUMBER(F142),F142-TODAY(),"날짜 확인"))</f>
        <v/>
      </c>
      <c r="L142" s="23">
        <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f>
        <v/>
      </c>
      <c r="M142" s="19" t="n"/>
      <c r="N142" s="19" t="n"/>
      <c r="O142" s="19" t="n"/>
      <c r="P142" s="27">
        <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f>
        <v/>
      </c>
    </row>
    <row r="143" ht="24" customHeight="1">
      <c r="A143" s="18" t="n">
        <v>137</v>
      </c>
      <c r="B143" s="19" t="n"/>
      <c r="C143" s="23">
        <f>IF(B143="","",IFERROR(INDEX('01_자재목록'!$D$7:$D$106,MATCH(B143,'01_자재목록'!$B$7:$B$106,0))&amp;"","자재코드 확인"))</f>
        <v/>
      </c>
      <c r="D143" s="19" t="n"/>
      <c r="E143" s="19" t="n"/>
      <c r="F143" s="32" t="n"/>
      <c r="G143" s="32" t="n"/>
      <c r="H143" s="19" t="n"/>
      <c r="I143" s="19" t="n"/>
      <c r="J143" s="19" t="n"/>
      <c r="K143" s="33">
        <f>IF(OR(B143="",F143=""),"",IF(ISNUMBER(F143),F143-TODAY(),"날짜 확인"))</f>
        <v/>
      </c>
      <c r="L143" s="23">
        <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f>
        <v/>
      </c>
      <c r="M143" s="19" t="n"/>
      <c r="N143" s="19" t="n"/>
      <c r="O143" s="19" t="n"/>
      <c r="P143" s="27">
        <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f>
        <v/>
      </c>
    </row>
    <row r="144" ht="24" customHeight="1">
      <c r="A144" s="18" t="n">
        <v>138</v>
      </c>
      <c r="B144" s="19" t="n"/>
      <c r="C144" s="23">
        <f>IF(B144="","",IFERROR(INDEX('01_자재목록'!$D$7:$D$106,MATCH(B144,'01_자재목록'!$B$7:$B$106,0))&amp;"","자재코드 확인"))</f>
        <v/>
      </c>
      <c r="D144" s="19" t="n"/>
      <c r="E144" s="19" t="n"/>
      <c r="F144" s="32" t="n"/>
      <c r="G144" s="32" t="n"/>
      <c r="H144" s="19" t="n"/>
      <c r="I144" s="19" t="n"/>
      <c r="J144" s="19" t="n"/>
      <c r="K144" s="33">
        <f>IF(OR(B144="",F144=""),"",IF(ISNUMBER(F144),F144-TODAY(),"날짜 확인"))</f>
        <v/>
      </c>
      <c r="L144" s="23">
        <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f>
        <v/>
      </c>
      <c r="M144" s="19" t="n"/>
      <c r="N144" s="19" t="n"/>
      <c r="O144" s="19" t="n"/>
      <c r="P144" s="27">
        <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f>
        <v/>
      </c>
    </row>
    <row r="145" ht="24" customHeight="1">
      <c r="A145" s="18" t="n">
        <v>139</v>
      </c>
      <c r="B145" s="19" t="n"/>
      <c r="C145" s="23">
        <f>IF(B145="","",IFERROR(INDEX('01_자재목록'!$D$7:$D$106,MATCH(B145,'01_자재목록'!$B$7:$B$106,0))&amp;"","자재코드 확인"))</f>
        <v/>
      </c>
      <c r="D145" s="19" t="n"/>
      <c r="E145" s="19" t="n"/>
      <c r="F145" s="32" t="n"/>
      <c r="G145" s="32" t="n"/>
      <c r="H145" s="19" t="n"/>
      <c r="I145" s="19" t="n"/>
      <c r="J145" s="19" t="n"/>
      <c r="K145" s="33">
        <f>IF(OR(B145="",F145=""),"",IF(ISNUMBER(F145),F145-TODAY(),"날짜 확인"))</f>
        <v/>
      </c>
      <c r="L145" s="23">
        <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f>
        <v/>
      </c>
      <c r="M145" s="19" t="n"/>
      <c r="N145" s="19" t="n"/>
      <c r="O145" s="19" t="n"/>
      <c r="P145" s="27">
        <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f>
        <v/>
      </c>
    </row>
    <row r="146" ht="24" customHeight="1">
      <c r="A146" s="18" t="n">
        <v>140</v>
      </c>
      <c r="B146" s="19" t="n"/>
      <c r="C146" s="23">
        <f>IF(B146="","",IFERROR(INDEX('01_자재목록'!$D$7:$D$106,MATCH(B146,'01_자재목록'!$B$7:$B$106,0))&amp;"","자재코드 확인"))</f>
        <v/>
      </c>
      <c r="D146" s="19" t="n"/>
      <c r="E146" s="19" t="n"/>
      <c r="F146" s="32" t="n"/>
      <c r="G146" s="32" t="n"/>
      <c r="H146" s="19" t="n"/>
      <c r="I146" s="19" t="n"/>
      <c r="J146" s="19" t="n"/>
      <c r="K146" s="33">
        <f>IF(OR(B146="",F146=""),"",IF(ISNUMBER(F146),F146-TODAY(),"날짜 확인"))</f>
        <v/>
      </c>
      <c r="L146" s="23">
        <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f>
        <v/>
      </c>
      <c r="M146" s="19" t="n"/>
      <c r="N146" s="19" t="n"/>
      <c r="O146" s="19" t="n"/>
      <c r="P146" s="27">
        <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f>
        <v/>
      </c>
    </row>
    <row r="147" ht="24" customHeight="1">
      <c r="A147" s="18" t="n">
        <v>141</v>
      </c>
      <c r="B147" s="19" t="n"/>
      <c r="C147" s="23">
        <f>IF(B147="","",IFERROR(INDEX('01_자재목록'!$D$7:$D$106,MATCH(B147,'01_자재목록'!$B$7:$B$106,0))&amp;"","자재코드 확인"))</f>
        <v/>
      </c>
      <c r="D147" s="19" t="n"/>
      <c r="E147" s="19" t="n"/>
      <c r="F147" s="32" t="n"/>
      <c r="G147" s="32" t="n"/>
      <c r="H147" s="19" t="n"/>
      <c r="I147" s="19" t="n"/>
      <c r="J147" s="19" t="n"/>
      <c r="K147" s="33">
        <f>IF(OR(B147="",F147=""),"",IF(ISNUMBER(F147),F147-TODAY(),"날짜 확인"))</f>
        <v/>
      </c>
      <c r="L147" s="23">
        <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f>
        <v/>
      </c>
      <c r="M147" s="19" t="n"/>
      <c r="N147" s="19" t="n"/>
      <c r="O147" s="19" t="n"/>
      <c r="P147" s="27">
        <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f>
        <v/>
      </c>
    </row>
    <row r="148" ht="24" customHeight="1">
      <c r="A148" s="18" t="n">
        <v>142</v>
      </c>
      <c r="B148" s="19" t="n"/>
      <c r="C148" s="23">
        <f>IF(B148="","",IFERROR(INDEX('01_자재목록'!$D$7:$D$106,MATCH(B148,'01_자재목록'!$B$7:$B$106,0))&amp;"","자재코드 확인"))</f>
        <v/>
      </c>
      <c r="D148" s="19" t="n"/>
      <c r="E148" s="19" t="n"/>
      <c r="F148" s="32" t="n"/>
      <c r="G148" s="32" t="n"/>
      <c r="H148" s="19" t="n"/>
      <c r="I148" s="19" t="n"/>
      <c r="J148" s="19" t="n"/>
      <c r="K148" s="33">
        <f>IF(OR(B148="",F148=""),"",IF(ISNUMBER(F148),F148-TODAY(),"날짜 확인"))</f>
        <v/>
      </c>
      <c r="L148" s="23">
        <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f>
        <v/>
      </c>
      <c r="M148" s="19" t="n"/>
      <c r="N148" s="19" t="n"/>
      <c r="O148" s="19" t="n"/>
      <c r="P148" s="27">
        <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f>
        <v/>
      </c>
    </row>
    <row r="149" ht="24" customHeight="1">
      <c r="A149" s="18" t="n">
        <v>143</v>
      </c>
      <c r="B149" s="19" t="n"/>
      <c r="C149" s="23">
        <f>IF(B149="","",IFERROR(INDEX('01_자재목록'!$D$7:$D$106,MATCH(B149,'01_자재목록'!$B$7:$B$106,0))&amp;"","자재코드 확인"))</f>
        <v/>
      </c>
      <c r="D149" s="19" t="n"/>
      <c r="E149" s="19" t="n"/>
      <c r="F149" s="32" t="n"/>
      <c r="G149" s="32" t="n"/>
      <c r="H149" s="19" t="n"/>
      <c r="I149" s="19" t="n"/>
      <c r="J149" s="19" t="n"/>
      <c r="K149" s="33">
        <f>IF(OR(B149="",F149=""),"",IF(ISNUMBER(F149),F149-TODAY(),"날짜 확인"))</f>
        <v/>
      </c>
      <c r="L149" s="23">
        <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f>
        <v/>
      </c>
      <c r="M149" s="19" t="n"/>
      <c r="N149" s="19" t="n"/>
      <c r="O149" s="19" t="n"/>
      <c r="P149" s="27">
        <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f>
        <v/>
      </c>
    </row>
    <row r="150" ht="24" customHeight="1">
      <c r="A150" s="18" t="n">
        <v>144</v>
      </c>
      <c r="B150" s="19" t="n"/>
      <c r="C150" s="23">
        <f>IF(B150="","",IFERROR(INDEX('01_자재목록'!$D$7:$D$106,MATCH(B150,'01_자재목록'!$B$7:$B$106,0))&amp;"","자재코드 확인"))</f>
        <v/>
      </c>
      <c r="D150" s="19" t="n"/>
      <c r="E150" s="19" t="n"/>
      <c r="F150" s="32" t="n"/>
      <c r="G150" s="32" t="n"/>
      <c r="H150" s="19" t="n"/>
      <c r="I150" s="19" t="n"/>
      <c r="J150" s="19" t="n"/>
      <c r="K150" s="33">
        <f>IF(OR(B150="",F150=""),"",IF(ISNUMBER(F150),F150-TODAY(),"날짜 확인"))</f>
        <v/>
      </c>
      <c r="L150" s="23">
        <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f>
        <v/>
      </c>
      <c r="M150" s="19" t="n"/>
      <c r="N150" s="19" t="n"/>
      <c r="O150" s="19" t="n"/>
      <c r="P150" s="27">
        <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f>
        <v/>
      </c>
    </row>
    <row r="151" ht="24" customHeight="1">
      <c r="A151" s="18" t="n">
        <v>145</v>
      </c>
      <c r="B151" s="19" t="n"/>
      <c r="C151" s="23">
        <f>IF(B151="","",IFERROR(INDEX('01_자재목록'!$D$7:$D$106,MATCH(B151,'01_자재목록'!$B$7:$B$106,0))&amp;"","자재코드 확인"))</f>
        <v/>
      </c>
      <c r="D151" s="19" t="n"/>
      <c r="E151" s="19" t="n"/>
      <c r="F151" s="32" t="n"/>
      <c r="G151" s="32" t="n"/>
      <c r="H151" s="19" t="n"/>
      <c r="I151" s="19" t="n"/>
      <c r="J151" s="19" t="n"/>
      <c r="K151" s="33">
        <f>IF(OR(B151="",F151=""),"",IF(ISNUMBER(F151),F151-TODAY(),"날짜 확인"))</f>
        <v/>
      </c>
      <c r="L151" s="23">
        <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f>
        <v/>
      </c>
      <c r="M151" s="19" t="n"/>
      <c r="N151" s="19" t="n"/>
      <c r="O151" s="19" t="n"/>
      <c r="P151" s="27">
        <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f>
        <v/>
      </c>
    </row>
    <row r="152" ht="24" customHeight="1">
      <c r="A152" s="18" t="n">
        <v>146</v>
      </c>
      <c r="B152" s="19" t="n"/>
      <c r="C152" s="23">
        <f>IF(B152="","",IFERROR(INDEX('01_자재목록'!$D$7:$D$106,MATCH(B152,'01_자재목록'!$B$7:$B$106,0))&amp;"","자재코드 확인"))</f>
        <v/>
      </c>
      <c r="D152" s="19" t="n"/>
      <c r="E152" s="19" t="n"/>
      <c r="F152" s="32" t="n"/>
      <c r="G152" s="32" t="n"/>
      <c r="H152" s="19" t="n"/>
      <c r="I152" s="19" t="n"/>
      <c r="J152" s="19" t="n"/>
      <c r="K152" s="33">
        <f>IF(OR(B152="",F152=""),"",IF(ISNUMBER(F152),F152-TODAY(),"날짜 확인"))</f>
        <v/>
      </c>
      <c r="L152" s="23">
        <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f>
        <v/>
      </c>
      <c r="M152" s="19" t="n"/>
      <c r="N152" s="19" t="n"/>
      <c r="O152" s="19" t="n"/>
      <c r="P152" s="27">
        <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f>
        <v/>
      </c>
    </row>
    <row r="153" ht="24" customHeight="1">
      <c r="A153" s="18" t="n">
        <v>147</v>
      </c>
      <c r="B153" s="19" t="n"/>
      <c r="C153" s="23">
        <f>IF(B153="","",IFERROR(INDEX('01_자재목록'!$D$7:$D$106,MATCH(B153,'01_자재목록'!$B$7:$B$106,0))&amp;"","자재코드 확인"))</f>
        <v/>
      </c>
      <c r="D153" s="19" t="n"/>
      <c r="E153" s="19" t="n"/>
      <c r="F153" s="32" t="n"/>
      <c r="G153" s="32" t="n"/>
      <c r="H153" s="19" t="n"/>
      <c r="I153" s="19" t="n"/>
      <c r="J153" s="19" t="n"/>
      <c r="K153" s="33">
        <f>IF(OR(B153="",F153=""),"",IF(ISNUMBER(F153),F153-TODAY(),"날짜 확인"))</f>
        <v/>
      </c>
      <c r="L153" s="23">
        <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f>
        <v/>
      </c>
      <c r="M153" s="19" t="n"/>
      <c r="N153" s="19" t="n"/>
      <c r="O153" s="19" t="n"/>
      <c r="P153" s="27">
        <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f>
        <v/>
      </c>
    </row>
    <row r="154" ht="24" customHeight="1">
      <c r="A154" s="18" t="n">
        <v>148</v>
      </c>
      <c r="B154" s="19" t="n"/>
      <c r="C154" s="23">
        <f>IF(B154="","",IFERROR(INDEX('01_자재목록'!$D$7:$D$106,MATCH(B154,'01_자재목록'!$B$7:$B$106,0))&amp;"","자재코드 확인"))</f>
        <v/>
      </c>
      <c r="D154" s="19" t="n"/>
      <c r="E154" s="19" t="n"/>
      <c r="F154" s="32" t="n"/>
      <c r="G154" s="32" t="n"/>
      <c r="H154" s="19" t="n"/>
      <c r="I154" s="19" t="n"/>
      <c r="J154" s="19" t="n"/>
      <c r="K154" s="33">
        <f>IF(OR(B154="",F154=""),"",IF(ISNUMBER(F154),F154-TODAY(),"날짜 확인"))</f>
        <v/>
      </c>
      <c r="L154" s="23">
        <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f>
        <v/>
      </c>
      <c r="M154" s="19" t="n"/>
      <c r="N154" s="19" t="n"/>
      <c r="O154" s="19" t="n"/>
      <c r="P154" s="27">
        <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f>
        <v/>
      </c>
    </row>
    <row r="155" ht="24" customHeight="1">
      <c r="A155" s="18" t="n">
        <v>149</v>
      </c>
      <c r="B155" s="19" t="n"/>
      <c r="C155" s="23">
        <f>IF(B155="","",IFERROR(INDEX('01_자재목록'!$D$7:$D$106,MATCH(B155,'01_자재목록'!$B$7:$B$106,0))&amp;"","자재코드 확인"))</f>
        <v/>
      </c>
      <c r="D155" s="19" t="n"/>
      <c r="E155" s="19" t="n"/>
      <c r="F155" s="32" t="n"/>
      <c r="G155" s="32" t="n"/>
      <c r="H155" s="19" t="n"/>
      <c r="I155" s="19" t="n"/>
      <c r="J155" s="19" t="n"/>
      <c r="K155" s="33">
        <f>IF(OR(B155="",F155=""),"",IF(ISNUMBER(F155),F155-TODAY(),"날짜 확인"))</f>
        <v/>
      </c>
      <c r="L155" s="23">
        <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f>
        <v/>
      </c>
      <c r="M155" s="19" t="n"/>
      <c r="N155" s="19" t="n"/>
      <c r="O155" s="19" t="n"/>
      <c r="P155" s="27">
        <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f>
        <v/>
      </c>
    </row>
    <row r="156" ht="24" customHeight="1">
      <c r="A156" s="18" t="n">
        <v>150</v>
      </c>
      <c r="B156" s="19" t="n"/>
      <c r="C156" s="23">
        <f>IF(B156="","",IFERROR(INDEX('01_자재목록'!$D$7:$D$106,MATCH(B156,'01_자재목록'!$B$7:$B$106,0))&amp;"","자재코드 확인"))</f>
        <v/>
      </c>
      <c r="D156" s="19" t="n"/>
      <c r="E156" s="19" t="n"/>
      <c r="F156" s="32" t="n"/>
      <c r="G156" s="32" t="n"/>
      <c r="H156" s="19" t="n"/>
      <c r="I156" s="19" t="n"/>
      <c r="J156" s="19" t="n"/>
      <c r="K156" s="33">
        <f>IF(OR(B156="",F156=""),"",IF(ISNUMBER(F156),F156-TODAY(),"날짜 확인"))</f>
        <v/>
      </c>
      <c r="L156" s="23">
        <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f>
        <v/>
      </c>
      <c r="M156" s="19" t="n"/>
      <c r="N156" s="19" t="n"/>
      <c r="O156" s="19" t="n"/>
      <c r="P156" s="27">
        <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f>
        <v/>
      </c>
    </row>
    <row r="157" ht="24" customHeight="1">
      <c r="A157" s="18" t="n">
        <v>151</v>
      </c>
      <c r="B157" s="19" t="n"/>
      <c r="C157" s="23">
        <f>IF(B157="","",IFERROR(INDEX('01_자재목록'!$D$7:$D$106,MATCH(B157,'01_자재목록'!$B$7:$B$106,0))&amp;"","자재코드 확인"))</f>
        <v/>
      </c>
      <c r="D157" s="19" t="n"/>
      <c r="E157" s="19" t="n"/>
      <c r="F157" s="32" t="n"/>
      <c r="G157" s="32" t="n"/>
      <c r="H157" s="19" t="n"/>
      <c r="I157" s="19" t="n"/>
      <c r="J157" s="19" t="n"/>
      <c r="K157" s="33">
        <f>IF(OR(B157="",F157=""),"",IF(ISNUMBER(F157),F157-TODAY(),"날짜 확인"))</f>
        <v/>
      </c>
      <c r="L157" s="23">
        <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f>
        <v/>
      </c>
      <c r="M157" s="19" t="n"/>
      <c r="N157" s="19" t="n"/>
      <c r="O157" s="19" t="n"/>
      <c r="P157" s="27">
        <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f>
        <v/>
      </c>
    </row>
    <row r="158" ht="24" customHeight="1">
      <c r="A158" s="18" t="n">
        <v>152</v>
      </c>
      <c r="B158" s="19" t="n"/>
      <c r="C158" s="23">
        <f>IF(B158="","",IFERROR(INDEX('01_자재목록'!$D$7:$D$106,MATCH(B158,'01_자재목록'!$B$7:$B$106,0))&amp;"","자재코드 확인"))</f>
        <v/>
      </c>
      <c r="D158" s="19" t="n"/>
      <c r="E158" s="19" t="n"/>
      <c r="F158" s="32" t="n"/>
      <c r="G158" s="32" t="n"/>
      <c r="H158" s="19" t="n"/>
      <c r="I158" s="19" t="n"/>
      <c r="J158" s="19" t="n"/>
      <c r="K158" s="33">
        <f>IF(OR(B158="",F158=""),"",IF(ISNUMBER(F158),F158-TODAY(),"날짜 확인"))</f>
        <v/>
      </c>
      <c r="L158" s="23">
        <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f>
        <v/>
      </c>
      <c r="M158" s="19" t="n"/>
      <c r="N158" s="19" t="n"/>
      <c r="O158" s="19" t="n"/>
      <c r="P158" s="27">
        <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f>
        <v/>
      </c>
    </row>
    <row r="159" ht="24" customHeight="1">
      <c r="A159" s="18" t="n">
        <v>153</v>
      </c>
      <c r="B159" s="19" t="n"/>
      <c r="C159" s="23">
        <f>IF(B159="","",IFERROR(INDEX('01_자재목록'!$D$7:$D$106,MATCH(B159,'01_자재목록'!$B$7:$B$106,0))&amp;"","자재코드 확인"))</f>
        <v/>
      </c>
      <c r="D159" s="19" t="n"/>
      <c r="E159" s="19" t="n"/>
      <c r="F159" s="32" t="n"/>
      <c r="G159" s="32" t="n"/>
      <c r="H159" s="19" t="n"/>
      <c r="I159" s="19" t="n"/>
      <c r="J159" s="19" t="n"/>
      <c r="K159" s="33">
        <f>IF(OR(B159="",F159=""),"",IF(ISNUMBER(F159),F159-TODAY(),"날짜 확인"))</f>
        <v/>
      </c>
      <c r="L159" s="23">
        <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f>
        <v/>
      </c>
      <c r="M159" s="19" t="n"/>
      <c r="N159" s="19" t="n"/>
      <c r="O159" s="19" t="n"/>
      <c r="P159" s="27">
        <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f>
        <v/>
      </c>
    </row>
    <row r="160" ht="24" customHeight="1">
      <c r="A160" s="18" t="n">
        <v>154</v>
      </c>
      <c r="B160" s="19" t="n"/>
      <c r="C160" s="23">
        <f>IF(B160="","",IFERROR(INDEX('01_자재목록'!$D$7:$D$106,MATCH(B160,'01_자재목록'!$B$7:$B$106,0))&amp;"","자재코드 확인"))</f>
        <v/>
      </c>
      <c r="D160" s="19" t="n"/>
      <c r="E160" s="19" t="n"/>
      <c r="F160" s="32" t="n"/>
      <c r="G160" s="32" t="n"/>
      <c r="H160" s="19" t="n"/>
      <c r="I160" s="19" t="n"/>
      <c r="J160" s="19" t="n"/>
      <c r="K160" s="33">
        <f>IF(OR(B160="",F160=""),"",IF(ISNUMBER(F160),F160-TODAY(),"날짜 확인"))</f>
        <v/>
      </c>
      <c r="L160" s="23">
        <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f>
        <v/>
      </c>
      <c r="M160" s="19" t="n"/>
      <c r="N160" s="19" t="n"/>
      <c r="O160" s="19" t="n"/>
      <c r="P160" s="27">
        <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f>
        <v/>
      </c>
    </row>
    <row r="161" ht="24" customHeight="1">
      <c r="A161" s="18" t="n">
        <v>155</v>
      </c>
      <c r="B161" s="19" t="n"/>
      <c r="C161" s="23">
        <f>IF(B161="","",IFERROR(INDEX('01_자재목록'!$D$7:$D$106,MATCH(B161,'01_자재목록'!$B$7:$B$106,0))&amp;"","자재코드 확인"))</f>
        <v/>
      </c>
      <c r="D161" s="19" t="n"/>
      <c r="E161" s="19" t="n"/>
      <c r="F161" s="32" t="n"/>
      <c r="G161" s="32" t="n"/>
      <c r="H161" s="19" t="n"/>
      <c r="I161" s="19" t="n"/>
      <c r="J161" s="19" t="n"/>
      <c r="K161" s="33">
        <f>IF(OR(B161="",F161=""),"",IF(ISNUMBER(F161),F161-TODAY(),"날짜 확인"))</f>
        <v/>
      </c>
      <c r="L161" s="23">
        <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f>
        <v/>
      </c>
      <c r="M161" s="19" t="n"/>
      <c r="N161" s="19" t="n"/>
      <c r="O161" s="19" t="n"/>
      <c r="P161" s="27">
        <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f>
        <v/>
      </c>
    </row>
    <row r="162" ht="24" customHeight="1">
      <c r="A162" s="18" t="n">
        <v>156</v>
      </c>
      <c r="B162" s="19" t="n"/>
      <c r="C162" s="23">
        <f>IF(B162="","",IFERROR(INDEX('01_자재목록'!$D$7:$D$106,MATCH(B162,'01_자재목록'!$B$7:$B$106,0))&amp;"","자재코드 확인"))</f>
        <v/>
      </c>
      <c r="D162" s="19" t="n"/>
      <c r="E162" s="19" t="n"/>
      <c r="F162" s="32" t="n"/>
      <c r="G162" s="32" t="n"/>
      <c r="H162" s="19" t="n"/>
      <c r="I162" s="19" t="n"/>
      <c r="J162" s="19" t="n"/>
      <c r="K162" s="33">
        <f>IF(OR(B162="",F162=""),"",IF(ISNUMBER(F162),F162-TODAY(),"날짜 확인"))</f>
        <v/>
      </c>
      <c r="L162" s="23">
        <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f>
        <v/>
      </c>
      <c r="M162" s="19" t="n"/>
      <c r="N162" s="19" t="n"/>
      <c r="O162" s="19" t="n"/>
      <c r="P162" s="27">
        <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f>
        <v/>
      </c>
    </row>
    <row r="163" ht="24" customHeight="1">
      <c r="A163" s="18" t="n">
        <v>157</v>
      </c>
      <c r="B163" s="19" t="n"/>
      <c r="C163" s="23">
        <f>IF(B163="","",IFERROR(INDEX('01_자재목록'!$D$7:$D$106,MATCH(B163,'01_자재목록'!$B$7:$B$106,0))&amp;"","자재코드 확인"))</f>
        <v/>
      </c>
      <c r="D163" s="19" t="n"/>
      <c r="E163" s="19" t="n"/>
      <c r="F163" s="32" t="n"/>
      <c r="G163" s="32" t="n"/>
      <c r="H163" s="19" t="n"/>
      <c r="I163" s="19" t="n"/>
      <c r="J163" s="19" t="n"/>
      <c r="K163" s="33">
        <f>IF(OR(B163="",F163=""),"",IF(ISNUMBER(F163),F163-TODAY(),"날짜 확인"))</f>
        <v/>
      </c>
      <c r="L163" s="23">
        <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f>
        <v/>
      </c>
      <c r="M163" s="19" t="n"/>
      <c r="N163" s="19" t="n"/>
      <c r="O163" s="19" t="n"/>
      <c r="P163" s="27">
        <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f>
        <v/>
      </c>
    </row>
    <row r="164" ht="24" customHeight="1">
      <c r="A164" s="18" t="n">
        <v>158</v>
      </c>
      <c r="B164" s="19" t="n"/>
      <c r="C164" s="23">
        <f>IF(B164="","",IFERROR(INDEX('01_자재목록'!$D$7:$D$106,MATCH(B164,'01_자재목록'!$B$7:$B$106,0))&amp;"","자재코드 확인"))</f>
        <v/>
      </c>
      <c r="D164" s="19" t="n"/>
      <c r="E164" s="19" t="n"/>
      <c r="F164" s="32" t="n"/>
      <c r="G164" s="32" t="n"/>
      <c r="H164" s="19" t="n"/>
      <c r="I164" s="19" t="n"/>
      <c r="J164" s="19" t="n"/>
      <c r="K164" s="33">
        <f>IF(OR(B164="",F164=""),"",IF(ISNUMBER(F164),F164-TODAY(),"날짜 확인"))</f>
        <v/>
      </c>
      <c r="L164" s="23">
        <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f>
        <v/>
      </c>
      <c r="M164" s="19" t="n"/>
      <c r="N164" s="19" t="n"/>
      <c r="O164" s="19" t="n"/>
      <c r="P164" s="27">
        <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f>
        <v/>
      </c>
    </row>
    <row r="165" ht="24" customHeight="1">
      <c r="A165" s="18" t="n">
        <v>159</v>
      </c>
      <c r="B165" s="19" t="n"/>
      <c r="C165" s="23">
        <f>IF(B165="","",IFERROR(INDEX('01_자재목록'!$D$7:$D$106,MATCH(B165,'01_자재목록'!$B$7:$B$106,0))&amp;"","자재코드 확인"))</f>
        <v/>
      </c>
      <c r="D165" s="19" t="n"/>
      <c r="E165" s="19" t="n"/>
      <c r="F165" s="32" t="n"/>
      <c r="G165" s="32" t="n"/>
      <c r="H165" s="19" t="n"/>
      <c r="I165" s="19" t="n"/>
      <c r="J165" s="19" t="n"/>
      <c r="K165" s="33">
        <f>IF(OR(B165="",F165=""),"",IF(ISNUMBER(F165),F165-TODAY(),"날짜 확인"))</f>
        <v/>
      </c>
      <c r="L165" s="23">
        <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f>
        <v/>
      </c>
      <c r="M165" s="19" t="n"/>
      <c r="N165" s="19" t="n"/>
      <c r="O165" s="19" t="n"/>
      <c r="P165" s="27">
        <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f>
        <v/>
      </c>
    </row>
    <row r="166" ht="24" customHeight="1">
      <c r="A166" s="18" t="n">
        <v>160</v>
      </c>
      <c r="B166" s="19" t="n"/>
      <c r="C166" s="23">
        <f>IF(B166="","",IFERROR(INDEX('01_자재목록'!$D$7:$D$106,MATCH(B166,'01_자재목록'!$B$7:$B$106,0))&amp;"","자재코드 확인"))</f>
        <v/>
      </c>
      <c r="D166" s="19" t="n"/>
      <c r="E166" s="19" t="n"/>
      <c r="F166" s="32" t="n"/>
      <c r="G166" s="32" t="n"/>
      <c r="H166" s="19" t="n"/>
      <c r="I166" s="19" t="n"/>
      <c r="J166" s="19" t="n"/>
      <c r="K166" s="33">
        <f>IF(OR(B166="",F166=""),"",IF(ISNUMBER(F166),F166-TODAY(),"날짜 확인"))</f>
        <v/>
      </c>
      <c r="L166" s="23">
        <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f>
        <v/>
      </c>
      <c r="M166" s="19" t="n"/>
      <c r="N166" s="19" t="n"/>
      <c r="O166" s="19" t="n"/>
      <c r="P166" s="27">
        <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f>
        <v/>
      </c>
    </row>
    <row r="167" ht="24" customHeight="1">
      <c r="A167" s="18" t="n">
        <v>161</v>
      </c>
      <c r="B167" s="19" t="n"/>
      <c r="C167" s="23">
        <f>IF(B167="","",IFERROR(INDEX('01_자재목록'!$D$7:$D$106,MATCH(B167,'01_자재목록'!$B$7:$B$106,0))&amp;"","자재코드 확인"))</f>
        <v/>
      </c>
      <c r="D167" s="19" t="n"/>
      <c r="E167" s="19" t="n"/>
      <c r="F167" s="32" t="n"/>
      <c r="G167" s="32" t="n"/>
      <c r="H167" s="19" t="n"/>
      <c r="I167" s="19" t="n"/>
      <c r="J167" s="19" t="n"/>
      <c r="K167" s="33">
        <f>IF(OR(B167="",F167=""),"",IF(ISNUMBER(F167),F167-TODAY(),"날짜 확인"))</f>
        <v/>
      </c>
      <c r="L167" s="23">
        <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f>
        <v/>
      </c>
      <c r="M167" s="19" t="n"/>
      <c r="N167" s="19" t="n"/>
      <c r="O167" s="19" t="n"/>
      <c r="P167" s="27">
        <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f>
        <v/>
      </c>
    </row>
    <row r="168" ht="24" customHeight="1">
      <c r="A168" s="18" t="n">
        <v>162</v>
      </c>
      <c r="B168" s="19" t="n"/>
      <c r="C168" s="23">
        <f>IF(B168="","",IFERROR(INDEX('01_자재목록'!$D$7:$D$106,MATCH(B168,'01_자재목록'!$B$7:$B$106,0))&amp;"","자재코드 확인"))</f>
        <v/>
      </c>
      <c r="D168" s="19" t="n"/>
      <c r="E168" s="19" t="n"/>
      <c r="F168" s="32" t="n"/>
      <c r="G168" s="32" t="n"/>
      <c r="H168" s="19" t="n"/>
      <c r="I168" s="19" t="n"/>
      <c r="J168" s="19" t="n"/>
      <c r="K168" s="33">
        <f>IF(OR(B168="",F168=""),"",IF(ISNUMBER(F168),F168-TODAY(),"날짜 확인"))</f>
        <v/>
      </c>
      <c r="L168" s="23">
        <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f>
        <v/>
      </c>
      <c r="M168" s="19" t="n"/>
      <c r="N168" s="19" t="n"/>
      <c r="O168" s="19" t="n"/>
      <c r="P168" s="27">
        <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f>
        <v/>
      </c>
    </row>
    <row r="169" ht="24" customHeight="1">
      <c r="A169" s="18" t="n">
        <v>163</v>
      </c>
      <c r="B169" s="19" t="n"/>
      <c r="C169" s="23">
        <f>IF(B169="","",IFERROR(INDEX('01_자재목록'!$D$7:$D$106,MATCH(B169,'01_자재목록'!$B$7:$B$106,0))&amp;"","자재코드 확인"))</f>
        <v/>
      </c>
      <c r="D169" s="19" t="n"/>
      <c r="E169" s="19" t="n"/>
      <c r="F169" s="32" t="n"/>
      <c r="G169" s="32" t="n"/>
      <c r="H169" s="19" t="n"/>
      <c r="I169" s="19" t="n"/>
      <c r="J169" s="19" t="n"/>
      <c r="K169" s="33">
        <f>IF(OR(B169="",F169=""),"",IF(ISNUMBER(F169),F169-TODAY(),"날짜 확인"))</f>
        <v/>
      </c>
      <c r="L169" s="23">
        <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f>
        <v/>
      </c>
      <c r="M169" s="19" t="n"/>
      <c r="N169" s="19" t="n"/>
      <c r="O169" s="19" t="n"/>
      <c r="P169" s="27">
        <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f>
        <v/>
      </c>
    </row>
    <row r="170" ht="24" customHeight="1">
      <c r="A170" s="18" t="n">
        <v>164</v>
      </c>
      <c r="B170" s="19" t="n"/>
      <c r="C170" s="23">
        <f>IF(B170="","",IFERROR(INDEX('01_자재목록'!$D$7:$D$106,MATCH(B170,'01_자재목록'!$B$7:$B$106,0))&amp;"","자재코드 확인"))</f>
        <v/>
      </c>
      <c r="D170" s="19" t="n"/>
      <c r="E170" s="19" t="n"/>
      <c r="F170" s="32" t="n"/>
      <c r="G170" s="32" t="n"/>
      <c r="H170" s="19" t="n"/>
      <c r="I170" s="19" t="n"/>
      <c r="J170" s="19" t="n"/>
      <c r="K170" s="33">
        <f>IF(OR(B170="",F170=""),"",IF(ISNUMBER(F170),F170-TODAY(),"날짜 확인"))</f>
        <v/>
      </c>
      <c r="L170" s="23">
        <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f>
        <v/>
      </c>
      <c r="M170" s="19" t="n"/>
      <c r="N170" s="19" t="n"/>
      <c r="O170" s="19" t="n"/>
      <c r="P170" s="27">
        <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f>
        <v/>
      </c>
    </row>
    <row r="171" ht="24" customHeight="1">
      <c r="A171" s="18" t="n">
        <v>165</v>
      </c>
      <c r="B171" s="19" t="n"/>
      <c r="C171" s="23">
        <f>IF(B171="","",IFERROR(INDEX('01_자재목록'!$D$7:$D$106,MATCH(B171,'01_자재목록'!$B$7:$B$106,0))&amp;"","자재코드 확인"))</f>
        <v/>
      </c>
      <c r="D171" s="19" t="n"/>
      <c r="E171" s="19" t="n"/>
      <c r="F171" s="32" t="n"/>
      <c r="G171" s="32" t="n"/>
      <c r="H171" s="19" t="n"/>
      <c r="I171" s="19" t="n"/>
      <c r="J171" s="19" t="n"/>
      <c r="K171" s="33">
        <f>IF(OR(B171="",F171=""),"",IF(ISNUMBER(F171),F171-TODAY(),"날짜 확인"))</f>
        <v/>
      </c>
      <c r="L171" s="23">
        <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f>
        <v/>
      </c>
      <c r="M171" s="19" t="n"/>
      <c r="N171" s="19" t="n"/>
      <c r="O171" s="19" t="n"/>
      <c r="P171" s="27">
        <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f>
        <v/>
      </c>
    </row>
    <row r="172" ht="24" customHeight="1">
      <c r="A172" s="18" t="n">
        <v>166</v>
      </c>
      <c r="B172" s="19" t="n"/>
      <c r="C172" s="23">
        <f>IF(B172="","",IFERROR(INDEX('01_자재목록'!$D$7:$D$106,MATCH(B172,'01_자재목록'!$B$7:$B$106,0))&amp;"","자재코드 확인"))</f>
        <v/>
      </c>
      <c r="D172" s="19" t="n"/>
      <c r="E172" s="19" t="n"/>
      <c r="F172" s="32" t="n"/>
      <c r="G172" s="32" t="n"/>
      <c r="H172" s="19" t="n"/>
      <c r="I172" s="19" t="n"/>
      <c r="J172" s="19" t="n"/>
      <c r="K172" s="33">
        <f>IF(OR(B172="",F172=""),"",IF(ISNUMBER(F172),F172-TODAY(),"날짜 확인"))</f>
        <v/>
      </c>
      <c r="L172" s="23">
        <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f>
        <v/>
      </c>
      <c r="M172" s="19" t="n"/>
      <c r="N172" s="19" t="n"/>
      <c r="O172" s="19" t="n"/>
      <c r="P172" s="27">
        <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f>
        <v/>
      </c>
    </row>
    <row r="173" ht="24" customHeight="1">
      <c r="A173" s="18" t="n">
        <v>167</v>
      </c>
      <c r="B173" s="19" t="n"/>
      <c r="C173" s="23">
        <f>IF(B173="","",IFERROR(INDEX('01_자재목록'!$D$7:$D$106,MATCH(B173,'01_자재목록'!$B$7:$B$106,0))&amp;"","자재코드 확인"))</f>
        <v/>
      </c>
      <c r="D173" s="19" t="n"/>
      <c r="E173" s="19" t="n"/>
      <c r="F173" s="32" t="n"/>
      <c r="G173" s="32" t="n"/>
      <c r="H173" s="19" t="n"/>
      <c r="I173" s="19" t="n"/>
      <c r="J173" s="19" t="n"/>
      <c r="K173" s="33">
        <f>IF(OR(B173="",F173=""),"",IF(ISNUMBER(F173),F173-TODAY(),"날짜 확인"))</f>
        <v/>
      </c>
      <c r="L173" s="23">
        <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f>
        <v/>
      </c>
      <c r="M173" s="19" t="n"/>
      <c r="N173" s="19" t="n"/>
      <c r="O173" s="19" t="n"/>
      <c r="P173" s="27">
        <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f>
        <v/>
      </c>
    </row>
    <row r="174" ht="24" customHeight="1">
      <c r="A174" s="18" t="n">
        <v>168</v>
      </c>
      <c r="B174" s="19" t="n"/>
      <c r="C174" s="23">
        <f>IF(B174="","",IFERROR(INDEX('01_자재목록'!$D$7:$D$106,MATCH(B174,'01_자재목록'!$B$7:$B$106,0))&amp;"","자재코드 확인"))</f>
        <v/>
      </c>
      <c r="D174" s="19" t="n"/>
      <c r="E174" s="19" t="n"/>
      <c r="F174" s="32" t="n"/>
      <c r="G174" s="32" t="n"/>
      <c r="H174" s="19" t="n"/>
      <c r="I174" s="19" t="n"/>
      <c r="J174" s="19" t="n"/>
      <c r="K174" s="33">
        <f>IF(OR(B174="",F174=""),"",IF(ISNUMBER(F174),F174-TODAY(),"날짜 확인"))</f>
        <v/>
      </c>
      <c r="L174" s="23">
        <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f>
        <v/>
      </c>
      <c r="M174" s="19" t="n"/>
      <c r="N174" s="19" t="n"/>
      <c r="O174" s="19" t="n"/>
      <c r="P174" s="27">
        <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f>
        <v/>
      </c>
    </row>
    <row r="175" ht="24" customHeight="1">
      <c r="A175" s="18" t="n">
        <v>169</v>
      </c>
      <c r="B175" s="19" t="n"/>
      <c r="C175" s="23">
        <f>IF(B175="","",IFERROR(INDEX('01_자재목록'!$D$7:$D$106,MATCH(B175,'01_자재목록'!$B$7:$B$106,0))&amp;"","자재코드 확인"))</f>
        <v/>
      </c>
      <c r="D175" s="19" t="n"/>
      <c r="E175" s="19" t="n"/>
      <c r="F175" s="32" t="n"/>
      <c r="G175" s="32" t="n"/>
      <c r="H175" s="19" t="n"/>
      <c r="I175" s="19" t="n"/>
      <c r="J175" s="19" t="n"/>
      <c r="K175" s="33">
        <f>IF(OR(B175="",F175=""),"",IF(ISNUMBER(F175),F175-TODAY(),"날짜 확인"))</f>
        <v/>
      </c>
      <c r="L175" s="23">
        <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f>
        <v/>
      </c>
      <c r="M175" s="19" t="n"/>
      <c r="N175" s="19" t="n"/>
      <c r="O175" s="19" t="n"/>
      <c r="P175" s="27">
        <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f>
        <v/>
      </c>
    </row>
    <row r="176" ht="24" customHeight="1">
      <c r="A176" s="18" t="n">
        <v>170</v>
      </c>
      <c r="B176" s="19" t="n"/>
      <c r="C176" s="23">
        <f>IF(B176="","",IFERROR(INDEX('01_자재목록'!$D$7:$D$106,MATCH(B176,'01_자재목록'!$B$7:$B$106,0))&amp;"","자재코드 확인"))</f>
        <v/>
      </c>
      <c r="D176" s="19" t="n"/>
      <c r="E176" s="19" t="n"/>
      <c r="F176" s="32" t="n"/>
      <c r="G176" s="32" t="n"/>
      <c r="H176" s="19" t="n"/>
      <c r="I176" s="19" t="n"/>
      <c r="J176" s="19" t="n"/>
      <c r="K176" s="33">
        <f>IF(OR(B176="",F176=""),"",IF(ISNUMBER(F176),F176-TODAY(),"날짜 확인"))</f>
        <v/>
      </c>
      <c r="L176" s="23">
        <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f>
        <v/>
      </c>
      <c r="M176" s="19" t="n"/>
      <c r="N176" s="19" t="n"/>
      <c r="O176" s="19" t="n"/>
      <c r="P176" s="27">
        <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f>
        <v/>
      </c>
    </row>
    <row r="177" ht="24" customHeight="1">
      <c r="A177" s="18" t="n">
        <v>171</v>
      </c>
      <c r="B177" s="19" t="n"/>
      <c r="C177" s="23">
        <f>IF(B177="","",IFERROR(INDEX('01_자재목록'!$D$7:$D$106,MATCH(B177,'01_자재목록'!$B$7:$B$106,0))&amp;"","자재코드 확인"))</f>
        <v/>
      </c>
      <c r="D177" s="19" t="n"/>
      <c r="E177" s="19" t="n"/>
      <c r="F177" s="32" t="n"/>
      <c r="G177" s="32" t="n"/>
      <c r="H177" s="19" t="n"/>
      <c r="I177" s="19" t="n"/>
      <c r="J177" s="19" t="n"/>
      <c r="K177" s="33">
        <f>IF(OR(B177="",F177=""),"",IF(ISNUMBER(F177),F177-TODAY(),"날짜 확인"))</f>
        <v/>
      </c>
      <c r="L177" s="23">
        <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f>
        <v/>
      </c>
      <c r="M177" s="19" t="n"/>
      <c r="N177" s="19" t="n"/>
      <c r="O177" s="19" t="n"/>
      <c r="P177" s="27">
        <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f>
        <v/>
      </c>
    </row>
    <row r="178" ht="24" customHeight="1">
      <c r="A178" s="18" t="n">
        <v>172</v>
      </c>
      <c r="B178" s="19" t="n"/>
      <c r="C178" s="23">
        <f>IF(B178="","",IFERROR(INDEX('01_자재목록'!$D$7:$D$106,MATCH(B178,'01_자재목록'!$B$7:$B$106,0))&amp;"","자재코드 확인"))</f>
        <v/>
      </c>
      <c r="D178" s="19" t="n"/>
      <c r="E178" s="19" t="n"/>
      <c r="F178" s="32" t="n"/>
      <c r="G178" s="32" t="n"/>
      <c r="H178" s="19" t="n"/>
      <c r="I178" s="19" t="n"/>
      <c r="J178" s="19" t="n"/>
      <c r="K178" s="33">
        <f>IF(OR(B178="",F178=""),"",IF(ISNUMBER(F178),F178-TODAY(),"날짜 확인"))</f>
        <v/>
      </c>
      <c r="L178" s="23">
        <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f>
        <v/>
      </c>
      <c r="M178" s="19" t="n"/>
      <c r="N178" s="19" t="n"/>
      <c r="O178" s="19" t="n"/>
      <c r="P178" s="27">
        <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f>
        <v/>
      </c>
    </row>
    <row r="179" ht="24" customHeight="1">
      <c r="A179" s="18" t="n">
        <v>173</v>
      </c>
      <c r="B179" s="19" t="n"/>
      <c r="C179" s="23">
        <f>IF(B179="","",IFERROR(INDEX('01_자재목록'!$D$7:$D$106,MATCH(B179,'01_자재목록'!$B$7:$B$106,0))&amp;"","자재코드 확인"))</f>
        <v/>
      </c>
      <c r="D179" s="19" t="n"/>
      <c r="E179" s="19" t="n"/>
      <c r="F179" s="32" t="n"/>
      <c r="G179" s="32" t="n"/>
      <c r="H179" s="19" t="n"/>
      <c r="I179" s="19" t="n"/>
      <c r="J179" s="19" t="n"/>
      <c r="K179" s="33">
        <f>IF(OR(B179="",F179=""),"",IF(ISNUMBER(F179),F179-TODAY(),"날짜 확인"))</f>
        <v/>
      </c>
      <c r="L179" s="23">
        <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f>
        <v/>
      </c>
      <c r="M179" s="19" t="n"/>
      <c r="N179" s="19" t="n"/>
      <c r="O179" s="19" t="n"/>
      <c r="P179" s="27">
        <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f>
        <v/>
      </c>
    </row>
    <row r="180" ht="24" customHeight="1">
      <c r="A180" s="18" t="n">
        <v>174</v>
      </c>
      <c r="B180" s="19" t="n"/>
      <c r="C180" s="23">
        <f>IF(B180="","",IFERROR(INDEX('01_자재목록'!$D$7:$D$106,MATCH(B180,'01_자재목록'!$B$7:$B$106,0))&amp;"","자재코드 확인"))</f>
        <v/>
      </c>
      <c r="D180" s="19" t="n"/>
      <c r="E180" s="19" t="n"/>
      <c r="F180" s="32" t="n"/>
      <c r="G180" s="32" t="n"/>
      <c r="H180" s="19" t="n"/>
      <c r="I180" s="19" t="n"/>
      <c r="J180" s="19" t="n"/>
      <c r="K180" s="33">
        <f>IF(OR(B180="",F180=""),"",IF(ISNUMBER(F180),F180-TODAY(),"날짜 확인"))</f>
        <v/>
      </c>
      <c r="L180" s="23">
        <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f>
        <v/>
      </c>
      <c r="M180" s="19" t="n"/>
      <c r="N180" s="19" t="n"/>
      <c r="O180" s="19" t="n"/>
      <c r="P180" s="27">
        <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f>
        <v/>
      </c>
    </row>
    <row r="181" ht="24" customHeight="1">
      <c r="A181" s="18" t="n">
        <v>175</v>
      </c>
      <c r="B181" s="19" t="n"/>
      <c r="C181" s="23">
        <f>IF(B181="","",IFERROR(INDEX('01_자재목록'!$D$7:$D$106,MATCH(B181,'01_자재목록'!$B$7:$B$106,0))&amp;"","자재코드 확인"))</f>
        <v/>
      </c>
      <c r="D181" s="19" t="n"/>
      <c r="E181" s="19" t="n"/>
      <c r="F181" s="32" t="n"/>
      <c r="G181" s="32" t="n"/>
      <c r="H181" s="19" t="n"/>
      <c r="I181" s="19" t="n"/>
      <c r="J181" s="19" t="n"/>
      <c r="K181" s="33">
        <f>IF(OR(B181="",F181=""),"",IF(ISNUMBER(F181),F181-TODAY(),"날짜 확인"))</f>
        <v/>
      </c>
      <c r="L181" s="23">
        <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f>
        <v/>
      </c>
      <c r="M181" s="19" t="n"/>
      <c r="N181" s="19" t="n"/>
      <c r="O181" s="19" t="n"/>
      <c r="P181" s="27">
        <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f>
        <v/>
      </c>
    </row>
    <row r="182" ht="24" customHeight="1">
      <c r="A182" s="18" t="n">
        <v>176</v>
      </c>
      <c r="B182" s="19" t="n"/>
      <c r="C182" s="23">
        <f>IF(B182="","",IFERROR(INDEX('01_자재목록'!$D$7:$D$106,MATCH(B182,'01_자재목록'!$B$7:$B$106,0))&amp;"","자재코드 확인"))</f>
        <v/>
      </c>
      <c r="D182" s="19" t="n"/>
      <c r="E182" s="19" t="n"/>
      <c r="F182" s="32" t="n"/>
      <c r="G182" s="32" t="n"/>
      <c r="H182" s="19" t="n"/>
      <c r="I182" s="19" t="n"/>
      <c r="J182" s="19" t="n"/>
      <c r="K182" s="33">
        <f>IF(OR(B182="",F182=""),"",IF(ISNUMBER(F182),F182-TODAY(),"날짜 확인"))</f>
        <v/>
      </c>
      <c r="L182" s="23">
        <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f>
        <v/>
      </c>
      <c r="M182" s="19" t="n"/>
      <c r="N182" s="19" t="n"/>
      <c r="O182" s="19" t="n"/>
      <c r="P182" s="27">
        <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f>
        <v/>
      </c>
    </row>
    <row r="183" ht="24" customHeight="1">
      <c r="A183" s="18" t="n">
        <v>177</v>
      </c>
      <c r="B183" s="19" t="n"/>
      <c r="C183" s="23">
        <f>IF(B183="","",IFERROR(INDEX('01_자재목록'!$D$7:$D$106,MATCH(B183,'01_자재목록'!$B$7:$B$106,0))&amp;"","자재코드 확인"))</f>
        <v/>
      </c>
      <c r="D183" s="19" t="n"/>
      <c r="E183" s="19" t="n"/>
      <c r="F183" s="32" t="n"/>
      <c r="G183" s="32" t="n"/>
      <c r="H183" s="19" t="n"/>
      <c r="I183" s="19" t="n"/>
      <c r="J183" s="19" t="n"/>
      <c r="K183" s="33">
        <f>IF(OR(B183="",F183=""),"",IF(ISNUMBER(F183),F183-TODAY(),"날짜 확인"))</f>
        <v/>
      </c>
      <c r="L183" s="23">
        <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f>
        <v/>
      </c>
      <c r="M183" s="19" t="n"/>
      <c r="N183" s="19" t="n"/>
      <c r="O183" s="19" t="n"/>
      <c r="P183" s="27">
        <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f>
        <v/>
      </c>
    </row>
    <row r="184" ht="24" customHeight="1">
      <c r="A184" s="18" t="n">
        <v>178</v>
      </c>
      <c r="B184" s="19" t="n"/>
      <c r="C184" s="23">
        <f>IF(B184="","",IFERROR(INDEX('01_자재목록'!$D$7:$D$106,MATCH(B184,'01_자재목록'!$B$7:$B$106,0))&amp;"","자재코드 확인"))</f>
        <v/>
      </c>
      <c r="D184" s="19" t="n"/>
      <c r="E184" s="19" t="n"/>
      <c r="F184" s="32" t="n"/>
      <c r="G184" s="32" t="n"/>
      <c r="H184" s="19" t="n"/>
      <c r="I184" s="19" t="n"/>
      <c r="J184" s="19" t="n"/>
      <c r="K184" s="33">
        <f>IF(OR(B184="",F184=""),"",IF(ISNUMBER(F184),F184-TODAY(),"날짜 확인"))</f>
        <v/>
      </c>
      <c r="L184" s="23">
        <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f>
        <v/>
      </c>
      <c r="M184" s="19" t="n"/>
      <c r="N184" s="19" t="n"/>
      <c r="O184" s="19" t="n"/>
      <c r="P184" s="27">
        <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f>
        <v/>
      </c>
    </row>
    <row r="185" ht="24" customHeight="1">
      <c r="A185" s="18" t="n">
        <v>179</v>
      </c>
      <c r="B185" s="19" t="n"/>
      <c r="C185" s="23">
        <f>IF(B185="","",IFERROR(INDEX('01_자재목록'!$D$7:$D$106,MATCH(B185,'01_자재목록'!$B$7:$B$106,0))&amp;"","자재코드 확인"))</f>
        <v/>
      </c>
      <c r="D185" s="19" t="n"/>
      <c r="E185" s="19" t="n"/>
      <c r="F185" s="32" t="n"/>
      <c r="G185" s="32" t="n"/>
      <c r="H185" s="19" t="n"/>
      <c r="I185" s="19" t="n"/>
      <c r="J185" s="19" t="n"/>
      <c r="K185" s="33">
        <f>IF(OR(B185="",F185=""),"",IF(ISNUMBER(F185),F185-TODAY(),"날짜 확인"))</f>
        <v/>
      </c>
      <c r="L185" s="23">
        <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f>
        <v/>
      </c>
      <c r="M185" s="19" t="n"/>
      <c r="N185" s="19" t="n"/>
      <c r="O185" s="19" t="n"/>
      <c r="P185" s="27">
        <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f>
        <v/>
      </c>
    </row>
    <row r="186" ht="24" customHeight="1">
      <c r="A186" s="18" t="n">
        <v>180</v>
      </c>
      <c r="B186" s="19" t="n"/>
      <c r="C186" s="23">
        <f>IF(B186="","",IFERROR(INDEX('01_자재목록'!$D$7:$D$106,MATCH(B186,'01_자재목록'!$B$7:$B$106,0))&amp;"","자재코드 확인"))</f>
        <v/>
      </c>
      <c r="D186" s="19" t="n"/>
      <c r="E186" s="19" t="n"/>
      <c r="F186" s="32" t="n"/>
      <c r="G186" s="32" t="n"/>
      <c r="H186" s="19" t="n"/>
      <c r="I186" s="19" t="n"/>
      <c r="J186" s="19" t="n"/>
      <c r="K186" s="33">
        <f>IF(OR(B186="",F186=""),"",IF(ISNUMBER(F186),F186-TODAY(),"날짜 확인"))</f>
        <v/>
      </c>
      <c r="L186" s="23">
        <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f>
        <v/>
      </c>
      <c r="M186" s="19" t="n"/>
      <c r="N186" s="19" t="n"/>
      <c r="O186" s="19" t="n"/>
      <c r="P186" s="27">
        <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f>
        <v/>
      </c>
    </row>
    <row r="187" ht="24" customHeight="1">
      <c r="A187" s="18" t="n">
        <v>181</v>
      </c>
      <c r="B187" s="19" t="n"/>
      <c r="C187" s="23">
        <f>IF(B187="","",IFERROR(INDEX('01_자재목록'!$D$7:$D$106,MATCH(B187,'01_자재목록'!$B$7:$B$106,0))&amp;"","자재코드 확인"))</f>
        <v/>
      </c>
      <c r="D187" s="19" t="n"/>
      <c r="E187" s="19" t="n"/>
      <c r="F187" s="32" t="n"/>
      <c r="G187" s="32" t="n"/>
      <c r="H187" s="19" t="n"/>
      <c r="I187" s="19" t="n"/>
      <c r="J187" s="19" t="n"/>
      <c r="K187" s="33">
        <f>IF(OR(B187="",F187=""),"",IF(ISNUMBER(F187),F187-TODAY(),"날짜 확인"))</f>
        <v/>
      </c>
      <c r="L187" s="23">
        <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f>
        <v/>
      </c>
      <c r="M187" s="19" t="n"/>
      <c r="N187" s="19" t="n"/>
      <c r="O187" s="19" t="n"/>
      <c r="P187" s="27">
        <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f>
        <v/>
      </c>
    </row>
    <row r="188" ht="24" customHeight="1">
      <c r="A188" s="18" t="n">
        <v>182</v>
      </c>
      <c r="B188" s="19" t="n"/>
      <c r="C188" s="23">
        <f>IF(B188="","",IFERROR(INDEX('01_자재목록'!$D$7:$D$106,MATCH(B188,'01_자재목록'!$B$7:$B$106,0))&amp;"","자재코드 확인"))</f>
        <v/>
      </c>
      <c r="D188" s="19" t="n"/>
      <c r="E188" s="19" t="n"/>
      <c r="F188" s="32" t="n"/>
      <c r="G188" s="32" t="n"/>
      <c r="H188" s="19" t="n"/>
      <c r="I188" s="19" t="n"/>
      <c r="J188" s="19" t="n"/>
      <c r="K188" s="33">
        <f>IF(OR(B188="",F188=""),"",IF(ISNUMBER(F188),F188-TODAY(),"날짜 확인"))</f>
        <v/>
      </c>
      <c r="L188" s="23">
        <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f>
        <v/>
      </c>
      <c r="M188" s="19" t="n"/>
      <c r="N188" s="19" t="n"/>
      <c r="O188" s="19" t="n"/>
      <c r="P188" s="27">
        <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f>
        <v/>
      </c>
    </row>
    <row r="189" ht="24" customHeight="1">
      <c r="A189" s="18" t="n">
        <v>183</v>
      </c>
      <c r="B189" s="19" t="n"/>
      <c r="C189" s="23">
        <f>IF(B189="","",IFERROR(INDEX('01_자재목록'!$D$7:$D$106,MATCH(B189,'01_자재목록'!$B$7:$B$106,0))&amp;"","자재코드 확인"))</f>
        <v/>
      </c>
      <c r="D189" s="19" t="n"/>
      <c r="E189" s="19" t="n"/>
      <c r="F189" s="32" t="n"/>
      <c r="G189" s="32" t="n"/>
      <c r="H189" s="19" t="n"/>
      <c r="I189" s="19" t="n"/>
      <c r="J189" s="19" t="n"/>
      <c r="K189" s="33">
        <f>IF(OR(B189="",F189=""),"",IF(ISNUMBER(F189),F189-TODAY(),"날짜 확인"))</f>
        <v/>
      </c>
      <c r="L189" s="23">
        <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f>
        <v/>
      </c>
      <c r="M189" s="19" t="n"/>
      <c r="N189" s="19" t="n"/>
      <c r="O189" s="19" t="n"/>
      <c r="P189" s="27">
        <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f>
        <v/>
      </c>
    </row>
    <row r="190" ht="24" customHeight="1">
      <c r="A190" s="18" t="n">
        <v>184</v>
      </c>
      <c r="B190" s="19" t="n"/>
      <c r="C190" s="23">
        <f>IF(B190="","",IFERROR(INDEX('01_자재목록'!$D$7:$D$106,MATCH(B190,'01_자재목록'!$B$7:$B$106,0))&amp;"","자재코드 확인"))</f>
        <v/>
      </c>
      <c r="D190" s="19" t="n"/>
      <c r="E190" s="19" t="n"/>
      <c r="F190" s="32" t="n"/>
      <c r="G190" s="32" t="n"/>
      <c r="H190" s="19" t="n"/>
      <c r="I190" s="19" t="n"/>
      <c r="J190" s="19" t="n"/>
      <c r="K190" s="33">
        <f>IF(OR(B190="",F190=""),"",IF(ISNUMBER(F190),F190-TODAY(),"날짜 확인"))</f>
        <v/>
      </c>
      <c r="L190" s="23">
        <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f>
        <v/>
      </c>
      <c r="M190" s="19" t="n"/>
      <c r="N190" s="19" t="n"/>
      <c r="O190" s="19" t="n"/>
      <c r="P190" s="27">
        <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f>
        <v/>
      </c>
    </row>
    <row r="191" ht="24" customHeight="1">
      <c r="A191" s="18" t="n">
        <v>185</v>
      </c>
      <c r="B191" s="19" t="n"/>
      <c r="C191" s="23">
        <f>IF(B191="","",IFERROR(INDEX('01_자재목록'!$D$7:$D$106,MATCH(B191,'01_자재목록'!$B$7:$B$106,0))&amp;"","자재코드 확인"))</f>
        <v/>
      </c>
      <c r="D191" s="19" t="n"/>
      <c r="E191" s="19" t="n"/>
      <c r="F191" s="32" t="n"/>
      <c r="G191" s="32" t="n"/>
      <c r="H191" s="19" t="n"/>
      <c r="I191" s="19" t="n"/>
      <c r="J191" s="19" t="n"/>
      <c r="K191" s="33">
        <f>IF(OR(B191="",F191=""),"",IF(ISNUMBER(F191),F191-TODAY(),"날짜 확인"))</f>
        <v/>
      </c>
      <c r="L191" s="23">
        <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f>
        <v/>
      </c>
      <c r="M191" s="19" t="n"/>
      <c r="N191" s="19" t="n"/>
      <c r="O191" s="19" t="n"/>
      <c r="P191" s="27">
        <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f>
        <v/>
      </c>
    </row>
    <row r="192" ht="24" customHeight="1">
      <c r="A192" s="18" t="n">
        <v>186</v>
      </c>
      <c r="B192" s="19" t="n"/>
      <c r="C192" s="23">
        <f>IF(B192="","",IFERROR(INDEX('01_자재목록'!$D$7:$D$106,MATCH(B192,'01_자재목록'!$B$7:$B$106,0))&amp;"","자재코드 확인"))</f>
        <v/>
      </c>
      <c r="D192" s="19" t="n"/>
      <c r="E192" s="19" t="n"/>
      <c r="F192" s="32" t="n"/>
      <c r="G192" s="32" t="n"/>
      <c r="H192" s="19" t="n"/>
      <c r="I192" s="19" t="n"/>
      <c r="J192" s="19" t="n"/>
      <c r="K192" s="33">
        <f>IF(OR(B192="",F192=""),"",IF(ISNUMBER(F192),F192-TODAY(),"날짜 확인"))</f>
        <v/>
      </c>
      <c r="L192" s="23">
        <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f>
        <v/>
      </c>
      <c r="M192" s="19" t="n"/>
      <c r="N192" s="19" t="n"/>
      <c r="O192" s="19" t="n"/>
      <c r="P192" s="27">
        <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f>
        <v/>
      </c>
    </row>
    <row r="193" ht="24" customHeight="1">
      <c r="A193" s="18" t="n">
        <v>187</v>
      </c>
      <c r="B193" s="19" t="n"/>
      <c r="C193" s="23">
        <f>IF(B193="","",IFERROR(INDEX('01_자재목록'!$D$7:$D$106,MATCH(B193,'01_자재목록'!$B$7:$B$106,0))&amp;"","자재코드 확인"))</f>
        <v/>
      </c>
      <c r="D193" s="19" t="n"/>
      <c r="E193" s="19" t="n"/>
      <c r="F193" s="32" t="n"/>
      <c r="G193" s="32" t="n"/>
      <c r="H193" s="19" t="n"/>
      <c r="I193" s="19" t="n"/>
      <c r="J193" s="19" t="n"/>
      <c r="K193" s="33">
        <f>IF(OR(B193="",F193=""),"",IF(ISNUMBER(F193),F193-TODAY(),"날짜 확인"))</f>
        <v/>
      </c>
      <c r="L193" s="23">
        <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f>
        <v/>
      </c>
      <c r="M193" s="19" t="n"/>
      <c r="N193" s="19" t="n"/>
      <c r="O193" s="19" t="n"/>
      <c r="P193" s="27">
        <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f>
        <v/>
      </c>
    </row>
    <row r="194" ht="24" customHeight="1">
      <c r="A194" s="18" t="n">
        <v>188</v>
      </c>
      <c r="B194" s="19" t="n"/>
      <c r="C194" s="23">
        <f>IF(B194="","",IFERROR(INDEX('01_자재목록'!$D$7:$D$106,MATCH(B194,'01_자재목록'!$B$7:$B$106,0))&amp;"","자재코드 확인"))</f>
        <v/>
      </c>
      <c r="D194" s="19" t="n"/>
      <c r="E194" s="19" t="n"/>
      <c r="F194" s="32" t="n"/>
      <c r="G194" s="32" t="n"/>
      <c r="H194" s="19" t="n"/>
      <c r="I194" s="19" t="n"/>
      <c r="J194" s="19" t="n"/>
      <c r="K194" s="33">
        <f>IF(OR(B194="",F194=""),"",IF(ISNUMBER(F194),F194-TODAY(),"날짜 확인"))</f>
        <v/>
      </c>
      <c r="L194" s="23">
        <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f>
        <v/>
      </c>
      <c r="M194" s="19" t="n"/>
      <c r="N194" s="19" t="n"/>
      <c r="O194" s="19" t="n"/>
      <c r="P194" s="27">
        <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f>
        <v/>
      </c>
    </row>
    <row r="195" ht="24" customHeight="1">
      <c r="A195" s="18" t="n">
        <v>189</v>
      </c>
      <c r="B195" s="19" t="n"/>
      <c r="C195" s="23">
        <f>IF(B195="","",IFERROR(INDEX('01_자재목록'!$D$7:$D$106,MATCH(B195,'01_자재목록'!$B$7:$B$106,0))&amp;"","자재코드 확인"))</f>
        <v/>
      </c>
      <c r="D195" s="19" t="n"/>
      <c r="E195" s="19" t="n"/>
      <c r="F195" s="32" t="n"/>
      <c r="G195" s="32" t="n"/>
      <c r="H195" s="19" t="n"/>
      <c r="I195" s="19" t="n"/>
      <c r="J195" s="19" t="n"/>
      <c r="K195" s="33">
        <f>IF(OR(B195="",F195=""),"",IF(ISNUMBER(F195),F195-TODAY(),"날짜 확인"))</f>
        <v/>
      </c>
      <c r="L195" s="23">
        <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f>
        <v/>
      </c>
      <c r="M195" s="19" t="n"/>
      <c r="N195" s="19" t="n"/>
      <c r="O195" s="19" t="n"/>
      <c r="P195" s="27">
        <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f>
        <v/>
      </c>
    </row>
    <row r="196" ht="24" customHeight="1">
      <c r="A196" s="18" t="n">
        <v>190</v>
      </c>
      <c r="B196" s="19" t="n"/>
      <c r="C196" s="23">
        <f>IF(B196="","",IFERROR(INDEX('01_자재목록'!$D$7:$D$106,MATCH(B196,'01_자재목록'!$B$7:$B$106,0))&amp;"","자재코드 확인"))</f>
        <v/>
      </c>
      <c r="D196" s="19" t="n"/>
      <c r="E196" s="19" t="n"/>
      <c r="F196" s="32" t="n"/>
      <c r="G196" s="32" t="n"/>
      <c r="H196" s="19" t="n"/>
      <c r="I196" s="19" t="n"/>
      <c r="J196" s="19" t="n"/>
      <c r="K196" s="33">
        <f>IF(OR(B196="",F196=""),"",IF(ISNUMBER(F196),F196-TODAY(),"날짜 확인"))</f>
        <v/>
      </c>
      <c r="L196" s="23">
        <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f>
        <v/>
      </c>
      <c r="M196" s="19" t="n"/>
      <c r="N196" s="19" t="n"/>
      <c r="O196" s="19" t="n"/>
      <c r="P196" s="27">
        <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f>
        <v/>
      </c>
    </row>
    <row r="197" ht="24" customHeight="1">
      <c r="A197" s="18" t="n">
        <v>191</v>
      </c>
      <c r="B197" s="19" t="n"/>
      <c r="C197" s="23">
        <f>IF(B197="","",IFERROR(INDEX('01_자재목록'!$D$7:$D$106,MATCH(B197,'01_자재목록'!$B$7:$B$106,0))&amp;"","자재코드 확인"))</f>
        <v/>
      </c>
      <c r="D197" s="19" t="n"/>
      <c r="E197" s="19" t="n"/>
      <c r="F197" s="32" t="n"/>
      <c r="G197" s="32" t="n"/>
      <c r="H197" s="19" t="n"/>
      <c r="I197" s="19" t="n"/>
      <c r="J197" s="19" t="n"/>
      <c r="K197" s="33">
        <f>IF(OR(B197="",F197=""),"",IF(ISNUMBER(F197),F197-TODAY(),"날짜 확인"))</f>
        <v/>
      </c>
      <c r="L197" s="23">
        <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f>
        <v/>
      </c>
      <c r="M197" s="19" t="n"/>
      <c r="N197" s="19" t="n"/>
      <c r="O197" s="19" t="n"/>
      <c r="P197" s="27">
        <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f>
        <v/>
      </c>
    </row>
    <row r="198" ht="24" customHeight="1">
      <c r="A198" s="18" t="n">
        <v>192</v>
      </c>
      <c r="B198" s="19" t="n"/>
      <c r="C198" s="23">
        <f>IF(B198="","",IFERROR(INDEX('01_자재목록'!$D$7:$D$106,MATCH(B198,'01_자재목록'!$B$7:$B$106,0))&amp;"","자재코드 확인"))</f>
        <v/>
      </c>
      <c r="D198" s="19" t="n"/>
      <c r="E198" s="19" t="n"/>
      <c r="F198" s="32" t="n"/>
      <c r="G198" s="32" t="n"/>
      <c r="H198" s="19" t="n"/>
      <c r="I198" s="19" t="n"/>
      <c r="J198" s="19" t="n"/>
      <c r="K198" s="33">
        <f>IF(OR(B198="",F198=""),"",IF(ISNUMBER(F198),F198-TODAY(),"날짜 확인"))</f>
        <v/>
      </c>
      <c r="L198" s="23">
        <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f>
        <v/>
      </c>
      <c r="M198" s="19" t="n"/>
      <c r="N198" s="19" t="n"/>
      <c r="O198" s="19" t="n"/>
      <c r="P198" s="27">
        <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f>
        <v/>
      </c>
    </row>
    <row r="199" ht="24" customHeight="1">
      <c r="A199" s="18" t="n">
        <v>193</v>
      </c>
      <c r="B199" s="19" t="n"/>
      <c r="C199" s="23">
        <f>IF(B199="","",IFERROR(INDEX('01_자재목록'!$D$7:$D$106,MATCH(B199,'01_자재목록'!$B$7:$B$106,0))&amp;"","자재코드 확인"))</f>
        <v/>
      </c>
      <c r="D199" s="19" t="n"/>
      <c r="E199" s="19" t="n"/>
      <c r="F199" s="32" t="n"/>
      <c r="G199" s="32" t="n"/>
      <c r="H199" s="19" t="n"/>
      <c r="I199" s="19" t="n"/>
      <c r="J199" s="19" t="n"/>
      <c r="K199" s="33">
        <f>IF(OR(B199="",F199=""),"",IF(ISNUMBER(F199),F199-TODAY(),"날짜 확인"))</f>
        <v/>
      </c>
      <c r="L199" s="23">
        <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f>
        <v/>
      </c>
      <c r="M199" s="19" t="n"/>
      <c r="N199" s="19" t="n"/>
      <c r="O199" s="19" t="n"/>
      <c r="P199" s="27">
        <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f>
        <v/>
      </c>
    </row>
    <row r="200" ht="24" customHeight="1">
      <c r="A200" s="18" t="n">
        <v>194</v>
      </c>
      <c r="B200" s="19" t="n"/>
      <c r="C200" s="23">
        <f>IF(B200="","",IFERROR(INDEX('01_자재목록'!$D$7:$D$106,MATCH(B200,'01_자재목록'!$B$7:$B$106,0))&amp;"","자재코드 확인"))</f>
        <v/>
      </c>
      <c r="D200" s="19" t="n"/>
      <c r="E200" s="19" t="n"/>
      <c r="F200" s="32" t="n"/>
      <c r="G200" s="32" t="n"/>
      <c r="H200" s="19" t="n"/>
      <c r="I200" s="19" t="n"/>
      <c r="J200" s="19" t="n"/>
      <c r="K200" s="33">
        <f>IF(OR(B200="",F200=""),"",IF(ISNUMBER(F200),F200-TODAY(),"날짜 확인"))</f>
        <v/>
      </c>
      <c r="L200" s="23">
        <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f>
        <v/>
      </c>
      <c r="M200" s="19" t="n"/>
      <c r="N200" s="19" t="n"/>
      <c r="O200" s="19" t="n"/>
      <c r="P200" s="27">
        <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f>
        <v/>
      </c>
    </row>
    <row r="201" ht="24" customHeight="1">
      <c r="A201" s="18" t="n">
        <v>195</v>
      </c>
      <c r="B201" s="19" t="n"/>
      <c r="C201" s="23">
        <f>IF(B201="","",IFERROR(INDEX('01_자재목록'!$D$7:$D$106,MATCH(B201,'01_자재목록'!$B$7:$B$106,0))&amp;"","자재코드 확인"))</f>
        <v/>
      </c>
      <c r="D201" s="19" t="n"/>
      <c r="E201" s="19" t="n"/>
      <c r="F201" s="32" t="n"/>
      <c r="G201" s="32" t="n"/>
      <c r="H201" s="19" t="n"/>
      <c r="I201" s="19" t="n"/>
      <c r="J201" s="19" t="n"/>
      <c r="K201" s="33">
        <f>IF(OR(B201="",F201=""),"",IF(ISNUMBER(F201),F201-TODAY(),"날짜 확인"))</f>
        <v/>
      </c>
      <c r="L201" s="23">
        <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f>
        <v/>
      </c>
      <c r="M201" s="19" t="n"/>
      <c r="N201" s="19" t="n"/>
      <c r="O201" s="19" t="n"/>
      <c r="P201" s="27">
        <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f>
        <v/>
      </c>
    </row>
    <row r="202" ht="24" customHeight="1">
      <c r="A202" s="18" t="n">
        <v>196</v>
      </c>
      <c r="B202" s="19" t="n"/>
      <c r="C202" s="23">
        <f>IF(B202="","",IFERROR(INDEX('01_자재목록'!$D$7:$D$106,MATCH(B202,'01_자재목록'!$B$7:$B$106,0))&amp;"","자재코드 확인"))</f>
        <v/>
      </c>
      <c r="D202" s="19" t="n"/>
      <c r="E202" s="19" t="n"/>
      <c r="F202" s="32" t="n"/>
      <c r="G202" s="32" t="n"/>
      <c r="H202" s="19" t="n"/>
      <c r="I202" s="19" t="n"/>
      <c r="J202" s="19" t="n"/>
      <c r="K202" s="33">
        <f>IF(OR(B202="",F202=""),"",IF(ISNUMBER(F202),F202-TODAY(),"날짜 확인"))</f>
        <v/>
      </c>
      <c r="L202" s="23">
        <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f>
        <v/>
      </c>
      <c r="M202" s="19" t="n"/>
      <c r="N202" s="19" t="n"/>
      <c r="O202" s="19" t="n"/>
      <c r="P202" s="27">
        <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f>
        <v/>
      </c>
    </row>
    <row r="203" ht="24" customHeight="1">
      <c r="A203" s="18" t="n">
        <v>197</v>
      </c>
      <c r="B203" s="19" t="n"/>
      <c r="C203" s="23">
        <f>IF(B203="","",IFERROR(INDEX('01_자재목록'!$D$7:$D$106,MATCH(B203,'01_자재목록'!$B$7:$B$106,0))&amp;"","자재코드 확인"))</f>
        <v/>
      </c>
      <c r="D203" s="19" t="n"/>
      <c r="E203" s="19" t="n"/>
      <c r="F203" s="32" t="n"/>
      <c r="G203" s="32" t="n"/>
      <c r="H203" s="19" t="n"/>
      <c r="I203" s="19" t="n"/>
      <c r="J203" s="19" t="n"/>
      <c r="K203" s="33">
        <f>IF(OR(B203="",F203=""),"",IF(ISNUMBER(F203),F203-TODAY(),"날짜 확인"))</f>
        <v/>
      </c>
      <c r="L203" s="23">
        <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f>
        <v/>
      </c>
      <c r="M203" s="19" t="n"/>
      <c r="N203" s="19" t="n"/>
      <c r="O203" s="19" t="n"/>
      <c r="P203" s="27">
        <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f>
        <v/>
      </c>
    </row>
    <row r="204" ht="24" customHeight="1">
      <c r="A204" s="18" t="n">
        <v>198</v>
      </c>
      <c r="B204" s="19" t="n"/>
      <c r="C204" s="23">
        <f>IF(B204="","",IFERROR(INDEX('01_자재목록'!$D$7:$D$106,MATCH(B204,'01_자재목록'!$B$7:$B$106,0))&amp;"","자재코드 확인"))</f>
        <v/>
      </c>
      <c r="D204" s="19" t="n"/>
      <c r="E204" s="19" t="n"/>
      <c r="F204" s="32" t="n"/>
      <c r="G204" s="32" t="n"/>
      <c r="H204" s="19" t="n"/>
      <c r="I204" s="19" t="n"/>
      <c r="J204" s="19" t="n"/>
      <c r="K204" s="33">
        <f>IF(OR(B204="",F204=""),"",IF(ISNUMBER(F204),F204-TODAY(),"날짜 확인"))</f>
        <v/>
      </c>
      <c r="L204" s="23">
        <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f>
        <v/>
      </c>
      <c r="M204" s="19" t="n"/>
      <c r="N204" s="19" t="n"/>
      <c r="O204" s="19" t="n"/>
      <c r="P204" s="27">
        <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f>
        <v/>
      </c>
    </row>
    <row r="205" ht="24" customHeight="1">
      <c r="A205" s="18" t="n">
        <v>199</v>
      </c>
      <c r="B205" s="19" t="n"/>
      <c r="C205" s="23">
        <f>IF(B205="","",IFERROR(INDEX('01_자재목록'!$D$7:$D$106,MATCH(B205,'01_자재목록'!$B$7:$B$106,0))&amp;"","자재코드 확인"))</f>
        <v/>
      </c>
      <c r="D205" s="19" t="n"/>
      <c r="E205" s="19" t="n"/>
      <c r="F205" s="32" t="n"/>
      <c r="G205" s="32" t="n"/>
      <c r="H205" s="19" t="n"/>
      <c r="I205" s="19" t="n"/>
      <c r="J205" s="19" t="n"/>
      <c r="K205" s="33">
        <f>IF(OR(B205="",F205=""),"",IF(ISNUMBER(F205),F205-TODAY(),"날짜 확인"))</f>
        <v/>
      </c>
      <c r="L205" s="23">
        <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f>
        <v/>
      </c>
      <c r="M205" s="19" t="n"/>
      <c r="N205" s="19" t="n"/>
      <c r="O205" s="19" t="n"/>
      <c r="P205" s="27">
        <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f>
        <v/>
      </c>
    </row>
    <row r="206" ht="24" customHeight="1">
      <c r="A206" s="18" t="n">
        <v>200</v>
      </c>
      <c r="B206" s="19" t="n"/>
      <c r="C206" s="23">
        <f>IF(B206="","",IFERROR(INDEX('01_자재목록'!$D$7:$D$106,MATCH(B206,'01_자재목록'!$B$7:$B$106,0))&amp;"","자재코드 확인"))</f>
        <v/>
      </c>
      <c r="D206" s="19" t="n"/>
      <c r="E206" s="19" t="n"/>
      <c r="F206" s="32" t="n"/>
      <c r="G206" s="32" t="n"/>
      <c r="H206" s="19" t="n"/>
      <c r="I206" s="19" t="n"/>
      <c r="J206" s="19" t="n"/>
      <c r="K206" s="33">
        <f>IF(OR(B206="",F206=""),"",IF(ISNUMBER(F206),F206-TODAY(),"날짜 확인"))</f>
        <v/>
      </c>
      <c r="L206" s="23">
        <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f>
        <v/>
      </c>
      <c r="M206" s="19" t="n"/>
      <c r="N206" s="19" t="n"/>
      <c r="O206" s="19" t="n"/>
      <c r="P206" s="27">
        <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f>
        <v/>
      </c>
    </row>
  </sheetData>
  <mergeCells count="5">
    <mergeCell ref="A5:P5"/>
    <mergeCell ref="A1:P1"/>
    <mergeCell ref="A4:P4"/>
    <mergeCell ref="A3:P3"/>
    <mergeCell ref="A2:P2"/>
  </mergeCells>
  <conditionalFormatting sqref="L7:L2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4">
    <dataValidation sqref="I7:I206" showDropDown="0" showInputMessage="0" showErrorMessage="0" allowBlank="0" type="list">
      <formula1>"양호,습기주의,밀봉필요,격리,폐기대상"</formula1>
    </dataValidation>
    <dataValidation sqref="J7:J206" showDropDown="0" showInputMessage="0" showErrorMessage="0" allowBlank="0" type="list">
      <formula1>"사용중,소진,폐기"</formula1>
    </dataValidation>
    <dataValidation sqref="B7:B206" showDropDown="0" showInputMessage="0" showErrorMessage="0" allowBlank="0" type="list">
      <formula1>INDIRECT("'01_자재목록'!$B$7:$B$106")</formula1>
    </dataValidation>
    <dataValidation sqref="I4" showDropDown="0" showInputMessage="0" showErrorMessage="0" allowBlank="0" type="whole" operator="between">
      <formula1>0</formula1>
      <formula2>365</formula2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6" customWidth="1" min="5" max="5"/>
  </cols>
  <sheetData>
    <row r="1">
      <c r="A1" s="34" t="inlineStr">
        <is>
          <t>용접 부자재 관리대장 — 문서정보 | Rev.00</t>
        </is>
      </c>
    </row>
    <row r="2">
      <c r="A2" t="inlineStr">
        <is>
          <t>(주)신화에이치앤티 | 문서번호 SH-FM-367 | Rev.00 | 문서상태: 승인완료 | 제정일: 2026-10-06 | 개정일: 2026-10-06</t>
        </is>
      </c>
    </row>
    <row r="3">
      <c r="A3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4"/>
    <row r="5">
      <c r="A5" s="35" t="inlineStr">
        <is>
          <t>개정이력</t>
        </is>
      </c>
    </row>
    <row r="6">
      <c r="A6" s="36" t="inlineStr">
        <is>
          <t>개정</t>
        </is>
      </c>
      <c r="B6" s="36" t="inlineStr">
        <is>
          <t>개정일</t>
        </is>
      </c>
      <c r="C6" s="36" t="inlineStr">
        <is>
          <t>개정 내용</t>
        </is>
      </c>
      <c r="D6" s="36" t="inlineStr">
        <is>
          <t>작성</t>
        </is>
      </c>
      <c r="E6" s="36" t="inlineStr">
        <is>
          <t>승인</t>
        </is>
      </c>
    </row>
    <row r="7">
      <c r="A7" s="37" t="inlineStr">
        <is>
          <t>Rev.00</t>
        </is>
      </c>
      <c r="B7" s="37" t="inlineStr">
        <is>
          <t>2026-10-06</t>
        </is>
      </c>
      <c r="C7" s="37" t="inlineStr">
        <is>
          <t>신규 제정(현장 사용 파일 Rev.07 기반, SH-FM-367 부여). 시트: 자재목록·입출고·재고·유효기간</t>
        </is>
      </c>
      <c r="D7" s="37" t="inlineStr"/>
      <c r="E7" s="37" t="inlineStr"/>
    </row>
    <row r="8">
      <c r="A8" s="37" t="inlineStr">
        <is>
          <t>Rev.00(재개정)</t>
        </is>
      </c>
      <c r="B8" s="37" t="inlineStr">
        <is>
          <t>2026-10-06</t>
        </is>
      </c>
      <c r="C8" s="37" t="inlineStr">
        <is>
          <t>주관부서 구매자재팀 지정(사용자 지시 2026-10-12), 그 외 내용 변경 없음</t>
        </is>
      </c>
      <c r="D8" s="37" t="inlineStr"/>
      <c r="E8" s="37" t="inlineStr"/>
    </row>
    <row r="9"/>
    <row r="10">
      <c r="A10" s="36" t="inlineStr">
        <is>
          <t>결재</t>
        </is>
      </c>
      <c r="B10" s="36" t="inlineStr">
        <is>
          <t>작성</t>
        </is>
      </c>
      <c r="C10" s="36" t="inlineStr">
        <is>
          <t>검토</t>
        </is>
      </c>
      <c r="D10" s="36" t="inlineStr">
        <is>
          <t>승인</t>
        </is>
      </c>
      <c r="E10" s="35" t="n"/>
    </row>
    <row r="11">
      <c r="A11" s="37" t="inlineStr">
        <is>
          <t>직책 / 역할</t>
        </is>
      </c>
      <c r="B11" s="37" t="inlineStr">
        <is>
          <t>주관부서 담당</t>
        </is>
      </c>
      <c r="C11" s="37" t="inlineStr">
        <is>
          <t>품질책임자</t>
        </is>
      </c>
      <c r="D11" s="37" t="inlineStr">
        <is>
          <t>대표이사/권한자</t>
        </is>
      </c>
    </row>
    <row r="12">
      <c r="A12" s="37" t="inlineStr">
        <is>
          <t>성명:</t>
        </is>
      </c>
      <c r="B12" s="37" t="inlineStr"/>
      <c r="C12" s="37" t="inlineStr"/>
      <c r="D12" s="37" t="inlineStr"/>
    </row>
    <row r="13">
      <c r="A13" s="37" t="inlineStr">
        <is>
          <t>서명:</t>
        </is>
      </c>
      <c r="B13" s="37" t="inlineStr"/>
      <c r="C13" s="37" t="inlineStr"/>
      <c r="D13" s="37" t="inlineStr"/>
    </row>
    <row r="14">
      <c r="A14" s="37" t="inlineStr">
        <is>
          <t>일자:</t>
        </is>
      </c>
      <c r="B14" s="37" t="inlineStr"/>
      <c r="C14" s="37" t="inlineStr"/>
      <c r="D14" s="37" t="inlineStr"/>
    </row>
    <row r="15"/>
    <row r="16">
      <c r="A16" t="inlineStr">
        <is>
          <t>연계: SH-FM-104(자재 입고·보관·불출 기록)·SH-FM-118(장기재고·유효기간 점검기록) 와 기능이 겹치므로 용접 부자재는 이 양식으로 관리(사용자 결정 2026-10-12)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2026-10-12T07:43:06Z</dcterms:created>
  <dcterms:modified xmlns:dcterms="http://purl.org/dc/terms/" xmlns:xsi="http://www.w3.org/2001/XMLSchema-instance" xsi:type="dcterms:W3CDTF">2026-10-12T22:32:53Z</dcterms:modified>
</cp:coreProperties>
</file>