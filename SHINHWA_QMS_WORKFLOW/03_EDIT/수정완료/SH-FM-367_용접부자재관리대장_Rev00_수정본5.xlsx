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자재목록" sheetId="1" state="visible" r:id="rId1"/>
    <sheet xmlns:r="http://schemas.openxmlformats.org/officeDocument/2006/relationships" name="02_입출고_재고" sheetId="2" state="visible" r:id="rId2"/>
    <sheet xmlns:r="http://schemas.openxmlformats.org/officeDocument/2006/relationships" name="03_유효기간" sheetId="3" state="visible" r:id="rId3"/>
    <sheet xmlns:r="http://schemas.openxmlformats.org/officeDocument/2006/relationships" name="04_문서정보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yyyy-mm-dd"/>
  </numFmts>
  <fonts count="9">
    <font>
      <name val="Carlito"/>
      <sz val="11"/>
    </font>
    <font>
      <name val="맑은 고딕"/>
      <sz val="10"/>
    </font>
    <font>
      <name val="맑은 고딕"/>
      <b val="1"/>
      <color rgb="FF17365D"/>
      <sz val="15"/>
    </font>
    <font>
      <name val="맑은 고딕"/>
      <color rgb="FF666666"/>
      <sz val="10"/>
    </font>
    <font>
      <name val="맑은 고딕"/>
      <b val="1"/>
      <color rgb="FFFFFFFF"/>
      <sz val="10"/>
    </font>
    <font>
      <b val="1"/>
      <sz val="9"/>
    </font>
    <font>
      <sz val="9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1" fillId="3" borderId="0" pivotButton="0" quotePrefix="0" xfId="0"/>
    <xf numFmtId="164" fontId="1" fillId="5" borderId="0" pivotButton="0" quotePrefix="0" xfId="0"/>
    <xf numFmtId="165" fontId="1" fillId="3" borderId="0" pivotButton="0" quotePrefix="0" xfId="0"/>
    <xf numFmtId="1" fontId="1" fillId="5" borderId="0" pivotButton="0" quotePrefix="0" xfId="0"/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8" fillId="0" borderId="1" pivotButton="0" quotePrefix="0" xfId="0"/>
    <xf numFmtId="0" fontId="0" fillId="0" borderId="1" pivotButton="0" quotePrefix="0" xfId="0"/>
  </cellXfs>
  <cellStyles count="1">
    <cellStyle name="Normal" xfId="0"/>
  </cellStyles>
  <dxfs count="14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terials" displayName="Materials" ref="A6:R106" headerRowCount="1" totalsRowCount="0" totalsRowShown="0">
  <tableColumns count="18">
    <tableColumn id="1" name="No"/>
    <tableColumn id="2" name="자재코드"/>
    <tableColumn id="3" name="품목 종류"/>
    <tableColumn id="4" name="자재명"/>
    <tableColumn id="5" name="규격"/>
    <tableColumn id="6" name="재질/등급"/>
    <tableColumn id="7" name="제조사(선택)"/>
    <tableColumn id="8" name="공급업체"/>
    <tableColumn id="9" name="단위"/>
    <tableColumn id="10" name="최소재고"/>
    <tableColumn id="11" name="보관위치"/>
    <tableColumn id="12" name="보관조건"/>
    <tableColumn id="13" name="유효기간 관리대상"/>
    <tableColumn id="14" name="현재재고(자동)"/>
    <tableColumn id="15" name="재고상태(자동)"/>
    <tableColumn id="16" name="유효기간 상태(자동)"/>
    <tableColumn id="17" name="비고(선택)"/>
    <tableColumn id="18" name="관리구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actions" displayName="Transactions" ref="A6:O206" headerRowCount="1" totalsRowCount="0" totalsRowShown="0">
  <tableColumns count="15">
    <tableColumn id="1" name="No"/>
    <tableColumn id="2" name="일자"/>
    <tableColumn id="3" name="구분"/>
    <tableColumn id="4" name="자재코드"/>
    <tableColumn id="5" name="자재명(자동)"/>
    <tableColumn id="6" name="제조 LOT"/>
    <tableColumn id="7" name="사내 입고 LOT"/>
    <tableColumn id="8" name="입고수량"/>
    <tableColumn id="9" name="출고수량"/>
    <tableColumn id="10" name="단위(자동)"/>
    <tableColumn id="11" name="잔량(자동)"/>
    <tableColumn id="12" name="보관위치"/>
    <tableColumn id="13" name="담당자"/>
    <tableColumn id="14" name="비고(선택)"/>
    <tableColumn id="15" name="관리구분(자동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piry" displayName="Expiry" ref="A6:P206" headerRowCount="1" totalsRowCount="0" totalsRowShown="0">
  <tableColumns count="16">
    <tableColumn id="1" name="No"/>
    <tableColumn id="2" name="자재코드"/>
    <tableColumn id="3" name="자재명(자동)"/>
    <tableColumn id="4" name="제조 LOT"/>
    <tableColumn id="5" name="사내 입고 LOT"/>
    <tableColumn id="6" name="유효기한"/>
    <tableColumn id="7" name="개봉일자(해당 시)"/>
    <tableColumn id="8" name="보관위치"/>
    <tableColumn id="9" name="보관상태"/>
    <tableColumn id="10" name="LOT 운영상태"/>
    <tableColumn id="11" name="잔여일수(자동)"/>
    <tableColumn id="12" name="유효기간 상태(자동)"/>
    <tableColumn id="13" name="조치내용"/>
    <tableColumn id="14" name="담당자"/>
    <tableColumn id="15" name="비고(선택)"/>
    <tableColumn id="16" name="관리구분(자동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17" customWidth="1" min="4" max="4"/>
    <col width="24" customWidth="1" min="5" max="5"/>
    <col width="24" customWidth="1" min="6" max="6"/>
    <col width="34" customWidth="1" min="7" max="7"/>
    <col width="24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  <col width="17" customWidth="1" min="14" max="14"/>
    <col width="24" customWidth="1" min="15" max="15"/>
    <col width="24" customWidth="1" min="16" max="16"/>
    <col width="17" customWidth="1" min="17" max="17"/>
    <col width="21" customWidth="1" min="18" max="18"/>
  </cols>
  <sheetData>
    <row r="1" ht="32" customHeight="1">
      <c r="A1" s="2" t="inlineStr">
        <is>
          <t>용접 부자재 관리대장 — 자재 목록 | Rev.00</t>
        </is>
      </c>
    </row>
    <row r="2" ht="44" customHeight="1">
      <c r="A2" s="3" t="inlineStr">
        <is>
          <t>관리구분: 부자재=용접·브레이징 투입 재료 / 소모재=마모·교체 부품. 기존 4품목은 부자재. 오른쪽 관리구분 열에서 선택하며 품목 종류는 별도 유지합니다.</t>
        </is>
      </c>
    </row>
    <row r="3" ht="24" customHeight="1">
      <c r="A3" s="4" t="inlineStr">
        <is>
          <t>노란색: 입력 · 회색: 자동 계산 | 자재 100품목·이력 각 200행. 신규 품목의 관리구분·단위·유효기간 대상을 입력하세요. SH-WEL 코드는 MES 미등록 부자재의 관리코드로 유지(SH-FM-368 확인 2026-10-30). MES 등록 시 대응표를 갱신하세요.</t>
        </is>
      </c>
    </row>
    <row r="4" ht="20" customHeight="1">
      <c r="A4" s="28" t="inlineStr">
        <is>
          <t>(주)신화에이치앤티 | 문서번호 SH-FM-367 | Rev.00 | 문서상태: 개정초안(미승인)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품목 종류</t>
        </is>
      </c>
      <c r="D6" s="9" t="inlineStr">
        <is>
          <t>자재명</t>
        </is>
      </c>
      <c r="E6" s="9" t="inlineStr">
        <is>
          <t>규격</t>
        </is>
      </c>
      <c r="F6" s="9" t="inlineStr">
        <is>
          <t>재질/등급</t>
        </is>
      </c>
      <c r="G6" s="9" t="inlineStr">
        <is>
          <t>제조사(선택)</t>
        </is>
      </c>
      <c r="H6" s="9" t="inlineStr">
        <is>
          <t>공급업체</t>
        </is>
      </c>
      <c r="I6" s="9" t="inlineStr">
        <is>
          <t>단위</t>
        </is>
      </c>
      <c r="J6" s="9" t="inlineStr">
        <is>
          <t>최소재고</t>
        </is>
      </c>
      <c r="K6" s="9" t="inlineStr">
        <is>
          <t>보관위치</t>
        </is>
      </c>
      <c r="L6" s="9" t="inlineStr">
        <is>
          <t>보관조건</t>
        </is>
      </c>
      <c r="M6" s="9" t="inlineStr">
        <is>
          <t>유효기간 관리대상</t>
        </is>
      </c>
      <c r="N6" s="9" t="inlineStr">
        <is>
          <t>현재재고(자동)</t>
        </is>
      </c>
      <c r="O6" s="9" t="inlineStr">
        <is>
          <t>재고상태(자동)</t>
        </is>
      </c>
      <c r="P6" s="9" t="inlineStr">
        <is>
          <t>유효기간 상태(자동)</t>
        </is>
      </c>
      <c r="Q6" s="9" t="inlineStr">
        <is>
          <t>비고(선택)</t>
        </is>
      </c>
      <c r="R6" s="9" t="inlineStr">
        <is>
          <t>관리구분</t>
        </is>
      </c>
    </row>
    <row r="7" ht="38" customHeight="1">
      <c r="A7" s="18" t="n">
        <v>1</v>
      </c>
      <c r="B7" s="19" t="inlineStr">
        <is>
          <t>SH-WEL-BR-001</t>
        </is>
      </c>
      <c r="C7" s="19" t="inlineStr">
        <is>
          <t>브레이징재</t>
        </is>
      </c>
      <c r="D7" s="19" t="inlineStr">
        <is>
          <t>BRAZE RING</t>
        </is>
      </c>
      <c r="E7" s="19" t="inlineStr">
        <is>
          <t>A4047 1.6*10.0</t>
        </is>
      </c>
      <c r="F7" s="19" t="inlineStr">
        <is>
          <t>A4047</t>
        </is>
      </c>
      <c r="G7" s="20" t="inlineStr">
        <is>
          <t>Neis Co. Ltd.</t>
        </is>
      </c>
      <c r="H7" s="19" t="inlineStr">
        <is>
          <t>창운상사</t>
        </is>
      </c>
      <c r="I7" s="19" t="inlineStr">
        <is>
          <t>EA</t>
        </is>
      </c>
      <c r="J7" s="30" t="n"/>
      <c r="K7" s="19" t="inlineStr">
        <is>
          <t>2동_용접실</t>
        </is>
      </c>
      <c r="L7" s="19" t="inlineStr">
        <is>
          <t>습기·오염 방지</t>
        </is>
      </c>
      <c r="M7" s="19" t="inlineStr">
        <is>
          <t>미확인</t>
        </is>
      </c>
      <c r="N7" s="31">
        <f>IF(B7="","",IF(OR(COUNTIF('02_입출고_재고'!$D$7:$D$206,B7)=0,COUNTIFS('02_입출고_재고'!$D$7:$D$206,B7,'02_입출고_재고'!$K$7:$K$206,"자재코드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확인")&gt;0),"",SUMIFS('02_입출고_재고'!$H$7:$H$206,'02_입출고_재고'!$D$7:$D$206,B7)-SUMIFS('02_입출고_재고'!$I$7:$I$206,'02_입출고_재고'!$D$7:$D$206,B7)))</f>
        <v/>
      </c>
      <c r="O7" s="23">
        <f>IF(B7="","",IF(COUNTIF($B$7:$B$106,B7)&gt;1,"코드 중복",IF(COUNTIF('02_입출고_재고'!$D$7:$D$206,B7)=0,"미등록",IF(COUNTIFS('02_입출고_재고'!$D$7:$D$206,B7,'02_입출고_재고'!$K$7:$K$206,"자재코드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확인")&gt;0,"입출고 입력 확인",IF(N7&lt;0,"출고수량 초과",IF(J7="","최소재고 미설정",IF(OR(NOT(ISNUMBER(J7)),J7&lt;0),"최소재고 확인",IF(N7&lt;J7,"재고부족","정상"))))))))</f>
        <v/>
      </c>
      <c r="P7" s="23">
        <f>IF(B7="","",IF(M7="해당없음","해당없음",IF(M7&lt;&gt;"대상","대상 여부 확인",IF(COUNTIF('03_유효기간'!$B$7:$B$206,B7)=0,"미등록",IF(COUNTIFS('03_유효기간'!$B$7:$B$206,B7,'03_유효기간'!$L$7:$L$206,"미입력")+COUNTIFS('03_유효기간'!$B$7:$B$206,B7,'03_유효기간'!$L$7:$L$206,"LOT 미입력")&gt;0,"유효기한/LOT 미입력",IF(COUNTIFS('03_유효기간'!$B$7:$B$206,B7,'03_유효기간'!$L$7:$L$206,"날짜 확인")&gt;0,"날짜 확인",IF(COUNTIFS('03_유효기간'!$B$7:$B$206,B7,'03_유효기간'!$L$7:$L$206,"만료")&gt;0,"만료",IF(COUNTIFS('03_유효기간'!$B$7:$B$206,B7,'03_유효기간'!$L$7:$L$206,"유효기간 임박")&gt;0,"유효기간 임박",IF(COUNTIFS('03_유효기간'!$B$7:$B$206,B7,'03_유효기간'!$L$7:$L$206,"정상")&gt;0,"정상","활성 LOT 없음")))))))))</f>
        <v/>
      </c>
      <c r="Q7" s="19" t="n"/>
      <c r="R7" s="26" t="inlineStr">
        <is>
          <t>부자재</t>
        </is>
      </c>
    </row>
    <row r="8" ht="38" customHeight="1">
      <c r="A8" s="18" t="n">
        <v>2</v>
      </c>
      <c r="B8" s="19" t="inlineStr">
        <is>
          <t>SH-WEL-BR-002</t>
        </is>
      </c>
      <c r="C8" s="19" t="inlineStr">
        <is>
          <t>브레이징재</t>
        </is>
      </c>
      <c r="D8" s="19" t="inlineStr">
        <is>
          <t>BRAZE RING</t>
        </is>
      </c>
      <c r="E8" s="19" t="inlineStr">
        <is>
          <t>A4045 1.6*12.0</t>
        </is>
      </c>
      <c r="F8" s="19" t="inlineStr">
        <is>
          <t>A4045</t>
        </is>
      </c>
      <c r="G8" s="20" t="inlineStr">
        <is>
          <t>Neis Co. Ltd.</t>
        </is>
      </c>
      <c r="H8" s="19" t="inlineStr">
        <is>
          <t>창운상사</t>
        </is>
      </c>
      <c r="I8" s="19" t="inlineStr">
        <is>
          <t>EA</t>
        </is>
      </c>
      <c r="J8" s="30" t="n"/>
      <c r="K8" s="19" t="inlineStr">
        <is>
          <t>2동_용접실</t>
        </is>
      </c>
      <c r="L8" s="19" t="inlineStr">
        <is>
          <t>습기·오염 방지</t>
        </is>
      </c>
      <c r="M8" s="19" t="inlineStr">
        <is>
          <t>미확인</t>
        </is>
      </c>
      <c r="N8" s="31">
        <f>IF(B8="","",IF(OR(COUNTIF('02_입출고_재고'!$D$7:$D$206,B8)=0,COUNTIFS('02_입출고_재고'!$D$7:$D$206,B8,'02_입출고_재고'!$K$7:$K$206,"자재코드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확인")&gt;0),"",SUMIFS('02_입출고_재고'!$H$7:$H$206,'02_입출고_재고'!$D$7:$D$206,B8)-SUMIFS('02_입출고_재고'!$I$7:$I$206,'02_입출고_재고'!$D$7:$D$206,B8)))</f>
        <v/>
      </c>
      <c r="O8" s="23">
        <f>IF(B8="","",IF(COUNTIF($B$7:$B$106,B8)&gt;1,"코드 중복",IF(COUNTIF('02_입출고_재고'!$D$7:$D$206,B8)=0,"미등록",IF(COUNTIFS('02_입출고_재고'!$D$7:$D$206,B8,'02_입출고_재고'!$K$7:$K$206,"자재코드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확인")&gt;0,"입출고 입력 확인",IF(N8&lt;0,"출고수량 초과",IF(J8="","최소재고 미설정",IF(OR(NOT(ISNUMBER(J8)),J8&lt;0),"최소재고 확인",IF(N8&lt;J8,"재고부족","정상"))))))))</f>
        <v/>
      </c>
      <c r="P8" s="23">
        <f>IF(B8="","",IF(M8="해당없음","해당없음",IF(M8&lt;&gt;"대상","대상 여부 확인",IF(COUNTIF('03_유효기간'!$B$7:$B$206,B8)=0,"미등록",IF(COUNTIFS('03_유효기간'!$B$7:$B$206,B8,'03_유효기간'!$L$7:$L$206,"미입력")+COUNTIFS('03_유효기간'!$B$7:$B$206,B8,'03_유효기간'!$L$7:$L$206,"LOT 미입력")&gt;0,"유효기한/LOT 미입력",IF(COUNTIFS('03_유효기간'!$B$7:$B$206,B8,'03_유효기간'!$L$7:$L$206,"날짜 확인")&gt;0,"날짜 확인",IF(COUNTIFS('03_유효기간'!$B$7:$B$206,B8,'03_유효기간'!$L$7:$L$206,"만료")&gt;0,"만료",IF(COUNTIFS('03_유효기간'!$B$7:$B$206,B8,'03_유효기간'!$L$7:$L$206,"유효기간 임박")&gt;0,"유효기간 임박",IF(COUNTIFS('03_유효기간'!$B$7:$B$206,B8,'03_유효기간'!$L$7:$L$206,"정상")&gt;0,"정상","활성 LOT 없음")))))))))</f>
        <v/>
      </c>
      <c r="Q8" s="19" t="n"/>
      <c r="R8" s="26" t="inlineStr">
        <is>
          <t>부자재</t>
        </is>
      </c>
    </row>
    <row r="9" ht="38" customHeight="1">
      <c r="A9" s="18" t="n">
        <v>3</v>
      </c>
      <c r="B9" s="19" t="inlineStr">
        <is>
          <t>SH-WEL-WR-001</t>
        </is>
      </c>
      <c r="C9" s="19" t="inlineStr">
        <is>
          <t>용접봉/전극</t>
        </is>
      </c>
      <c r="D9" s="19" t="inlineStr">
        <is>
          <t>용접봉</t>
        </is>
      </c>
      <c r="E9" s="19" t="inlineStr">
        <is>
          <t>A4045 Φ2.0 Spool</t>
        </is>
      </c>
      <c r="F9" s="19" t="inlineStr">
        <is>
          <t>A4045</t>
        </is>
      </c>
      <c r="G9" s="20" t="inlineStr">
        <is>
          <t>Kinzoku Youzai Co., Ltd.(일본)</t>
        </is>
      </c>
      <c r="H9" s="19" t="inlineStr">
        <is>
          <t>창운상사</t>
        </is>
      </c>
      <c r="I9" s="19" t="inlineStr">
        <is>
          <t>㎏</t>
        </is>
      </c>
      <c r="J9" s="30" t="n">
        <v>10</v>
      </c>
      <c r="K9" s="19" t="inlineStr">
        <is>
          <t>2동_용접실</t>
        </is>
      </c>
      <c r="L9" s="19" t="inlineStr">
        <is>
          <t>습기·오염 방지</t>
        </is>
      </c>
      <c r="M9" s="19" t="inlineStr">
        <is>
          <t>미확인</t>
        </is>
      </c>
      <c r="N9" s="31">
        <f>IF(B9="","",IF(OR(COUNTIF('02_입출고_재고'!$D$7:$D$206,B9)=0,COUNTIFS('02_입출고_재고'!$D$7:$D$206,B9,'02_입출고_재고'!$K$7:$K$206,"자재코드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확인")&gt;0),"",SUMIFS('02_입출고_재고'!$H$7:$H$206,'02_입출고_재고'!$D$7:$D$206,B9)-SUMIFS('02_입출고_재고'!$I$7:$I$206,'02_입출고_재고'!$D$7:$D$206,B9)))</f>
        <v/>
      </c>
      <c r="O9" s="23">
        <f>IF(B9="","",IF(COUNTIF($B$7:$B$106,B9)&gt;1,"코드 중복",IF(COUNTIF('02_입출고_재고'!$D$7:$D$206,B9)=0,"미등록",IF(COUNTIFS('02_입출고_재고'!$D$7:$D$206,B9,'02_입출고_재고'!$K$7:$K$206,"자재코드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확인")&gt;0,"입출고 입력 확인",IF(N9&lt;0,"출고수량 초과",IF(J9="","최소재고 미설정",IF(OR(NOT(ISNUMBER(J9)),J9&lt;0),"최소재고 확인",IF(N9&lt;J9,"재고부족","정상"))))))))</f>
        <v/>
      </c>
      <c r="P9" s="23">
        <f>IF(B9="","",IF(M9="해당없음","해당없음",IF(M9&lt;&gt;"대상","대상 여부 확인",IF(COUNTIF('03_유효기간'!$B$7:$B$206,B9)=0,"미등록",IF(COUNTIFS('03_유효기간'!$B$7:$B$206,B9,'03_유효기간'!$L$7:$L$206,"미입력")+COUNTIFS('03_유효기간'!$B$7:$B$206,B9,'03_유효기간'!$L$7:$L$206,"LOT 미입력")&gt;0,"유효기한/LOT 미입력",IF(COUNTIFS('03_유효기간'!$B$7:$B$206,B9,'03_유효기간'!$L$7:$L$206,"날짜 확인")&gt;0,"날짜 확인",IF(COUNTIFS('03_유효기간'!$B$7:$B$206,B9,'03_유효기간'!$L$7:$L$206,"만료")&gt;0,"만료",IF(COUNTIFS('03_유효기간'!$B$7:$B$206,B9,'03_유효기간'!$L$7:$L$206,"유효기간 임박")&gt;0,"유효기간 임박",IF(COUNTIFS('03_유효기간'!$B$7:$B$206,B9,'03_유효기간'!$L$7:$L$206,"정상")&gt;0,"정상","활성 LOT 없음")))))))))</f>
        <v/>
      </c>
      <c r="Q9" s="19" t="n"/>
      <c r="R9" s="26" t="inlineStr">
        <is>
          <t>부자재</t>
        </is>
      </c>
    </row>
    <row r="10" ht="38" customHeight="1">
      <c r="A10" s="18" t="n">
        <v>4</v>
      </c>
      <c r="B10" s="19" t="inlineStr">
        <is>
          <t>SH-WEL-FL-001</t>
        </is>
      </c>
      <c r="C10" s="19" t="inlineStr">
        <is>
          <t>플럭스</t>
        </is>
      </c>
      <c r="D10" s="19" t="inlineStr">
        <is>
          <t>Solvay Flux</t>
        </is>
      </c>
      <c r="E10" s="19" t="inlineStr">
        <is>
          <t xml:space="preserve"> 0726-2Zn</t>
        </is>
      </c>
      <c r="F10" s="19" t="n"/>
      <c r="G10" s="20" t="inlineStr">
        <is>
          <t>Solvay(독일)</t>
        </is>
      </c>
      <c r="H10" s="19" t="inlineStr">
        <is>
          <t>창운상사</t>
        </is>
      </c>
      <c r="I10" s="19" t="inlineStr">
        <is>
          <t>㎏</t>
        </is>
      </c>
      <c r="J10" s="30" t="n">
        <v>5</v>
      </c>
      <c r="K10" s="19" t="inlineStr">
        <is>
          <t>2동_용접실</t>
        </is>
      </c>
      <c r="L10" s="19" t="inlineStr">
        <is>
          <t>밀봉·습기 방지</t>
        </is>
      </c>
      <c r="M10" s="19" t="inlineStr">
        <is>
          <t>대상</t>
        </is>
      </c>
      <c r="N10" s="31">
        <f>IF(B10="","",IF(OR(COUNTIF('02_입출고_재고'!$D$7:$D$206,B10)=0,COUNTIFS('02_입출고_재고'!$D$7:$D$206,B10,'02_입출고_재고'!$K$7:$K$206,"자재코드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확인")&gt;0),"",SUMIFS('02_입출고_재고'!$H$7:$H$206,'02_입출고_재고'!$D$7:$D$206,B10)-SUMIFS('02_입출고_재고'!$I$7:$I$206,'02_입출고_재고'!$D$7:$D$206,B10)))</f>
        <v/>
      </c>
      <c r="O10" s="23">
        <f>IF(B10="","",IF(COUNTIF($B$7:$B$106,B10)&gt;1,"코드 중복",IF(COUNTIF('02_입출고_재고'!$D$7:$D$206,B10)=0,"미등록",IF(COUNTIFS('02_입출고_재고'!$D$7:$D$206,B10,'02_입출고_재고'!$K$7:$K$206,"자재코드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확인")&gt;0,"입출고 입력 확인",IF(N10&lt;0,"출고수량 초과",IF(J10="","최소재고 미설정",IF(OR(NOT(ISNUMBER(J10)),J10&lt;0),"최소재고 확인",IF(N10&lt;J10,"재고부족","정상"))))))))</f>
        <v/>
      </c>
      <c r="P10" s="23">
        <f>IF(B10="","",IF(M10="해당없음","해당없음",IF(M10&lt;&gt;"대상","대상 여부 확인",IF(COUNTIF('03_유효기간'!$B$7:$B$206,B10)=0,"미등록",IF(COUNTIFS('03_유효기간'!$B$7:$B$206,B10,'03_유효기간'!$L$7:$L$206,"미입력")+COUNTIFS('03_유효기간'!$B$7:$B$206,B10,'03_유효기간'!$L$7:$L$206,"LOT 미입력")&gt;0,"유효기한/LOT 미입력",IF(COUNTIFS('03_유효기간'!$B$7:$B$206,B10,'03_유효기간'!$L$7:$L$206,"날짜 확인")&gt;0,"날짜 확인",IF(COUNTIFS('03_유효기간'!$B$7:$B$206,B10,'03_유효기간'!$L$7:$L$206,"만료")&gt;0,"만료",IF(COUNTIFS('03_유효기간'!$B$7:$B$206,B10,'03_유효기간'!$L$7:$L$206,"유효기간 임박")&gt;0,"유효기간 임박",IF(COUNTIFS('03_유효기간'!$B$7:$B$206,B10,'03_유효기간'!$L$7:$L$206,"정상")&gt;0,"정상","활성 LOT 없음")))))))))</f>
        <v/>
      </c>
      <c r="Q10" s="19" t="n"/>
      <c r="R10" s="26" t="inlineStr">
        <is>
          <t>부자재</t>
        </is>
      </c>
    </row>
    <row r="11" ht="24" customHeight="1">
      <c r="A11" s="18" t="n">
        <v>5</v>
      </c>
      <c r="B11" s="19" t="n"/>
      <c r="C11" s="19" t="n"/>
      <c r="D11" s="19" t="n"/>
      <c r="E11" s="19" t="n"/>
      <c r="F11" s="19" t="n"/>
      <c r="G11" s="20" t="n"/>
      <c r="H11" s="19" t="n"/>
      <c r="I11" s="19" t="n"/>
      <c r="J11" s="30" t="n"/>
      <c r="K11" s="19" t="n"/>
      <c r="L11" s="19" t="n"/>
      <c r="M11" s="19" t="n"/>
      <c r="N11" s="31">
        <f>IF(B11="","",IF(OR(COUNTIF('02_입출고_재고'!$D$7:$D$206,B11)=0,COUNTIFS('02_입출고_재고'!$D$7:$D$206,B11,'02_입출고_재고'!$K$7:$K$206,"자재코드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확인")&gt;0),"",SUMIFS('02_입출고_재고'!$H$7:$H$206,'02_입출고_재고'!$D$7:$D$206,B11)-SUMIFS('02_입출고_재고'!$I$7:$I$206,'02_입출고_재고'!$D$7:$D$206,B11)))</f>
        <v/>
      </c>
      <c r="O11" s="23">
        <f>IF(B11="","",IF(COUNTIF($B$7:$B$106,B11)&gt;1,"코드 중복",IF(COUNTIF('02_입출고_재고'!$D$7:$D$206,B11)=0,"미등록",IF(COUNTIFS('02_입출고_재고'!$D$7:$D$206,B11,'02_입출고_재고'!$K$7:$K$206,"자재코드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확인")&gt;0,"입출고 입력 확인",IF(N11&lt;0,"출고수량 초과",IF(J11="","최소재고 미설정",IF(OR(NOT(ISNUMBER(J11)),J11&lt;0),"최소재고 확인",IF(N11&lt;J11,"재고부족","정상"))))))))</f>
        <v/>
      </c>
      <c r="P11" s="23">
        <f>IF(B11="","",IF(M11="해당없음","해당없음",IF(M11&lt;&gt;"대상","대상 여부 확인",IF(COUNTIF('03_유효기간'!$B$7:$B$206,B11)=0,"미등록",IF(COUNTIFS('03_유효기간'!$B$7:$B$206,B11,'03_유효기간'!$L$7:$L$206,"미입력")+COUNTIFS('03_유효기간'!$B$7:$B$206,B11,'03_유효기간'!$L$7:$L$206,"LOT 미입력")&gt;0,"유효기한/LOT 미입력",IF(COUNTIFS('03_유효기간'!$B$7:$B$206,B11,'03_유효기간'!$L$7:$L$206,"날짜 확인")&gt;0,"날짜 확인",IF(COUNTIFS('03_유효기간'!$B$7:$B$206,B11,'03_유효기간'!$L$7:$L$206,"만료")&gt;0,"만료",IF(COUNTIFS('03_유효기간'!$B$7:$B$206,B11,'03_유효기간'!$L$7:$L$206,"유효기간 임박")&gt;0,"유효기간 임박",IF(COUNTIFS('03_유효기간'!$B$7:$B$206,B11,'03_유효기간'!$L$7:$L$206,"정상")&gt;0,"정상","활성 LOT 없음")))))))))</f>
        <v/>
      </c>
      <c r="Q11" s="19" t="n"/>
      <c r="R11" s="26" t="n"/>
    </row>
    <row r="12" ht="24" customHeight="1">
      <c r="A12" s="18" t="n">
        <v>6</v>
      </c>
      <c r="B12" s="19" t="n"/>
      <c r="C12" s="19" t="n"/>
      <c r="D12" s="19" t="n"/>
      <c r="E12" s="19" t="n"/>
      <c r="F12" s="19" t="n"/>
      <c r="G12" s="20" t="n"/>
      <c r="H12" s="19" t="n"/>
      <c r="I12" s="19" t="n"/>
      <c r="J12" s="30" t="n"/>
      <c r="K12" s="19" t="n"/>
      <c r="L12" s="19" t="n"/>
      <c r="M12" s="19" t="n"/>
      <c r="N12" s="31">
        <f>IF(B12="","",IF(OR(COUNTIF('02_입출고_재고'!$D$7:$D$206,B12)=0,COUNTIFS('02_입출고_재고'!$D$7:$D$206,B12,'02_입출고_재고'!$K$7:$K$206,"자재코드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확인")&gt;0),"",SUMIFS('02_입출고_재고'!$H$7:$H$206,'02_입출고_재고'!$D$7:$D$206,B12)-SUMIFS('02_입출고_재고'!$I$7:$I$206,'02_입출고_재고'!$D$7:$D$206,B12)))</f>
        <v/>
      </c>
      <c r="O12" s="23">
        <f>IF(B12="","",IF(COUNTIF($B$7:$B$106,B12)&gt;1,"코드 중복",IF(COUNTIF('02_입출고_재고'!$D$7:$D$206,B12)=0,"미등록",IF(COUNTIFS('02_입출고_재고'!$D$7:$D$206,B12,'02_입출고_재고'!$K$7:$K$206,"자재코드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확인")&gt;0,"입출고 입력 확인",IF(N12&lt;0,"출고수량 초과",IF(J12="","최소재고 미설정",IF(OR(NOT(ISNUMBER(J12)),J12&lt;0),"최소재고 확인",IF(N12&lt;J12,"재고부족","정상"))))))))</f>
        <v/>
      </c>
      <c r="P12" s="23">
        <f>IF(B12="","",IF(M12="해당없음","해당없음",IF(M12&lt;&gt;"대상","대상 여부 확인",IF(COUNTIF('03_유효기간'!$B$7:$B$206,B12)=0,"미등록",IF(COUNTIFS('03_유효기간'!$B$7:$B$206,B12,'03_유효기간'!$L$7:$L$206,"미입력")+COUNTIFS('03_유효기간'!$B$7:$B$206,B12,'03_유효기간'!$L$7:$L$206,"LOT 미입력")&gt;0,"유효기한/LOT 미입력",IF(COUNTIFS('03_유효기간'!$B$7:$B$206,B12,'03_유효기간'!$L$7:$L$206,"날짜 확인")&gt;0,"날짜 확인",IF(COUNTIFS('03_유효기간'!$B$7:$B$206,B12,'03_유효기간'!$L$7:$L$206,"만료")&gt;0,"만료",IF(COUNTIFS('03_유효기간'!$B$7:$B$206,B12,'03_유효기간'!$L$7:$L$206,"유효기간 임박")&gt;0,"유효기간 임박",IF(COUNTIFS('03_유효기간'!$B$7:$B$206,B12,'03_유효기간'!$L$7:$L$206,"정상")&gt;0,"정상","활성 LOT 없음")))))))))</f>
        <v/>
      </c>
      <c r="Q12" s="19" t="n"/>
      <c r="R12" s="26" t="n"/>
    </row>
    <row r="13" ht="24" customHeight="1">
      <c r="A13" s="18" t="n">
        <v>7</v>
      </c>
      <c r="B13" s="19" t="n"/>
      <c r="C13" s="19" t="n"/>
      <c r="D13" s="19" t="n"/>
      <c r="E13" s="19" t="n"/>
      <c r="F13" s="19" t="n"/>
      <c r="G13" s="20" t="n"/>
      <c r="H13" s="19" t="n"/>
      <c r="I13" s="19" t="n"/>
      <c r="J13" s="30" t="n"/>
      <c r="K13" s="19" t="n"/>
      <c r="L13" s="19" t="n"/>
      <c r="M13" s="19" t="n"/>
      <c r="N13" s="31">
        <f>IF(B13="","",IF(OR(COUNTIF('02_입출고_재고'!$D$7:$D$206,B13)=0,COUNTIFS('02_입출고_재고'!$D$7:$D$206,B13,'02_입출고_재고'!$K$7:$K$206,"자재코드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확인")&gt;0),"",SUMIFS('02_입출고_재고'!$H$7:$H$206,'02_입출고_재고'!$D$7:$D$206,B13)-SUMIFS('02_입출고_재고'!$I$7:$I$206,'02_입출고_재고'!$D$7:$D$206,B13)))</f>
        <v/>
      </c>
      <c r="O13" s="23">
        <f>IF(B13="","",IF(COUNTIF($B$7:$B$106,B13)&gt;1,"코드 중복",IF(COUNTIF('02_입출고_재고'!$D$7:$D$206,B13)=0,"미등록",IF(COUNTIFS('02_입출고_재고'!$D$7:$D$206,B13,'02_입출고_재고'!$K$7:$K$206,"자재코드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확인")&gt;0,"입출고 입력 확인",IF(N13&lt;0,"출고수량 초과",IF(J13="","최소재고 미설정",IF(OR(NOT(ISNUMBER(J13)),J13&lt;0),"최소재고 확인",IF(N13&lt;J13,"재고부족","정상"))))))))</f>
        <v/>
      </c>
      <c r="P13" s="23">
        <f>IF(B13="","",IF(M13="해당없음","해당없음",IF(M13&lt;&gt;"대상","대상 여부 확인",IF(COUNTIF('03_유효기간'!$B$7:$B$206,B13)=0,"미등록",IF(COUNTIFS('03_유효기간'!$B$7:$B$206,B13,'03_유효기간'!$L$7:$L$206,"미입력")+COUNTIFS('03_유효기간'!$B$7:$B$206,B13,'03_유효기간'!$L$7:$L$206,"LOT 미입력")&gt;0,"유효기한/LOT 미입력",IF(COUNTIFS('03_유효기간'!$B$7:$B$206,B13,'03_유효기간'!$L$7:$L$206,"날짜 확인")&gt;0,"날짜 확인",IF(COUNTIFS('03_유효기간'!$B$7:$B$206,B13,'03_유효기간'!$L$7:$L$206,"만료")&gt;0,"만료",IF(COUNTIFS('03_유효기간'!$B$7:$B$206,B13,'03_유효기간'!$L$7:$L$206,"유효기간 임박")&gt;0,"유효기간 임박",IF(COUNTIFS('03_유효기간'!$B$7:$B$206,B13,'03_유효기간'!$L$7:$L$206,"정상")&gt;0,"정상","활성 LOT 없음")))))))))</f>
        <v/>
      </c>
      <c r="Q13" s="19" t="n"/>
      <c r="R13" s="26" t="n"/>
    </row>
    <row r="14" ht="24" customHeight="1">
      <c r="A14" s="18" t="n">
        <v>8</v>
      </c>
      <c r="B14" s="19" t="n"/>
      <c r="C14" s="19" t="n"/>
      <c r="D14" s="19" t="n"/>
      <c r="E14" s="19" t="n"/>
      <c r="F14" s="19" t="n"/>
      <c r="G14" s="20" t="n"/>
      <c r="H14" s="19" t="n"/>
      <c r="I14" s="19" t="n"/>
      <c r="J14" s="30" t="n"/>
      <c r="K14" s="19" t="n"/>
      <c r="L14" s="19" t="n"/>
      <c r="M14" s="19" t="n"/>
      <c r="N14" s="31">
        <f>IF(B14="","",IF(OR(COUNTIF('02_입출고_재고'!$D$7:$D$206,B14)=0,COUNTIFS('02_입출고_재고'!$D$7:$D$206,B14,'02_입출고_재고'!$K$7:$K$206,"자재코드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확인")&gt;0),"",SUMIFS('02_입출고_재고'!$H$7:$H$206,'02_입출고_재고'!$D$7:$D$206,B14)-SUMIFS('02_입출고_재고'!$I$7:$I$206,'02_입출고_재고'!$D$7:$D$206,B14)))</f>
        <v/>
      </c>
      <c r="O14" s="23">
        <f>IF(B14="","",IF(COUNTIF($B$7:$B$106,B14)&gt;1,"코드 중복",IF(COUNTIF('02_입출고_재고'!$D$7:$D$206,B14)=0,"미등록",IF(COUNTIFS('02_입출고_재고'!$D$7:$D$206,B14,'02_입출고_재고'!$K$7:$K$206,"자재코드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확인")&gt;0,"입출고 입력 확인",IF(N14&lt;0,"출고수량 초과",IF(J14="","최소재고 미설정",IF(OR(NOT(ISNUMBER(J14)),J14&lt;0),"최소재고 확인",IF(N14&lt;J14,"재고부족","정상"))))))))</f>
        <v/>
      </c>
      <c r="P14" s="23">
        <f>IF(B14="","",IF(M14="해당없음","해당없음",IF(M14&lt;&gt;"대상","대상 여부 확인",IF(COUNTIF('03_유효기간'!$B$7:$B$206,B14)=0,"미등록",IF(COUNTIFS('03_유효기간'!$B$7:$B$206,B14,'03_유효기간'!$L$7:$L$206,"미입력")+COUNTIFS('03_유효기간'!$B$7:$B$206,B14,'03_유효기간'!$L$7:$L$206,"LOT 미입력")&gt;0,"유효기한/LOT 미입력",IF(COUNTIFS('03_유효기간'!$B$7:$B$206,B14,'03_유효기간'!$L$7:$L$206,"날짜 확인")&gt;0,"날짜 확인",IF(COUNTIFS('03_유효기간'!$B$7:$B$206,B14,'03_유효기간'!$L$7:$L$206,"만료")&gt;0,"만료",IF(COUNTIFS('03_유효기간'!$B$7:$B$206,B14,'03_유효기간'!$L$7:$L$206,"유효기간 임박")&gt;0,"유효기간 임박",IF(COUNTIFS('03_유효기간'!$B$7:$B$206,B14,'03_유효기간'!$L$7:$L$206,"정상")&gt;0,"정상","활성 LOT 없음")))))))))</f>
        <v/>
      </c>
      <c r="Q14" s="19" t="n"/>
      <c r="R14" s="26" t="n"/>
    </row>
    <row r="15" ht="24" customHeight="1">
      <c r="A15" s="18" t="n">
        <v>9</v>
      </c>
      <c r="B15" s="19" t="n"/>
      <c r="C15" s="19" t="n"/>
      <c r="D15" s="19" t="n"/>
      <c r="E15" s="19" t="n"/>
      <c r="F15" s="19" t="n"/>
      <c r="G15" s="20" t="n"/>
      <c r="H15" s="19" t="n"/>
      <c r="I15" s="19" t="n"/>
      <c r="J15" s="30" t="n"/>
      <c r="K15" s="19" t="n"/>
      <c r="L15" s="19" t="n"/>
      <c r="M15" s="19" t="n"/>
      <c r="N15" s="31">
        <f>IF(B15="","",IF(OR(COUNTIF('02_입출고_재고'!$D$7:$D$206,B15)=0,COUNTIFS('02_입출고_재고'!$D$7:$D$206,B15,'02_입출고_재고'!$K$7:$K$206,"자재코드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확인")&gt;0),"",SUMIFS('02_입출고_재고'!$H$7:$H$206,'02_입출고_재고'!$D$7:$D$206,B15)-SUMIFS('02_입출고_재고'!$I$7:$I$206,'02_입출고_재고'!$D$7:$D$206,B15)))</f>
        <v/>
      </c>
      <c r="O15" s="23">
        <f>IF(B15="","",IF(COUNTIF($B$7:$B$106,B15)&gt;1,"코드 중복",IF(COUNTIF('02_입출고_재고'!$D$7:$D$206,B15)=0,"미등록",IF(COUNTIFS('02_입출고_재고'!$D$7:$D$206,B15,'02_입출고_재고'!$K$7:$K$206,"자재코드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확인")&gt;0,"입출고 입력 확인",IF(N15&lt;0,"출고수량 초과",IF(J15="","최소재고 미설정",IF(OR(NOT(ISNUMBER(J15)),J15&lt;0),"최소재고 확인",IF(N15&lt;J15,"재고부족","정상"))))))))</f>
        <v/>
      </c>
      <c r="P15" s="23">
        <f>IF(B15="","",IF(M15="해당없음","해당없음",IF(M15&lt;&gt;"대상","대상 여부 확인",IF(COUNTIF('03_유효기간'!$B$7:$B$206,B15)=0,"미등록",IF(COUNTIFS('03_유효기간'!$B$7:$B$206,B15,'03_유효기간'!$L$7:$L$206,"미입력")+COUNTIFS('03_유효기간'!$B$7:$B$206,B15,'03_유효기간'!$L$7:$L$206,"LOT 미입력")&gt;0,"유효기한/LOT 미입력",IF(COUNTIFS('03_유효기간'!$B$7:$B$206,B15,'03_유효기간'!$L$7:$L$206,"날짜 확인")&gt;0,"날짜 확인",IF(COUNTIFS('03_유효기간'!$B$7:$B$206,B15,'03_유효기간'!$L$7:$L$206,"만료")&gt;0,"만료",IF(COUNTIFS('03_유효기간'!$B$7:$B$206,B15,'03_유효기간'!$L$7:$L$206,"유효기간 임박")&gt;0,"유효기간 임박",IF(COUNTIFS('03_유효기간'!$B$7:$B$206,B15,'03_유효기간'!$L$7:$L$206,"정상")&gt;0,"정상","활성 LOT 없음")))))))))</f>
        <v/>
      </c>
      <c r="Q15" s="19" t="n"/>
      <c r="R15" s="26" t="n"/>
    </row>
    <row r="16" ht="24" customHeight="1">
      <c r="A16" s="18" t="n">
        <v>10</v>
      </c>
      <c r="B16" s="19" t="n"/>
      <c r="C16" s="19" t="n"/>
      <c r="D16" s="19" t="n"/>
      <c r="E16" s="19" t="n"/>
      <c r="F16" s="19" t="n"/>
      <c r="G16" s="20" t="n"/>
      <c r="H16" s="19" t="n"/>
      <c r="I16" s="19" t="n"/>
      <c r="J16" s="30" t="n"/>
      <c r="K16" s="19" t="n"/>
      <c r="L16" s="19" t="n"/>
      <c r="M16" s="19" t="n"/>
      <c r="N16" s="31">
        <f>IF(B16="","",IF(OR(COUNTIF('02_입출고_재고'!$D$7:$D$206,B16)=0,COUNTIFS('02_입출고_재고'!$D$7:$D$206,B16,'02_입출고_재고'!$K$7:$K$206,"자재코드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확인")&gt;0),"",SUMIFS('02_입출고_재고'!$H$7:$H$206,'02_입출고_재고'!$D$7:$D$206,B16)-SUMIFS('02_입출고_재고'!$I$7:$I$206,'02_입출고_재고'!$D$7:$D$206,B16)))</f>
        <v/>
      </c>
      <c r="O16" s="23">
        <f>IF(B16="","",IF(COUNTIF($B$7:$B$106,B16)&gt;1,"코드 중복",IF(COUNTIF('02_입출고_재고'!$D$7:$D$206,B16)=0,"미등록",IF(COUNTIFS('02_입출고_재고'!$D$7:$D$206,B16,'02_입출고_재고'!$K$7:$K$206,"자재코드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확인")&gt;0,"입출고 입력 확인",IF(N16&lt;0,"출고수량 초과",IF(J16="","최소재고 미설정",IF(OR(NOT(ISNUMBER(J16)),J16&lt;0),"최소재고 확인",IF(N16&lt;J16,"재고부족","정상"))))))))</f>
        <v/>
      </c>
      <c r="P16" s="23">
        <f>IF(B16="","",IF(M16="해당없음","해당없음",IF(M16&lt;&gt;"대상","대상 여부 확인",IF(COUNTIF('03_유효기간'!$B$7:$B$206,B16)=0,"미등록",IF(COUNTIFS('03_유효기간'!$B$7:$B$206,B16,'03_유효기간'!$L$7:$L$206,"미입력")+COUNTIFS('03_유효기간'!$B$7:$B$206,B16,'03_유효기간'!$L$7:$L$206,"LOT 미입력")&gt;0,"유효기한/LOT 미입력",IF(COUNTIFS('03_유효기간'!$B$7:$B$206,B16,'03_유효기간'!$L$7:$L$206,"날짜 확인")&gt;0,"날짜 확인",IF(COUNTIFS('03_유효기간'!$B$7:$B$206,B16,'03_유효기간'!$L$7:$L$206,"만료")&gt;0,"만료",IF(COUNTIFS('03_유효기간'!$B$7:$B$206,B16,'03_유효기간'!$L$7:$L$206,"유효기간 임박")&gt;0,"유효기간 임박",IF(COUNTIFS('03_유효기간'!$B$7:$B$206,B16,'03_유효기간'!$L$7:$L$206,"정상")&gt;0,"정상","활성 LOT 없음")))))))))</f>
        <v/>
      </c>
      <c r="Q16" s="19" t="n"/>
      <c r="R16" s="26" t="n"/>
    </row>
    <row r="17" ht="24" customHeight="1">
      <c r="A17" s="18" t="n">
        <v>11</v>
      </c>
      <c r="B17" s="19" t="n"/>
      <c r="C17" s="19" t="n"/>
      <c r="D17" s="19" t="n"/>
      <c r="E17" s="19" t="n"/>
      <c r="F17" s="19" t="n"/>
      <c r="G17" s="20" t="n"/>
      <c r="H17" s="19" t="n"/>
      <c r="I17" s="19" t="n"/>
      <c r="J17" s="30" t="n"/>
      <c r="K17" s="19" t="n"/>
      <c r="L17" s="19" t="n"/>
      <c r="M17" s="19" t="n"/>
      <c r="N17" s="31">
        <f>IF(B17="","",IF(OR(COUNTIF('02_입출고_재고'!$D$7:$D$206,B17)=0,COUNTIFS('02_입출고_재고'!$D$7:$D$206,B17,'02_입출고_재고'!$K$7:$K$206,"자재코드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확인")&gt;0),"",SUMIFS('02_입출고_재고'!$H$7:$H$206,'02_입출고_재고'!$D$7:$D$206,B17)-SUMIFS('02_입출고_재고'!$I$7:$I$206,'02_입출고_재고'!$D$7:$D$206,B17)))</f>
        <v/>
      </c>
      <c r="O17" s="23">
        <f>IF(B17="","",IF(COUNTIF($B$7:$B$106,B17)&gt;1,"코드 중복",IF(COUNTIF('02_입출고_재고'!$D$7:$D$206,B17)=0,"미등록",IF(COUNTIFS('02_입출고_재고'!$D$7:$D$206,B17,'02_입출고_재고'!$K$7:$K$206,"자재코드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확인")&gt;0,"입출고 입력 확인",IF(N17&lt;0,"출고수량 초과",IF(J17="","최소재고 미설정",IF(OR(NOT(ISNUMBER(J17)),J17&lt;0),"최소재고 확인",IF(N17&lt;J17,"재고부족","정상"))))))))</f>
        <v/>
      </c>
      <c r="P17" s="23">
        <f>IF(B17="","",IF(M17="해당없음","해당없음",IF(M17&lt;&gt;"대상","대상 여부 확인",IF(COUNTIF('03_유효기간'!$B$7:$B$206,B17)=0,"미등록",IF(COUNTIFS('03_유효기간'!$B$7:$B$206,B17,'03_유효기간'!$L$7:$L$206,"미입력")+COUNTIFS('03_유효기간'!$B$7:$B$206,B17,'03_유효기간'!$L$7:$L$206,"LOT 미입력")&gt;0,"유효기한/LOT 미입력",IF(COUNTIFS('03_유효기간'!$B$7:$B$206,B17,'03_유효기간'!$L$7:$L$206,"날짜 확인")&gt;0,"날짜 확인",IF(COUNTIFS('03_유효기간'!$B$7:$B$206,B17,'03_유효기간'!$L$7:$L$206,"만료")&gt;0,"만료",IF(COUNTIFS('03_유효기간'!$B$7:$B$206,B17,'03_유효기간'!$L$7:$L$206,"유효기간 임박")&gt;0,"유효기간 임박",IF(COUNTIFS('03_유효기간'!$B$7:$B$206,B17,'03_유효기간'!$L$7:$L$206,"정상")&gt;0,"정상","활성 LOT 없음")))))))))</f>
        <v/>
      </c>
      <c r="Q17" s="19" t="n"/>
      <c r="R17" s="26" t="n"/>
    </row>
    <row r="18" ht="24" customHeight="1">
      <c r="A18" s="18" t="n">
        <v>12</v>
      </c>
      <c r="B18" s="19" t="n"/>
      <c r="C18" s="19" t="n"/>
      <c r="D18" s="19" t="n"/>
      <c r="E18" s="19" t="n"/>
      <c r="F18" s="19" t="n"/>
      <c r="G18" s="20" t="n"/>
      <c r="H18" s="19" t="n"/>
      <c r="I18" s="19" t="n"/>
      <c r="J18" s="30" t="n"/>
      <c r="K18" s="19" t="n"/>
      <c r="L18" s="19" t="n"/>
      <c r="M18" s="19" t="n"/>
      <c r="N18" s="31">
        <f>IF(B18="","",IF(OR(COUNTIF('02_입출고_재고'!$D$7:$D$206,B18)=0,COUNTIFS('02_입출고_재고'!$D$7:$D$206,B18,'02_입출고_재고'!$K$7:$K$206,"자재코드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확인")&gt;0),"",SUMIFS('02_입출고_재고'!$H$7:$H$206,'02_입출고_재고'!$D$7:$D$206,B18)-SUMIFS('02_입출고_재고'!$I$7:$I$206,'02_입출고_재고'!$D$7:$D$206,B18)))</f>
        <v/>
      </c>
      <c r="O18" s="23">
        <f>IF(B18="","",IF(COUNTIF($B$7:$B$106,B18)&gt;1,"코드 중복",IF(COUNTIF('02_입출고_재고'!$D$7:$D$206,B18)=0,"미등록",IF(COUNTIFS('02_입출고_재고'!$D$7:$D$206,B18,'02_입출고_재고'!$K$7:$K$206,"자재코드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확인")&gt;0,"입출고 입력 확인",IF(N18&lt;0,"출고수량 초과",IF(J18="","최소재고 미설정",IF(OR(NOT(ISNUMBER(J18)),J18&lt;0),"최소재고 확인",IF(N18&lt;J18,"재고부족","정상"))))))))</f>
        <v/>
      </c>
      <c r="P18" s="23">
        <f>IF(B18="","",IF(M18="해당없음","해당없음",IF(M18&lt;&gt;"대상","대상 여부 확인",IF(COUNTIF('03_유효기간'!$B$7:$B$206,B18)=0,"미등록",IF(COUNTIFS('03_유효기간'!$B$7:$B$206,B18,'03_유효기간'!$L$7:$L$206,"미입력")+COUNTIFS('03_유효기간'!$B$7:$B$206,B18,'03_유효기간'!$L$7:$L$206,"LOT 미입력")&gt;0,"유효기한/LOT 미입력",IF(COUNTIFS('03_유효기간'!$B$7:$B$206,B18,'03_유효기간'!$L$7:$L$206,"날짜 확인")&gt;0,"날짜 확인",IF(COUNTIFS('03_유효기간'!$B$7:$B$206,B18,'03_유효기간'!$L$7:$L$206,"만료")&gt;0,"만료",IF(COUNTIFS('03_유효기간'!$B$7:$B$206,B18,'03_유효기간'!$L$7:$L$206,"유효기간 임박")&gt;0,"유효기간 임박",IF(COUNTIFS('03_유효기간'!$B$7:$B$206,B18,'03_유효기간'!$L$7:$L$206,"정상")&gt;0,"정상","활성 LOT 없음")))))))))</f>
        <v/>
      </c>
      <c r="Q18" s="19" t="n"/>
      <c r="R18" s="26" t="n"/>
    </row>
    <row r="19" ht="24" customHeight="1">
      <c r="A19" s="18" t="n">
        <v>13</v>
      </c>
      <c r="B19" s="19" t="n"/>
      <c r="C19" s="19" t="n"/>
      <c r="D19" s="19" t="n"/>
      <c r="E19" s="19" t="n"/>
      <c r="F19" s="19" t="n"/>
      <c r="G19" s="20" t="n"/>
      <c r="H19" s="19" t="n"/>
      <c r="I19" s="19" t="n"/>
      <c r="J19" s="30" t="n"/>
      <c r="K19" s="19" t="n"/>
      <c r="L19" s="19" t="n"/>
      <c r="M19" s="19" t="n"/>
      <c r="N19" s="31">
        <f>IF(B19="","",IF(OR(COUNTIF('02_입출고_재고'!$D$7:$D$206,B19)=0,COUNTIFS('02_입출고_재고'!$D$7:$D$206,B19,'02_입출고_재고'!$K$7:$K$206,"자재코드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확인")&gt;0),"",SUMIFS('02_입출고_재고'!$H$7:$H$206,'02_입출고_재고'!$D$7:$D$206,B19)-SUMIFS('02_입출고_재고'!$I$7:$I$206,'02_입출고_재고'!$D$7:$D$206,B19)))</f>
        <v/>
      </c>
      <c r="O19" s="23">
        <f>IF(B19="","",IF(COUNTIF($B$7:$B$106,B19)&gt;1,"코드 중복",IF(COUNTIF('02_입출고_재고'!$D$7:$D$206,B19)=0,"미등록",IF(COUNTIFS('02_입출고_재고'!$D$7:$D$206,B19,'02_입출고_재고'!$K$7:$K$206,"자재코드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확인")&gt;0,"입출고 입력 확인",IF(N19&lt;0,"출고수량 초과",IF(J19="","최소재고 미설정",IF(OR(NOT(ISNUMBER(J19)),J19&lt;0),"최소재고 확인",IF(N19&lt;J19,"재고부족","정상"))))))))</f>
        <v/>
      </c>
      <c r="P19" s="23">
        <f>IF(B19="","",IF(M19="해당없음","해당없음",IF(M19&lt;&gt;"대상","대상 여부 확인",IF(COUNTIF('03_유효기간'!$B$7:$B$206,B19)=0,"미등록",IF(COUNTIFS('03_유효기간'!$B$7:$B$206,B19,'03_유효기간'!$L$7:$L$206,"미입력")+COUNTIFS('03_유효기간'!$B$7:$B$206,B19,'03_유효기간'!$L$7:$L$206,"LOT 미입력")&gt;0,"유효기한/LOT 미입력",IF(COUNTIFS('03_유효기간'!$B$7:$B$206,B19,'03_유효기간'!$L$7:$L$206,"날짜 확인")&gt;0,"날짜 확인",IF(COUNTIFS('03_유효기간'!$B$7:$B$206,B19,'03_유효기간'!$L$7:$L$206,"만료")&gt;0,"만료",IF(COUNTIFS('03_유효기간'!$B$7:$B$206,B19,'03_유효기간'!$L$7:$L$206,"유효기간 임박")&gt;0,"유효기간 임박",IF(COUNTIFS('03_유효기간'!$B$7:$B$206,B19,'03_유효기간'!$L$7:$L$206,"정상")&gt;0,"정상","활성 LOT 없음")))))))))</f>
        <v/>
      </c>
      <c r="Q19" s="19" t="n"/>
      <c r="R19" s="26" t="n"/>
    </row>
    <row r="20" ht="24" customHeight="1">
      <c r="A20" s="18" t="n">
        <v>14</v>
      </c>
      <c r="B20" s="19" t="n"/>
      <c r="C20" s="19" t="n"/>
      <c r="D20" s="19" t="n"/>
      <c r="E20" s="19" t="n"/>
      <c r="F20" s="19" t="n"/>
      <c r="G20" s="20" t="n"/>
      <c r="H20" s="19" t="n"/>
      <c r="I20" s="19" t="n"/>
      <c r="J20" s="30" t="n"/>
      <c r="K20" s="19" t="n"/>
      <c r="L20" s="19" t="n"/>
      <c r="M20" s="19" t="n"/>
      <c r="N20" s="31">
        <f>IF(B20="","",IF(OR(COUNTIF('02_입출고_재고'!$D$7:$D$206,B20)=0,COUNTIFS('02_입출고_재고'!$D$7:$D$206,B20,'02_입출고_재고'!$K$7:$K$206,"자재코드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확인")&gt;0),"",SUMIFS('02_입출고_재고'!$H$7:$H$206,'02_입출고_재고'!$D$7:$D$206,B20)-SUMIFS('02_입출고_재고'!$I$7:$I$206,'02_입출고_재고'!$D$7:$D$206,B20)))</f>
        <v/>
      </c>
      <c r="O20" s="23">
        <f>IF(B20="","",IF(COUNTIF($B$7:$B$106,B20)&gt;1,"코드 중복",IF(COUNTIF('02_입출고_재고'!$D$7:$D$206,B20)=0,"미등록",IF(COUNTIFS('02_입출고_재고'!$D$7:$D$206,B20,'02_입출고_재고'!$K$7:$K$206,"자재코드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확인")&gt;0,"입출고 입력 확인",IF(N20&lt;0,"출고수량 초과",IF(J20="","최소재고 미설정",IF(OR(NOT(ISNUMBER(J20)),J20&lt;0),"최소재고 확인",IF(N20&lt;J20,"재고부족","정상"))))))))</f>
        <v/>
      </c>
      <c r="P20" s="23">
        <f>IF(B20="","",IF(M20="해당없음","해당없음",IF(M20&lt;&gt;"대상","대상 여부 확인",IF(COUNTIF('03_유효기간'!$B$7:$B$206,B20)=0,"미등록",IF(COUNTIFS('03_유효기간'!$B$7:$B$206,B20,'03_유효기간'!$L$7:$L$206,"미입력")+COUNTIFS('03_유효기간'!$B$7:$B$206,B20,'03_유효기간'!$L$7:$L$206,"LOT 미입력")&gt;0,"유효기한/LOT 미입력",IF(COUNTIFS('03_유효기간'!$B$7:$B$206,B20,'03_유효기간'!$L$7:$L$206,"날짜 확인")&gt;0,"날짜 확인",IF(COUNTIFS('03_유효기간'!$B$7:$B$206,B20,'03_유효기간'!$L$7:$L$206,"만료")&gt;0,"만료",IF(COUNTIFS('03_유효기간'!$B$7:$B$206,B20,'03_유효기간'!$L$7:$L$206,"유효기간 임박")&gt;0,"유효기간 임박",IF(COUNTIFS('03_유효기간'!$B$7:$B$206,B20,'03_유효기간'!$L$7:$L$206,"정상")&gt;0,"정상","활성 LOT 없음")))))))))</f>
        <v/>
      </c>
      <c r="Q20" s="19" t="n"/>
      <c r="R20" s="26" t="n"/>
    </row>
    <row r="21" ht="24" customHeight="1">
      <c r="A21" s="18" t="n">
        <v>15</v>
      </c>
      <c r="B21" s="19" t="n"/>
      <c r="C21" s="19" t="n"/>
      <c r="D21" s="19" t="n"/>
      <c r="E21" s="19" t="n"/>
      <c r="F21" s="19" t="n"/>
      <c r="G21" s="20" t="n"/>
      <c r="H21" s="19" t="n"/>
      <c r="I21" s="19" t="n"/>
      <c r="J21" s="30" t="n"/>
      <c r="K21" s="19" t="n"/>
      <c r="L21" s="19" t="n"/>
      <c r="M21" s="19" t="n"/>
      <c r="N21" s="31">
        <f>IF(B21="","",IF(OR(COUNTIF('02_입출고_재고'!$D$7:$D$206,B21)=0,COUNTIFS('02_입출고_재고'!$D$7:$D$206,B21,'02_입출고_재고'!$K$7:$K$206,"자재코드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확인")&gt;0),"",SUMIFS('02_입출고_재고'!$H$7:$H$206,'02_입출고_재고'!$D$7:$D$206,B21)-SUMIFS('02_입출고_재고'!$I$7:$I$206,'02_입출고_재고'!$D$7:$D$206,B21)))</f>
        <v/>
      </c>
      <c r="O21" s="23">
        <f>IF(B21="","",IF(COUNTIF($B$7:$B$106,B21)&gt;1,"코드 중복",IF(COUNTIF('02_입출고_재고'!$D$7:$D$206,B21)=0,"미등록",IF(COUNTIFS('02_입출고_재고'!$D$7:$D$206,B21,'02_입출고_재고'!$K$7:$K$206,"자재코드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확인")&gt;0,"입출고 입력 확인",IF(N21&lt;0,"출고수량 초과",IF(J21="","최소재고 미설정",IF(OR(NOT(ISNUMBER(J21)),J21&lt;0),"최소재고 확인",IF(N21&lt;J21,"재고부족","정상"))))))))</f>
        <v/>
      </c>
      <c r="P21" s="23">
        <f>IF(B21="","",IF(M21="해당없음","해당없음",IF(M21&lt;&gt;"대상","대상 여부 확인",IF(COUNTIF('03_유효기간'!$B$7:$B$206,B21)=0,"미등록",IF(COUNTIFS('03_유효기간'!$B$7:$B$206,B21,'03_유효기간'!$L$7:$L$206,"미입력")+COUNTIFS('03_유효기간'!$B$7:$B$206,B21,'03_유효기간'!$L$7:$L$206,"LOT 미입력")&gt;0,"유효기한/LOT 미입력",IF(COUNTIFS('03_유효기간'!$B$7:$B$206,B21,'03_유효기간'!$L$7:$L$206,"날짜 확인")&gt;0,"날짜 확인",IF(COUNTIFS('03_유효기간'!$B$7:$B$206,B21,'03_유효기간'!$L$7:$L$206,"만료")&gt;0,"만료",IF(COUNTIFS('03_유효기간'!$B$7:$B$206,B21,'03_유효기간'!$L$7:$L$206,"유효기간 임박")&gt;0,"유효기간 임박",IF(COUNTIFS('03_유효기간'!$B$7:$B$206,B21,'03_유효기간'!$L$7:$L$206,"정상")&gt;0,"정상","활성 LOT 없음")))))))))</f>
        <v/>
      </c>
      <c r="Q21" s="19" t="n"/>
      <c r="R21" s="26" t="n"/>
    </row>
    <row r="22" ht="24" customHeight="1">
      <c r="A22" s="18" t="n">
        <v>16</v>
      </c>
      <c r="B22" s="19" t="n"/>
      <c r="C22" s="19" t="n"/>
      <c r="D22" s="19" t="n"/>
      <c r="E22" s="19" t="n"/>
      <c r="F22" s="19" t="n"/>
      <c r="G22" s="20" t="n"/>
      <c r="H22" s="19" t="n"/>
      <c r="I22" s="19" t="n"/>
      <c r="J22" s="30" t="n"/>
      <c r="K22" s="19" t="n"/>
      <c r="L22" s="19" t="n"/>
      <c r="M22" s="19" t="n"/>
      <c r="N22" s="31">
        <f>IF(B22="","",IF(OR(COUNTIF('02_입출고_재고'!$D$7:$D$206,B22)=0,COUNTIFS('02_입출고_재고'!$D$7:$D$206,B22,'02_입출고_재고'!$K$7:$K$206,"자재코드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확인")&gt;0),"",SUMIFS('02_입출고_재고'!$H$7:$H$206,'02_입출고_재고'!$D$7:$D$206,B22)-SUMIFS('02_입출고_재고'!$I$7:$I$206,'02_입출고_재고'!$D$7:$D$206,B22)))</f>
        <v/>
      </c>
      <c r="O22" s="23">
        <f>IF(B22="","",IF(COUNTIF($B$7:$B$106,B22)&gt;1,"코드 중복",IF(COUNTIF('02_입출고_재고'!$D$7:$D$206,B22)=0,"미등록",IF(COUNTIFS('02_입출고_재고'!$D$7:$D$206,B22,'02_입출고_재고'!$K$7:$K$206,"자재코드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확인")&gt;0,"입출고 입력 확인",IF(N22&lt;0,"출고수량 초과",IF(J22="","최소재고 미설정",IF(OR(NOT(ISNUMBER(J22)),J22&lt;0),"최소재고 확인",IF(N22&lt;J22,"재고부족","정상"))))))))</f>
        <v/>
      </c>
      <c r="P22" s="23">
        <f>IF(B22="","",IF(M22="해당없음","해당없음",IF(M22&lt;&gt;"대상","대상 여부 확인",IF(COUNTIF('03_유효기간'!$B$7:$B$206,B22)=0,"미등록",IF(COUNTIFS('03_유효기간'!$B$7:$B$206,B22,'03_유효기간'!$L$7:$L$206,"미입력")+COUNTIFS('03_유효기간'!$B$7:$B$206,B22,'03_유효기간'!$L$7:$L$206,"LOT 미입력")&gt;0,"유효기한/LOT 미입력",IF(COUNTIFS('03_유효기간'!$B$7:$B$206,B22,'03_유효기간'!$L$7:$L$206,"날짜 확인")&gt;0,"날짜 확인",IF(COUNTIFS('03_유효기간'!$B$7:$B$206,B22,'03_유효기간'!$L$7:$L$206,"만료")&gt;0,"만료",IF(COUNTIFS('03_유효기간'!$B$7:$B$206,B22,'03_유효기간'!$L$7:$L$206,"유효기간 임박")&gt;0,"유효기간 임박",IF(COUNTIFS('03_유효기간'!$B$7:$B$206,B22,'03_유효기간'!$L$7:$L$206,"정상")&gt;0,"정상","활성 LOT 없음")))))))))</f>
        <v/>
      </c>
      <c r="Q22" s="19" t="n"/>
      <c r="R22" s="26" t="n"/>
    </row>
    <row r="23" ht="24" customHeight="1">
      <c r="A23" s="18" t="n">
        <v>17</v>
      </c>
      <c r="B23" s="19" t="n"/>
      <c r="C23" s="19" t="n"/>
      <c r="D23" s="19" t="n"/>
      <c r="E23" s="19" t="n"/>
      <c r="F23" s="19" t="n"/>
      <c r="G23" s="20" t="n"/>
      <c r="H23" s="19" t="n"/>
      <c r="I23" s="19" t="n"/>
      <c r="J23" s="30" t="n"/>
      <c r="K23" s="19" t="n"/>
      <c r="L23" s="19" t="n"/>
      <c r="M23" s="19" t="n"/>
      <c r="N23" s="31">
        <f>IF(B23="","",IF(OR(COUNTIF('02_입출고_재고'!$D$7:$D$206,B23)=0,COUNTIFS('02_입출고_재고'!$D$7:$D$206,B23,'02_입출고_재고'!$K$7:$K$206,"자재코드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확인")&gt;0),"",SUMIFS('02_입출고_재고'!$H$7:$H$206,'02_입출고_재고'!$D$7:$D$206,B23)-SUMIFS('02_입출고_재고'!$I$7:$I$206,'02_입출고_재고'!$D$7:$D$206,B23)))</f>
        <v/>
      </c>
      <c r="O23" s="23">
        <f>IF(B23="","",IF(COUNTIF($B$7:$B$106,B23)&gt;1,"코드 중복",IF(COUNTIF('02_입출고_재고'!$D$7:$D$206,B23)=0,"미등록",IF(COUNTIFS('02_입출고_재고'!$D$7:$D$206,B23,'02_입출고_재고'!$K$7:$K$206,"자재코드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확인")&gt;0,"입출고 입력 확인",IF(N23&lt;0,"출고수량 초과",IF(J23="","최소재고 미설정",IF(OR(NOT(ISNUMBER(J23)),J23&lt;0),"최소재고 확인",IF(N23&lt;J23,"재고부족","정상"))))))))</f>
        <v/>
      </c>
      <c r="P23" s="23">
        <f>IF(B23="","",IF(M23="해당없음","해당없음",IF(M23&lt;&gt;"대상","대상 여부 확인",IF(COUNTIF('03_유효기간'!$B$7:$B$206,B23)=0,"미등록",IF(COUNTIFS('03_유효기간'!$B$7:$B$206,B23,'03_유효기간'!$L$7:$L$206,"미입력")+COUNTIFS('03_유효기간'!$B$7:$B$206,B23,'03_유효기간'!$L$7:$L$206,"LOT 미입력")&gt;0,"유효기한/LOT 미입력",IF(COUNTIFS('03_유효기간'!$B$7:$B$206,B23,'03_유효기간'!$L$7:$L$206,"날짜 확인")&gt;0,"날짜 확인",IF(COUNTIFS('03_유효기간'!$B$7:$B$206,B23,'03_유효기간'!$L$7:$L$206,"만료")&gt;0,"만료",IF(COUNTIFS('03_유효기간'!$B$7:$B$206,B23,'03_유효기간'!$L$7:$L$206,"유효기간 임박")&gt;0,"유효기간 임박",IF(COUNTIFS('03_유효기간'!$B$7:$B$206,B23,'03_유효기간'!$L$7:$L$206,"정상")&gt;0,"정상","활성 LOT 없음")))))))))</f>
        <v/>
      </c>
      <c r="Q23" s="19" t="n"/>
      <c r="R23" s="26" t="n"/>
    </row>
    <row r="24" ht="24" customHeight="1">
      <c r="A24" s="18" t="n">
        <v>18</v>
      </c>
      <c r="B24" s="19" t="n"/>
      <c r="C24" s="19" t="n"/>
      <c r="D24" s="19" t="n"/>
      <c r="E24" s="19" t="n"/>
      <c r="F24" s="19" t="n"/>
      <c r="G24" s="20" t="n"/>
      <c r="H24" s="19" t="n"/>
      <c r="I24" s="19" t="n"/>
      <c r="J24" s="30" t="n"/>
      <c r="K24" s="19" t="n"/>
      <c r="L24" s="19" t="n"/>
      <c r="M24" s="19" t="n"/>
      <c r="N24" s="31">
        <f>IF(B24="","",IF(OR(COUNTIF('02_입출고_재고'!$D$7:$D$206,B24)=0,COUNTIFS('02_입출고_재고'!$D$7:$D$206,B24,'02_입출고_재고'!$K$7:$K$206,"자재코드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확인")&gt;0),"",SUMIFS('02_입출고_재고'!$H$7:$H$206,'02_입출고_재고'!$D$7:$D$206,B24)-SUMIFS('02_입출고_재고'!$I$7:$I$206,'02_입출고_재고'!$D$7:$D$206,B24)))</f>
        <v/>
      </c>
      <c r="O24" s="23">
        <f>IF(B24="","",IF(COUNTIF($B$7:$B$106,B24)&gt;1,"코드 중복",IF(COUNTIF('02_입출고_재고'!$D$7:$D$206,B24)=0,"미등록",IF(COUNTIFS('02_입출고_재고'!$D$7:$D$206,B24,'02_입출고_재고'!$K$7:$K$206,"자재코드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확인")&gt;0,"입출고 입력 확인",IF(N24&lt;0,"출고수량 초과",IF(J24="","최소재고 미설정",IF(OR(NOT(ISNUMBER(J24)),J24&lt;0),"최소재고 확인",IF(N24&lt;J24,"재고부족","정상"))))))))</f>
        <v/>
      </c>
      <c r="P24" s="23">
        <f>IF(B24="","",IF(M24="해당없음","해당없음",IF(M24&lt;&gt;"대상","대상 여부 확인",IF(COUNTIF('03_유효기간'!$B$7:$B$206,B24)=0,"미등록",IF(COUNTIFS('03_유효기간'!$B$7:$B$206,B24,'03_유효기간'!$L$7:$L$206,"미입력")+COUNTIFS('03_유효기간'!$B$7:$B$206,B24,'03_유효기간'!$L$7:$L$206,"LOT 미입력")&gt;0,"유효기한/LOT 미입력",IF(COUNTIFS('03_유효기간'!$B$7:$B$206,B24,'03_유효기간'!$L$7:$L$206,"날짜 확인")&gt;0,"날짜 확인",IF(COUNTIFS('03_유효기간'!$B$7:$B$206,B24,'03_유효기간'!$L$7:$L$206,"만료")&gt;0,"만료",IF(COUNTIFS('03_유효기간'!$B$7:$B$206,B24,'03_유효기간'!$L$7:$L$206,"유효기간 임박")&gt;0,"유효기간 임박",IF(COUNTIFS('03_유효기간'!$B$7:$B$206,B24,'03_유효기간'!$L$7:$L$206,"정상")&gt;0,"정상","활성 LOT 없음")))))))))</f>
        <v/>
      </c>
      <c r="Q24" s="19" t="n"/>
      <c r="R24" s="26" t="n"/>
    </row>
    <row r="25" ht="24" customHeight="1">
      <c r="A25" s="18" t="n">
        <v>19</v>
      </c>
      <c r="B25" s="19" t="n"/>
      <c r="C25" s="19" t="n"/>
      <c r="D25" s="19" t="n"/>
      <c r="E25" s="19" t="n"/>
      <c r="F25" s="19" t="n"/>
      <c r="G25" s="20" t="n"/>
      <c r="H25" s="19" t="n"/>
      <c r="I25" s="19" t="n"/>
      <c r="J25" s="30" t="n"/>
      <c r="K25" s="19" t="n"/>
      <c r="L25" s="19" t="n"/>
      <c r="M25" s="19" t="n"/>
      <c r="N25" s="31">
        <f>IF(B25="","",IF(OR(COUNTIF('02_입출고_재고'!$D$7:$D$206,B25)=0,COUNTIFS('02_입출고_재고'!$D$7:$D$206,B25,'02_입출고_재고'!$K$7:$K$206,"자재코드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확인")&gt;0),"",SUMIFS('02_입출고_재고'!$H$7:$H$206,'02_입출고_재고'!$D$7:$D$206,B25)-SUMIFS('02_입출고_재고'!$I$7:$I$206,'02_입출고_재고'!$D$7:$D$206,B25)))</f>
        <v/>
      </c>
      <c r="O25" s="23">
        <f>IF(B25="","",IF(COUNTIF($B$7:$B$106,B25)&gt;1,"코드 중복",IF(COUNTIF('02_입출고_재고'!$D$7:$D$206,B25)=0,"미등록",IF(COUNTIFS('02_입출고_재고'!$D$7:$D$206,B25,'02_입출고_재고'!$K$7:$K$206,"자재코드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확인")&gt;0,"입출고 입력 확인",IF(N25&lt;0,"출고수량 초과",IF(J25="","최소재고 미설정",IF(OR(NOT(ISNUMBER(J25)),J25&lt;0),"최소재고 확인",IF(N25&lt;J25,"재고부족","정상"))))))))</f>
        <v/>
      </c>
      <c r="P25" s="23">
        <f>IF(B25="","",IF(M25="해당없음","해당없음",IF(M25&lt;&gt;"대상","대상 여부 확인",IF(COUNTIF('03_유효기간'!$B$7:$B$206,B25)=0,"미등록",IF(COUNTIFS('03_유효기간'!$B$7:$B$206,B25,'03_유효기간'!$L$7:$L$206,"미입력")+COUNTIFS('03_유효기간'!$B$7:$B$206,B25,'03_유효기간'!$L$7:$L$206,"LOT 미입력")&gt;0,"유효기한/LOT 미입력",IF(COUNTIFS('03_유효기간'!$B$7:$B$206,B25,'03_유효기간'!$L$7:$L$206,"날짜 확인")&gt;0,"날짜 확인",IF(COUNTIFS('03_유효기간'!$B$7:$B$206,B25,'03_유효기간'!$L$7:$L$206,"만료")&gt;0,"만료",IF(COUNTIFS('03_유효기간'!$B$7:$B$206,B25,'03_유효기간'!$L$7:$L$206,"유효기간 임박")&gt;0,"유효기간 임박",IF(COUNTIFS('03_유효기간'!$B$7:$B$206,B25,'03_유효기간'!$L$7:$L$206,"정상")&gt;0,"정상","활성 LOT 없음")))))))))</f>
        <v/>
      </c>
      <c r="Q25" s="19" t="n"/>
      <c r="R25" s="26" t="n"/>
    </row>
    <row r="26" ht="24" customHeight="1">
      <c r="A26" s="18" t="n">
        <v>20</v>
      </c>
      <c r="B26" s="19" t="n"/>
      <c r="C26" s="19" t="n"/>
      <c r="D26" s="19" t="n"/>
      <c r="E26" s="19" t="n"/>
      <c r="F26" s="19" t="n"/>
      <c r="G26" s="20" t="n"/>
      <c r="H26" s="19" t="n"/>
      <c r="I26" s="19" t="n"/>
      <c r="J26" s="30" t="n"/>
      <c r="K26" s="19" t="n"/>
      <c r="L26" s="19" t="n"/>
      <c r="M26" s="19" t="n"/>
      <c r="N26" s="31">
        <f>IF(B26="","",IF(OR(COUNTIF('02_입출고_재고'!$D$7:$D$206,B26)=0,COUNTIFS('02_입출고_재고'!$D$7:$D$206,B26,'02_입출고_재고'!$K$7:$K$206,"자재코드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확인")&gt;0),"",SUMIFS('02_입출고_재고'!$H$7:$H$206,'02_입출고_재고'!$D$7:$D$206,B26)-SUMIFS('02_입출고_재고'!$I$7:$I$206,'02_입출고_재고'!$D$7:$D$206,B26)))</f>
        <v/>
      </c>
      <c r="O26" s="23">
        <f>IF(B26="","",IF(COUNTIF($B$7:$B$106,B26)&gt;1,"코드 중복",IF(COUNTIF('02_입출고_재고'!$D$7:$D$206,B26)=0,"미등록",IF(COUNTIFS('02_입출고_재고'!$D$7:$D$206,B26,'02_입출고_재고'!$K$7:$K$206,"자재코드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확인")&gt;0,"입출고 입력 확인",IF(N26&lt;0,"출고수량 초과",IF(J26="","최소재고 미설정",IF(OR(NOT(ISNUMBER(J26)),J26&lt;0),"최소재고 확인",IF(N26&lt;J26,"재고부족","정상"))))))))</f>
        <v/>
      </c>
      <c r="P26" s="23">
        <f>IF(B26="","",IF(M26="해당없음","해당없음",IF(M26&lt;&gt;"대상","대상 여부 확인",IF(COUNTIF('03_유효기간'!$B$7:$B$206,B26)=0,"미등록",IF(COUNTIFS('03_유효기간'!$B$7:$B$206,B26,'03_유효기간'!$L$7:$L$206,"미입력")+COUNTIFS('03_유효기간'!$B$7:$B$206,B26,'03_유효기간'!$L$7:$L$206,"LOT 미입력")&gt;0,"유효기한/LOT 미입력",IF(COUNTIFS('03_유효기간'!$B$7:$B$206,B26,'03_유효기간'!$L$7:$L$206,"날짜 확인")&gt;0,"날짜 확인",IF(COUNTIFS('03_유효기간'!$B$7:$B$206,B26,'03_유효기간'!$L$7:$L$206,"만료")&gt;0,"만료",IF(COUNTIFS('03_유효기간'!$B$7:$B$206,B26,'03_유효기간'!$L$7:$L$206,"유효기간 임박")&gt;0,"유효기간 임박",IF(COUNTIFS('03_유효기간'!$B$7:$B$206,B26,'03_유효기간'!$L$7:$L$206,"정상")&gt;0,"정상","활성 LOT 없음")))))))))</f>
        <v/>
      </c>
      <c r="Q26" s="19" t="n"/>
      <c r="R26" s="26" t="n"/>
    </row>
    <row r="27" ht="24" customHeight="1">
      <c r="A27" s="18" t="n">
        <v>21</v>
      </c>
      <c r="B27" s="19" t="n"/>
      <c r="C27" s="19" t="n"/>
      <c r="D27" s="19" t="n"/>
      <c r="E27" s="19" t="n"/>
      <c r="F27" s="19" t="n"/>
      <c r="G27" s="20" t="n"/>
      <c r="H27" s="19" t="n"/>
      <c r="I27" s="19" t="n"/>
      <c r="J27" s="30" t="n"/>
      <c r="K27" s="19" t="n"/>
      <c r="L27" s="19" t="n"/>
      <c r="M27" s="19" t="n"/>
      <c r="N27" s="31">
        <f>IF(B27="","",IF(OR(COUNTIF('02_입출고_재고'!$D$7:$D$206,B27)=0,COUNTIFS('02_입출고_재고'!$D$7:$D$206,B27,'02_입출고_재고'!$K$7:$K$206,"자재코드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확인")&gt;0),"",SUMIFS('02_입출고_재고'!$H$7:$H$206,'02_입출고_재고'!$D$7:$D$206,B27)-SUMIFS('02_입출고_재고'!$I$7:$I$206,'02_입출고_재고'!$D$7:$D$206,B27)))</f>
        <v/>
      </c>
      <c r="O27" s="23">
        <f>IF(B27="","",IF(COUNTIF($B$7:$B$106,B27)&gt;1,"코드 중복",IF(COUNTIF('02_입출고_재고'!$D$7:$D$206,B27)=0,"미등록",IF(COUNTIFS('02_입출고_재고'!$D$7:$D$206,B27,'02_입출고_재고'!$K$7:$K$206,"자재코드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확인")&gt;0,"입출고 입력 확인",IF(N27&lt;0,"출고수량 초과",IF(J27="","최소재고 미설정",IF(OR(NOT(ISNUMBER(J27)),J27&lt;0),"최소재고 확인",IF(N27&lt;J27,"재고부족","정상"))))))))</f>
        <v/>
      </c>
      <c r="P27" s="23">
        <f>IF(B27="","",IF(M27="해당없음","해당없음",IF(M27&lt;&gt;"대상","대상 여부 확인",IF(COUNTIF('03_유효기간'!$B$7:$B$206,B27)=0,"미등록",IF(COUNTIFS('03_유효기간'!$B$7:$B$206,B27,'03_유효기간'!$L$7:$L$206,"미입력")+COUNTIFS('03_유효기간'!$B$7:$B$206,B27,'03_유효기간'!$L$7:$L$206,"LOT 미입력")&gt;0,"유효기한/LOT 미입력",IF(COUNTIFS('03_유효기간'!$B$7:$B$206,B27,'03_유효기간'!$L$7:$L$206,"날짜 확인")&gt;0,"날짜 확인",IF(COUNTIFS('03_유효기간'!$B$7:$B$206,B27,'03_유효기간'!$L$7:$L$206,"만료")&gt;0,"만료",IF(COUNTIFS('03_유효기간'!$B$7:$B$206,B27,'03_유효기간'!$L$7:$L$206,"유효기간 임박")&gt;0,"유효기간 임박",IF(COUNTIFS('03_유효기간'!$B$7:$B$206,B27,'03_유효기간'!$L$7:$L$206,"정상")&gt;0,"정상","활성 LOT 없음")))))))))</f>
        <v/>
      </c>
      <c r="Q27" s="19" t="n"/>
      <c r="R27" s="26" t="n"/>
    </row>
    <row r="28" ht="24" customHeight="1">
      <c r="A28" s="18" t="n">
        <v>22</v>
      </c>
      <c r="B28" s="19" t="n"/>
      <c r="C28" s="19" t="n"/>
      <c r="D28" s="19" t="n"/>
      <c r="E28" s="19" t="n"/>
      <c r="F28" s="19" t="n"/>
      <c r="G28" s="20" t="n"/>
      <c r="H28" s="19" t="n"/>
      <c r="I28" s="19" t="n"/>
      <c r="J28" s="30" t="n"/>
      <c r="K28" s="19" t="n"/>
      <c r="L28" s="19" t="n"/>
      <c r="M28" s="19" t="n"/>
      <c r="N28" s="31">
        <f>IF(B28="","",IF(OR(COUNTIF('02_입출고_재고'!$D$7:$D$206,B28)=0,COUNTIFS('02_입출고_재고'!$D$7:$D$206,B28,'02_입출고_재고'!$K$7:$K$206,"자재코드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확인")&gt;0),"",SUMIFS('02_입출고_재고'!$H$7:$H$206,'02_입출고_재고'!$D$7:$D$206,B28)-SUMIFS('02_입출고_재고'!$I$7:$I$206,'02_입출고_재고'!$D$7:$D$206,B28)))</f>
        <v/>
      </c>
      <c r="O28" s="23">
        <f>IF(B28="","",IF(COUNTIF($B$7:$B$106,B28)&gt;1,"코드 중복",IF(COUNTIF('02_입출고_재고'!$D$7:$D$206,B28)=0,"미등록",IF(COUNTIFS('02_입출고_재고'!$D$7:$D$206,B28,'02_입출고_재고'!$K$7:$K$206,"자재코드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확인")&gt;0,"입출고 입력 확인",IF(N28&lt;0,"출고수량 초과",IF(J28="","최소재고 미설정",IF(OR(NOT(ISNUMBER(J28)),J28&lt;0),"최소재고 확인",IF(N28&lt;J28,"재고부족","정상"))))))))</f>
        <v/>
      </c>
      <c r="P28" s="23">
        <f>IF(B28="","",IF(M28="해당없음","해당없음",IF(M28&lt;&gt;"대상","대상 여부 확인",IF(COUNTIF('03_유효기간'!$B$7:$B$206,B28)=0,"미등록",IF(COUNTIFS('03_유효기간'!$B$7:$B$206,B28,'03_유효기간'!$L$7:$L$206,"미입력")+COUNTIFS('03_유효기간'!$B$7:$B$206,B28,'03_유효기간'!$L$7:$L$206,"LOT 미입력")&gt;0,"유효기한/LOT 미입력",IF(COUNTIFS('03_유효기간'!$B$7:$B$206,B28,'03_유효기간'!$L$7:$L$206,"날짜 확인")&gt;0,"날짜 확인",IF(COUNTIFS('03_유효기간'!$B$7:$B$206,B28,'03_유효기간'!$L$7:$L$206,"만료")&gt;0,"만료",IF(COUNTIFS('03_유효기간'!$B$7:$B$206,B28,'03_유효기간'!$L$7:$L$206,"유효기간 임박")&gt;0,"유효기간 임박",IF(COUNTIFS('03_유효기간'!$B$7:$B$206,B28,'03_유효기간'!$L$7:$L$206,"정상")&gt;0,"정상","활성 LOT 없음")))))))))</f>
        <v/>
      </c>
      <c r="Q28" s="19" t="n"/>
      <c r="R28" s="26" t="n"/>
    </row>
    <row r="29" ht="24" customHeight="1">
      <c r="A29" s="18" t="n">
        <v>23</v>
      </c>
      <c r="B29" s="19" t="n"/>
      <c r="C29" s="19" t="n"/>
      <c r="D29" s="19" t="n"/>
      <c r="E29" s="19" t="n"/>
      <c r="F29" s="19" t="n"/>
      <c r="G29" s="20" t="n"/>
      <c r="H29" s="19" t="n"/>
      <c r="I29" s="19" t="n"/>
      <c r="J29" s="30" t="n"/>
      <c r="K29" s="19" t="n"/>
      <c r="L29" s="19" t="n"/>
      <c r="M29" s="19" t="n"/>
      <c r="N29" s="31">
        <f>IF(B29="","",IF(OR(COUNTIF('02_입출고_재고'!$D$7:$D$206,B29)=0,COUNTIFS('02_입출고_재고'!$D$7:$D$206,B29,'02_입출고_재고'!$K$7:$K$206,"자재코드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확인")&gt;0),"",SUMIFS('02_입출고_재고'!$H$7:$H$206,'02_입출고_재고'!$D$7:$D$206,B29)-SUMIFS('02_입출고_재고'!$I$7:$I$206,'02_입출고_재고'!$D$7:$D$206,B29)))</f>
        <v/>
      </c>
      <c r="O29" s="23">
        <f>IF(B29="","",IF(COUNTIF($B$7:$B$106,B29)&gt;1,"코드 중복",IF(COUNTIF('02_입출고_재고'!$D$7:$D$206,B29)=0,"미등록",IF(COUNTIFS('02_입출고_재고'!$D$7:$D$206,B29,'02_입출고_재고'!$K$7:$K$206,"자재코드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확인")&gt;0,"입출고 입력 확인",IF(N29&lt;0,"출고수량 초과",IF(J29="","최소재고 미설정",IF(OR(NOT(ISNUMBER(J29)),J29&lt;0),"최소재고 확인",IF(N29&lt;J29,"재고부족","정상"))))))))</f>
        <v/>
      </c>
      <c r="P29" s="23">
        <f>IF(B29="","",IF(M29="해당없음","해당없음",IF(M29&lt;&gt;"대상","대상 여부 확인",IF(COUNTIF('03_유효기간'!$B$7:$B$206,B29)=0,"미등록",IF(COUNTIFS('03_유효기간'!$B$7:$B$206,B29,'03_유효기간'!$L$7:$L$206,"미입력")+COUNTIFS('03_유효기간'!$B$7:$B$206,B29,'03_유효기간'!$L$7:$L$206,"LOT 미입력")&gt;0,"유효기한/LOT 미입력",IF(COUNTIFS('03_유효기간'!$B$7:$B$206,B29,'03_유효기간'!$L$7:$L$206,"날짜 확인")&gt;0,"날짜 확인",IF(COUNTIFS('03_유효기간'!$B$7:$B$206,B29,'03_유효기간'!$L$7:$L$206,"만료")&gt;0,"만료",IF(COUNTIFS('03_유효기간'!$B$7:$B$206,B29,'03_유효기간'!$L$7:$L$206,"유효기간 임박")&gt;0,"유효기간 임박",IF(COUNTIFS('03_유효기간'!$B$7:$B$206,B29,'03_유효기간'!$L$7:$L$206,"정상")&gt;0,"정상","활성 LOT 없음")))))))))</f>
        <v/>
      </c>
      <c r="Q29" s="19" t="n"/>
      <c r="R29" s="26" t="n"/>
    </row>
    <row r="30" ht="24" customHeight="1">
      <c r="A30" s="18" t="n">
        <v>24</v>
      </c>
      <c r="B30" s="19" t="n"/>
      <c r="C30" s="19" t="n"/>
      <c r="D30" s="19" t="n"/>
      <c r="E30" s="19" t="n"/>
      <c r="F30" s="19" t="n"/>
      <c r="G30" s="20" t="n"/>
      <c r="H30" s="19" t="n"/>
      <c r="I30" s="19" t="n"/>
      <c r="J30" s="30" t="n"/>
      <c r="K30" s="19" t="n"/>
      <c r="L30" s="19" t="n"/>
      <c r="M30" s="19" t="n"/>
      <c r="N30" s="31">
        <f>IF(B30="","",IF(OR(COUNTIF('02_입출고_재고'!$D$7:$D$206,B30)=0,COUNTIFS('02_입출고_재고'!$D$7:$D$206,B30,'02_입출고_재고'!$K$7:$K$206,"자재코드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확인")&gt;0),"",SUMIFS('02_입출고_재고'!$H$7:$H$206,'02_입출고_재고'!$D$7:$D$206,B30)-SUMIFS('02_입출고_재고'!$I$7:$I$206,'02_입출고_재고'!$D$7:$D$206,B30)))</f>
        <v/>
      </c>
      <c r="O30" s="23">
        <f>IF(B30="","",IF(COUNTIF($B$7:$B$106,B30)&gt;1,"코드 중복",IF(COUNTIF('02_입출고_재고'!$D$7:$D$206,B30)=0,"미등록",IF(COUNTIFS('02_입출고_재고'!$D$7:$D$206,B30,'02_입출고_재고'!$K$7:$K$206,"자재코드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확인")&gt;0,"입출고 입력 확인",IF(N30&lt;0,"출고수량 초과",IF(J30="","최소재고 미설정",IF(OR(NOT(ISNUMBER(J30)),J30&lt;0),"최소재고 확인",IF(N30&lt;J30,"재고부족","정상"))))))))</f>
        <v/>
      </c>
      <c r="P30" s="23">
        <f>IF(B30="","",IF(M30="해당없음","해당없음",IF(M30&lt;&gt;"대상","대상 여부 확인",IF(COUNTIF('03_유효기간'!$B$7:$B$206,B30)=0,"미등록",IF(COUNTIFS('03_유효기간'!$B$7:$B$206,B30,'03_유효기간'!$L$7:$L$206,"미입력")+COUNTIFS('03_유효기간'!$B$7:$B$206,B30,'03_유효기간'!$L$7:$L$206,"LOT 미입력")&gt;0,"유효기한/LOT 미입력",IF(COUNTIFS('03_유효기간'!$B$7:$B$206,B30,'03_유효기간'!$L$7:$L$206,"날짜 확인")&gt;0,"날짜 확인",IF(COUNTIFS('03_유효기간'!$B$7:$B$206,B30,'03_유효기간'!$L$7:$L$206,"만료")&gt;0,"만료",IF(COUNTIFS('03_유효기간'!$B$7:$B$206,B30,'03_유효기간'!$L$7:$L$206,"유효기간 임박")&gt;0,"유효기간 임박",IF(COUNTIFS('03_유효기간'!$B$7:$B$206,B30,'03_유효기간'!$L$7:$L$206,"정상")&gt;0,"정상","활성 LOT 없음")))))))))</f>
        <v/>
      </c>
      <c r="Q30" s="19" t="n"/>
      <c r="R30" s="26" t="n"/>
    </row>
    <row r="31" ht="24" customHeight="1">
      <c r="A31" s="18" t="n">
        <v>25</v>
      </c>
      <c r="B31" s="19" t="n"/>
      <c r="C31" s="19" t="n"/>
      <c r="D31" s="19" t="n"/>
      <c r="E31" s="19" t="n"/>
      <c r="F31" s="19" t="n"/>
      <c r="G31" s="20" t="n"/>
      <c r="H31" s="19" t="n"/>
      <c r="I31" s="19" t="n"/>
      <c r="J31" s="30" t="n"/>
      <c r="K31" s="19" t="n"/>
      <c r="L31" s="19" t="n"/>
      <c r="M31" s="19" t="n"/>
      <c r="N31" s="31">
        <f>IF(B31="","",IF(OR(COUNTIF('02_입출고_재고'!$D$7:$D$206,B31)=0,COUNTIFS('02_입출고_재고'!$D$7:$D$206,B31,'02_입출고_재고'!$K$7:$K$206,"자재코드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확인")&gt;0),"",SUMIFS('02_입출고_재고'!$H$7:$H$206,'02_입출고_재고'!$D$7:$D$206,B31)-SUMIFS('02_입출고_재고'!$I$7:$I$206,'02_입출고_재고'!$D$7:$D$206,B31)))</f>
        <v/>
      </c>
      <c r="O31" s="23">
        <f>IF(B31="","",IF(COUNTIF($B$7:$B$106,B31)&gt;1,"코드 중복",IF(COUNTIF('02_입출고_재고'!$D$7:$D$206,B31)=0,"미등록",IF(COUNTIFS('02_입출고_재고'!$D$7:$D$206,B31,'02_입출고_재고'!$K$7:$K$206,"자재코드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확인")&gt;0,"입출고 입력 확인",IF(N31&lt;0,"출고수량 초과",IF(J31="","최소재고 미설정",IF(OR(NOT(ISNUMBER(J31)),J31&lt;0),"최소재고 확인",IF(N31&lt;J31,"재고부족","정상"))))))))</f>
        <v/>
      </c>
      <c r="P31" s="23">
        <f>IF(B31="","",IF(M31="해당없음","해당없음",IF(M31&lt;&gt;"대상","대상 여부 확인",IF(COUNTIF('03_유효기간'!$B$7:$B$206,B31)=0,"미등록",IF(COUNTIFS('03_유효기간'!$B$7:$B$206,B31,'03_유효기간'!$L$7:$L$206,"미입력")+COUNTIFS('03_유효기간'!$B$7:$B$206,B31,'03_유효기간'!$L$7:$L$206,"LOT 미입력")&gt;0,"유효기한/LOT 미입력",IF(COUNTIFS('03_유효기간'!$B$7:$B$206,B31,'03_유효기간'!$L$7:$L$206,"날짜 확인")&gt;0,"날짜 확인",IF(COUNTIFS('03_유효기간'!$B$7:$B$206,B31,'03_유효기간'!$L$7:$L$206,"만료")&gt;0,"만료",IF(COUNTIFS('03_유효기간'!$B$7:$B$206,B31,'03_유효기간'!$L$7:$L$206,"유효기간 임박")&gt;0,"유효기간 임박",IF(COUNTIFS('03_유효기간'!$B$7:$B$206,B31,'03_유효기간'!$L$7:$L$206,"정상")&gt;0,"정상","활성 LOT 없음")))))))))</f>
        <v/>
      </c>
      <c r="Q31" s="19" t="n"/>
      <c r="R31" s="26" t="n"/>
    </row>
    <row r="32" ht="24" customHeight="1">
      <c r="A32" s="18" t="n">
        <v>26</v>
      </c>
      <c r="B32" s="19" t="n"/>
      <c r="C32" s="19" t="n"/>
      <c r="D32" s="19" t="n"/>
      <c r="E32" s="19" t="n"/>
      <c r="F32" s="19" t="n"/>
      <c r="G32" s="20" t="n"/>
      <c r="H32" s="19" t="n"/>
      <c r="I32" s="19" t="n"/>
      <c r="J32" s="30" t="n"/>
      <c r="K32" s="19" t="n"/>
      <c r="L32" s="19" t="n"/>
      <c r="M32" s="19" t="n"/>
      <c r="N32" s="31">
        <f>IF(B32="","",IF(OR(COUNTIF('02_입출고_재고'!$D$7:$D$206,B32)=0,COUNTIFS('02_입출고_재고'!$D$7:$D$206,B32,'02_입출고_재고'!$K$7:$K$206,"자재코드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확인")&gt;0),"",SUMIFS('02_입출고_재고'!$H$7:$H$206,'02_입출고_재고'!$D$7:$D$206,B32)-SUMIFS('02_입출고_재고'!$I$7:$I$206,'02_입출고_재고'!$D$7:$D$206,B32)))</f>
        <v/>
      </c>
      <c r="O32" s="23">
        <f>IF(B32="","",IF(COUNTIF($B$7:$B$106,B32)&gt;1,"코드 중복",IF(COUNTIF('02_입출고_재고'!$D$7:$D$206,B32)=0,"미등록",IF(COUNTIFS('02_입출고_재고'!$D$7:$D$206,B32,'02_입출고_재고'!$K$7:$K$206,"자재코드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확인")&gt;0,"입출고 입력 확인",IF(N32&lt;0,"출고수량 초과",IF(J32="","최소재고 미설정",IF(OR(NOT(ISNUMBER(J32)),J32&lt;0),"최소재고 확인",IF(N32&lt;J32,"재고부족","정상"))))))))</f>
        <v/>
      </c>
      <c r="P32" s="23">
        <f>IF(B32="","",IF(M32="해당없음","해당없음",IF(M32&lt;&gt;"대상","대상 여부 확인",IF(COUNTIF('03_유효기간'!$B$7:$B$206,B32)=0,"미등록",IF(COUNTIFS('03_유효기간'!$B$7:$B$206,B32,'03_유효기간'!$L$7:$L$206,"미입력")+COUNTIFS('03_유효기간'!$B$7:$B$206,B32,'03_유효기간'!$L$7:$L$206,"LOT 미입력")&gt;0,"유효기한/LOT 미입력",IF(COUNTIFS('03_유효기간'!$B$7:$B$206,B32,'03_유효기간'!$L$7:$L$206,"날짜 확인")&gt;0,"날짜 확인",IF(COUNTIFS('03_유효기간'!$B$7:$B$206,B32,'03_유효기간'!$L$7:$L$206,"만료")&gt;0,"만료",IF(COUNTIFS('03_유효기간'!$B$7:$B$206,B32,'03_유효기간'!$L$7:$L$206,"유효기간 임박")&gt;0,"유효기간 임박",IF(COUNTIFS('03_유효기간'!$B$7:$B$206,B32,'03_유효기간'!$L$7:$L$206,"정상")&gt;0,"정상","활성 LOT 없음")))))))))</f>
        <v/>
      </c>
      <c r="Q32" s="19" t="n"/>
      <c r="R32" s="26" t="n"/>
    </row>
    <row r="33" ht="24" customHeight="1">
      <c r="A33" s="18" t="n">
        <v>27</v>
      </c>
      <c r="B33" s="19" t="n"/>
      <c r="C33" s="19" t="n"/>
      <c r="D33" s="19" t="n"/>
      <c r="E33" s="19" t="n"/>
      <c r="F33" s="19" t="n"/>
      <c r="G33" s="20" t="n"/>
      <c r="H33" s="19" t="n"/>
      <c r="I33" s="19" t="n"/>
      <c r="J33" s="30" t="n"/>
      <c r="K33" s="19" t="n"/>
      <c r="L33" s="19" t="n"/>
      <c r="M33" s="19" t="n"/>
      <c r="N33" s="31">
        <f>IF(B33="","",IF(OR(COUNTIF('02_입출고_재고'!$D$7:$D$206,B33)=0,COUNTIFS('02_입출고_재고'!$D$7:$D$206,B33,'02_입출고_재고'!$K$7:$K$206,"자재코드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확인")&gt;0),"",SUMIFS('02_입출고_재고'!$H$7:$H$206,'02_입출고_재고'!$D$7:$D$206,B33)-SUMIFS('02_입출고_재고'!$I$7:$I$206,'02_입출고_재고'!$D$7:$D$206,B33)))</f>
        <v/>
      </c>
      <c r="O33" s="23">
        <f>IF(B33="","",IF(COUNTIF($B$7:$B$106,B33)&gt;1,"코드 중복",IF(COUNTIF('02_입출고_재고'!$D$7:$D$206,B33)=0,"미등록",IF(COUNTIFS('02_입출고_재고'!$D$7:$D$206,B33,'02_입출고_재고'!$K$7:$K$206,"자재코드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확인")&gt;0,"입출고 입력 확인",IF(N33&lt;0,"출고수량 초과",IF(J33="","최소재고 미설정",IF(OR(NOT(ISNUMBER(J33)),J33&lt;0),"최소재고 확인",IF(N33&lt;J33,"재고부족","정상"))))))))</f>
        <v/>
      </c>
      <c r="P33" s="23">
        <f>IF(B33="","",IF(M33="해당없음","해당없음",IF(M33&lt;&gt;"대상","대상 여부 확인",IF(COUNTIF('03_유효기간'!$B$7:$B$206,B33)=0,"미등록",IF(COUNTIFS('03_유효기간'!$B$7:$B$206,B33,'03_유효기간'!$L$7:$L$206,"미입력")+COUNTIFS('03_유효기간'!$B$7:$B$206,B33,'03_유효기간'!$L$7:$L$206,"LOT 미입력")&gt;0,"유효기한/LOT 미입력",IF(COUNTIFS('03_유효기간'!$B$7:$B$206,B33,'03_유효기간'!$L$7:$L$206,"날짜 확인")&gt;0,"날짜 확인",IF(COUNTIFS('03_유효기간'!$B$7:$B$206,B33,'03_유효기간'!$L$7:$L$206,"만료")&gt;0,"만료",IF(COUNTIFS('03_유효기간'!$B$7:$B$206,B33,'03_유효기간'!$L$7:$L$206,"유효기간 임박")&gt;0,"유효기간 임박",IF(COUNTIFS('03_유효기간'!$B$7:$B$206,B33,'03_유효기간'!$L$7:$L$206,"정상")&gt;0,"정상","활성 LOT 없음")))))))))</f>
        <v/>
      </c>
      <c r="Q33" s="19" t="n"/>
      <c r="R33" s="26" t="n"/>
    </row>
    <row r="34" ht="24" customHeight="1">
      <c r="A34" s="18" t="n">
        <v>28</v>
      </c>
      <c r="B34" s="19" t="n"/>
      <c r="C34" s="19" t="n"/>
      <c r="D34" s="19" t="n"/>
      <c r="E34" s="19" t="n"/>
      <c r="F34" s="19" t="n"/>
      <c r="G34" s="20" t="n"/>
      <c r="H34" s="19" t="n"/>
      <c r="I34" s="19" t="n"/>
      <c r="J34" s="30" t="n"/>
      <c r="K34" s="19" t="n"/>
      <c r="L34" s="19" t="n"/>
      <c r="M34" s="19" t="n"/>
      <c r="N34" s="31">
        <f>IF(B34="","",IF(OR(COUNTIF('02_입출고_재고'!$D$7:$D$206,B34)=0,COUNTIFS('02_입출고_재고'!$D$7:$D$206,B34,'02_입출고_재고'!$K$7:$K$206,"자재코드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확인")&gt;0),"",SUMIFS('02_입출고_재고'!$H$7:$H$206,'02_입출고_재고'!$D$7:$D$206,B34)-SUMIFS('02_입출고_재고'!$I$7:$I$206,'02_입출고_재고'!$D$7:$D$206,B34)))</f>
        <v/>
      </c>
      <c r="O34" s="23">
        <f>IF(B34="","",IF(COUNTIF($B$7:$B$106,B34)&gt;1,"코드 중복",IF(COUNTIF('02_입출고_재고'!$D$7:$D$206,B34)=0,"미등록",IF(COUNTIFS('02_입출고_재고'!$D$7:$D$206,B34,'02_입출고_재고'!$K$7:$K$206,"자재코드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확인")&gt;0,"입출고 입력 확인",IF(N34&lt;0,"출고수량 초과",IF(J34="","최소재고 미설정",IF(OR(NOT(ISNUMBER(J34)),J34&lt;0),"최소재고 확인",IF(N34&lt;J34,"재고부족","정상"))))))))</f>
        <v/>
      </c>
      <c r="P34" s="23">
        <f>IF(B34="","",IF(M34="해당없음","해당없음",IF(M34&lt;&gt;"대상","대상 여부 확인",IF(COUNTIF('03_유효기간'!$B$7:$B$206,B34)=0,"미등록",IF(COUNTIFS('03_유효기간'!$B$7:$B$206,B34,'03_유효기간'!$L$7:$L$206,"미입력")+COUNTIFS('03_유효기간'!$B$7:$B$206,B34,'03_유효기간'!$L$7:$L$206,"LOT 미입력")&gt;0,"유효기한/LOT 미입력",IF(COUNTIFS('03_유효기간'!$B$7:$B$206,B34,'03_유효기간'!$L$7:$L$206,"날짜 확인")&gt;0,"날짜 확인",IF(COUNTIFS('03_유효기간'!$B$7:$B$206,B34,'03_유효기간'!$L$7:$L$206,"만료")&gt;0,"만료",IF(COUNTIFS('03_유효기간'!$B$7:$B$206,B34,'03_유효기간'!$L$7:$L$206,"유효기간 임박")&gt;0,"유효기간 임박",IF(COUNTIFS('03_유효기간'!$B$7:$B$206,B34,'03_유효기간'!$L$7:$L$206,"정상")&gt;0,"정상","활성 LOT 없음")))))))))</f>
        <v/>
      </c>
      <c r="Q34" s="19" t="n"/>
      <c r="R34" s="26" t="n"/>
    </row>
    <row r="35" ht="24" customHeight="1">
      <c r="A35" s="18" t="n">
        <v>29</v>
      </c>
      <c r="B35" s="19" t="n"/>
      <c r="C35" s="19" t="n"/>
      <c r="D35" s="19" t="n"/>
      <c r="E35" s="19" t="n"/>
      <c r="F35" s="19" t="n"/>
      <c r="G35" s="20" t="n"/>
      <c r="H35" s="19" t="n"/>
      <c r="I35" s="19" t="n"/>
      <c r="J35" s="30" t="n"/>
      <c r="K35" s="19" t="n"/>
      <c r="L35" s="19" t="n"/>
      <c r="M35" s="19" t="n"/>
      <c r="N35" s="31">
        <f>IF(B35="","",IF(OR(COUNTIF('02_입출고_재고'!$D$7:$D$206,B35)=0,COUNTIFS('02_입출고_재고'!$D$7:$D$206,B35,'02_입출고_재고'!$K$7:$K$206,"자재코드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확인")&gt;0),"",SUMIFS('02_입출고_재고'!$H$7:$H$206,'02_입출고_재고'!$D$7:$D$206,B35)-SUMIFS('02_입출고_재고'!$I$7:$I$206,'02_입출고_재고'!$D$7:$D$206,B35)))</f>
        <v/>
      </c>
      <c r="O35" s="23">
        <f>IF(B35="","",IF(COUNTIF($B$7:$B$106,B35)&gt;1,"코드 중복",IF(COUNTIF('02_입출고_재고'!$D$7:$D$206,B35)=0,"미등록",IF(COUNTIFS('02_입출고_재고'!$D$7:$D$206,B35,'02_입출고_재고'!$K$7:$K$206,"자재코드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확인")&gt;0,"입출고 입력 확인",IF(N35&lt;0,"출고수량 초과",IF(J35="","최소재고 미설정",IF(OR(NOT(ISNUMBER(J35)),J35&lt;0),"최소재고 확인",IF(N35&lt;J35,"재고부족","정상"))))))))</f>
        <v/>
      </c>
      <c r="P35" s="23">
        <f>IF(B35="","",IF(M35="해당없음","해당없음",IF(M35&lt;&gt;"대상","대상 여부 확인",IF(COUNTIF('03_유효기간'!$B$7:$B$206,B35)=0,"미등록",IF(COUNTIFS('03_유효기간'!$B$7:$B$206,B35,'03_유효기간'!$L$7:$L$206,"미입력")+COUNTIFS('03_유효기간'!$B$7:$B$206,B35,'03_유효기간'!$L$7:$L$206,"LOT 미입력")&gt;0,"유효기한/LOT 미입력",IF(COUNTIFS('03_유효기간'!$B$7:$B$206,B35,'03_유효기간'!$L$7:$L$206,"날짜 확인")&gt;0,"날짜 확인",IF(COUNTIFS('03_유효기간'!$B$7:$B$206,B35,'03_유효기간'!$L$7:$L$206,"만료")&gt;0,"만료",IF(COUNTIFS('03_유효기간'!$B$7:$B$206,B35,'03_유효기간'!$L$7:$L$206,"유효기간 임박")&gt;0,"유효기간 임박",IF(COUNTIFS('03_유효기간'!$B$7:$B$206,B35,'03_유효기간'!$L$7:$L$206,"정상")&gt;0,"정상","활성 LOT 없음")))))))))</f>
        <v/>
      </c>
      <c r="Q35" s="19" t="n"/>
      <c r="R35" s="26" t="n"/>
    </row>
    <row r="36" ht="24" customHeight="1">
      <c r="A36" s="18" t="n">
        <v>30</v>
      </c>
      <c r="B36" s="19" t="n"/>
      <c r="C36" s="19" t="n"/>
      <c r="D36" s="19" t="n"/>
      <c r="E36" s="19" t="n"/>
      <c r="F36" s="19" t="n"/>
      <c r="G36" s="20" t="n"/>
      <c r="H36" s="19" t="n"/>
      <c r="I36" s="19" t="n"/>
      <c r="J36" s="30" t="n"/>
      <c r="K36" s="19" t="n"/>
      <c r="L36" s="19" t="n"/>
      <c r="M36" s="19" t="n"/>
      <c r="N36" s="31">
        <f>IF(B36="","",IF(OR(COUNTIF('02_입출고_재고'!$D$7:$D$206,B36)=0,COUNTIFS('02_입출고_재고'!$D$7:$D$206,B36,'02_입출고_재고'!$K$7:$K$206,"자재코드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확인")&gt;0),"",SUMIFS('02_입출고_재고'!$H$7:$H$206,'02_입출고_재고'!$D$7:$D$206,B36)-SUMIFS('02_입출고_재고'!$I$7:$I$206,'02_입출고_재고'!$D$7:$D$206,B36)))</f>
        <v/>
      </c>
      <c r="O36" s="23">
        <f>IF(B36="","",IF(COUNTIF($B$7:$B$106,B36)&gt;1,"코드 중복",IF(COUNTIF('02_입출고_재고'!$D$7:$D$206,B36)=0,"미등록",IF(COUNTIFS('02_입출고_재고'!$D$7:$D$206,B36,'02_입출고_재고'!$K$7:$K$206,"자재코드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확인")&gt;0,"입출고 입력 확인",IF(N36&lt;0,"출고수량 초과",IF(J36="","최소재고 미설정",IF(OR(NOT(ISNUMBER(J36)),J36&lt;0),"최소재고 확인",IF(N36&lt;J36,"재고부족","정상"))))))))</f>
        <v/>
      </c>
      <c r="P36" s="23">
        <f>IF(B36="","",IF(M36="해당없음","해당없음",IF(M36&lt;&gt;"대상","대상 여부 확인",IF(COUNTIF('03_유효기간'!$B$7:$B$206,B36)=0,"미등록",IF(COUNTIFS('03_유효기간'!$B$7:$B$206,B36,'03_유효기간'!$L$7:$L$206,"미입력")+COUNTIFS('03_유효기간'!$B$7:$B$206,B36,'03_유효기간'!$L$7:$L$206,"LOT 미입력")&gt;0,"유효기한/LOT 미입력",IF(COUNTIFS('03_유효기간'!$B$7:$B$206,B36,'03_유효기간'!$L$7:$L$206,"날짜 확인")&gt;0,"날짜 확인",IF(COUNTIFS('03_유효기간'!$B$7:$B$206,B36,'03_유효기간'!$L$7:$L$206,"만료")&gt;0,"만료",IF(COUNTIFS('03_유효기간'!$B$7:$B$206,B36,'03_유효기간'!$L$7:$L$206,"유효기간 임박")&gt;0,"유효기간 임박",IF(COUNTIFS('03_유효기간'!$B$7:$B$206,B36,'03_유효기간'!$L$7:$L$206,"정상")&gt;0,"정상","활성 LOT 없음")))))))))</f>
        <v/>
      </c>
      <c r="Q36" s="19" t="n"/>
      <c r="R36" s="26" t="n"/>
    </row>
    <row r="37" ht="24" customHeight="1">
      <c r="A37" s="18" t="n">
        <v>31</v>
      </c>
      <c r="B37" s="19" t="n"/>
      <c r="C37" s="19" t="n"/>
      <c r="D37" s="19" t="n"/>
      <c r="E37" s="19" t="n"/>
      <c r="F37" s="19" t="n"/>
      <c r="G37" s="20" t="n"/>
      <c r="H37" s="19" t="n"/>
      <c r="I37" s="19" t="n"/>
      <c r="J37" s="30" t="n"/>
      <c r="K37" s="19" t="n"/>
      <c r="L37" s="19" t="n"/>
      <c r="M37" s="19" t="n"/>
      <c r="N37" s="31">
        <f>IF(B37="","",IF(OR(COUNTIF('02_입출고_재고'!$D$7:$D$206,B37)=0,COUNTIFS('02_입출고_재고'!$D$7:$D$206,B37,'02_입출고_재고'!$K$7:$K$206,"자재코드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확인")&gt;0),"",SUMIFS('02_입출고_재고'!$H$7:$H$206,'02_입출고_재고'!$D$7:$D$206,B37)-SUMIFS('02_입출고_재고'!$I$7:$I$206,'02_입출고_재고'!$D$7:$D$206,B37)))</f>
        <v/>
      </c>
      <c r="O37" s="23">
        <f>IF(B37="","",IF(COUNTIF($B$7:$B$106,B37)&gt;1,"코드 중복",IF(COUNTIF('02_입출고_재고'!$D$7:$D$206,B37)=0,"미등록",IF(COUNTIFS('02_입출고_재고'!$D$7:$D$206,B37,'02_입출고_재고'!$K$7:$K$206,"자재코드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확인")&gt;0,"입출고 입력 확인",IF(N37&lt;0,"출고수량 초과",IF(J37="","최소재고 미설정",IF(OR(NOT(ISNUMBER(J37)),J37&lt;0),"최소재고 확인",IF(N37&lt;J37,"재고부족","정상"))))))))</f>
        <v/>
      </c>
      <c r="P37" s="23">
        <f>IF(B37="","",IF(M37="해당없음","해당없음",IF(M37&lt;&gt;"대상","대상 여부 확인",IF(COUNTIF('03_유효기간'!$B$7:$B$206,B37)=0,"미등록",IF(COUNTIFS('03_유효기간'!$B$7:$B$206,B37,'03_유효기간'!$L$7:$L$206,"미입력")+COUNTIFS('03_유효기간'!$B$7:$B$206,B37,'03_유효기간'!$L$7:$L$206,"LOT 미입력")&gt;0,"유효기한/LOT 미입력",IF(COUNTIFS('03_유효기간'!$B$7:$B$206,B37,'03_유효기간'!$L$7:$L$206,"날짜 확인")&gt;0,"날짜 확인",IF(COUNTIFS('03_유효기간'!$B$7:$B$206,B37,'03_유효기간'!$L$7:$L$206,"만료")&gt;0,"만료",IF(COUNTIFS('03_유효기간'!$B$7:$B$206,B37,'03_유효기간'!$L$7:$L$206,"유효기간 임박")&gt;0,"유효기간 임박",IF(COUNTIFS('03_유효기간'!$B$7:$B$206,B37,'03_유효기간'!$L$7:$L$206,"정상")&gt;0,"정상","활성 LOT 없음")))))))))</f>
        <v/>
      </c>
      <c r="Q37" s="19" t="n"/>
      <c r="R37" s="26" t="n"/>
    </row>
    <row r="38" ht="24" customHeight="1">
      <c r="A38" s="18" t="n">
        <v>32</v>
      </c>
      <c r="B38" s="19" t="n"/>
      <c r="C38" s="19" t="n"/>
      <c r="D38" s="19" t="n"/>
      <c r="E38" s="19" t="n"/>
      <c r="F38" s="19" t="n"/>
      <c r="G38" s="20" t="n"/>
      <c r="H38" s="19" t="n"/>
      <c r="I38" s="19" t="n"/>
      <c r="J38" s="30" t="n"/>
      <c r="K38" s="19" t="n"/>
      <c r="L38" s="19" t="n"/>
      <c r="M38" s="19" t="n"/>
      <c r="N38" s="31">
        <f>IF(B38="","",IF(OR(COUNTIF('02_입출고_재고'!$D$7:$D$206,B38)=0,COUNTIFS('02_입출고_재고'!$D$7:$D$206,B38,'02_입출고_재고'!$K$7:$K$206,"자재코드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확인")&gt;0),"",SUMIFS('02_입출고_재고'!$H$7:$H$206,'02_입출고_재고'!$D$7:$D$206,B38)-SUMIFS('02_입출고_재고'!$I$7:$I$206,'02_입출고_재고'!$D$7:$D$206,B38)))</f>
        <v/>
      </c>
      <c r="O38" s="23">
        <f>IF(B38="","",IF(COUNTIF($B$7:$B$106,B38)&gt;1,"코드 중복",IF(COUNTIF('02_입출고_재고'!$D$7:$D$206,B38)=0,"미등록",IF(COUNTIFS('02_입출고_재고'!$D$7:$D$206,B38,'02_입출고_재고'!$K$7:$K$206,"자재코드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확인")&gt;0,"입출고 입력 확인",IF(N38&lt;0,"출고수량 초과",IF(J38="","최소재고 미설정",IF(OR(NOT(ISNUMBER(J38)),J38&lt;0),"최소재고 확인",IF(N38&lt;J38,"재고부족","정상"))))))))</f>
        <v/>
      </c>
      <c r="P38" s="23">
        <f>IF(B38="","",IF(M38="해당없음","해당없음",IF(M38&lt;&gt;"대상","대상 여부 확인",IF(COUNTIF('03_유효기간'!$B$7:$B$206,B38)=0,"미등록",IF(COUNTIFS('03_유효기간'!$B$7:$B$206,B38,'03_유효기간'!$L$7:$L$206,"미입력")+COUNTIFS('03_유효기간'!$B$7:$B$206,B38,'03_유효기간'!$L$7:$L$206,"LOT 미입력")&gt;0,"유효기한/LOT 미입력",IF(COUNTIFS('03_유효기간'!$B$7:$B$206,B38,'03_유효기간'!$L$7:$L$206,"날짜 확인")&gt;0,"날짜 확인",IF(COUNTIFS('03_유효기간'!$B$7:$B$206,B38,'03_유효기간'!$L$7:$L$206,"만료")&gt;0,"만료",IF(COUNTIFS('03_유효기간'!$B$7:$B$206,B38,'03_유효기간'!$L$7:$L$206,"유효기간 임박")&gt;0,"유효기간 임박",IF(COUNTIFS('03_유효기간'!$B$7:$B$206,B38,'03_유효기간'!$L$7:$L$206,"정상")&gt;0,"정상","활성 LOT 없음")))))))))</f>
        <v/>
      </c>
      <c r="Q38" s="19" t="n"/>
      <c r="R38" s="26" t="n"/>
    </row>
    <row r="39" ht="24" customHeight="1">
      <c r="A39" s="18" t="n">
        <v>33</v>
      </c>
      <c r="B39" s="19" t="n"/>
      <c r="C39" s="19" t="n"/>
      <c r="D39" s="19" t="n"/>
      <c r="E39" s="19" t="n"/>
      <c r="F39" s="19" t="n"/>
      <c r="G39" s="20" t="n"/>
      <c r="H39" s="19" t="n"/>
      <c r="I39" s="19" t="n"/>
      <c r="J39" s="30" t="n"/>
      <c r="K39" s="19" t="n"/>
      <c r="L39" s="19" t="n"/>
      <c r="M39" s="19" t="n"/>
      <c r="N39" s="31">
        <f>IF(B39="","",IF(OR(COUNTIF('02_입출고_재고'!$D$7:$D$206,B39)=0,COUNTIFS('02_입출고_재고'!$D$7:$D$206,B39,'02_입출고_재고'!$K$7:$K$206,"자재코드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확인")&gt;0),"",SUMIFS('02_입출고_재고'!$H$7:$H$206,'02_입출고_재고'!$D$7:$D$206,B39)-SUMIFS('02_입출고_재고'!$I$7:$I$206,'02_입출고_재고'!$D$7:$D$206,B39)))</f>
        <v/>
      </c>
      <c r="O39" s="23">
        <f>IF(B39="","",IF(COUNTIF($B$7:$B$106,B39)&gt;1,"코드 중복",IF(COUNTIF('02_입출고_재고'!$D$7:$D$206,B39)=0,"미등록",IF(COUNTIFS('02_입출고_재고'!$D$7:$D$206,B39,'02_입출고_재고'!$K$7:$K$206,"자재코드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확인")&gt;0,"입출고 입력 확인",IF(N39&lt;0,"출고수량 초과",IF(J39="","최소재고 미설정",IF(OR(NOT(ISNUMBER(J39)),J39&lt;0),"최소재고 확인",IF(N39&lt;J39,"재고부족","정상"))))))))</f>
        <v/>
      </c>
      <c r="P39" s="23">
        <f>IF(B39="","",IF(M39="해당없음","해당없음",IF(M39&lt;&gt;"대상","대상 여부 확인",IF(COUNTIF('03_유효기간'!$B$7:$B$206,B39)=0,"미등록",IF(COUNTIFS('03_유효기간'!$B$7:$B$206,B39,'03_유효기간'!$L$7:$L$206,"미입력")+COUNTIFS('03_유효기간'!$B$7:$B$206,B39,'03_유효기간'!$L$7:$L$206,"LOT 미입력")&gt;0,"유효기한/LOT 미입력",IF(COUNTIFS('03_유효기간'!$B$7:$B$206,B39,'03_유효기간'!$L$7:$L$206,"날짜 확인")&gt;0,"날짜 확인",IF(COUNTIFS('03_유효기간'!$B$7:$B$206,B39,'03_유효기간'!$L$7:$L$206,"만료")&gt;0,"만료",IF(COUNTIFS('03_유효기간'!$B$7:$B$206,B39,'03_유효기간'!$L$7:$L$206,"유효기간 임박")&gt;0,"유효기간 임박",IF(COUNTIFS('03_유효기간'!$B$7:$B$206,B39,'03_유효기간'!$L$7:$L$206,"정상")&gt;0,"정상","활성 LOT 없음")))))))))</f>
        <v/>
      </c>
      <c r="Q39" s="19" t="n"/>
      <c r="R39" s="26" t="n"/>
    </row>
    <row r="40" ht="24" customHeight="1">
      <c r="A40" s="18" t="n">
        <v>34</v>
      </c>
      <c r="B40" s="19" t="n"/>
      <c r="C40" s="19" t="n"/>
      <c r="D40" s="19" t="n"/>
      <c r="E40" s="19" t="n"/>
      <c r="F40" s="19" t="n"/>
      <c r="G40" s="20" t="n"/>
      <c r="H40" s="19" t="n"/>
      <c r="I40" s="19" t="n"/>
      <c r="J40" s="30" t="n"/>
      <c r="K40" s="19" t="n"/>
      <c r="L40" s="19" t="n"/>
      <c r="M40" s="19" t="n"/>
      <c r="N40" s="31">
        <f>IF(B40="","",IF(OR(COUNTIF('02_입출고_재고'!$D$7:$D$206,B40)=0,COUNTIFS('02_입출고_재고'!$D$7:$D$206,B40,'02_입출고_재고'!$K$7:$K$206,"자재코드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확인")&gt;0),"",SUMIFS('02_입출고_재고'!$H$7:$H$206,'02_입출고_재고'!$D$7:$D$206,B40)-SUMIFS('02_입출고_재고'!$I$7:$I$206,'02_입출고_재고'!$D$7:$D$206,B40)))</f>
        <v/>
      </c>
      <c r="O40" s="23">
        <f>IF(B40="","",IF(COUNTIF($B$7:$B$106,B40)&gt;1,"코드 중복",IF(COUNTIF('02_입출고_재고'!$D$7:$D$206,B40)=0,"미등록",IF(COUNTIFS('02_입출고_재고'!$D$7:$D$206,B40,'02_입출고_재고'!$K$7:$K$206,"자재코드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확인")&gt;0,"입출고 입력 확인",IF(N40&lt;0,"출고수량 초과",IF(J40="","최소재고 미설정",IF(OR(NOT(ISNUMBER(J40)),J40&lt;0),"최소재고 확인",IF(N40&lt;J40,"재고부족","정상"))))))))</f>
        <v/>
      </c>
      <c r="P40" s="23">
        <f>IF(B40="","",IF(M40="해당없음","해당없음",IF(M40&lt;&gt;"대상","대상 여부 확인",IF(COUNTIF('03_유효기간'!$B$7:$B$206,B40)=0,"미등록",IF(COUNTIFS('03_유효기간'!$B$7:$B$206,B40,'03_유효기간'!$L$7:$L$206,"미입력")+COUNTIFS('03_유효기간'!$B$7:$B$206,B40,'03_유효기간'!$L$7:$L$206,"LOT 미입력")&gt;0,"유효기한/LOT 미입력",IF(COUNTIFS('03_유효기간'!$B$7:$B$206,B40,'03_유효기간'!$L$7:$L$206,"날짜 확인")&gt;0,"날짜 확인",IF(COUNTIFS('03_유효기간'!$B$7:$B$206,B40,'03_유효기간'!$L$7:$L$206,"만료")&gt;0,"만료",IF(COUNTIFS('03_유효기간'!$B$7:$B$206,B40,'03_유효기간'!$L$7:$L$206,"유효기간 임박")&gt;0,"유효기간 임박",IF(COUNTIFS('03_유효기간'!$B$7:$B$206,B40,'03_유효기간'!$L$7:$L$206,"정상")&gt;0,"정상","활성 LOT 없음")))))))))</f>
        <v/>
      </c>
      <c r="Q40" s="19" t="n"/>
      <c r="R40" s="26" t="n"/>
    </row>
    <row r="41" ht="24" customHeight="1">
      <c r="A41" s="18" t="n">
        <v>35</v>
      </c>
      <c r="B41" s="19" t="n"/>
      <c r="C41" s="19" t="n"/>
      <c r="D41" s="19" t="n"/>
      <c r="E41" s="19" t="n"/>
      <c r="F41" s="19" t="n"/>
      <c r="G41" s="20" t="n"/>
      <c r="H41" s="19" t="n"/>
      <c r="I41" s="19" t="n"/>
      <c r="J41" s="30" t="n"/>
      <c r="K41" s="19" t="n"/>
      <c r="L41" s="19" t="n"/>
      <c r="M41" s="19" t="n"/>
      <c r="N41" s="31">
        <f>IF(B41="","",IF(OR(COUNTIF('02_입출고_재고'!$D$7:$D$206,B41)=0,COUNTIFS('02_입출고_재고'!$D$7:$D$206,B41,'02_입출고_재고'!$K$7:$K$206,"자재코드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확인")&gt;0),"",SUMIFS('02_입출고_재고'!$H$7:$H$206,'02_입출고_재고'!$D$7:$D$206,B41)-SUMIFS('02_입출고_재고'!$I$7:$I$206,'02_입출고_재고'!$D$7:$D$206,B41)))</f>
        <v/>
      </c>
      <c r="O41" s="23">
        <f>IF(B41="","",IF(COUNTIF($B$7:$B$106,B41)&gt;1,"코드 중복",IF(COUNTIF('02_입출고_재고'!$D$7:$D$206,B41)=0,"미등록",IF(COUNTIFS('02_입출고_재고'!$D$7:$D$206,B41,'02_입출고_재고'!$K$7:$K$206,"자재코드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확인")&gt;0,"입출고 입력 확인",IF(N41&lt;0,"출고수량 초과",IF(J41="","최소재고 미설정",IF(OR(NOT(ISNUMBER(J41)),J41&lt;0),"최소재고 확인",IF(N41&lt;J41,"재고부족","정상"))))))))</f>
        <v/>
      </c>
      <c r="P41" s="23">
        <f>IF(B41="","",IF(M41="해당없음","해당없음",IF(M41&lt;&gt;"대상","대상 여부 확인",IF(COUNTIF('03_유효기간'!$B$7:$B$206,B41)=0,"미등록",IF(COUNTIFS('03_유효기간'!$B$7:$B$206,B41,'03_유효기간'!$L$7:$L$206,"미입력")+COUNTIFS('03_유효기간'!$B$7:$B$206,B41,'03_유효기간'!$L$7:$L$206,"LOT 미입력")&gt;0,"유효기한/LOT 미입력",IF(COUNTIFS('03_유효기간'!$B$7:$B$206,B41,'03_유효기간'!$L$7:$L$206,"날짜 확인")&gt;0,"날짜 확인",IF(COUNTIFS('03_유효기간'!$B$7:$B$206,B41,'03_유효기간'!$L$7:$L$206,"만료")&gt;0,"만료",IF(COUNTIFS('03_유효기간'!$B$7:$B$206,B41,'03_유효기간'!$L$7:$L$206,"유효기간 임박")&gt;0,"유효기간 임박",IF(COUNTIFS('03_유효기간'!$B$7:$B$206,B41,'03_유효기간'!$L$7:$L$206,"정상")&gt;0,"정상","활성 LOT 없음")))))))))</f>
        <v/>
      </c>
      <c r="Q41" s="19" t="n"/>
      <c r="R41" s="26" t="n"/>
    </row>
    <row r="42" ht="24" customHeight="1">
      <c r="A42" s="18" t="n">
        <v>36</v>
      </c>
      <c r="B42" s="19" t="n"/>
      <c r="C42" s="19" t="n"/>
      <c r="D42" s="19" t="n"/>
      <c r="E42" s="19" t="n"/>
      <c r="F42" s="19" t="n"/>
      <c r="G42" s="20" t="n"/>
      <c r="H42" s="19" t="n"/>
      <c r="I42" s="19" t="n"/>
      <c r="J42" s="30" t="n"/>
      <c r="K42" s="19" t="n"/>
      <c r="L42" s="19" t="n"/>
      <c r="M42" s="19" t="n"/>
      <c r="N42" s="31">
        <f>IF(B42="","",IF(OR(COUNTIF('02_입출고_재고'!$D$7:$D$206,B42)=0,COUNTIFS('02_입출고_재고'!$D$7:$D$206,B42,'02_입출고_재고'!$K$7:$K$206,"자재코드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확인")&gt;0),"",SUMIFS('02_입출고_재고'!$H$7:$H$206,'02_입출고_재고'!$D$7:$D$206,B42)-SUMIFS('02_입출고_재고'!$I$7:$I$206,'02_입출고_재고'!$D$7:$D$206,B42)))</f>
        <v/>
      </c>
      <c r="O42" s="23">
        <f>IF(B42="","",IF(COUNTIF($B$7:$B$106,B42)&gt;1,"코드 중복",IF(COUNTIF('02_입출고_재고'!$D$7:$D$206,B42)=0,"미등록",IF(COUNTIFS('02_입출고_재고'!$D$7:$D$206,B42,'02_입출고_재고'!$K$7:$K$206,"자재코드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확인")&gt;0,"입출고 입력 확인",IF(N42&lt;0,"출고수량 초과",IF(J42="","최소재고 미설정",IF(OR(NOT(ISNUMBER(J42)),J42&lt;0),"최소재고 확인",IF(N42&lt;J42,"재고부족","정상"))))))))</f>
        <v/>
      </c>
      <c r="P42" s="23">
        <f>IF(B42="","",IF(M42="해당없음","해당없음",IF(M42&lt;&gt;"대상","대상 여부 확인",IF(COUNTIF('03_유효기간'!$B$7:$B$206,B42)=0,"미등록",IF(COUNTIFS('03_유효기간'!$B$7:$B$206,B42,'03_유효기간'!$L$7:$L$206,"미입력")+COUNTIFS('03_유효기간'!$B$7:$B$206,B42,'03_유효기간'!$L$7:$L$206,"LOT 미입력")&gt;0,"유효기한/LOT 미입력",IF(COUNTIFS('03_유효기간'!$B$7:$B$206,B42,'03_유효기간'!$L$7:$L$206,"날짜 확인")&gt;0,"날짜 확인",IF(COUNTIFS('03_유효기간'!$B$7:$B$206,B42,'03_유효기간'!$L$7:$L$206,"만료")&gt;0,"만료",IF(COUNTIFS('03_유효기간'!$B$7:$B$206,B42,'03_유효기간'!$L$7:$L$206,"유효기간 임박")&gt;0,"유효기간 임박",IF(COUNTIFS('03_유효기간'!$B$7:$B$206,B42,'03_유효기간'!$L$7:$L$206,"정상")&gt;0,"정상","활성 LOT 없음")))))))))</f>
        <v/>
      </c>
      <c r="Q42" s="19" t="n"/>
      <c r="R42" s="26" t="n"/>
    </row>
    <row r="43" ht="24" customHeight="1">
      <c r="A43" s="18" t="n">
        <v>37</v>
      </c>
      <c r="B43" s="19" t="n"/>
      <c r="C43" s="19" t="n"/>
      <c r="D43" s="19" t="n"/>
      <c r="E43" s="19" t="n"/>
      <c r="F43" s="19" t="n"/>
      <c r="G43" s="20" t="n"/>
      <c r="H43" s="19" t="n"/>
      <c r="I43" s="19" t="n"/>
      <c r="J43" s="30" t="n"/>
      <c r="K43" s="19" t="n"/>
      <c r="L43" s="19" t="n"/>
      <c r="M43" s="19" t="n"/>
      <c r="N43" s="31">
        <f>IF(B43="","",IF(OR(COUNTIF('02_입출고_재고'!$D$7:$D$206,B43)=0,COUNTIFS('02_입출고_재고'!$D$7:$D$206,B43,'02_입출고_재고'!$K$7:$K$206,"자재코드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확인")&gt;0),"",SUMIFS('02_입출고_재고'!$H$7:$H$206,'02_입출고_재고'!$D$7:$D$206,B43)-SUMIFS('02_입출고_재고'!$I$7:$I$206,'02_입출고_재고'!$D$7:$D$206,B43)))</f>
        <v/>
      </c>
      <c r="O43" s="23">
        <f>IF(B43="","",IF(COUNTIF($B$7:$B$106,B43)&gt;1,"코드 중복",IF(COUNTIF('02_입출고_재고'!$D$7:$D$206,B43)=0,"미등록",IF(COUNTIFS('02_입출고_재고'!$D$7:$D$206,B43,'02_입출고_재고'!$K$7:$K$206,"자재코드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확인")&gt;0,"입출고 입력 확인",IF(N43&lt;0,"출고수량 초과",IF(J43="","최소재고 미설정",IF(OR(NOT(ISNUMBER(J43)),J43&lt;0),"최소재고 확인",IF(N43&lt;J43,"재고부족","정상"))))))))</f>
        <v/>
      </c>
      <c r="P43" s="23">
        <f>IF(B43="","",IF(M43="해당없음","해당없음",IF(M43&lt;&gt;"대상","대상 여부 확인",IF(COUNTIF('03_유효기간'!$B$7:$B$206,B43)=0,"미등록",IF(COUNTIFS('03_유효기간'!$B$7:$B$206,B43,'03_유효기간'!$L$7:$L$206,"미입력")+COUNTIFS('03_유효기간'!$B$7:$B$206,B43,'03_유효기간'!$L$7:$L$206,"LOT 미입력")&gt;0,"유효기한/LOT 미입력",IF(COUNTIFS('03_유효기간'!$B$7:$B$206,B43,'03_유효기간'!$L$7:$L$206,"날짜 확인")&gt;0,"날짜 확인",IF(COUNTIFS('03_유효기간'!$B$7:$B$206,B43,'03_유효기간'!$L$7:$L$206,"만료")&gt;0,"만료",IF(COUNTIFS('03_유효기간'!$B$7:$B$206,B43,'03_유효기간'!$L$7:$L$206,"유효기간 임박")&gt;0,"유효기간 임박",IF(COUNTIFS('03_유효기간'!$B$7:$B$206,B43,'03_유효기간'!$L$7:$L$206,"정상")&gt;0,"정상","활성 LOT 없음")))))))))</f>
        <v/>
      </c>
      <c r="Q43" s="19" t="n"/>
      <c r="R43" s="26" t="n"/>
    </row>
    <row r="44" ht="24" customHeight="1">
      <c r="A44" s="18" t="n">
        <v>38</v>
      </c>
      <c r="B44" s="19" t="n"/>
      <c r="C44" s="19" t="n"/>
      <c r="D44" s="19" t="n"/>
      <c r="E44" s="19" t="n"/>
      <c r="F44" s="19" t="n"/>
      <c r="G44" s="20" t="n"/>
      <c r="H44" s="19" t="n"/>
      <c r="I44" s="19" t="n"/>
      <c r="J44" s="30" t="n"/>
      <c r="K44" s="19" t="n"/>
      <c r="L44" s="19" t="n"/>
      <c r="M44" s="19" t="n"/>
      <c r="N44" s="31">
        <f>IF(B44="","",IF(OR(COUNTIF('02_입출고_재고'!$D$7:$D$206,B44)=0,COUNTIFS('02_입출고_재고'!$D$7:$D$206,B44,'02_입출고_재고'!$K$7:$K$206,"자재코드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확인")&gt;0),"",SUMIFS('02_입출고_재고'!$H$7:$H$206,'02_입출고_재고'!$D$7:$D$206,B44)-SUMIFS('02_입출고_재고'!$I$7:$I$206,'02_입출고_재고'!$D$7:$D$206,B44)))</f>
        <v/>
      </c>
      <c r="O44" s="23">
        <f>IF(B44="","",IF(COUNTIF($B$7:$B$106,B44)&gt;1,"코드 중복",IF(COUNTIF('02_입출고_재고'!$D$7:$D$206,B44)=0,"미등록",IF(COUNTIFS('02_입출고_재고'!$D$7:$D$206,B44,'02_입출고_재고'!$K$7:$K$206,"자재코드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확인")&gt;0,"입출고 입력 확인",IF(N44&lt;0,"출고수량 초과",IF(J44="","최소재고 미설정",IF(OR(NOT(ISNUMBER(J44)),J44&lt;0),"최소재고 확인",IF(N44&lt;J44,"재고부족","정상"))))))))</f>
        <v/>
      </c>
      <c r="P44" s="23">
        <f>IF(B44="","",IF(M44="해당없음","해당없음",IF(M44&lt;&gt;"대상","대상 여부 확인",IF(COUNTIF('03_유효기간'!$B$7:$B$206,B44)=0,"미등록",IF(COUNTIFS('03_유효기간'!$B$7:$B$206,B44,'03_유효기간'!$L$7:$L$206,"미입력")+COUNTIFS('03_유효기간'!$B$7:$B$206,B44,'03_유효기간'!$L$7:$L$206,"LOT 미입력")&gt;0,"유효기한/LOT 미입력",IF(COUNTIFS('03_유효기간'!$B$7:$B$206,B44,'03_유효기간'!$L$7:$L$206,"날짜 확인")&gt;0,"날짜 확인",IF(COUNTIFS('03_유효기간'!$B$7:$B$206,B44,'03_유효기간'!$L$7:$L$206,"만료")&gt;0,"만료",IF(COUNTIFS('03_유효기간'!$B$7:$B$206,B44,'03_유효기간'!$L$7:$L$206,"유효기간 임박")&gt;0,"유효기간 임박",IF(COUNTIFS('03_유효기간'!$B$7:$B$206,B44,'03_유효기간'!$L$7:$L$206,"정상")&gt;0,"정상","활성 LOT 없음")))))))))</f>
        <v/>
      </c>
      <c r="Q44" s="19" t="n"/>
      <c r="R44" s="26" t="n"/>
    </row>
    <row r="45" ht="24" customHeight="1">
      <c r="A45" s="18" t="n">
        <v>39</v>
      </c>
      <c r="B45" s="19" t="n"/>
      <c r="C45" s="19" t="n"/>
      <c r="D45" s="19" t="n"/>
      <c r="E45" s="19" t="n"/>
      <c r="F45" s="19" t="n"/>
      <c r="G45" s="20" t="n"/>
      <c r="H45" s="19" t="n"/>
      <c r="I45" s="19" t="n"/>
      <c r="J45" s="30" t="n"/>
      <c r="K45" s="19" t="n"/>
      <c r="L45" s="19" t="n"/>
      <c r="M45" s="19" t="n"/>
      <c r="N45" s="31">
        <f>IF(B45="","",IF(OR(COUNTIF('02_입출고_재고'!$D$7:$D$206,B45)=0,COUNTIFS('02_입출고_재고'!$D$7:$D$206,B45,'02_입출고_재고'!$K$7:$K$206,"자재코드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확인")&gt;0),"",SUMIFS('02_입출고_재고'!$H$7:$H$206,'02_입출고_재고'!$D$7:$D$206,B45)-SUMIFS('02_입출고_재고'!$I$7:$I$206,'02_입출고_재고'!$D$7:$D$206,B45)))</f>
        <v/>
      </c>
      <c r="O45" s="23">
        <f>IF(B45="","",IF(COUNTIF($B$7:$B$106,B45)&gt;1,"코드 중복",IF(COUNTIF('02_입출고_재고'!$D$7:$D$206,B45)=0,"미등록",IF(COUNTIFS('02_입출고_재고'!$D$7:$D$206,B45,'02_입출고_재고'!$K$7:$K$206,"자재코드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확인")&gt;0,"입출고 입력 확인",IF(N45&lt;0,"출고수량 초과",IF(J45="","최소재고 미설정",IF(OR(NOT(ISNUMBER(J45)),J45&lt;0),"최소재고 확인",IF(N45&lt;J45,"재고부족","정상"))))))))</f>
        <v/>
      </c>
      <c r="P45" s="23">
        <f>IF(B45="","",IF(M45="해당없음","해당없음",IF(M45&lt;&gt;"대상","대상 여부 확인",IF(COUNTIF('03_유효기간'!$B$7:$B$206,B45)=0,"미등록",IF(COUNTIFS('03_유효기간'!$B$7:$B$206,B45,'03_유효기간'!$L$7:$L$206,"미입력")+COUNTIFS('03_유효기간'!$B$7:$B$206,B45,'03_유효기간'!$L$7:$L$206,"LOT 미입력")&gt;0,"유효기한/LOT 미입력",IF(COUNTIFS('03_유효기간'!$B$7:$B$206,B45,'03_유효기간'!$L$7:$L$206,"날짜 확인")&gt;0,"날짜 확인",IF(COUNTIFS('03_유효기간'!$B$7:$B$206,B45,'03_유효기간'!$L$7:$L$206,"만료")&gt;0,"만료",IF(COUNTIFS('03_유효기간'!$B$7:$B$206,B45,'03_유효기간'!$L$7:$L$206,"유효기간 임박")&gt;0,"유효기간 임박",IF(COUNTIFS('03_유효기간'!$B$7:$B$206,B45,'03_유효기간'!$L$7:$L$206,"정상")&gt;0,"정상","활성 LOT 없음")))))))))</f>
        <v/>
      </c>
      <c r="Q45" s="19" t="n"/>
      <c r="R45" s="26" t="n"/>
    </row>
    <row r="46" ht="24" customHeight="1">
      <c r="A46" s="18" t="n">
        <v>40</v>
      </c>
      <c r="B46" s="19" t="n"/>
      <c r="C46" s="19" t="n"/>
      <c r="D46" s="19" t="n"/>
      <c r="E46" s="19" t="n"/>
      <c r="F46" s="19" t="n"/>
      <c r="G46" s="20" t="n"/>
      <c r="H46" s="19" t="n"/>
      <c r="I46" s="19" t="n"/>
      <c r="J46" s="30" t="n"/>
      <c r="K46" s="19" t="n"/>
      <c r="L46" s="19" t="n"/>
      <c r="M46" s="19" t="n"/>
      <c r="N46" s="31">
        <f>IF(B46="","",IF(OR(COUNTIF('02_입출고_재고'!$D$7:$D$206,B46)=0,COUNTIFS('02_입출고_재고'!$D$7:$D$206,B46,'02_입출고_재고'!$K$7:$K$206,"자재코드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확인")&gt;0),"",SUMIFS('02_입출고_재고'!$H$7:$H$206,'02_입출고_재고'!$D$7:$D$206,B46)-SUMIFS('02_입출고_재고'!$I$7:$I$206,'02_입출고_재고'!$D$7:$D$206,B46)))</f>
        <v/>
      </c>
      <c r="O46" s="23">
        <f>IF(B46="","",IF(COUNTIF($B$7:$B$106,B46)&gt;1,"코드 중복",IF(COUNTIF('02_입출고_재고'!$D$7:$D$206,B46)=0,"미등록",IF(COUNTIFS('02_입출고_재고'!$D$7:$D$206,B46,'02_입출고_재고'!$K$7:$K$206,"자재코드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확인")&gt;0,"입출고 입력 확인",IF(N46&lt;0,"출고수량 초과",IF(J46="","최소재고 미설정",IF(OR(NOT(ISNUMBER(J46)),J46&lt;0),"최소재고 확인",IF(N46&lt;J46,"재고부족","정상"))))))))</f>
        <v/>
      </c>
      <c r="P46" s="23">
        <f>IF(B46="","",IF(M46="해당없음","해당없음",IF(M46&lt;&gt;"대상","대상 여부 확인",IF(COUNTIF('03_유효기간'!$B$7:$B$206,B46)=0,"미등록",IF(COUNTIFS('03_유효기간'!$B$7:$B$206,B46,'03_유효기간'!$L$7:$L$206,"미입력")+COUNTIFS('03_유효기간'!$B$7:$B$206,B46,'03_유효기간'!$L$7:$L$206,"LOT 미입력")&gt;0,"유효기한/LOT 미입력",IF(COUNTIFS('03_유효기간'!$B$7:$B$206,B46,'03_유효기간'!$L$7:$L$206,"날짜 확인")&gt;0,"날짜 확인",IF(COUNTIFS('03_유효기간'!$B$7:$B$206,B46,'03_유효기간'!$L$7:$L$206,"만료")&gt;0,"만료",IF(COUNTIFS('03_유효기간'!$B$7:$B$206,B46,'03_유효기간'!$L$7:$L$206,"유효기간 임박")&gt;0,"유효기간 임박",IF(COUNTIFS('03_유효기간'!$B$7:$B$206,B46,'03_유효기간'!$L$7:$L$206,"정상")&gt;0,"정상","활성 LOT 없음")))))))))</f>
        <v/>
      </c>
      <c r="Q46" s="19" t="n"/>
      <c r="R46" s="26" t="n"/>
    </row>
    <row r="47" ht="24" customHeight="1">
      <c r="A47" s="18" t="n">
        <v>41</v>
      </c>
      <c r="B47" s="19" t="n"/>
      <c r="C47" s="19" t="n"/>
      <c r="D47" s="19" t="n"/>
      <c r="E47" s="19" t="n"/>
      <c r="F47" s="19" t="n"/>
      <c r="G47" s="20" t="n"/>
      <c r="H47" s="19" t="n"/>
      <c r="I47" s="19" t="n"/>
      <c r="J47" s="30" t="n"/>
      <c r="K47" s="19" t="n"/>
      <c r="L47" s="19" t="n"/>
      <c r="M47" s="19" t="n"/>
      <c r="N47" s="31">
        <f>IF(B47="","",IF(OR(COUNTIF('02_입출고_재고'!$D$7:$D$206,B47)=0,COUNTIFS('02_입출고_재고'!$D$7:$D$206,B47,'02_입출고_재고'!$K$7:$K$206,"자재코드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확인")&gt;0),"",SUMIFS('02_입출고_재고'!$H$7:$H$206,'02_입출고_재고'!$D$7:$D$206,B47)-SUMIFS('02_입출고_재고'!$I$7:$I$206,'02_입출고_재고'!$D$7:$D$206,B47)))</f>
        <v/>
      </c>
      <c r="O47" s="23">
        <f>IF(B47="","",IF(COUNTIF($B$7:$B$106,B47)&gt;1,"코드 중복",IF(COUNTIF('02_입출고_재고'!$D$7:$D$206,B47)=0,"미등록",IF(COUNTIFS('02_입출고_재고'!$D$7:$D$206,B47,'02_입출고_재고'!$K$7:$K$206,"자재코드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확인")&gt;0,"입출고 입력 확인",IF(N47&lt;0,"출고수량 초과",IF(J47="","최소재고 미설정",IF(OR(NOT(ISNUMBER(J47)),J47&lt;0),"최소재고 확인",IF(N47&lt;J47,"재고부족","정상"))))))))</f>
        <v/>
      </c>
      <c r="P47" s="23">
        <f>IF(B47="","",IF(M47="해당없음","해당없음",IF(M47&lt;&gt;"대상","대상 여부 확인",IF(COUNTIF('03_유효기간'!$B$7:$B$206,B47)=0,"미등록",IF(COUNTIFS('03_유효기간'!$B$7:$B$206,B47,'03_유효기간'!$L$7:$L$206,"미입력")+COUNTIFS('03_유효기간'!$B$7:$B$206,B47,'03_유효기간'!$L$7:$L$206,"LOT 미입력")&gt;0,"유효기한/LOT 미입력",IF(COUNTIFS('03_유효기간'!$B$7:$B$206,B47,'03_유효기간'!$L$7:$L$206,"날짜 확인")&gt;0,"날짜 확인",IF(COUNTIFS('03_유효기간'!$B$7:$B$206,B47,'03_유효기간'!$L$7:$L$206,"만료")&gt;0,"만료",IF(COUNTIFS('03_유효기간'!$B$7:$B$206,B47,'03_유효기간'!$L$7:$L$206,"유효기간 임박")&gt;0,"유효기간 임박",IF(COUNTIFS('03_유효기간'!$B$7:$B$206,B47,'03_유효기간'!$L$7:$L$206,"정상")&gt;0,"정상","활성 LOT 없음")))))))))</f>
        <v/>
      </c>
      <c r="Q47" s="19" t="n"/>
      <c r="R47" s="26" t="n"/>
    </row>
    <row r="48" ht="24" customHeight="1">
      <c r="A48" s="18" t="n">
        <v>42</v>
      </c>
      <c r="B48" s="19" t="n"/>
      <c r="C48" s="19" t="n"/>
      <c r="D48" s="19" t="n"/>
      <c r="E48" s="19" t="n"/>
      <c r="F48" s="19" t="n"/>
      <c r="G48" s="20" t="n"/>
      <c r="H48" s="19" t="n"/>
      <c r="I48" s="19" t="n"/>
      <c r="J48" s="30" t="n"/>
      <c r="K48" s="19" t="n"/>
      <c r="L48" s="19" t="n"/>
      <c r="M48" s="19" t="n"/>
      <c r="N48" s="31">
        <f>IF(B48="","",IF(OR(COUNTIF('02_입출고_재고'!$D$7:$D$206,B48)=0,COUNTIFS('02_입출고_재고'!$D$7:$D$206,B48,'02_입출고_재고'!$K$7:$K$206,"자재코드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확인")&gt;0),"",SUMIFS('02_입출고_재고'!$H$7:$H$206,'02_입출고_재고'!$D$7:$D$206,B48)-SUMIFS('02_입출고_재고'!$I$7:$I$206,'02_입출고_재고'!$D$7:$D$206,B48)))</f>
        <v/>
      </c>
      <c r="O48" s="23">
        <f>IF(B48="","",IF(COUNTIF($B$7:$B$106,B48)&gt;1,"코드 중복",IF(COUNTIF('02_입출고_재고'!$D$7:$D$206,B48)=0,"미등록",IF(COUNTIFS('02_입출고_재고'!$D$7:$D$206,B48,'02_입출고_재고'!$K$7:$K$206,"자재코드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확인")&gt;0,"입출고 입력 확인",IF(N48&lt;0,"출고수량 초과",IF(J48="","최소재고 미설정",IF(OR(NOT(ISNUMBER(J48)),J48&lt;0),"최소재고 확인",IF(N48&lt;J48,"재고부족","정상"))))))))</f>
        <v/>
      </c>
      <c r="P48" s="23">
        <f>IF(B48="","",IF(M48="해당없음","해당없음",IF(M48&lt;&gt;"대상","대상 여부 확인",IF(COUNTIF('03_유효기간'!$B$7:$B$206,B48)=0,"미등록",IF(COUNTIFS('03_유효기간'!$B$7:$B$206,B48,'03_유효기간'!$L$7:$L$206,"미입력")+COUNTIFS('03_유효기간'!$B$7:$B$206,B48,'03_유효기간'!$L$7:$L$206,"LOT 미입력")&gt;0,"유효기한/LOT 미입력",IF(COUNTIFS('03_유효기간'!$B$7:$B$206,B48,'03_유효기간'!$L$7:$L$206,"날짜 확인")&gt;0,"날짜 확인",IF(COUNTIFS('03_유효기간'!$B$7:$B$206,B48,'03_유효기간'!$L$7:$L$206,"만료")&gt;0,"만료",IF(COUNTIFS('03_유효기간'!$B$7:$B$206,B48,'03_유효기간'!$L$7:$L$206,"유효기간 임박")&gt;0,"유효기간 임박",IF(COUNTIFS('03_유효기간'!$B$7:$B$206,B48,'03_유효기간'!$L$7:$L$206,"정상")&gt;0,"정상","활성 LOT 없음")))))))))</f>
        <v/>
      </c>
      <c r="Q48" s="19" t="n"/>
      <c r="R48" s="26" t="n"/>
    </row>
    <row r="49" ht="24" customHeight="1">
      <c r="A49" s="18" t="n">
        <v>43</v>
      </c>
      <c r="B49" s="19" t="n"/>
      <c r="C49" s="19" t="n"/>
      <c r="D49" s="19" t="n"/>
      <c r="E49" s="19" t="n"/>
      <c r="F49" s="19" t="n"/>
      <c r="G49" s="20" t="n"/>
      <c r="H49" s="19" t="n"/>
      <c r="I49" s="19" t="n"/>
      <c r="J49" s="30" t="n"/>
      <c r="K49" s="19" t="n"/>
      <c r="L49" s="19" t="n"/>
      <c r="M49" s="19" t="n"/>
      <c r="N49" s="31">
        <f>IF(B49="","",IF(OR(COUNTIF('02_입출고_재고'!$D$7:$D$206,B49)=0,COUNTIFS('02_입출고_재고'!$D$7:$D$206,B49,'02_입출고_재고'!$K$7:$K$206,"자재코드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확인")&gt;0),"",SUMIFS('02_입출고_재고'!$H$7:$H$206,'02_입출고_재고'!$D$7:$D$206,B49)-SUMIFS('02_입출고_재고'!$I$7:$I$206,'02_입출고_재고'!$D$7:$D$206,B49)))</f>
        <v/>
      </c>
      <c r="O49" s="23">
        <f>IF(B49="","",IF(COUNTIF($B$7:$B$106,B49)&gt;1,"코드 중복",IF(COUNTIF('02_입출고_재고'!$D$7:$D$206,B49)=0,"미등록",IF(COUNTIFS('02_입출고_재고'!$D$7:$D$206,B49,'02_입출고_재고'!$K$7:$K$206,"자재코드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확인")&gt;0,"입출고 입력 확인",IF(N49&lt;0,"출고수량 초과",IF(J49="","최소재고 미설정",IF(OR(NOT(ISNUMBER(J49)),J49&lt;0),"최소재고 확인",IF(N49&lt;J49,"재고부족","정상"))))))))</f>
        <v/>
      </c>
      <c r="P49" s="23">
        <f>IF(B49="","",IF(M49="해당없음","해당없음",IF(M49&lt;&gt;"대상","대상 여부 확인",IF(COUNTIF('03_유효기간'!$B$7:$B$206,B49)=0,"미등록",IF(COUNTIFS('03_유효기간'!$B$7:$B$206,B49,'03_유효기간'!$L$7:$L$206,"미입력")+COUNTIFS('03_유효기간'!$B$7:$B$206,B49,'03_유효기간'!$L$7:$L$206,"LOT 미입력")&gt;0,"유효기한/LOT 미입력",IF(COUNTIFS('03_유효기간'!$B$7:$B$206,B49,'03_유효기간'!$L$7:$L$206,"날짜 확인")&gt;0,"날짜 확인",IF(COUNTIFS('03_유효기간'!$B$7:$B$206,B49,'03_유효기간'!$L$7:$L$206,"만료")&gt;0,"만료",IF(COUNTIFS('03_유효기간'!$B$7:$B$206,B49,'03_유효기간'!$L$7:$L$206,"유효기간 임박")&gt;0,"유효기간 임박",IF(COUNTIFS('03_유효기간'!$B$7:$B$206,B49,'03_유효기간'!$L$7:$L$206,"정상")&gt;0,"정상","활성 LOT 없음")))))))))</f>
        <v/>
      </c>
      <c r="Q49" s="19" t="n"/>
      <c r="R49" s="26" t="n"/>
    </row>
    <row r="50" ht="24" customHeight="1">
      <c r="A50" s="18" t="n">
        <v>44</v>
      </c>
      <c r="B50" s="19" t="n"/>
      <c r="C50" s="19" t="n"/>
      <c r="D50" s="19" t="n"/>
      <c r="E50" s="19" t="n"/>
      <c r="F50" s="19" t="n"/>
      <c r="G50" s="20" t="n"/>
      <c r="H50" s="19" t="n"/>
      <c r="I50" s="19" t="n"/>
      <c r="J50" s="30" t="n"/>
      <c r="K50" s="19" t="n"/>
      <c r="L50" s="19" t="n"/>
      <c r="M50" s="19" t="n"/>
      <c r="N50" s="31">
        <f>IF(B50="","",IF(OR(COUNTIF('02_입출고_재고'!$D$7:$D$206,B50)=0,COUNTIFS('02_입출고_재고'!$D$7:$D$206,B50,'02_입출고_재고'!$K$7:$K$206,"자재코드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확인")&gt;0),"",SUMIFS('02_입출고_재고'!$H$7:$H$206,'02_입출고_재고'!$D$7:$D$206,B50)-SUMIFS('02_입출고_재고'!$I$7:$I$206,'02_입출고_재고'!$D$7:$D$206,B50)))</f>
        <v/>
      </c>
      <c r="O50" s="23">
        <f>IF(B50="","",IF(COUNTIF($B$7:$B$106,B50)&gt;1,"코드 중복",IF(COUNTIF('02_입출고_재고'!$D$7:$D$206,B50)=0,"미등록",IF(COUNTIFS('02_입출고_재고'!$D$7:$D$206,B50,'02_입출고_재고'!$K$7:$K$206,"자재코드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확인")&gt;0,"입출고 입력 확인",IF(N50&lt;0,"출고수량 초과",IF(J50="","최소재고 미설정",IF(OR(NOT(ISNUMBER(J50)),J50&lt;0),"최소재고 확인",IF(N50&lt;J50,"재고부족","정상"))))))))</f>
        <v/>
      </c>
      <c r="P50" s="23">
        <f>IF(B50="","",IF(M50="해당없음","해당없음",IF(M50&lt;&gt;"대상","대상 여부 확인",IF(COUNTIF('03_유효기간'!$B$7:$B$206,B50)=0,"미등록",IF(COUNTIFS('03_유효기간'!$B$7:$B$206,B50,'03_유효기간'!$L$7:$L$206,"미입력")+COUNTIFS('03_유효기간'!$B$7:$B$206,B50,'03_유효기간'!$L$7:$L$206,"LOT 미입력")&gt;0,"유효기한/LOT 미입력",IF(COUNTIFS('03_유효기간'!$B$7:$B$206,B50,'03_유효기간'!$L$7:$L$206,"날짜 확인")&gt;0,"날짜 확인",IF(COUNTIFS('03_유효기간'!$B$7:$B$206,B50,'03_유효기간'!$L$7:$L$206,"만료")&gt;0,"만료",IF(COUNTIFS('03_유효기간'!$B$7:$B$206,B50,'03_유효기간'!$L$7:$L$206,"유효기간 임박")&gt;0,"유효기간 임박",IF(COUNTIFS('03_유효기간'!$B$7:$B$206,B50,'03_유효기간'!$L$7:$L$206,"정상")&gt;0,"정상","활성 LOT 없음")))))))))</f>
        <v/>
      </c>
      <c r="Q50" s="19" t="n"/>
      <c r="R50" s="26" t="n"/>
    </row>
    <row r="51" ht="24" customHeight="1">
      <c r="A51" s="18" t="n">
        <v>45</v>
      </c>
      <c r="B51" s="19" t="n"/>
      <c r="C51" s="19" t="n"/>
      <c r="D51" s="19" t="n"/>
      <c r="E51" s="19" t="n"/>
      <c r="F51" s="19" t="n"/>
      <c r="G51" s="20" t="n"/>
      <c r="H51" s="19" t="n"/>
      <c r="I51" s="19" t="n"/>
      <c r="J51" s="30" t="n"/>
      <c r="K51" s="19" t="n"/>
      <c r="L51" s="19" t="n"/>
      <c r="M51" s="19" t="n"/>
      <c r="N51" s="31">
        <f>IF(B51="","",IF(OR(COUNTIF('02_입출고_재고'!$D$7:$D$206,B51)=0,COUNTIFS('02_입출고_재고'!$D$7:$D$206,B51,'02_입출고_재고'!$K$7:$K$206,"자재코드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확인")&gt;0),"",SUMIFS('02_입출고_재고'!$H$7:$H$206,'02_입출고_재고'!$D$7:$D$206,B51)-SUMIFS('02_입출고_재고'!$I$7:$I$206,'02_입출고_재고'!$D$7:$D$206,B51)))</f>
        <v/>
      </c>
      <c r="O51" s="23">
        <f>IF(B51="","",IF(COUNTIF($B$7:$B$106,B51)&gt;1,"코드 중복",IF(COUNTIF('02_입출고_재고'!$D$7:$D$206,B51)=0,"미등록",IF(COUNTIFS('02_입출고_재고'!$D$7:$D$206,B51,'02_입출고_재고'!$K$7:$K$206,"자재코드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확인")&gt;0,"입출고 입력 확인",IF(N51&lt;0,"출고수량 초과",IF(J51="","최소재고 미설정",IF(OR(NOT(ISNUMBER(J51)),J51&lt;0),"최소재고 확인",IF(N51&lt;J51,"재고부족","정상"))))))))</f>
        <v/>
      </c>
      <c r="P51" s="23">
        <f>IF(B51="","",IF(M51="해당없음","해당없음",IF(M51&lt;&gt;"대상","대상 여부 확인",IF(COUNTIF('03_유효기간'!$B$7:$B$206,B51)=0,"미등록",IF(COUNTIFS('03_유효기간'!$B$7:$B$206,B51,'03_유효기간'!$L$7:$L$206,"미입력")+COUNTIFS('03_유효기간'!$B$7:$B$206,B51,'03_유효기간'!$L$7:$L$206,"LOT 미입력")&gt;0,"유효기한/LOT 미입력",IF(COUNTIFS('03_유효기간'!$B$7:$B$206,B51,'03_유효기간'!$L$7:$L$206,"날짜 확인")&gt;0,"날짜 확인",IF(COUNTIFS('03_유효기간'!$B$7:$B$206,B51,'03_유효기간'!$L$7:$L$206,"만료")&gt;0,"만료",IF(COUNTIFS('03_유효기간'!$B$7:$B$206,B51,'03_유효기간'!$L$7:$L$206,"유효기간 임박")&gt;0,"유효기간 임박",IF(COUNTIFS('03_유효기간'!$B$7:$B$206,B51,'03_유효기간'!$L$7:$L$206,"정상")&gt;0,"정상","활성 LOT 없음")))))))))</f>
        <v/>
      </c>
      <c r="Q51" s="19" t="n"/>
      <c r="R51" s="26" t="n"/>
    </row>
    <row r="52" ht="24" customHeight="1">
      <c r="A52" s="18" t="n">
        <v>46</v>
      </c>
      <c r="B52" s="19" t="n"/>
      <c r="C52" s="19" t="n"/>
      <c r="D52" s="19" t="n"/>
      <c r="E52" s="19" t="n"/>
      <c r="F52" s="19" t="n"/>
      <c r="G52" s="20" t="n"/>
      <c r="H52" s="19" t="n"/>
      <c r="I52" s="19" t="n"/>
      <c r="J52" s="30" t="n"/>
      <c r="K52" s="19" t="n"/>
      <c r="L52" s="19" t="n"/>
      <c r="M52" s="19" t="n"/>
      <c r="N52" s="31">
        <f>IF(B52="","",IF(OR(COUNTIF('02_입출고_재고'!$D$7:$D$206,B52)=0,COUNTIFS('02_입출고_재고'!$D$7:$D$206,B52,'02_입출고_재고'!$K$7:$K$206,"자재코드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확인")&gt;0),"",SUMIFS('02_입출고_재고'!$H$7:$H$206,'02_입출고_재고'!$D$7:$D$206,B52)-SUMIFS('02_입출고_재고'!$I$7:$I$206,'02_입출고_재고'!$D$7:$D$206,B52)))</f>
        <v/>
      </c>
      <c r="O52" s="23">
        <f>IF(B52="","",IF(COUNTIF($B$7:$B$106,B52)&gt;1,"코드 중복",IF(COUNTIF('02_입출고_재고'!$D$7:$D$206,B52)=0,"미등록",IF(COUNTIFS('02_입출고_재고'!$D$7:$D$206,B52,'02_입출고_재고'!$K$7:$K$206,"자재코드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확인")&gt;0,"입출고 입력 확인",IF(N52&lt;0,"출고수량 초과",IF(J52="","최소재고 미설정",IF(OR(NOT(ISNUMBER(J52)),J52&lt;0),"최소재고 확인",IF(N52&lt;J52,"재고부족","정상"))))))))</f>
        <v/>
      </c>
      <c r="P52" s="23">
        <f>IF(B52="","",IF(M52="해당없음","해당없음",IF(M52&lt;&gt;"대상","대상 여부 확인",IF(COUNTIF('03_유효기간'!$B$7:$B$206,B52)=0,"미등록",IF(COUNTIFS('03_유효기간'!$B$7:$B$206,B52,'03_유효기간'!$L$7:$L$206,"미입력")+COUNTIFS('03_유효기간'!$B$7:$B$206,B52,'03_유효기간'!$L$7:$L$206,"LOT 미입력")&gt;0,"유효기한/LOT 미입력",IF(COUNTIFS('03_유효기간'!$B$7:$B$206,B52,'03_유효기간'!$L$7:$L$206,"날짜 확인")&gt;0,"날짜 확인",IF(COUNTIFS('03_유효기간'!$B$7:$B$206,B52,'03_유효기간'!$L$7:$L$206,"만료")&gt;0,"만료",IF(COUNTIFS('03_유효기간'!$B$7:$B$206,B52,'03_유효기간'!$L$7:$L$206,"유효기간 임박")&gt;0,"유효기간 임박",IF(COUNTIFS('03_유효기간'!$B$7:$B$206,B52,'03_유효기간'!$L$7:$L$206,"정상")&gt;0,"정상","활성 LOT 없음")))))))))</f>
        <v/>
      </c>
      <c r="Q52" s="19" t="n"/>
      <c r="R52" s="26" t="n"/>
    </row>
    <row r="53" ht="24" customHeight="1">
      <c r="A53" s="18" t="n">
        <v>47</v>
      </c>
      <c r="B53" s="19" t="n"/>
      <c r="C53" s="19" t="n"/>
      <c r="D53" s="19" t="n"/>
      <c r="E53" s="19" t="n"/>
      <c r="F53" s="19" t="n"/>
      <c r="G53" s="20" t="n"/>
      <c r="H53" s="19" t="n"/>
      <c r="I53" s="19" t="n"/>
      <c r="J53" s="30" t="n"/>
      <c r="K53" s="19" t="n"/>
      <c r="L53" s="19" t="n"/>
      <c r="M53" s="19" t="n"/>
      <c r="N53" s="31">
        <f>IF(B53="","",IF(OR(COUNTIF('02_입출고_재고'!$D$7:$D$206,B53)=0,COUNTIFS('02_입출고_재고'!$D$7:$D$206,B53,'02_입출고_재고'!$K$7:$K$206,"자재코드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확인")&gt;0),"",SUMIFS('02_입출고_재고'!$H$7:$H$206,'02_입출고_재고'!$D$7:$D$206,B53)-SUMIFS('02_입출고_재고'!$I$7:$I$206,'02_입출고_재고'!$D$7:$D$206,B53)))</f>
        <v/>
      </c>
      <c r="O53" s="23">
        <f>IF(B53="","",IF(COUNTIF($B$7:$B$106,B53)&gt;1,"코드 중복",IF(COUNTIF('02_입출고_재고'!$D$7:$D$206,B53)=0,"미등록",IF(COUNTIFS('02_입출고_재고'!$D$7:$D$206,B53,'02_입출고_재고'!$K$7:$K$206,"자재코드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확인")&gt;0,"입출고 입력 확인",IF(N53&lt;0,"출고수량 초과",IF(J53="","최소재고 미설정",IF(OR(NOT(ISNUMBER(J53)),J53&lt;0),"최소재고 확인",IF(N53&lt;J53,"재고부족","정상"))))))))</f>
        <v/>
      </c>
      <c r="P53" s="23">
        <f>IF(B53="","",IF(M53="해당없음","해당없음",IF(M53&lt;&gt;"대상","대상 여부 확인",IF(COUNTIF('03_유효기간'!$B$7:$B$206,B53)=0,"미등록",IF(COUNTIFS('03_유효기간'!$B$7:$B$206,B53,'03_유효기간'!$L$7:$L$206,"미입력")+COUNTIFS('03_유효기간'!$B$7:$B$206,B53,'03_유효기간'!$L$7:$L$206,"LOT 미입력")&gt;0,"유효기한/LOT 미입력",IF(COUNTIFS('03_유효기간'!$B$7:$B$206,B53,'03_유효기간'!$L$7:$L$206,"날짜 확인")&gt;0,"날짜 확인",IF(COUNTIFS('03_유효기간'!$B$7:$B$206,B53,'03_유효기간'!$L$7:$L$206,"만료")&gt;0,"만료",IF(COUNTIFS('03_유효기간'!$B$7:$B$206,B53,'03_유효기간'!$L$7:$L$206,"유효기간 임박")&gt;0,"유효기간 임박",IF(COUNTIFS('03_유효기간'!$B$7:$B$206,B53,'03_유효기간'!$L$7:$L$206,"정상")&gt;0,"정상","활성 LOT 없음")))))))))</f>
        <v/>
      </c>
      <c r="Q53" s="19" t="n"/>
      <c r="R53" s="26" t="n"/>
    </row>
    <row r="54" ht="24" customHeight="1">
      <c r="A54" s="18" t="n">
        <v>48</v>
      </c>
      <c r="B54" s="19" t="n"/>
      <c r="C54" s="19" t="n"/>
      <c r="D54" s="19" t="n"/>
      <c r="E54" s="19" t="n"/>
      <c r="F54" s="19" t="n"/>
      <c r="G54" s="20" t="n"/>
      <c r="H54" s="19" t="n"/>
      <c r="I54" s="19" t="n"/>
      <c r="J54" s="30" t="n"/>
      <c r="K54" s="19" t="n"/>
      <c r="L54" s="19" t="n"/>
      <c r="M54" s="19" t="n"/>
      <c r="N54" s="31">
        <f>IF(B54="","",IF(OR(COUNTIF('02_입출고_재고'!$D$7:$D$206,B54)=0,COUNTIFS('02_입출고_재고'!$D$7:$D$206,B54,'02_입출고_재고'!$K$7:$K$206,"자재코드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확인")&gt;0),"",SUMIFS('02_입출고_재고'!$H$7:$H$206,'02_입출고_재고'!$D$7:$D$206,B54)-SUMIFS('02_입출고_재고'!$I$7:$I$206,'02_입출고_재고'!$D$7:$D$206,B54)))</f>
        <v/>
      </c>
      <c r="O54" s="23">
        <f>IF(B54="","",IF(COUNTIF($B$7:$B$106,B54)&gt;1,"코드 중복",IF(COUNTIF('02_입출고_재고'!$D$7:$D$206,B54)=0,"미등록",IF(COUNTIFS('02_입출고_재고'!$D$7:$D$206,B54,'02_입출고_재고'!$K$7:$K$206,"자재코드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확인")&gt;0,"입출고 입력 확인",IF(N54&lt;0,"출고수량 초과",IF(J54="","최소재고 미설정",IF(OR(NOT(ISNUMBER(J54)),J54&lt;0),"최소재고 확인",IF(N54&lt;J54,"재고부족","정상"))))))))</f>
        <v/>
      </c>
      <c r="P54" s="23">
        <f>IF(B54="","",IF(M54="해당없음","해당없음",IF(M54&lt;&gt;"대상","대상 여부 확인",IF(COUNTIF('03_유효기간'!$B$7:$B$206,B54)=0,"미등록",IF(COUNTIFS('03_유효기간'!$B$7:$B$206,B54,'03_유효기간'!$L$7:$L$206,"미입력")+COUNTIFS('03_유효기간'!$B$7:$B$206,B54,'03_유효기간'!$L$7:$L$206,"LOT 미입력")&gt;0,"유효기한/LOT 미입력",IF(COUNTIFS('03_유효기간'!$B$7:$B$206,B54,'03_유효기간'!$L$7:$L$206,"날짜 확인")&gt;0,"날짜 확인",IF(COUNTIFS('03_유효기간'!$B$7:$B$206,B54,'03_유효기간'!$L$7:$L$206,"만료")&gt;0,"만료",IF(COUNTIFS('03_유효기간'!$B$7:$B$206,B54,'03_유효기간'!$L$7:$L$206,"유효기간 임박")&gt;0,"유효기간 임박",IF(COUNTIFS('03_유효기간'!$B$7:$B$206,B54,'03_유효기간'!$L$7:$L$206,"정상")&gt;0,"정상","활성 LOT 없음")))))))))</f>
        <v/>
      </c>
      <c r="Q54" s="19" t="n"/>
      <c r="R54" s="26" t="n"/>
    </row>
    <row r="55" ht="24" customHeight="1">
      <c r="A55" s="18" t="n">
        <v>49</v>
      </c>
      <c r="B55" s="19" t="n"/>
      <c r="C55" s="19" t="n"/>
      <c r="D55" s="19" t="n"/>
      <c r="E55" s="19" t="n"/>
      <c r="F55" s="19" t="n"/>
      <c r="G55" s="20" t="n"/>
      <c r="H55" s="19" t="n"/>
      <c r="I55" s="19" t="n"/>
      <c r="J55" s="30" t="n"/>
      <c r="K55" s="19" t="n"/>
      <c r="L55" s="19" t="n"/>
      <c r="M55" s="19" t="n"/>
      <c r="N55" s="31">
        <f>IF(B55="","",IF(OR(COUNTIF('02_입출고_재고'!$D$7:$D$206,B55)=0,COUNTIFS('02_입출고_재고'!$D$7:$D$206,B55,'02_입출고_재고'!$K$7:$K$206,"자재코드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확인")&gt;0),"",SUMIFS('02_입출고_재고'!$H$7:$H$206,'02_입출고_재고'!$D$7:$D$206,B55)-SUMIFS('02_입출고_재고'!$I$7:$I$206,'02_입출고_재고'!$D$7:$D$206,B55)))</f>
        <v/>
      </c>
      <c r="O55" s="23">
        <f>IF(B55="","",IF(COUNTIF($B$7:$B$106,B55)&gt;1,"코드 중복",IF(COUNTIF('02_입출고_재고'!$D$7:$D$206,B55)=0,"미등록",IF(COUNTIFS('02_입출고_재고'!$D$7:$D$206,B55,'02_입출고_재고'!$K$7:$K$206,"자재코드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확인")&gt;0,"입출고 입력 확인",IF(N55&lt;0,"출고수량 초과",IF(J55="","최소재고 미설정",IF(OR(NOT(ISNUMBER(J55)),J55&lt;0),"최소재고 확인",IF(N55&lt;J55,"재고부족","정상"))))))))</f>
        <v/>
      </c>
      <c r="P55" s="23">
        <f>IF(B55="","",IF(M55="해당없음","해당없음",IF(M55&lt;&gt;"대상","대상 여부 확인",IF(COUNTIF('03_유효기간'!$B$7:$B$206,B55)=0,"미등록",IF(COUNTIFS('03_유효기간'!$B$7:$B$206,B55,'03_유효기간'!$L$7:$L$206,"미입력")+COUNTIFS('03_유효기간'!$B$7:$B$206,B55,'03_유효기간'!$L$7:$L$206,"LOT 미입력")&gt;0,"유효기한/LOT 미입력",IF(COUNTIFS('03_유효기간'!$B$7:$B$206,B55,'03_유효기간'!$L$7:$L$206,"날짜 확인")&gt;0,"날짜 확인",IF(COUNTIFS('03_유효기간'!$B$7:$B$206,B55,'03_유효기간'!$L$7:$L$206,"만료")&gt;0,"만료",IF(COUNTIFS('03_유효기간'!$B$7:$B$206,B55,'03_유효기간'!$L$7:$L$206,"유효기간 임박")&gt;0,"유효기간 임박",IF(COUNTIFS('03_유효기간'!$B$7:$B$206,B55,'03_유효기간'!$L$7:$L$206,"정상")&gt;0,"정상","활성 LOT 없음")))))))))</f>
        <v/>
      </c>
      <c r="Q55" s="19" t="n"/>
      <c r="R55" s="26" t="n"/>
    </row>
    <row r="56" ht="24" customHeight="1">
      <c r="A56" s="18" t="n">
        <v>50</v>
      </c>
      <c r="B56" s="19" t="n"/>
      <c r="C56" s="19" t="n"/>
      <c r="D56" s="19" t="n"/>
      <c r="E56" s="19" t="n"/>
      <c r="F56" s="19" t="n"/>
      <c r="G56" s="20" t="n"/>
      <c r="H56" s="19" t="n"/>
      <c r="I56" s="19" t="n"/>
      <c r="J56" s="30" t="n"/>
      <c r="K56" s="19" t="n"/>
      <c r="L56" s="19" t="n"/>
      <c r="M56" s="19" t="n"/>
      <c r="N56" s="31">
        <f>IF(B56="","",IF(OR(COUNTIF('02_입출고_재고'!$D$7:$D$206,B56)=0,COUNTIFS('02_입출고_재고'!$D$7:$D$206,B56,'02_입출고_재고'!$K$7:$K$206,"자재코드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확인")&gt;0),"",SUMIFS('02_입출고_재고'!$H$7:$H$206,'02_입출고_재고'!$D$7:$D$206,B56)-SUMIFS('02_입출고_재고'!$I$7:$I$206,'02_입출고_재고'!$D$7:$D$206,B56)))</f>
        <v/>
      </c>
      <c r="O56" s="23">
        <f>IF(B56="","",IF(COUNTIF($B$7:$B$106,B56)&gt;1,"코드 중복",IF(COUNTIF('02_입출고_재고'!$D$7:$D$206,B56)=0,"미등록",IF(COUNTIFS('02_입출고_재고'!$D$7:$D$206,B56,'02_입출고_재고'!$K$7:$K$206,"자재코드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확인")&gt;0,"입출고 입력 확인",IF(N56&lt;0,"출고수량 초과",IF(J56="","최소재고 미설정",IF(OR(NOT(ISNUMBER(J56)),J56&lt;0),"최소재고 확인",IF(N56&lt;J56,"재고부족","정상"))))))))</f>
        <v/>
      </c>
      <c r="P56" s="23">
        <f>IF(B56="","",IF(M56="해당없음","해당없음",IF(M56&lt;&gt;"대상","대상 여부 확인",IF(COUNTIF('03_유효기간'!$B$7:$B$206,B56)=0,"미등록",IF(COUNTIFS('03_유효기간'!$B$7:$B$206,B56,'03_유효기간'!$L$7:$L$206,"미입력")+COUNTIFS('03_유효기간'!$B$7:$B$206,B56,'03_유효기간'!$L$7:$L$206,"LOT 미입력")&gt;0,"유효기한/LOT 미입력",IF(COUNTIFS('03_유효기간'!$B$7:$B$206,B56,'03_유효기간'!$L$7:$L$206,"날짜 확인")&gt;0,"날짜 확인",IF(COUNTIFS('03_유효기간'!$B$7:$B$206,B56,'03_유효기간'!$L$7:$L$206,"만료")&gt;0,"만료",IF(COUNTIFS('03_유효기간'!$B$7:$B$206,B56,'03_유효기간'!$L$7:$L$206,"유효기간 임박")&gt;0,"유효기간 임박",IF(COUNTIFS('03_유효기간'!$B$7:$B$206,B56,'03_유효기간'!$L$7:$L$206,"정상")&gt;0,"정상","활성 LOT 없음")))))))))</f>
        <v/>
      </c>
      <c r="Q56" s="19" t="n"/>
      <c r="R56" s="26" t="n"/>
    </row>
    <row r="57" ht="24" customHeight="1">
      <c r="A57" s="18" t="n">
        <v>51</v>
      </c>
      <c r="B57" s="19" t="n"/>
      <c r="C57" s="19" t="n"/>
      <c r="D57" s="19" t="n"/>
      <c r="E57" s="19" t="n"/>
      <c r="F57" s="19" t="n"/>
      <c r="G57" s="20" t="n"/>
      <c r="H57" s="19" t="n"/>
      <c r="I57" s="19" t="n"/>
      <c r="J57" s="30" t="n"/>
      <c r="K57" s="19" t="n"/>
      <c r="L57" s="19" t="n"/>
      <c r="M57" s="19" t="n"/>
      <c r="N57" s="31">
        <f>IF(B57="","",IF(OR(COUNTIF('02_입출고_재고'!$D$7:$D$206,B57)=0,COUNTIFS('02_입출고_재고'!$D$7:$D$206,B57,'02_입출고_재고'!$K$7:$K$206,"자재코드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확인")&gt;0),"",SUMIFS('02_입출고_재고'!$H$7:$H$206,'02_입출고_재고'!$D$7:$D$206,B57)-SUMIFS('02_입출고_재고'!$I$7:$I$206,'02_입출고_재고'!$D$7:$D$206,B57)))</f>
        <v/>
      </c>
      <c r="O57" s="23">
        <f>IF(B57="","",IF(COUNTIF($B$7:$B$106,B57)&gt;1,"코드 중복",IF(COUNTIF('02_입출고_재고'!$D$7:$D$206,B57)=0,"미등록",IF(COUNTIFS('02_입출고_재고'!$D$7:$D$206,B57,'02_입출고_재고'!$K$7:$K$206,"자재코드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확인")&gt;0,"입출고 입력 확인",IF(N57&lt;0,"출고수량 초과",IF(J57="","최소재고 미설정",IF(OR(NOT(ISNUMBER(J57)),J57&lt;0),"최소재고 확인",IF(N57&lt;J57,"재고부족","정상"))))))))</f>
        <v/>
      </c>
      <c r="P57" s="23">
        <f>IF(B57="","",IF(M57="해당없음","해당없음",IF(M57&lt;&gt;"대상","대상 여부 확인",IF(COUNTIF('03_유효기간'!$B$7:$B$206,B57)=0,"미등록",IF(COUNTIFS('03_유효기간'!$B$7:$B$206,B57,'03_유효기간'!$L$7:$L$206,"미입력")+COUNTIFS('03_유효기간'!$B$7:$B$206,B57,'03_유효기간'!$L$7:$L$206,"LOT 미입력")&gt;0,"유효기한/LOT 미입력",IF(COUNTIFS('03_유효기간'!$B$7:$B$206,B57,'03_유효기간'!$L$7:$L$206,"날짜 확인")&gt;0,"날짜 확인",IF(COUNTIFS('03_유효기간'!$B$7:$B$206,B57,'03_유효기간'!$L$7:$L$206,"만료")&gt;0,"만료",IF(COUNTIFS('03_유효기간'!$B$7:$B$206,B57,'03_유효기간'!$L$7:$L$206,"유효기간 임박")&gt;0,"유효기간 임박",IF(COUNTIFS('03_유효기간'!$B$7:$B$206,B57,'03_유효기간'!$L$7:$L$206,"정상")&gt;0,"정상","활성 LOT 없음")))))))))</f>
        <v/>
      </c>
      <c r="Q57" s="19" t="n"/>
      <c r="R57" s="26" t="n"/>
    </row>
    <row r="58" ht="24" customHeight="1">
      <c r="A58" s="18" t="n">
        <v>52</v>
      </c>
      <c r="B58" s="19" t="n"/>
      <c r="C58" s="19" t="n"/>
      <c r="D58" s="19" t="n"/>
      <c r="E58" s="19" t="n"/>
      <c r="F58" s="19" t="n"/>
      <c r="G58" s="20" t="n"/>
      <c r="H58" s="19" t="n"/>
      <c r="I58" s="19" t="n"/>
      <c r="J58" s="30" t="n"/>
      <c r="K58" s="19" t="n"/>
      <c r="L58" s="19" t="n"/>
      <c r="M58" s="19" t="n"/>
      <c r="N58" s="31">
        <f>IF(B58="","",IF(OR(COUNTIF('02_입출고_재고'!$D$7:$D$206,B58)=0,COUNTIFS('02_입출고_재고'!$D$7:$D$206,B58,'02_입출고_재고'!$K$7:$K$206,"자재코드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확인")&gt;0),"",SUMIFS('02_입출고_재고'!$H$7:$H$206,'02_입출고_재고'!$D$7:$D$206,B58)-SUMIFS('02_입출고_재고'!$I$7:$I$206,'02_입출고_재고'!$D$7:$D$206,B58)))</f>
        <v/>
      </c>
      <c r="O58" s="23">
        <f>IF(B58="","",IF(COUNTIF($B$7:$B$106,B58)&gt;1,"코드 중복",IF(COUNTIF('02_입출고_재고'!$D$7:$D$206,B58)=0,"미등록",IF(COUNTIFS('02_입출고_재고'!$D$7:$D$206,B58,'02_입출고_재고'!$K$7:$K$206,"자재코드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확인")&gt;0,"입출고 입력 확인",IF(N58&lt;0,"출고수량 초과",IF(J58="","최소재고 미설정",IF(OR(NOT(ISNUMBER(J58)),J58&lt;0),"최소재고 확인",IF(N58&lt;J58,"재고부족","정상"))))))))</f>
        <v/>
      </c>
      <c r="P58" s="23">
        <f>IF(B58="","",IF(M58="해당없음","해당없음",IF(M58&lt;&gt;"대상","대상 여부 확인",IF(COUNTIF('03_유효기간'!$B$7:$B$206,B58)=0,"미등록",IF(COUNTIFS('03_유효기간'!$B$7:$B$206,B58,'03_유효기간'!$L$7:$L$206,"미입력")+COUNTIFS('03_유효기간'!$B$7:$B$206,B58,'03_유효기간'!$L$7:$L$206,"LOT 미입력")&gt;0,"유효기한/LOT 미입력",IF(COUNTIFS('03_유효기간'!$B$7:$B$206,B58,'03_유효기간'!$L$7:$L$206,"날짜 확인")&gt;0,"날짜 확인",IF(COUNTIFS('03_유효기간'!$B$7:$B$206,B58,'03_유효기간'!$L$7:$L$206,"만료")&gt;0,"만료",IF(COUNTIFS('03_유효기간'!$B$7:$B$206,B58,'03_유효기간'!$L$7:$L$206,"유효기간 임박")&gt;0,"유효기간 임박",IF(COUNTIFS('03_유효기간'!$B$7:$B$206,B58,'03_유효기간'!$L$7:$L$206,"정상")&gt;0,"정상","활성 LOT 없음")))))))))</f>
        <v/>
      </c>
      <c r="Q58" s="19" t="n"/>
      <c r="R58" s="26" t="n"/>
    </row>
    <row r="59" ht="24" customHeight="1">
      <c r="A59" s="18" t="n">
        <v>53</v>
      </c>
      <c r="B59" s="19" t="n"/>
      <c r="C59" s="19" t="n"/>
      <c r="D59" s="19" t="n"/>
      <c r="E59" s="19" t="n"/>
      <c r="F59" s="19" t="n"/>
      <c r="G59" s="20" t="n"/>
      <c r="H59" s="19" t="n"/>
      <c r="I59" s="19" t="n"/>
      <c r="J59" s="30" t="n"/>
      <c r="K59" s="19" t="n"/>
      <c r="L59" s="19" t="n"/>
      <c r="M59" s="19" t="n"/>
      <c r="N59" s="31">
        <f>IF(B59="","",IF(OR(COUNTIF('02_입출고_재고'!$D$7:$D$206,B59)=0,COUNTIFS('02_입출고_재고'!$D$7:$D$206,B59,'02_입출고_재고'!$K$7:$K$206,"자재코드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확인")&gt;0),"",SUMIFS('02_입출고_재고'!$H$7:$H$206,'02_입출고_재고'!$D$7:$D$206,B59)-SUMIFS('02_입출고_재고'!$I$7:$I$206,'02_입출고_재고'!$D$7:$D$206,B59)))</f>
        <v/>
      </c>
      <c r="O59" s="23">
        <f>IF(B59="","",IF(COUNTIF($B$7:$B$106,B59)&gt;1,"코드 중복",IF(COUNTIF('02_입출고_재고'!$D$7:$D$206,B59)=0,"미등록",IF(COUNTIFS('02_입출고_재고'!$D$7:$D$206,B59,'02_입출고_재고'!$K$7:$K$206,"자재코드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확인")&gt;0,"입출고 입력 확인",IF(N59&lt;0,"출고수량 초과",IF(J59="","최소재고 미설정",IF(OR(NOT(ISNUMBER(J59)),J59&lt;0),"최소재고 확인",IF(N59&lt;J59,"재고부족","정상"))))))))</f>
        <v/>
      </c>
      <c r="P59" s="23">
        <f>IF(B59="","",IF(M59="해당없음","해당없음",IF(M59&lt;&gt;"대상","대상 여부 확인",IF(COUNTIF('03_유효기간'!$B$7:$B$206,B59)=0,"미등록",IF(COUNTIFS('03_유효기간'!$B$7:$B$206,B59,'03_유효기간'!$L$7:$L$206,"미입력")+COUNTIFS('03_유효기간'!$B$7:$B$206,B59,'03_유효기간'!$L$7:$L$206,"LOT 미입력")&gt;0,"유효기한/LOT 미입력",IF(COUNTIFS('03_유효기간'!$B$7:$B$206,B59,'03_유효기간'!$L$7:$L$206,"날짜 확인")&gt;0,"날짜 확인",IF(COUNTIFS('03_유효기간'!$B$7:$B$206,B59,'03_유효기간'!$L$7:$L$206,"만료")&gt;0,"만료",IF(COUNTIFS('03_유효기간'!$B$7:$B$206,B59,'03_유효기간'!$L$7:$L$206,"유효기간 임박")&gt;0,"유효기간 임박",IF(COUNTIFS('03_유효기간'!$B$7:$B$206,B59,'03_유효기간'!$L$7:$L$206,"정상")&gt;0,"정상","활성 LOT 없음")))))))))</f>
        <v/>
      </c>
      <c r="Q59" s="19" t="n"/>
      <c r="R59" s="26" t="n"/>
    </row>
    <row r="60" ht="24" customHeight="1">
      <c r="A60" s="18" t="n">
        <v>54</v>
      </c>
      <c r="B60" s="19" t="n"/>
      <c r="C60" s="19" t="n"/>
      <c r="D60" s="19" t="n"/>
      <c r="E60" s="19" t="n"/>
      <c r="F60" s="19" t="n"/>
      <c r="G60" s="20" t="n"/>
      <c r="H60" s="19" t="n"/>
      <c r="I60" s="19" t="n"/>
      <c r="J60" s="30" t="n"/>
      <c r="K60" s="19" t="n"/>
      <c r="L60" s="19" t="n"/>
      <c r="M60" s="19" t="n"/>
      <c r="N60" s="31">
        <f>IF(B60="","",IF(OR(COUNTIF('02_입출고_재고'!$D$7:$D$206,B60)=0,COUNTIFS('02_입출고_재고'!$D$7:$D$206,B60,'02_입출고_재고'!$K$7:$K$206,"자재코드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확인")&gt;0),"",SUMIFS('02_입출고_재고'!$H$7:$H$206,'02_입출고_재고'!$D$7:$D$206,B60)-SUMIFS('02_입출고_재고'!$I$7:$I$206,'02_입출고_재고'!$D$7:$D$206,B60)))</f>
        <v/>
      </c>
      <c r="O60" s="23">
        <f>IF(B60="","",IF(COUNTIF($B$7:$B$106,B60)&gt;1,"코드 중복",IF(COUNTIF('02_입출고_재고'!$D$7:$D$206,B60)=0,"미등록",IF(COUNTIFS('02_입출고_재고'!$D$7:$D$206,B60,'02_입출고_재고'!$K$7:$K$206,"자재코드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확인")&gt;0,"입출고 입력 확인",IF(N60&lt;0,"출고수량 초과",IF(J60="","최소재고 미설정",IF(OR(NOT(ISNUMBER(J60)),J60&lt;0),"최소재고 확인",IF(N60&lt;J60,"재고부족","정상"))))))))</f>
        <v/>
      </c>
      <c r="P60" s="23">
        <f>IF(B60="","",IF(M60="해당없음","해당없음",IF(M60&lt;&gt;"대상","대상 여부 확인",IF(COUNTIF('03_유효기간'!$B$7:$B$206,B60)=0,"미등록",IF(COUNTIFS('03_유효기간'!$B$7:$B$206,B60,'03_유효기간'!$L$7:$L$206,"미입력")+COUNTIFS('03_유효기간'!$B$7:$B$206,B60,'03_유효기간'!$L$7:$L$206,"LOT 미입력")&gt;0,"유효기한/LOT 미입력",IF(COUNTIFS('03_유효기간'!$B$7:$B$206,B60,'03_유효기간'!$L$7:$L$206,"날짜 확인")&gt;0,"날짜 확인",IF(COUNTIFS('03_유효기간'!$B$7:$B$206,B60,'03_유효기간'!$L$7:$L$206,"만료")&gt;0,"만료",IF(COUNTIFS('03_유효기간'!$B$7:$B$206,B60,'03_유효기간'!$L$7:$L$206,"유효기간 임박")&gt;0,"유효기간 임박",IF(COUNTIFS('03_유효기간'!$B$7:$B$206,B60,'03_유효기간'!$L$7:$L$206,"정상")&gt;0,"정상","활성 LOT 없음")))))))))</f>
        <v/>
      </c>
      <c r="Q60" s="19" t="n"/>
      <c r="R60" s="26" t="n"/>
    </row>
    <row r="61" ht="24" customHeight="1">
      <c r="A61" s="18" t="n">
        <v>55</v>
      </c>
      <c r="B61" s="19" t="n"/>
      <c r="C61" s="19" t="n"/>
      <c r="D61" s="19" t="n"/>
      <c r="E61" s="19" t="n"/>
      <c r="F61" s="19" t="n"/>
      <c r="G61" s="20" t="n"/>
      <c r="H61" s="19" t="n"/>
      <c r="I61" s="19" t="n"/>
      <c r="J61" s="30" t="n"/>
      <c r="K61" s="19" t="n"/>
      <c r="L61" s="19" t="n"/>
      <c r="M61" s="19" t="n"/>
      <c r="N61" s="31">
        <f>IF(B61="","",IF(OR(COUNTIF('02_입출고_재고'!$D$7:$D$206,B61)=0,COUNTIFS('02_입출고_재고'!$D$7:$D$206,B61,'02_입출고_재고'!$K$7:$K$206,"자재코드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확인")&gt;0),"",SUMIFS('02_입출고_재고'!$H$7:$H$206,'02_입출고_재고'!$D$7:$D$206,B61)-SUMIFS('02_입출고_재고'!$I$7:$I$206,'02_입출고_재고'!$D$7:$D$206,B61)))</f>
        <v/>
      </c>
      <c r="O61" s="23">
        <f>IF(B61="","",IF(COUNTIF($B$7:$B$106,B61)&gt;1,"코드 중복",IF(COUNTIF('02_입출고_재고'!$D$7:$D$206,B61)=0,"미등록",IF(COUNTIFS('02_입출고_재고'!$D$7:$D$206,B61,'02_입출고_재고'!$K$7:$K$206,"자재코드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확인")&gt;0,"입출고 입력 확인",IF(N61&lt;0,"출고수량 초과",IF(J61="","최소재고 미설정",IF(OR(NOT(ISNUMBER(J61)),J61&lt;0),"최소재고 확인",IF(N61&lt;J61,"재고부족","정상"))))))))</f>
        <v/>
      </c>
      <c r="P61" s="23">
        <f>IF(B61="","",IF(M61="해당없음","해당없음",IF(M61&lt;&gt;"대상","대상 여부 확인",IF(COUNTIF('03_유효기간'!$B$7:$B$206,B61)=0,"미등록",IF(COUNTIFS('03_유효기간'!$B$7:$B$206,B61,'03_유효기간'!$L$7:$L$206,"미입력")+COUNTIFS('03_유효기간'!$B$7:$B$206,B61,'03_유효기간'!$L$7:$L$206,"LOT 미입력")&gt;0,"유효기한/LOT 미입력",IF(COUNTIFS('03_유효기간'!$B$7:$B$206,B61,'03_유효기간'!$L$7:$L$206,"날짜 확인")&gt;0,"날짜 확인",IF(COUNTIFS('03_유효기간'!$B$7:$B$206,B61,'03_유효기간'!$L$7:$L$206,"만료")&gt;0,"만료",IF(COUNTIFS('03_유효기간'!$B$7:$B$206,B61,'03_유효기간'!$L$7:$L$206,"유효기간 임박")&gt;0,"유효기간 임박",IF(COUNTIFS('03_유효기간'!$B$7:$B$206,B61,'03_유효기간'!$L$7:$L$206,"정상")&gt;0,"정상","활성 LOT 없음")))))))))</f>
        <v/>
      </c>
      <c r="Q61" s="19" t="n"/>
      <c r="R61" s="26" t="n"/>
    </row>
    <row r="62" ht="24" customHeight="1">
      <c r="A62" s="18" t="n">
        <v>56</v>
      </c>
      <c r="B62" s="19" t="n"/>
      <c r="C62" s="19" t="n"/>
      <c r="D62" s="19" t="n"/>
      <c r="E62" s="19" t="n"/>
      <c r="F62" s="19" t="n"/>
      <c r="G62" s="20" t="n"/>
      <c r="H62" s="19" t="n"/>
      <c r="I62" s="19" t="n"/>
      <c r="J62" s="30" t="n"/>
      <c r="K62" s="19" t="n"/>
      <c r="L62" s="19" t="n"/>
      <c r="M62" s="19" t="n"/>
      <c r="N62" s="31">
        <f>IF(B62="","",IF(OR(COUNTIF('02_입출고_재고'!$D$7:$D$206,B62)=0,COUNTIFS('02_입출고_재고'!$D$7:$D$206,B62,'02_입출고_재고'!$K$7:$K$206,"자재코드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확인")&gt;0),"",SUMIFS('02_입출고_재고'!$H$7:$H$206,'02_입출고_재고'!$D$7:$D$206,B62)-SUMIFS('02_입출고_재고'!$I$7:$I$206,'02_입출고_재고'!$D$7:$D$206,B62)))</f>
        <v/>
      </c>
      <c r="O62" s="23">
        <f>IF(B62="","",IF(COUNTIF($B$7:$B$106,B62)&gt;1,"코드 중복",IF(COUNTIF('02_입출고_재고'!$D$7:$D$206,B62)=0,"미등록",IF(COUNTIFS('02_입출고_재고'!$D$7:$D$206,B62,'02_입출고_재고'!$K$7:$K$206,"자재코드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확인")&gt;0,"입출고 입력 확인",IF(N62&lt;0,"출고수량 초과",IF(J62="","최소재고 미설정",IF(OR(NOT(ISNUMBER(J62)),J62&lt;0),"최소재고 확인",IF(N62&lt;J62,"재고부족","정상"))))))))</f>
        <v/>
      </c>
      <c r="P62" s="23">
        <f>IF(B62="","",IF(M62="해당없음","해당없음",IF(M62&lt;&gt;"대상","대상 여부 확인",IF(COUNTIF('03_유효기간'!$B$7:$B$206,B62)=0,"미등록",IF(COUNTIFS('03_유효기간'!$B$7:$B$206,B62,'03_유효기간'!$L$7:$L$206,"미입력")+COUNTIFS('03_유효기간'!$B$7:$B$206,B62,'03_유효기간'!$L$7:$L$206,"LOT 미입력")&gt;0,"유효기한/LOT 미입력",IF(COUNTIFS('03_유효기간'!$B$7:$B$206,B62,'03_유효기간'!$L$7:$L$206,"날짜 확인")&gt;0,"날짜 확인",IF(COUNTIFS('03_유효기간'!$B$7:$B$206,B62,'03_유효기간'!$L$7:$L$206,"만료")&gt;0,"만료",IF(COUNTIFS('03_유효기간'!$B$7:$B$206,B62,'03_유효기간'!$L$7:$L$206,"유효기간 임박")&gt;0,"유효기간 임박",IF(COUNTIFS('03_유효기간'!$B$7:$B$206,B62,'03_유효기간'!$L$7:$L$206,"정상")&gt;0,"정상","활성 LOT 없음")))))))))</f>
        <v/>
      </c>
      <c r="Q62" s="19" t="n"/>
      <c r="R62" s="26" t="n"/>
    </row>
    <row r="63" ht="24" customHeight="1">
      <c r="A63" s="18" t="n">
        <v>57</v>
      </c>
      <c r="B63" s="19" t="n"/>
      <c r="C63" s="19" t="n"/>
      <c r="D63" s="19" t="n"/>
      <c r="E63" s="19" t="n"/>
      <c r="F63" s="19" t="n"/>
      <c r="G63" s="20" t="n"/>
      <c r="H63" s="19" t="n"/>
      <c r="I63" s="19" t="n"/>
      <c r="J63" s="30" t="n"/>
      <c r="K63" s="19" t="n"/>
      <c r="L63" s="19" t="n"/>
      <c r="M63" s="19" t="n"/>
      <c r="N63" s="31">
        <f>IF(B63="","",IF(OR(COUNTIF('02_입출고_재고'!$D$7:$D$206,B63)=0,COUNTIFS('02_입출고_재고'!$D$7:$D$206,B63,'02_입출고_재고'!$K$7:$K$206,"자재코드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확인")&gt;0),"",SUMIFS('02_입출고_재고'!$H$7:$H$206,'02_입출고_재고'!$D$7:$D$206,B63)-SUMIFS('02_입출고_재고'!$I$7:$I$206,'02_입출고_재고'!$D$7:$D$206,B63)))</f>
        <v/>
      </c>
      <c r="O63" s="23">
        <f>IF(B63="","",IF(COUNTIF($B$7:$B$106,B63)&gt;1,"코드 중복",IF(COUNTIF('02_입출고_재고'!$D$7:$D$206,B63)=0,"미등록",IF(COUNTIFS('02_입출고_재고'!$D$7:$D$206,B63,'02_입출고_재고'!$K$7:$K$206,"자재코드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확인")&gt;0,"입출고 입력 확인",IF(N63&lt;0,"출고수량 초과",IF(J63="","최소재고 미설정",IF(OR(NOT(ISNUMBER(J63)),J63&lt;0),"최소재고 확인",IF(N63&lt;J63,"재고부족","정상"))))))))</f>
        <v/>
      </c>
      <c r="P63" s="23">
        <f>IF(B63="","",IF(M63="해당없음","해당없음",IF(M63&lt;&gt;"대상","대상 여부 확인",IF(COUNTIF('03_유효기간'!$B$7:$B$206,B63)=0,"미등록",IF(COUNTIFS('03_유효기간'!$B$7:$B$206,B63,'03_유효기간'!$L$7:$L$206,"미입력")+COUNTIFS('03_유효기간'!$B$7:$B$206,B63,'03_유효기간'!$L$7:$L$206,"LOT 미입력")&gt;0,"유효기한/LOT 미입력",IF(COUNTIFS('03_유효기간'!$B$7:$B$206,B63,'03_유효기간'!$L$7:$L$206,"날짜 확인")&gt;0,"날짜 확인",IF(COUNTIFS('03_유효기간'!$B$7:$B$206,B63,'03_유효기간'!$L$7:$L$206,"만료")&gt;0,"만료",IF(COUNTIFS('03_유효기간'!$B$7:$B$206,B63,'03_유효기간'!$L$7:$L$206,"유효기간 임박")&gt;0,"유효기간 임박",IF(COUNTIFS('03_유효기간'!$B$7:$B$206,B63,'03_유효기간'!$L$7:$L$206,"정상")&gt;0,"정상","활성 LOT 없음")))))))))</f>
        <v/>
      </c>
      <c r="Q63" s="19" t="n"/>
      <c r="R63" s="26" t="n"/>
    </row>
    <row r="64" ht="24" customHeight="1">
      <c r="A64" s="18" t="n">
        <v>58</v>
      </c>
      <c r="B64" s="19" t="n"/>
      <c r="C64" s="19" t="n"/>
      <c r="D64" s="19" t="n"/>
      <c r="E64" s="19" t="n"/>
      <c r="F64" s="19" t="n"/>
      <c r="G64" s="20" t="n"/>
      <c r="H64" s="19" t="n"/>
      <c r="I64" s="19" t="n"/>
      <c r="J64" s="30" t="n"/>
      <c r="K64" s="19" t="n"/>
      <c r="L64" s="19" t="n"/>
      <c r="M64" s="19" t="n"/>
      <c r="N64" s="31">
        <f>IF(B64="","",IF(OR(COUNTIF('02_입출고_재고'!$D$7:$D$206,B64)=0,COUNTIFS('02_입출고_재고'!$D$7:$D$206,B64,'02_입출고_재고'!$K$7:$K$206,"자재코드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확인")&gt;0),"",SUMIFS('02_입출고_재고'!$H$7:$H$206,'02_입출고_재고'!$D$7:$D$206,B64)-SUMIFS('02_입출고_재고'!$I$7:$I$206,'02_입출고_재고'!$D$7:$D$206,B64)))</f>
        <v/>
      </c>
      <c r="O64" s="23">
        <f>IF(B64="","",IF(COUNTIF($B$7:$B$106,B64)&gt;1,"코드 중복",IF(COUNTIF('02_입출고_재고'!$D$7:$D$206,B64)=0,"미등록",IF(COUNTIFS('02_입출고_재고'!$D$7:$D$206,B64,'02_입출고_재고'!$K$7:$K$206,"자재코드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확인")&gt;0,"입출고 입력 확인",IF(N64&lt;0,"출고수량 초과",IF(J64="","최소재고 미설정",IF(OR(NOT(ISNUMBER(J64)),J64&lt;0),"최소재고 확인",IF(N64&lt;J64,"재고부족","정상"))))))))</f>
        <v/>
      </c>
      <c r="P64" s="23">
        <f>IF(B64="","",IF(M64="해당없음","해당없음",IF(M64&lt;&gt;"대상","대상 여부 확인",IF(COUNTIF('03_유효기간'!$B$7:$B$206,B64)=0,"미등록",IF(COUNTIFS('03_유효기간'!$B$7:$B$206,B64,'03_유효기간'!$L$7:$L$206,"미입력")+COUNTIFS('03_유효기간'!$B$7:$B$206,B64,'03_유효기간'!$L$7:$L$206,"LOT 미입력")&gt;0,"유효기한/LOT 미입력",IF(COUNTIFS('03_유효기간'!$B$7:$B$206,B64,'03_유효기간'!$L$7:$L$206,"날짜 확인")&gt;0,"날짜 확인",IF(COUNTIFS('03_유효기간'!$B$7:$B$206,B64,'03_유효기간'!$L$7:$L$206,"만료")&gt;0,"만료",IF(COUNTIFS('03_유효기간'!$B$7:$B$206,B64,'03_유효기간'!$L$7:$L$206,"유효기간 임박")&gt;0,"유효기간 임박",IF(COUNTIFS('03_유효기간'!$B$7:$B$206,B64,'03_유효기간'!$L$7:$L$206,"정상")&gt;0,"정상","활성 LOT 없음")))))))))</f>
        <v/>
      </c>
      <c r="Q64" s="19" t="n"/>
      <c r="R64" s="26" t="n"/>
    </row>
    <row r="65" ht="24" customHeight="1">
      <c r="A65" s="18" t="n">
        <v>59</v>
      </c>
      <c r="B65" s="19" t="n"/>
      <c r="C65" s="19" t="n"/>
      <c r="D65" s="19" t="n"/>
      <c r="E65" s="19" t="n"/>
      <c r="F65" s="19" t="n"/>
      <c r="G65" s="20" t="n"/>
      <c r="H65" s="19" t="n"/>
      <c r="I65" s="19" t="n"/>
      <c r="J65" s="30" t="n"/>
      <c r="K65" s="19" t="n"/>
      <c r="L65" s="19" t="n"/>
      <c r="M65" s="19" t="n"/>
      <c r="N65" s="31">
        <f>IF(B65="","",IF(OR(COUNTIF('02_입출고_재고'!$D$7:$D$206,B65)=0,COUNTIFS('02_입출고_재고'!$D$7:$D$206,B65,'02_입출고_재고'!$K$7:$K$206,"자재코드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확인")&gt;0),"",SUMIFS('02_입출고_재고'!$H$7:$H$206,'02_입출고_재고'!$D$7:$D$206,B65)-SUMIFS('02_입출고_재고'!$I$7:$I$206,'02_입출고_재고'!$D$7:$D$206,B65)))</f>
        <v/>
      </c>
      <c r="O65" s="23">
        <f>IF(B65="","",IF(COUNTIF($B$7:$B$106,B65)&gt;1,"코드 중복",IF(COUNTIF('02_입출고_재고'!$D$7:$D$206,B65)=0,"미등록",IF(COUNTIFS('02_입출고_재고'!$D$7:$D$206,B65,'02_입출고_재고'!$K$7:$K$206,"자재코드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확인")&gt;0,"입출고 입력 확인",IF(N65&lt;0,"출고수량 초과",IF(J65="","최소재고 미설정",IF(OR(NOT(ISNUMBER(J65)),J65&lt;0),"최소재고 확인",IF(N65&lt;J65,"재고부족","정상"))))))))</f>
        <v/>
      </c>
      <c r="P65" s="23">
        <f>IF(B65="","",IF(M65="해당없음","해당없음",IF(M65&lt;&gt;"대상","대상 여부 확인",IF(COUNTIF('03_유효기간'!$B$7:$B$206,B65)=0,"미등록",IF(COUNTIFS('03_유효기간'!$B$7:$B$206,B65,'03_유효기간'!$L$7:$L$206,"미입력")+COUNTIFS('03_유효기간'!$B$7:$B$206,B65,'03_유효기간'!$L$7:$L$206,"LOT 미입력")&gt;0,"유효기한/LOT 미입력",IF(COUNTIFS('03_유효기간'!$B$7:$B$206,B65,'03_유효기간'!$L$7:$L$206,"날짜 확인")&gt;0,"날짜 확인",IF(COUNTIFS('03_유효기간'!$B$7:$B$206,B65,'03_유효기간'!$L$7:$L$206,"만료")&gt;0,"만료",IF(COUNTIFS('03_유효기간'!$B$7:$B$206,B65,'03_유효기간'!$L$7:$L$206,"유효기간 임박")&gt;0,"유효기간 임박",IF(COUNTIFS('03_유효기간'!$B$7:$B$206,B65,'03_유효기간'!$L$7:$L$206,"정상")&gt;0,"정상","활성 LOT 없음")))))))))</f>
        <v/>
      </c>
      <c r="Q65" s="19" t="n"/>
      <c r="R65" s="26" t="n"/>
    </row>
    <row r="66" ht="24" customHeight="1">
      <c r="A66" s="18" t="n">
        <v>60</v>
      </c>
      <c r="B66" s="19" t="n"/>
      <c r="C66" s="19" t="n"/>
      <c r="D66" s="19" t="n"/>
      <c r="E66" s="19" t="n"/>
      <c r="F66" s="19" t="n"/>
      <c r="G66" s="20" t="n"/>
      <c r="H66" s="19" t="n"/>
      <c r="I66" s="19" t="n"/>
      <c r="J66" s="30" t="n"/>
      <c r="K66" s="19" t="n"/>
      <c r="L66" s="19" t="n"/>
      <c r="M66" s="19" t="n"/>
      <c r="N66" s="31">
        <f>IF(B66="","",IF(OR(COUNTIF('02_입출고_재고'!$D$7:$D$206,B66)=0,COUNTIFS('02_입출고_재고'!$D$7:$D$206,B66,'02_입출고_재고'!$K$7:$K$206,"자재코드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확인")&gt;0),"",SUMIFS('02_입출고_재고'!$H$7:$H$206,'02_입출고_재고'!$D$7:$D$206,B66)-SUMIFS('02_입출고_재고'!$I$7:$I$206,'02_입출고_재고'!$D$7:$D$206,B66)))</f>
        <v/>
      </c>
      <c r="O66" s="23">
        <f>IF(B66="","",IF(COUNTIF($B$7:$B$106,B66)&gt;1,"코드 중복",IF(COUNTIF('02_입출고_재고'!$D$7:$D$206,B66)=0,"미등록",IF(COUNTIFS('02_입출고_재고'!$D$7:$D$206,B66,'02_입출고_재고'!$K$7:$K$206,"자재코드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확인")&gt;0,"입출고 입력 확인",IF(N66&lt;0,"출고수량 초과",IF(J66="","최소재고 미설정",IF(OR(NOT(ISNUMBER(J66)),J66&lt;0),"최소재고 확인",IF(N66&lt;J66,"재고부족","정상"))))))))</f>
        <v/>
      </c>
      <c r="P66" s="23">
        <f>IF(B66="","",IF(M66="해당없음","해당없음",IF(M66&lt;&gt;"대상","대상 여부 확인",IF(COUNTIF('03_유효기간'!$B$7:$B$206,B66)=0,"미등록",IF(COUNTIFS('03_유효기간'!$B$7:$B$206,B66,'03_유효기간'!$L$7:$L$206,"미입력")+COUNTIFS('03_유효기간'!$B$7:$B$206,B66,'03_유효기간'!$L$7:$L$206,"LOT 미입력")&gt;0,"유효기한/LOT 미입력",IF(COUNTIFS('03_유효기간'!$B$7:$B$206,B66,'03_유효기간'!$L$7:$L$206,"날짜 확인")&gt;0,"날짜 확인",IF(COUNTIFS('03_유효기간'!$B$7:$B$206,B66,'03_유효기간'!$L$7:$L$206,"만료")&gt;0,"만료",IF(COUNTIFS('03_유효기간'!$B$7:$B$206,B66,'03_유효기간'!$L$7:$L$206,"유효기간 임박")&gt;0,"유효기간 임박",IF(COUNTIFS('03_유효기간'!$B$7:$B$206,B66,'03_유효기간'!$L$7:$L$206,"정상")&gt;0,"정상","활성 LOT 없음")))))))))</f>
        <v/>
      </c>
      <c r="Q66" s="19" t="n"/>
      <c r="R66" s="26" t="n"/>
    </row>
    <row r="67" ht="24" customHeight="1">
      <c r="A67" s="18" t="n">
        <v>61</v>
      </c>
      <c r="B67" s="19" t="n"/>
      <c r="C67" s="19" t="n"/>
      <c r="D67" s="19" t="n"/>
      <c r="E67" s="19" t="n"/>
      <c r="F67" s="19" t="n"/>
      <c r="G67" s="20" t="n"/>
      <c r="H67" s="19" t="n"/>
      <c r="I67" s="19" t="n"/>
      <c r="J67" s="30" t="n"/>
      <c r="K67" s="19" t="n"/>
      <c r="L67" s="19" t="n"/>
      <c r="M67" s="19" t="n"/>
      <c r="N67" s="31">
        <f>IF(B67="","",IF(OR(COUNTIF('02_입출고_재고'!$D$7:$D$206,B67)=0,COUNTIFS('02_입출고_재고'!$D$7:$D$206,B67,'02_입출고_재고'!$K$7:$K$206,"자재코드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확인")&gt;0),"",SUMIFS('02_입출고_재고'!$H$7:$H$206,'02_입출고_재고'!$D$7:$D$206,B67)-SUMIFS('02_입출고_재고'!$I$7:$I$206,'02_입출고_재고'!$D$7:$D$206,B67)))</f>
        <v/>
      </c>
      <c r="O67" s="23">
        <f>IF(B67="","",IF(COUNTIF($B$7:$B$106,B67)&gt;1,"코드 중복",IF(COUNTIF('02_입출고_재고'!$D$7:$D$206,B67)=0,"미등록",IF(COUNTIFS('02_입출고_재고'!$D$7:$D$206,B67,'02_입출고_재고'!$K$7:$K$206,"자재코드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확인")&gt;0,"입출고 입력 확인",IF(N67&lt;0,"출고수량 초과",IF(J67="","최소재고 미설정",IF(OR(NOT(ISNUMBER(J67)),J67&lt;0),"최소재고 확인",IF(N67&lt;J67,"재고부족","정상"))))))))</f>
        <v/>
      </c>
      <c r="P67" s="23">
        <f>IF(B67="","",IF(M67="해당없음","해당없음",IF(M67&lt;&gt;"대상","대상 여부 확인",IF(COUNTIF('03_유효기간'!$B$7:$B$206,B67)=0,"미등록",IF(COUNTIFS('03_유효기간'!$B$7:$B$206,B67,'03_유효기간'!$L$7:$L$206,"미입력")+COUNTIFS('03_유효기간'!$B$7:$B$206,B67,'03_유효기간'!$L$7:$L$206,"LOT 미입력")&gt;0,"유효기한/LOT 미입력",IF(COUNTIFS('03_유효기간'!$B$7:$B$206,B67,'03_유효기간'!$L$7:$L$206,"날짜 확인")&gt;0,"날짜 확인",IF(COUNTIFS('03_유효기간'!$B$7:$B$206,B67,'03_유효기간'!$L$7:$L$206,"만료")&gt;0,"만료",IF(COUNTIFS('03_유효기간'!$B$7:$B$206,B67,'03_유효기간'!$L$7:$L$206,"유효기간 임박")&gt;0,"유효기간 임박",IF(COUNTIFS('03_유효기간'!$B$7:$B$206,B67,'03_유효기간'!$L$7:$L$206,"정상")&gt;0,"정상","활성 LOT 없음")))))))))</f>
        <v/>
      </c>
      <c r="Q67" s="19" t="n"/>
      <c r="R67" s="26" t="n"/>
    </row>
    <row r="68" ht="24" customHeight="1">
      <c r="A68" s="18" t="n">
        <v>62</v>
      </c>
      <c r="B68" s="19" t="n"/>
      <c r="C68" s="19" t="n"/>
      <c r="D68" s="19" t="n"/>
      <c r="E68" s="19" t="n"/>
      <c r="F68" s="19" t="n"/>
      <c r="G68" s="20" t="n"/>
      <c r="H68" s="19" t="n"/>
      <c r="I68" s="19" t="n"/>
      <c r="J68" s="30" t="n"/>
      <c r="K68" s="19" t="n"/>
      <c r="L68" s="19" t="n"/>
      <c r="M68" s="19" t="n"/>
      <c r="N68" s="31">
        <f>IF(B68="","",IF(OR(COUNTIF('02_입출고_재고'!$D$7:$D$206,B68)=0,COUNTIFS('02_입출고_재고'!$D$7:$D$206,B68,'02_입출고_재고'!$K$7:$K$206,"자재코드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확인")&gt;0),"",SUMIFS('02_입출고_재고'!$H$7:$H$206,'02_입출고_재고'!$D$7:$D$206,B68)-SUMIFS('02_입출고_재고'!$I$7:$I$206,'02_입출고_재고'!$D$7:$D$206,B68)))</f>
        <v/>
      </c>
      <c r="O68" s="23">
        <f>IF(B68="","",IF(COUNTIF($B$7:$B$106,B68)&gt;1,"코드 중복",IF(COUNTIF('02_입출고_재고'!$D$7:$D$206,B68)=0,"미등록",IF(COUNTIFS('02_입출고_재고'!$D$7:$D$206,B68,'02_입출고_재고'!$K$7:$K$206,"자재코드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확인")&gt;0,"입출고 입력 확인",IF(N68&lt;0,"출고수량 초과",IF(J68="","최소재고 미설정",IF(OR(NOT(ISNUMBER(J68)),J68&lt;0),"최소재고 확인",IF(N68&lt;J68,"재고부족","정상"))))))))</f>
        <v/>
      </c>
      <c r="P68" s="23">
        <f>IF(B68="","",IF(M68="해당없음","해당없음",IF(M68&lt;&gt;"대상","대상 여부 확인",IF(COUNTIF('03_유효기간'!$B$7:$B$206,B68)=0,"미등록",IF(COUNTIFS('03_유효기간'!$B$7:$B$206,B68,'03_유효기간'!$L$7:$L$206,"미입력")+COUNTIFS('03_유효기간'!$B$7:$B$206,B68,'03_유효기간'!$L$7:$L$206,"LOT 미입력")&gt;0,"유효기한/LOT 미입력",IF(COUNTIFS('03_유효기간'!$B$7:$B$206,B68,'03_유효기간'!$L$7:$L$206,"날짜 확인")&gt;0,"날짜 확인",IF(COUNTIFS('03_유효기간'!$B$7:$B$206,B68,'03_유효기간'!$L$7:$L$206,"만료")&gt;0,"만료",IF(COUNTIFS('03_유효기간'!$B$7:$B$206,B68,'03_유효기간'!$L$7:$L$206,"유효기간 임박")&gt;0,"유효기간 임박",IF(COUNTIFS('03_유효기간'!$B$7:$B$206,B68,'03_유효기간'!$L$7:$L$206,"정상")&gt;0,"정상","활성 LOT 없음")))))))))</f>
        <v/>
      </c>
      <c r="Q68" s="19" t="n"/>
      <c r="R68" s="26" t="n"/>
    </row>
    <row r="69" ht="24" customHeight="1">
      <c r="A69" s="18" t="n">
        <v>63</v>
      </c>
      <c r="B69" s="19" t="n"/>
      <c r="C69" s="19" t="n"/>
      <c r="D69" s="19" t="n"/>
      <c r="E69" s="19" t="n"/>
      <c r="F69" s="19" t="n"/>
      <c r="G69" s="20" t="n"/>
      <c r="H69" s="19" t="n"/>
      <c r="I69" s="19" t="n"/>
      <c r="J69" s="30" t="n"/>
      <c r="K69" s="19" t="n"/>
      <c r="L69" s="19" t="n"/>
      <c r="M69" s="19" t="n"/>
      <c r="N69" s="31">
        <f>IF(B69="","",IF(OR(COUNTIF('02_입출고_재고'!$D$7:$D$206,B69)=0,COUNTIFS('02_입출고_재고'!$D$7:$D$206,B69,'02_입출고_재고'!$K$7:$K$206,"자재코드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확인")&gt;0),"",SUMIFS('02_입출고_재고'!$H$7:$H$206,'02_입출고_재고'!$D$7:$D$206,B69)-SUMIFS('02_입출고_재고'!$I$7:$I$206,'02_입출고_재고'!$D$7:$D$206,B69)))</f>
        <v/>
      </c>
      <c r="O69" s="23">
        <f>IF(B69="","",IF(COUNTIF($B$7:$B$106,B69)&gt;1,"코드 중복",IF(COUNTIF('02_입출고_재고'!$D$7:$D$206,B69)=0,"미등록",IF(COUNTIFS('02_입출고_재고'!$D$7:$D$206,B69,'02_입출고_재고'!$K$7:$K$206,"자재코드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확인")&gt;0,"입출고 입력 확인",IF(N69&lt;0,"출고수량 초과",IF(J69="","최소재고 미설정",IF(OR(NOT(ISNUMBER(J69)),J69&lt;0),"최소재고 확인",IF(N69&lt;J69,"재고부족","정상"))))))))</f>
        <v/>
      </c>
      <c r="P69" s="23">
        <f>IF(B69="","",IF(M69="해당없음","해당없음",IF(M69&lt;&gt;"대상","대상 여부 확인",IF(COUNTIF('03_유효기간'!$B$7:$B$206,B69)=0,"미등록",IF(COUNTIFS('03_유효기간'!$B$7:$B$206,B69,'03_유효기간'!$L$7:$L$206,"미입력")+COUNTIFS('03_유효기간'!$B$7:$B$206,B69,'03_유효기간'!$L$7:$L$206,"LOT 미입력")&gt;0,"유효기한/LOT 미입력",IF(COUNTIFS('03_유효기간'!$B$7:$B$206,B69,'03_유효기간'!$L$7:$L$206,"날짜 확인")&gt;0,"날짜 확인",IF(COUNTIFS('03_유효기간'!$B$7:$B$206,B69,'03_유효기간'!$L$7:$L$206,"만료")&gt;0,"만료",IF(COUNTIFS('03_유효기간'!$B$7:$B$206,B69,'03_유효기간'!$L$7:$L$206,"유효기간 임박")&gt;0,"유효기간 임박",IF(COUNTIFS('03_유효기간'!$B$7:$B$206,B69,'03_유효기간'!$L$7:$L$206,"정상")&gt;0,"정상","활성 LOT 없음")))))))))</f>
        <v/>
      </c>
      <c r="Q69" s="19" t="n"/>
      <c r="R69" s="26" t="n"/>
    </row>
    <row r="70" ht="24" customHeight="1">
      <c r="A70" s="18" t="n">
        <v>64</v>
      </c>
      <c r="B70" s="19" t="n"/>
      <c r="C70" s="19" t="n"/>
      <c r="D70" s="19" t="n"/>
      <c r="E70" s="19" t="n"/>
      <c r="F70" s="19" t="n"/>
      <c r="G70" s="20" t="n"/>
      <c r="H70" s="19" t="n"/>
      <c r="I70" s="19" t="n"/>
      <c r="J70" s="30" t="n"/>
      <c r="K70" s="19" t="n"/>
      <c r="L70" s="19" t="n"/>
      <c r="M70" s="19" t="n"/>
      <c r="N70" s="31">
        <f>IF(B70="","",IF(OR(COUNTIF('02_입출고_재고'!$D$7:$D$206,B70)=0,COUNTIFS('02_입출고_재고'!$D$7:$D$206,B70,'02_입출고_재고'!$K$7:$K$206,"자재코드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확인")&gt;0),"",SUMIFS('02_입출고_재고'!$H$7:$H$206,'02_입출고_재고'!$D$7:$D$206,B70)-SUMIFS('02_입출고_재고'!$I$7:$I$206,'02_입출고_재고'!$D$7:$D$206,B70)))</f>
        <v/>
      </c>
      <c r="O70" s="23">
        <f>IF(B70="","",IF(COUNTIF($B$7:$B$106,B70)&gt;1,"코드 중복",IF(COUNTIF('02_입출고_재고'!$D$7:$D$206,B70)=0,"미등록",IF(COUNTIFS('02_입출고_재고'!$D$7:$D$206,B70,'02_입출고_재고'!$K$7:$K$206,"자재코드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확인")&gt;0,"입출고 입력 확인",IF(N70&lt;0,"출고수량 초과",IF(J70="","최소재고 미설정",IF(OR(NOT(ISNUMBER(J70)),J70&lt;0),"최소재고 확인",IF(N70&lt;J70,"재고부족","정상"))))))))</f>
        <v/>
      </c>
      <c r="P70" s="23">
        <f>IF(B70="","",IF(M70="해당없음","해당없음",IF(M70&lt;&gt;"대상","대상 여부 확인",IF(COUNTIF('03_유효기간'!$B$7:$B$206,B70)=0,"미등록",IF(COUNTIFS('03_유효기간'!$B$7:$B$206,B70,'03_유효기간'!$L$7:$L$206,"미입력")+COUNTIFS('03_유효기간'!$B$7:$B$206,B70,'03_유효기간'!$L$7:$L$206,"LOT 미입력")&gt;0,"유효기한/LOT 미입력",IF(COUNTIFS('03_유효기간'!$B$7:$B$206,B70,'03_유효기간'!$L$7:$L$206,"날짜 확인")&gt;0,"날짜 확인",IF(COUNTIFS('03_유효기간'!$B$7:$B$206,B70,'03_유효기간'!$L$7:$L$206,"만료")&gt;0,"만료",IF(COUNTIFS('03_유효기간'!$B$7:$B$206,B70,'03_유효기간'!$L$7:$L$206,"유효기간 임박")&gt;0,"유효기간 임박",IF(COUNTIFS('03_유효기간'!$B$7:$B$206,B70,'03_유효기간'!$L$7:$L$206,"정상")&gt;0,"정상","활성 LOT 없음")))))))))</f>
        <v/>
      </c>
      <c r="Q70" s="19" t="n"/>
      <c r="R70" s="26" t="n"/>
    </row>
    <row r="71" ht="24" customHeight="1">
      <c r="A71" s="18" t="n">
        <v>65</v>
      </c>
      <c r="B71" s="19" t="n"/>
      <c r="C71" s="19" t="n"/>
      <c r="D71" s="19" t="n"/>
      <c r="E71" s="19" t="n"/>
      <c r="F71" s="19" t="n"/>
      <c r="G71" s="20" t="n"/>
      <c r="H71" s="19" t="n"/>
      <c r="I71" s="19" t="n"/>
      <c r="J71" s="30" t="n"/>
      <c r="K71" s="19" t="n"/>
      <c r="L71" s="19" t="n"/>
      <c r="M71" s="19" t="n"/>
      <c r="N71" s="31">
        <f>IF(B71="","",IF(OR(COUNTIF('02_입출고_재고'!$D$7:$D$206,B71)=0,COUNTIFS('02_입출고_재고'!$D$7:$D$206,B71,'02_입출고_재고'!$K$7:$K$206,"자재코드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확인")&gt;0),"",SUMIFS('02_입출고_재고'!$H$7:$H$206,'02_입출고_재고'!$D$7:$D$206,B71)-SUMIFS('02_입출고_재고'!$I$7:$I$206,'02_입출고_재고'!$D$7:$D$206,B71)))</f>
        <v/>
      </c>
      <c r="O71" s="23">
        <f>IF(B71="","",IF(COUNTIF($B$7:$B$106,B71)&gt;1,"코드 중복",IF(COUNTIF('02_입출고_재고'!$D$7:$D$206,B71)=0,"미등록",IF(COUNTIFS('02_입출고_재고'!$D$7:$D$206,B71,'02_입출고_재고'!$K$7:$K$206,"자재코드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확인")&gt;0,"입출고 입력 확인",IF(N71&lt;0,"출고수량 초과",IF(J71="","최소재고 미설정",IF(OR(NOT(ISNUMBER(J71)),J71&lt;0),"최소재고 확인",IF(N71&lt;J71,"재고부족","정상"))))))))</f>
        <v/>
      </c>
      <c r="P71" s="23">
        <f>IF(B71="","",IF(M71="해당없음","해당없음",IF(M71&lt;&gt;"대상","대상 여부 확인",IF(COUNTIF('03_유효기간'!$B$7:$B$206,B71)=0,"미등록",IF(COUNTIFS('03_유효기간'!$B$7:$B$206,B71,'03_유효기간'!$L$7:$L$206,"미입력")+COUNTIFS('03_유효기간'!$B$7:$B$206,B71,'03_유효기간'!$L$7:$L$206,"LOT 미입력")&gt;0,"유효기한/LOT 미입력",IF(COUNTIFS('03_유효기간'!$B$7:$B$206,B71,'03_유효기간'!$L$7:$L$206,"날짜 확인")&gt;0,"날짜 확인",IF(COUNTIFS('03_유효기간'!$B$7:$B$206,B71,'03_유효기간'!$L$7:$L$206,"만료")&gt;0,"만료",IF(COUNTIFS('03_유효기간'!$B$7:$B$206,B71,'03_유효기간'!$L$7:$L$206,"유효기간 임박")&gt;0,"유효기간 임박",IF(COUNTIFS('03_유효기간'!$B$7:$B$206,B71,'03_유효기간'!$L$7:$L$206,"정상")&gt;0,"정상","활성 LOT 없음")))))))))</f>
        <v/>
      </c>
      <c r="Q71" s="19" t="n"/>
      <c r="R71" s="26" t="n"/>
    </row>
    <row r="72" ht="24" customHeight="1">
      <c r="A72" s="18" t="n">
        <v>66</v>
      </c>
      <c r="B72" s="19" t="n"/>
      <c r="C72" s="19" t="n"/>
      <c r="D72" s="19" t="n"/>
      <c r="E72" s="19" t="n"/>
      <c r="F72" s="19" t="n"/>
      <c r="G72" s="20" t="n"/>
      <c r="H72" s="19" t="n"/>
      <c r="I72" s="19" t="n"/>
      <c r="J72" s="30" t="n"/>
      <c r="K72" s="19" t="n"/>
      <c r="L72" s="19" t="n"/>
      <c r="M72" s="19" t="n"/>
      <c r="N72" s="31">
        <f>IF(B72="","",IF(OR(COUNTIF('02_입출고_재고'!$D$7:$D$206,B72)=0,COUNTIFS('02_입출고_재고'!$D$7:$D$206,B72,'02_입출고_재고'!$K$7:$K$206,"자재코드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확인")&gt;0),"",SUMIFS('02_입출고_재고'!$H$7:$H$206,'02_입출고_재고'!$D$7:$D$206,B72)-SUMIFS('02_입출고_재고'!$I$7:$I$206,'02_입출고_재고'!$D$7:$D$206,B72)))</f>
        <v/>
      </c>
      <c r="O72" s="23">
        <f>IF(B72="","",IF(COUNTIF($B$7:$B$106,B72)&gt;1,"코드 중복",IF(COUNTIF('02_입출고_재고'!$D$7:$D$206,B72)=0,"미등록",IF(COUNTIFS('02_입출고_재고'!$D$7:$D$206,B72,'02_입출고_재고'!$K$7:$K$206,"자재코드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확인")&gt;0,"입출고 입력 확인",IF(N72&lt;0,"출고수량 초과",IF(J72="","최소재고 미설정",IF(OR(NOT(ISNUMBER(J72)),J72&lt;0),"최소재고 확인",IF(N72&lt;J72,"재고부족","정상"))))))))</f>
        <v/>
      </c>
      <c r="P72" s="23">
        <f>IF(B72="","",IF(M72="해당없음","해당없음",IF(M72&lt;&gt;"대상","대상 여부 확인",IF(COUNTIF('03_유효기간'!$B$7:$B$206,B72)=0,"미등록",IF(COUNTIFS('03_유효기간'!$B$7:$B$206,B72,'03_유효기간'!$L$7:$L$206,"미입력")+COUNTIFS('03_유효기간'!$B$7:$B$206,B72,'03_유효기간'!$L$7:$L$206,"LOT 미입력")&gt;0,"유효기한/LOT 미입력",IF(COUNTIFS('03_유효기간'!$B$7:$B$206,B72,'03_유효기간'!$L$7:$L$206,"날짜 확인")&gt;0,"날짜 확인",IF(COUNTIFS('03_유효기간'!$B$7:$B$206,B72,'03_유효기간'!$L$7:$L$206,"만료")&gt;0,"만료",IF(COUNTIFS('03_유효기간'!$B$7:$B$206,B72,'03_유효기간'!$L$7:$L$206,"유효기간 임박")&gt;0,"유효기간 임박",IF(COUNTIFS('03_유효기간'!$B$7:$B$206,B72,'03_유효기간'!$L$7:$L$206,"정상")&gt;0,"정상","활성 LOT 없음")))))))))</f>
        <v/>
      </c>
      <c r="Q72" s="19" t="n"/>
      <c r="R72" s="26" t="n"/>
    </row>
    <row r="73" ht="24" customHeight="1">
      <c r="A73" s="18" t="n">
        <v>67</v>
      </c>
      <c r="B73" s="19" t="n"/>
      <c r="C73" s="19" t="n"/>
      <c r="D73" s="19" t="n"/>
      <c r="E73" s="19" t="n"/>
      <c r="F73" s="19" t="n"/>
      <c r="G73" s="20" t="n"/>
      <c r="H73" s="19" t="n"/>
      <c r="I73" s="19" t="n"/>
      <c r="J73" s="30" t="n"/>
      <c r="K73" s="19" t="n"/>
      <c r="L73" s="19" t="n"/>
      <c r="M73" s="19" t="n"/>
      <c r="N73" s="31">
        <f>IF(B73="","",IF(OR(COUNTIF('02_입출고_재고'!$D$7:$D$206,B73)=0,COUNTIFS('02_입출고_재고'!$D$7:$D$206,B73,'02_입출고_재고'!$K$7:$K$206,"자재코드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확인")&gt;0),"",SUMIFS('02_입출고_재고'!$H$7:$H$206,'02_입출고_재고'!$D$7:$D$206,B73)-SUMIFS('02_입출고_재고'!$I$7:$I$206,'02_입출고_재고'!$D$7:$D$206,B73)))</f>
        <v/>
      </c>
      <c r="O73" s="23">
        <f>IF(B73="","",IF(COUNTIF($B$7:$B$106,B73)&gt;1,"코드 중복",IF(COUNTIF('02_입출고_재고'!$D$7:$D$206,B73)=0,"미등록",IF(COUNTIFS('02_입출고_재고'!$D$7:$D$206,B73,'02_입출고_재고'!$K$7:$K$206,"자재코드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확인")&gt;0,"입출고 입력 확인",IF(N73&lt;0,"출고수량 초과",IF(J73="","최소재고 미설정",IF(OR(NOT(ISNUMBER(J73)),J73&lt;0),"최소재고 확인",IF(N73&lt;J73,"재고부족","정상"))))))))</f>
        <v/>
      </c>
      <c r="P73" s="23">
        <f>IF(B73="","",IF(M73="해당없음","해당없음",IF(M73&lt;&gt;"대상","대상 여부 확인",IF(COUNTIF('03_유효기간'!$B$7:$B$206,B73)=0,"미등록",IF(COUNTIFS('03_유효기간'!$B$7:$B$206,B73,'03_유효기간'!$L$7:$L$206,"미입력")+COUNTIFS('03_유효기간'!$B$7:$B$206,B73,'03_유효기간'!$L$7:$L$206,"LOT 미입력")&gt;0,"유효기한/LOT 미입력",IF(COUNTIFS('03_유효기간'!$B$7:$B$206,B73,'03_유효기간'!$L$7:$L$206,"날짜 확인")&gt;0,"날짜 확인",IF(COUNTIFS('03_유효기간'!$B$7:$B$206,B73,'03_유효기간'!$L$7:$L$206,"만료")&gt;0,"만료",IF(COUNTIFS('03_유효기간'!$B$7:$B$206,B73,'03_유효기간'!$L$7:$L$206,"유효기간 임박")&gt;0,"유효기간 임박",IF(COUNTIFS('03_유효기간'!$B$7:$B$206,B73,'03_유효기간'!$L$7:$L$206,"정상")&gt;0,"정상","활성 LOT 없음")))))))))</f>
        <v/>
      </c>
      <c r="Q73" s="19" t="n"/>
      <c r="R73" s="26" t="n"/>
    </row>
    <row r="74" ht="24" customHeight="1">
      <c r="A74" s="18" t="n">
        <v>68</v>
      </c>
      <c r="B74" s="19" t="n"/>
      <c r="C74" s="19" t="n"/>
      <c r="D74" s="19" t="n"/>
      <c r="E74" s="19" t="n"/>
      <c r="F74" s="19" t="n"/>
      <c r="G74" s="20" t="n"/>
      <c r="H74" s="19" t="n"/>
      <c r="I74" s="19" t="n"/>
      <c r="J74" s="30" t="n"/>
      <c r="K74" s="19" t="n"/>
      <c r="L74" s="19" t="n"/>
      <c r="M74" s="19" t="n"/>
      <c r="N74" s="31">
        <f>IF(B74="","",IF(OR(COUNTIF('02_입출고_재고'!$D$7:$D$206,B74)=0,COUNTIFS('02_입출고_재고'!$D$7:$D$206,B74,'02_입출고_재고'!$K$7:$K$206,"자재코드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확인")&gt;0),"",SUMIFS('02_입출고_재고'!$H$7:$H$206,'02_입출고_재고'!$D$7:$D$206,B74)-SUMIFS('02_입출고_재고'!$I$7:$I$206,'02_입출고_재고'!$D$7:$D$206,B74)))</f>
        <v/>
      </c>
      <c r="O74" s="23">
        <f>IF(B74="","",IF(COUNTIF($B$7:$B$106,B74)&gt;1,"코드 중복",IF(COUNTIF('02_입출고_재고'!$D$7:$D$206,B74)=0,"미등록",IF(COUNTIFS('02_입출고_재고'!$D$7:$D$206,B74,'02_입출고_재고'!$K$7:$K$206,"자재코드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확인")&gt;0,"입출고 입력 확인",IF(N74&lt;0,"출고수량 초과",IF(J74="","최소재고 미설정",IF(OR(NOT(ISNUMBER(J74)),J74&lt;0),"최소재고 확인",IF(N74&lt;J74,"재고부족","정상"))))))))</f>
        <v/>
      </c>
      <c r="P74" s="23">
        <f>IF(B74="","",IF(M74="해당없음","해당없음",IF(M74&lt;&gt;"대상","대상 여부 확인",IF(COUNTIF('03_유효기간'!$B$7:$B$206,B74)=0,"미등록",IF(COUNTIFS('03_유효기간'!$B$7:$B$206,B74,'03_유효기간'!$L$7:$L$206,"미입력")+COUNTIFS('03_유효기간'!$B$7:$B$206,B74,'03_유효기간'!$L$7:$L$206,"LOT 미입력")&gt;0,"유효기한/LOT 미입력",IF(COUNTIFS('03_유효기간'!$B$7:$B$206,B74,'03_유효기간'!$L$7:$L$206,"날짜 확인")&gt;0,"날짜 확인",IF(COUNTIFS('03_유효기간'!$B$7:$B$206,B74,'03_유효기간'!$L$7:$L$206,"만료")&gt;0,"만료",IF(COUNTIFS('03_유효기간'!$B$7:$B$206,B74,'03_유효기간'!$L$7:$L$206,"유효기간 임박")&gt;0,"유효기간 임박",IF(COUNTIFS('03_유효기간'!$B$7:$B$206,B74,'03_유효기간'!$L$7:$L$206,"정상")&gt;0,"정상","활성 LOT 없음")))))))))</f>
        <v/>
      </c>
      <c r="Q74" s="19" t="n"/>
      <c r="R74" s="26" t="n"/>
    </row>
    <row r="75" ht="24" customHeight="1">
      <c r="A75" s="18" t="n">
        <v>69</v>
      </c>
      <c r="B75" s="19" t="n"/>
      <c r="C75" s="19" t="n"/>
      <c r="D75" s="19" t="n"/>
      <c r="E75" s="19" t="n"/>
      <c r="F75" s="19" t="n"/>
      <c r="G75" s="20" t="n"/>
      <c r="H75" s="19" t="n"/>
      <c r="I75" s="19" t="n"/>
      <c r="J75" s="30" t="n"/>
      <c r="K75" s="19" t="n"/>
      <c r="L75" s="19" t="n"/>
      <c r="M75" s="19" t="n"/>
      <c r="N75" s="31">
        <f>IF(B75="","",IF(OR(COUNTIF('02_입출고_재고'!$D$7:$D$206,B75)=0,COUNTIFS('02_입출고_재고'!$D$7:$D$206,B75,'02_입출고_재고'!$K$7:$K$206,"자재코드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확인")&gt;0),"",SUMIFS('02_입출고_재고'!$H$7:$H$206,'02_입출고_재고'!$D$7:$D$206,B75)-SUMIFS('02_입출고_재고'!$I$7:$I$206,'02_입출고_재고'!$D$7:$D$206,B75)))</f>
        <v/>
      </c>
      <c r="O75" s="23">
        <f>IF(B75="","",IF(COUNTIF($B$7:$B$106,B75)&gt;1,"코드 중복",IF(COUNTIF('02_입출고_재고'!$D$7:$D$206,B75)=0,"미등록",IF(COUNTIFS('02_입출고_재고'!$D$7:$D$206,B75,'02_입출고_재고'!$K$7:$K$206,"자재코드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확인")&gt;0,"입출고 입력 확인",IF(N75&lt;0,"출고수량 초과",IF(J75="","최소재고 미설정",IF(OR(NOT(ISNUMBER(J75)),J75&lt;0),"최소재고 확인",IF(N75&lt;J75,"재고부족","정상"))))))))</f>
        <v/>
      </c>
      <c r="P75" s="23">
        <f>IF(B75="","",IF(M75="해당없음","해당없음",IF(M75&lt;&gt;"대상","대상 여부 확인",IF(COUNTIF('03_유효기간'!$B$7:$B$206,B75)=0,"미등록",IF(COUNTIFS('03_유효기간'!$B$7:$B$206,B75,'03_유효기간'!$L$7:$L$206,"미입력")+COUNTIFS('03_유효기간'!$B$7:$B$206,B75,'03_유효기간'!$L$7:$L$206,"LOT 미입력")&gt;0,"유효기한/LOT 미입력",IF(COUNTIFS('03_유효기간'!$B$7:$B$206,B75,'03_유효기간'!$L$7:$L$206,"날짜 확인")&gt;0,"날짜 확인",IF(COUNTIFS('03_유효기간'!$B$7:$B$206,B75,'03_유효기간'!$L$7:$L$206,"만료")&gt;0,"만료",IF(COUNTIFS('03_유효기간'!$B$7:$B$206,B75,'03_유효기간'!$L$7:$L$206,"유효기간 임박")&gt;0,"유효기간 임박",IF(COUNTIFS('03_유효기간'!$B$7:$B$206,B75,'03_유효기간'!$L$7:$L$206,"정상")&gt;0,"정상","활성 LOT 없음")))))))))</f>
        <v/>
      </c>
      <c r="Q75" s="19" t="n"/>
      <c r="R75" s="26" t="n"/>
    </row>
    <row r="76" ht="24" customHeight="1">
      <c r="A76" s="18" t="n">
        <v>70</v>
      </c>
      <c r="B76" s="19" t="n"/>
      <c r="C76" s="19" t="n"/>
      <c r="D76" s="19" t="n"/>
      <c r="E76" s="19" t="n"/>
      <c r="F76" s="19" t="n"/>
      <c r="G76" s="20" t="n"/>
      <c r="H76" s="19" t="n"/>
      <c r="I76" s="19" t="n"/>
      <c r="J76" s="30" t="n"/>
      <c r="K76" s="19" t="n"/>
      <c r="L76" s="19" t="n"/>
      <c r="M76" s="19" t="n"/>
      <c r="N76" s="31">
        <f>IF(B76="","",IF(OR(COUNTIF('02_입출고_재고'!$D$7:$D$206,B76)=0,COUNTIFS('02_입출고_재고'!$D$7:$D$206,B76,'02_입출고_재고'!$K$7:$K$206,"자재코드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확인")&gt;0),"",SUMIFS('02_입출고_재고'!$H$7:$H$206,'02_입출고_재고'!$D$7:$D$206,B76)-SUMIFS('02_입출고_재고'!$I$7:$I$206,'02_입출고_재고'!$D$7:$D$206,B76)))</f>
        <v/>
      </c>
      <c r="O76" s="23">
        <f>IF(B76="","",IF(COUNTIF($B$7:$B$106,B76)&gt;1,"코드 중복",IF(COUNTIF('02_입출고_재고'!$D$7:$D$206,B76)=0,"미등록",IF(COUNTIFS('02_입출고_재고'!$D$7:$D$206,B76,'02_입출고_재고'!$K$7:$K$206,"자재코드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확인")&gt;0,"입출고 입력 확인",IF(N76&lt;0,"출고수량 초과",IF(J76="","최소재고 미설정",IF(OR(NOT(ISNUMBER(J76)),J76&lt;0),"최소재고 확인",IF(N76&lt;J76,"재고부족","정상"))))))))</f>
        <v/>
      </c>
      <c r="P76" s="23">
        <f>IF(B76="","",IF(M76="해당없음","해당없음",IF(M76&lt;&gt;"대상","대상 여부 확인",IF(COUNTIF('03_유효기간'!$B$7:$B$206,B76)=0,"미등록",IF(COUNTIFS('03_유효기간'!$B$7:$B$206,B76,'03_유효기간'!$L$7:$L$206,"미입력")+COUNTIFS('03_유효기간'!$B$7:$B$206,B76,'03_유효기간'!$L$7:$L$206,"LOT 미입력")&gt;0,"유효기한/LOT 미입력",IF(COUNTIFS('03_유효기간'!$B$7:$B$206,B76,'03_유효기간'!$L$7:$L$206,"날짜 확인")&gt;0,"날짜 확인",IF(COUNTIFS('03_유효기간'!$B$7:$B$206,B76,'03_유효기간'!$L$7:$L$206,"만료")&gt;0,"만료",IF(COUNTIFS('03_유효기간'!$B$7:$B$206,B76,'03_유효기간'!$L$7:$L$206,"유효기간 임박")&gt;0,"유효기간 임박",IF(COUNTIFS('03_유효기간'!$B$7:$B$206,B76,'03_유효기간'!$L$7:$L$206,"정상")&gt;0,"정상","활성 LOT 없음")))))))))</f>
        <v/>
      </c>
      <c r="Q76" s="19" t="n"/>
      <c r="R76" s="26" t="n"/>
    </row>
    <row r="77" ht="24" customHeight="1">
      <c r="A77" s="18" t="n">
        <v>71</v>
      </c>
      <c r="B77" s="19" t="n"/>
      <c r="C77" s="19" t="n"/>
      <c r="D77" s="19" t="n"/>
      <c r="E77" s="19" t="n"/>
      <c r="F77" s="19" t="n"/>
      <c r="G77" s="20" t="n"/>
      <c r="H77" s="19" t="n"/>
      <c r="I77" s="19" t="n"/>
      <c r="J77" s="30" t="n"/>
      <c r="K77" s="19" t="n"/>
      <c r="L77" s="19" t="n"/>
      <c r="M77" s="19" t="n"/>
      <c r="N77" s="31">
        <f>IF(B77="","",IF(OR(COUNTIF('02_입출고_재고'!$D$7:$D$206,B77)=0,COUNTIFS('02_입출고_재고'!$D$7:$D$206,B77,'02_입출고_재고'!$K$7:$K$206,"자재코드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확인")&gt;0),"",SUMIFS('02_입출고_재고'!$H$7:$H$206,'02_입출고_재고'!$D$7:$D$206,B77)-SUMIFS('02_입출고_재고'!$I$7:$I$206,'02_입출고_재고'!$D$7:$D$206,B77)))</f>
        <v/>
      </c>
      <c r="O77" s="23">
        <f>IF(B77="","",IF(COUNTIF($B$7:$B$106,B77)&gt;1,"코드 중복",IF(COUNTIF('02_입출고_재고'!$D$7:$D$206,B77)=0,"미등록",IF(COUNTIFS('02_입출고_재고'!$D$7:$D$206,B77,'02_입출고_재고'!$K$7:$K$206,"자재코드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확인")&gt;0,"입출고 입력 확인",IF(N77&lt;0,"출고수량 초과",IF(J77="","최소재고 미설정",IF(OR(NOT(ISNUMBER(J77)),J77&lt;0),"최소재고 확인",IF(N77&lt;J77,"재고부족","정상"))))))))</f>
        <v/>
      </c>
      <c r="P77" s="23">
        <f>IF(B77="","",IF(M77="해당없음","해당없음",IF(M77&lt;&gt;"대상","대상 여부 확인",IF(COUNTIF('03_유효기간'!$B$7:$B$206,B77)=0,"미등록",IF(COUNTIFS('03_유효기간'!$B$7:$B$206,B77,'03_유효기간'!$L$7:$L$206,"미입력")+COUNTIFS('03_유효기간'!$B$7:$B$206,B77,'03_유효기간'!$L$7:$L$206,"LOT 미입력")&gt;0,"유효기한/LOT 미입력",IF(COUNTIFS('03_유효기간'!$B$7:$B$206,B77,'03_유효기간'!$L$7:$L$206,"날짜 확인")&gt;0,"날짜 확인",IF(COUNTIFS('03_유효기간'!$B$7:$B$206,B77,'03_유효기간'!$L$7:$L$206,"만료")&gt;0,"만료",IF(COUNTIFS('03_유효기간'!$B$7:$B$206,B77,'03_유효기간'!$L$7:$L$206,"유효기간 임박")&gt;0,"유효기간 임박",IF(COUNTIFS('03_유효기간'!$B$7:$B$206,B77,'03_유효기간'!$L$7:$L$206,"정상")&gt;0,"정상","활성 LOT 없음")))))))))</f>
        <v/>
      </c>
      <c r="Q77" s="19" t="n"/>
      <c r="R77" s="26" t="n"/>
    </row>
    <row r="78" ht="24" customHeight="1">
      <c r="A78" s="18" t="n">
        <v>72</v>
      </c>
      <c r="B78" s="19" t="n"/>
      <c r="C78" s="19" t="n"/>
      <c r="D78" s="19" t="n"/>
      <c r="E78" s="19" t="n"/>
      <c r="F78" s="19" t="n"/>
      <c r="G78" s="20" t="n"/>
      <c r="H78" s="19" t="n"/>
      <c r="I78" s="19" t="n"/>
      <c r="J78" s="30" t="n"/>
      <c r="K78" s="19" t="n"/>
      <c r="L78" s="19" t="n"/>
      <c r="M78" s="19" t="n"/>
      <c r="N78" s="31">
        <f>IF(B78="","",IF(OR(COUNTIF('02_입출고_재고'!$D$7:$D$206,B78)=0,COUNTIFS('02_입출고_재고'!$D$7:$D$206,B78,'02_입출고_재고'!$K$7:$K$206,"자재코드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확인")&gt;0),"",SUMIFS('02_입출고_재고'!$H$7:$H$206,'02_입출고_재고'!$D$7:$D$206,B78)-SUMIFS('02_입출고_재고'!$I$7:$I$206,'02_입출고_재고'!$D$7:$D$206,B78)))</f>
        <v/>
      </c>
      <c r="O78" s="23">
        <f>IF(B78="","",IF(COUNTIF($B$7:$B$106,B78)&gt;1,"코드 중복",IF(COUNTIF('02_입출고_재고'!$D$7:$D$206,B78)=0,"미등록",IF(COUNTIFS('02_입출고_재고'!$D$7:$D$206,B78,'02_입출고_재고'!$K$7:$K$206,"자재코드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확인")&gt;0,"입출고 입력 확인",IF(N78&lt;0,"출고수량 초과",IF(J78="","최소재고 미설정",IF(OR(NOT(ISNUMBER(J78)),J78&lt;0),"최소재고 확인",IF(N78&lt;J78,"재고부족","정상"))))))))</f>
        <v/>
      </c>
      <c r="P78" s="23">
        <f>IF(B78="","",IF(M78="해당없음","해당없음",IF(M78&lt;&gt;"대상","대상 여부 확인",IF(COUNTIF('03_유효기간'!$B$7:$B$206,B78)=0,"미등록",IF(COUNTIFS('03_유효기간'!$B$7:$B$206,B78,'03_유효기간'!$L$7:$L$206,"미입력")+COUNTIFS('03_유효기간'!$B$7:$B$206,B78,'03_유효기간'!$L$7:$L$206,"LOT 미입력")&gt;0,"유효기한/LOT 미입력",IF(COUNTIFS('03_유효기간'!$B$7:$B$206,B78,'03_유효기간'!$L$7:$L$206,"날짜 확인")&gt;0,"날짜 확인",IF(COUNTIFS('03_유효기간'!$B$7:$B$206,B78,'03_유효기간'!$L$7:$L$206,"만료")&gt;0,"만료",IF(COUNTIFS('03_유효기간'!$B$7:$B$206,B78,'03_유효기간'!$L$7:$L$206,"유효기간 임박")&gt;0,"유효기간 임박",IF(COUNTIFS('03_유효기간'!$B$7:$B$206,B78,'03_유효기간'!$L$7:$L$206,"정상")&gt;0,"정상","활성 LOT 없음")))))))))</f>
        <v/>
      </c>
      <c r="Q78" s="19" t="n"/>
      <c r="R78" s="26" t="n"/>
    </row>
    <row r="79" ht="24" customHeight="1">
      <c r="A79" s="18" t="n">
        <v>73</v>
      </c>
      <c r="B79" s="19" t="n"/>
      <c r="C79" s="19" t="n"/>
      <c r="D79" s="19" t="n"/>
      <c r="E79" s="19" t="n"/>
      <c r="F79" s="19" t="n"/>
      <c r="G79" s="20" t="n"/>
      <c r="H79" s="19" t="n"/>
      <c r="I79" s="19" t="n"/>
      <c r="J79" s="30" t="n"/>
      <c r="K79" s="19" t="n"/>
      <c r="L79" s="19" t="n"/>
      <c r="M79" s="19" t="n"/>
      <c r="N79" s="31">
        <f>IF(B79="","",IF(OR(COUNTIF('02_입출고_재고'!$D$7:$D$206,B79)=0,COUNTIFS('02_입출고_재고'!$D$7:$D$206,B79,'02_입출고_재고'!$K$7:$K$206,"자재코드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확인")&gt;0),"",SUMIFS('02_입출고_재고'!$H$7:$H$206,'02_입출고_재고'!$D$7:$D$206,B79)-SUMIFS('02_입출고_재고'!$I$7:$I$206,'02_입출고_재고'!$D$7:$D$206,B79)))</f>
        <v/>
      </c>
      <c r="O79" s="23">
        <f>IF(B79="","",IF(COUNTIF($B$7:$B$106,B79)&gt;1,"코드 중복",IF(COUNTIF('02_입출고_재고'!$D$7:$D$206,B79)=0,"미등록",IF(COUNTIFS('02_입출고_재고'!$D$7:$D$206,B79,'02_입출고_재고'!$K$7:$K$206,"자재코드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확인")&gt;0,"입출고 입력 확인",IF(N79&lt;0,"출고수량 초과",IF(J79="","최소재고 미설정",IF(OR(NOT(ISNUMBER(J79)),J79&lt;0),"최소재고 확인",IF(N79&lt;J79,"재고부족","정상"))))))))</f>
        <v/>
      </c>
      <c r="P79" s="23">
        <f>IF(B79="","",IF(M79="해당없음","해당없음",IF(M79&lt;&gt;"대상","대상 여부 확인",IF(COUNTIF('03_유효기간'!$B$7:$B$206,B79)=0,"미등록",IF(COUNTIFS('03_유효기간'!$B$7:$B$206,B79,'03_유효기간'!$L$7:$L$206,"미입력")+COUNTIFS('03_유효기간'!$B$7:$B$206,B79,'03_유효기간'!$L$7:$L$206,"LOT 미입력")&gt;0,"유효기한/LOT 미입력",IF(COUNTIFS('03_유효기간'!$B$7:$B$206,B79,'03_유효기간'!$L$7:$L$206,"날짜 확인")&gt;0,"날짜 확인",IF(COUNTIFS('03_유효기간'!$B$7:$B$206,B79,'03_유효기간'!$L$7:$L$206,"만료")&gt;0,"만료",IF(COUNTIFS('03_유효기간'!$B$7:$B$206,B79,'03_유효기간'!$L$7:$L$206,"유효기간 임박")&gt;0,"유효기간 임박",IF(COUNTIFS('03_유효기간'!$B$7:$B$206,B79,'03_유효기간'!$L$7:$L$206,"정상")&gt;0,"정상","활성 LOT 없음")))))))))</f>
        <v/>
      </c>
      <c r="Q79" s="19" t="n"/>
      <c r="R79" s="26" t="n"/>
    </row>
    <row r="80" ht="24" customHeight="1">
      <c r="A80" s="18" t="n">
        <v>74</v>
      </c>
      <c r="B80" s="19" t="n"/>
      <c r="C80" s="19" t="n"/>
      <c r="D80" s="19" t="n"/>
      <c r="E80" s="19" t="n"/>
      <c r="F80" s="19" t="n"/>
      <c r="G80" s="20" t="n"/>
      <c r="H80" s="19" t="n"/>
      <c r="I80" s="19" t="n"/>
      <c r="J80" s="30" t="n"/>
      <c r="K80" s="19" t="n"/>
      <c r="L80" s="19" t="n"/>
      <c r="M80" s="19" t="n"/>
      <c r="N80" s="31">
        <f>IF(B80="","",IF(OR(COUNTIF('02_입출고_재고'!$D$7:$D$206,B80)=0,COUNTIFS('02_입출고_재고'!$D$7:$D$206,B80,'02_입출고_재고'!$K$7:$K$206,"자재코드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확인")&gt;0),"",SUMIFS('02_입출고_재고'!$H$7:$H$206,'02_입출고_재고'!$D$7:$D$206,B80)-SUMIFS('02_입출고_재고'!$I$7:$I$206,'02_입출고_재고'!$D$7:$D$206,B80)))</f>
        <v/>
      </c>
      <c r="O80" s="23">
        <f>IF(B80="","",IF(COUNTIF($B$7:$B$106,B80)&gt;1,"코드 중복",IF(COUNTIF('02_입출고_재고'!$D$7:$D$206,B80)=0,"미등록",IF(COUNTIFS('02_입출고_재고'!$D$7:$D$206,B80,'02_입출고_재고'!$K$7:$K$206,"자재코드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확인")&gt;0,"입출고 입력 확인",IF(N80&lt;0,"출고수량 초과",IF(J80="","최소재고 미설정",IF(OR(NOT(ISNUMBER(J80)),J80&lt;0),"최소재고 확인",IF(N80&lt;J80,"재고부족","정상"))))))))</f>
        <v/>
      </c>
      <c r="P80" s="23">
        <f>IF(B80="","",IF(M80="해당없음","해당없음",IF(M80&lt;&gt;"대상","대상 여부 확인",IF(COUNTIF('03_유효기간'!$B$7:$B$206,B80)=0,"미등록",IF(COUNTIFS('03_유효기간'!$B$7:$B$206,B80,'03_유효기간'!$L$7:$L$206,"미입력")+COUNTIFS('03_유효기간'!$B$7:$B$206,B80,'03_유효기간'!$L$7:$L$206,"LOT 미입력")&gt;0,"유효기한/LOT 미입력",IF(COUNTIFS('03_유효기간'!$B$7:$B$206,B80,'03_유효기간'!$L$7:$L$206,"날짜 확인")&gt;0,"날짜 확인",IF(COUNTIFS('03_유효기간'!$B$7:$B$206,B80,'03_유효기간'!$L$7:$L$206,"만료")&gt;0,"만료",IF(COUNTIFS('03_유효기간'!$B$7:$B$206,B80,'03_유효기간'!$L$7:$L$206,"유효기간 임박")&gt;0,"유효기간 임박",IF(COUNTIFS('03_유효기간'!$B$7:$B$206,B80,'03_유효기간'!$L$7:$L$206,"정상")&gt;0,"정상","활성 LOT 없음")))))))))</f>
        <v/>
      </c>
      <c r="Q80" s="19" t="n"/>
      <c r="R80" s="26" t="n"/>
    </row>
    <row r="81" ht="24" customHeight="1">
      <c r="A81" s="18" t="n">
        <v>75</v>
      </c>
      <c r="B81" s="19" t="n"/>
      <c r="C81" s="19" t="n"/>
      <c r="D81" s="19" t="n"/>
      <c r="E81" s="19" t="n"/>
      <c r="F81" s="19" t="n"/>
      <c r="G81" s="20" t="n"/>
      <c r="H81" s="19" t="n"/>
      <c r="I81" s="19" t="n"/>
      <c r="J81" s="30" t="n"/>
      <c r="K81" s="19" t="n"/>
      <c r="L81" s="19" t="n"/>
      <c r="M81" s="19" t="n"/>
      <c r="N81" s="31">
        <f>IF(B81="","",IF(OR(COUNTIF('02_입출고_재고'!$D$7:$D$206,B81)=0,COUNTIFS('02_입출고_재고'!$D$7:$D$206,B81,'02_입출고_재고'!$K$7:$K$206,"자재코드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확인")&gt;0),"",SUMIFS('02_입출고_재고'!$H$7:$H$206,'02_입출고_재고'!$D$7:$D$206,B81)-SUMIFS('02_입출고_재고'!$I$7:$I$206,'02_입출고_재고'!$D$7:$D$206,B81)))</f>
        <v/>
      </c>
      <c r="O81" s="23">
        <f>IF(B81="","",IF(COUNTIF($B$7:$B$106,B81)&gt;1,"코드 중복",IF(COUNTIF('02_입출고_재고'!$D$7:$D$206,B81)=0,"미등록",IF(COUNTIFS('02_입출고_재고'!$D$7:$D$206,B81,'02_입출고_재고'!$K$7:$K$206,"자재코드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확인")&gt;0,"입출고 입력 확인",IF(N81&lt;0,"출고수량 초과",IF(J81="","최소재고 미설정",IF(OR(NOT(ISNUMBER(J81)),J81&lt;0),"최소재고 확인",IF(N81&lt;J81,"재고부족","정상"))))))))</f>
        <v/>
      </c>
      <c r="P81" s="23">
        <f>IF(B81="","",IF(M81="해당없음","해당없음",IF(M81&lt;&gt;"대상","대상 여부 확인",IF(COUNTIF('03_유효기간'!$B$7:$B$206,B81)=0,"미등록",IF(COUNTIFS('03_유효기간'!$B$7:$B$206,B81,'03_유효기간'!$L$7:$L$206,"미입력")+COUNTIFS('03_유효기간'!$B$7:$B$206,B81,'03_유효기간'!$L$7:$L$206,"LOT 미입력")&gt;0,"유효기한/LOT 미입력",IF(COUNTIFS('03_유효기간'!$B$7:$B$206,B81,'03_유효기간'!$L$7:$L$206,"날짜 확인")&gt;0,"날짜 확인",IF(COUNTIFS('03_유효기간'!$B$7:$B$206,B81,'03_유효기간'!$L$7:$L$206,"만료")&gt;0,"만료",IF(COUNTIFS('03_유효기간'!$B$7:$B$206,B81,'03_유효기간'!$L$7:$L$206,"유효기간 임박")&gt;0,"유효기간 임박",IF(COUNTIFS('03_유효기간'!$B$7:$B$206,B81,'03_유효기간'!$L$7:$L$206,"정상")&gt;0,"정상","활성 LOT 없음")))))))))</f>
        <v/>
      </c>
      <c r="Q81" s="19" t="n"/>
      <c r="R81" s="26" t="n"/>
    </row>
    <row r="82" ht="24" customHeight="1">
      <c r="A82" s="18" t="n">
        <v>76</v>
      </c>
      <c r="B82" s="19" t="n"/>
      <c r="C82" s="19" t="n"/>
      <c r="D82" s="19" t="n"/>
      <c r="E82" s="19" t="n"/>
      <c r="F82" s="19" t="n"/>
      <c r="G82" s="20" t="n"/>
      <c r="H82" s="19" t="n"/>
      <c r="I82" s="19" t="n"/>
      <c r="J82" s="30" t="n"/>
      <c r="K82" s="19" t="n"/>
      <c r="L82" s="19" t="n"/>
      <c r="M82" s="19" t="n"/>
      <c r="N82" s="31">
        <f>IF(B82="","",IF(OR(COUNTIF('02_입출고_재고'!$D$7:$D$206,B82)=0,COUNTIFS('02_입출고_재고'!$D$7:$D$206,B82,'02_입출고_재고'!$K$7:$K$206,"자재코드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확인")&gt;0),"",SUMIFS('02_입출고_재고'!$H$7:$H$206,'02_입출고_재고'!$D$7:$D$206,B82)-SUMIFS('02_입출고_재고'!$I$7:$I$206,'02_입출고_재고'!$D$7:$D$206,B82)))</f>
        <v/>
      </c>
      <c r="O82" s="23">
        <f>IF(B82="","",IF(COUNTIF($B$7:$B$106,B82)&gt;1,"코드 중복",IF(COUNTIF('02_입출고_재고'!$D$7:$D$206,B82)=0,"미등록",IF(COUNTIFS('02_입출고_재고'!$D$7:$D$206,B82,'02_입출고_재고'!$K$7:$K$206,"자재코드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확인")&gt;0,"입출고 입력 확인",IF(N82&lt;0,"출고수량 초과",IF(J82="","최소재고 미설정",IF(OR(NOT(ISNUMBER(J82)),J82&lt;0),"최소재고 확인",IF(N82&lt;J82,"재고부족","정상"))))))))</f>
        <v/>
      </c>
      <c r="P82" s="23">
        <f>IF(B82="","",IF(M82="해당없음","해당없음",IF(M82&lt;&gt;"대상","대상 여부 확인",IF(COUNTIF('03_유효기간'!$B$7:$B$206,B82)=0,"미등록",IF(COUNTIFS('03_유효기간'!$B$7:$B$206,B82,'03_유효기간'!$L$7:$L$206,"미입력")+COUNTIFS('03_유효기간'!$B$7:$B$206,B82,'03_유효기간'!$L$7:$L$206,"LOT 미입력")&gt;0,"유효기한/LOT 미입력",IF(COUNTIFS('03_유효기간'!$B$7:$B$206,B82,'03_유효기간'!$L$7:$L$206,"날짜 확인")&gt;0,"날짜 확인",IF(COUNTIFS('03_유효기간'!$B$7:$B$206,B82,'03_유효기간'!$L$7:$L$206,"만료")&gt;0,"만료",IF(COUNTIFS('03_유효기간'!$B$7:$B$206,B82,'03_유효기간'!$L$7:$L$206,"유효기간 임박")&gt;0,"유효기간 임박",IF(COUNTIFS('03_유효기간'!$B$7:$B$206,B82,'03_유효기간'!$L$7:$L$206,"정상")&gt;0,"정상","활성 LOT 없음")))))))))</f>
        <v/>
      </c>
      <c r="Q82" s="19" t="n"/>
      <c r="R82" s="26" t="n"/>
    </row>
    <row r="83" ht="24" customHeight="1">
      <c r="A83" s="18" t="n">
        <v>77</v>
      </c>
      <c r="B83" s="19" t="n"/>
      <c r="C83" s="19" t="n"/>
      <c r="D83" s="19" t="n"/>
      <c r="E83" s="19" t="n"/>
      <c r="F83" s="19" t="n"/>
      <c r="G83" s="20" t="n"/>
      <c r="H83" s="19" t="n"/>
      <c r="I83" s="19" t="n"/>
      <c r="J83" s="30" t="n"/>
      <c r="K83" s="19" t="n"/>
      <c r="L83" s="19" t="n"/>
      <c r="M83" s="19" t="n"/>
      <c r="N83" s="31">
        <f>IF(B83="","",IF(OR(COUNTIF('02_입출고_재고'!$D$7:$D$206,B83)=0,COUNTIFS('02_입출고_재고'!$D$7:$D$206,B83,'02_입출고_재고'!$K$7:$K$206,"자재코드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확인")&gt;0),"",SUMIFS('02_입출고_재고'!$H$7:$H$206,'02_입출고_재고'!$D$7:$D$206,B83)-SUMIFS('02_입출고_재고'!$I$7:$I$206,'02_입출고_재고'!$D$7:$D$206,B83)))</f>
        <v/>
      </c>
      <c r="O83" s="23">
        <f>IF(B83="","",IF(COUNTIF($B$7:$B$106,B83)&gt;1,"코드 중복",IF(COUNTIF('02_입출고_재고'!$D$7:$D$206,B83)=0,"미등록",IF(COUNTIFS('02_입출고_재고'!$D$7:$D$206,B83,'02_입출고_재고'!$K$7:$K$206,"자재코드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확인")&gt;0,"입출고 입력 확인",IF(N83&lt;0,"출고수량 초과",IF(J83="","최소재고 미설정",IF(OR(NOT(ISNUMBER(J83)),J83&lt;0),"최소재고 확인",IF(N83&lt;J83,"재고부족","정상"))))))))</f>
        <v/>
      </c>
      <c r="P83" s="23">
        <f>IF(B83="","",IF(M83="해당없음","해당없음",IF(M83&lt;&gt;"대상","대상 여부 확인",IF(COUNTIF('03_유효기간'!$B$7:$B$206,B83)=0,"미등록",IF(COUNTIFS('03_유효기간'!$B$7:$B$206,B83,'03_유효기간'!$L$7:$L$206,"미입력")+COUNTIFS('03_유효기간'!$B$7:$B$206,B83,'03_유효기간'!$L$7:$L$206,"LOT 미입력")&gt;0,"유효기한/LOT 미입력",IF(COUNTIFS('03_유효기간'!$B$7:$B$206,B83,'03_유효기간'!$L$7:$L$206,"날짜 확인")&gt;0,"날짜 확인",IF(COUNTIFS('03_유효기간'!$B$7:$B$206,B83,'03_유효기간'!$L$7:$L$206,"만료")&gt;0,"만료",IF(COUNTIFS('03_유효기간'!$B$7:$B$206,B83,'03_유효기간'!$L$7:$L$206,"유효기간 임박")&gt;0,"유효기간 임박",IF(COUNTIFS('03_유효기간'!$B$7:$B$206,B83,'03_유효기간'!$L$7:$L$206,"정상")&gt;0,"정상","활성 LOT 없음")))))))))</f>
        <v/>
      </c>
      <c r="Q83" s="19" t="n"/>
      <c r="R83" s="26" t="n"/>
    </row>
    <row r="84" ht="24" customHeight="1">
      <c r="A84" s="18" t="n">
        <v>78</v>
      </c>
      <c r="B84" s="19" t="n"/>
      <c r="C84" s="19" t="n"/>
      <c r="D84" s="19" t="n"/>
      <c r="E84" s="19" t="n"/>
      <c r="F84" s="19" t="n"/>
      <c r="G84" s="20" t="n"/>
      <c r="H84" s="19" t="n"/>
      <c r="I84" s="19" t="n"/>
      <c r="J84" s="30" t="n"/>
      <c r="K84" s="19" t="n"/>
      <c r="L84" s="19" t="n"/>
      <c r="M84" s="19" t="n"/>
      <c r="N84" s="31">
        <f>IF(B84="","",IF(OR(COUNTIF('02_입출고_재고'!$D$7:$D$206,B84)=0,COUNTIFS('02_입출고_재고'!$D$7:$D$206,B84,'02_입출고_재고'!$K$7:$K$206,"자재코드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확인")&gt;0),"",SUMIFS('02_입출고_재고'!$H$7:$H$206,'02_입출고_재고'!$D$7:$D$206,B84)-SUMIFS('02_입출고_재고'!$I$7:$I$206,'02_입출고_재고'!$D$7:$D$206,B84)))</f>
        <v/>
      </c>
      <c r="O84" s="23">
        <f>IF(B84="","",IF(COUNTIF($B$7:$B$106,B84)&gt;1,"코드 중복",IF(COUNTIF('02_입출고_재고'!$D$7:$D$206,B84)=0,"미등록",IF(COUNTIFS('02_입출고_재고'!$D$7:$D$206,B84,'02_입출고_재고'!$K$7:$K$206,"자재코드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확인")&gt;0,"입출고 입력 확인",IF(N84&lt;0,"출고수량 초과",IF(J84="","최소재고 미설정",IF(OR(NOT(ISNUMBER(J84)),J84&lt;0),"최소재고 확인",IF(N84&lt;J84,"재고부족","정상"))))))))</f>
        <v/>
      </c>
      <c r="P84" s="23">
        <f>IF(B84="","",IF(M84="해당없음","해당없음",IF(M84&lt;&gt;"대상","대상 여부 확인",IF(COUNTIF('03_유효기간'!$B$7:$B$206,B84)=0,"미등록",IF(COUNTIFS('03_유효기간'!$B$7:$B$206,B84,'03_유효기간'!$L$7:$L$206,"미입력")+COUNTIFS('03_유효기간'!$B$7:$B$206,B84,'03_유효기간'!$L$7:$L$206,"LOT 미입력")&gt;0,"유효기한/LOT 미입력",IF(COUNTIFS('03_유효기간'!$B$7:$B$206,B84,'03_유효기간'!$L$7:$L$206,"날짜 확인")&gt;0,"날짜 확인",IF(COUNTIFS('03_유효기간'!$B$7:$B$206,B84,'03_유효기간'!$L$7:$L$206,"만료")&gt;0,"만료",IF(COUNTIFS('03_유효기간'!$B$7:$B$206,B84,'03_유효기간'!$L$7:$L$206,"유효기간 임박")&gt;0,"유효기간 임박",IF(COUNTIFS('03_유효기간'!$B$7:$B$206,B84,'03_유효기간'!$L$7:$L$206,"정상")&gt;0,"정상","활성 LOT 없음")))))))))</f>
        <v/>
      </c>
      <c r="Q84" s="19" t="n"/>
      <c r="R84" s="26" t="n"/>
    </row>
    <row r="85" ht="24" customHeight="1">
      <c r="A85" s="18" t="n">
        <v>79</v>
      </c>
      <c r="B85" s="19" t="n"/>
      <c r="C85" s="19" t="n"/>
      <c r="D85" s="19" t="n"/>
      <c r="E85" s="19" t="n"/>
      <c r="F85" s="19" t="n"/>
      <c r="G85" s="20" t="n"/>
      <c r="H85" s="19" t="n"/>
      <c r="I85" s="19" t="n"/>
      <c r="J85" s="30" t="n"/>
      <c r="K85" s="19" t="n"/>
      <c r="L85" s="19" t="n"/>
      <c r="M85" s="19" t="n"/>
      <c r="N85" s="31">
        <f>IF(B85="","",IF(OR(COUNTIF('02_입출고_재고'!$D$7:$D$206,B85)=0,COUNTIFS('02_입출고_재고'!$D$7:$D$206,B85,'02_입출고_재고'!$K$7:$K$206,"자재코드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확인")&gt;0),"",SUMIFS('02_입출고_재고'!$H$7:$H$206,'02_입출고_재고'!$D$7:$D$206,B85)-SUMIFS('02_입출고_재고'!$I$7:$I$206,'02_입출고_재고'!$D$7:$D$206,B85)))</f>
        <v/>
      </c>
      <c r="O85" s="23">
        <f>IF(B85="","",IF(COUNTIF($B$7:$B$106,B85)&gt;1,"코드 중복",IF(COUNTIF('02_입출고_재고'!$D$7:$D$206,B85)=0,"미등록",IF(COUNTIFS('02_입출고_재고'!$D$7:$D$206,B85,'02_입출고_재고'!$K$7:$K$206,"자재코드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확인")&gt;0,"입출고 입력 확인",IF(N85&lt;0,"출고수량 초과",IF(J85="","최소재고 미설정",IF(OR(NOT(ISNUMBER(J85)),J85&lt;0),"최소재고 확인",IF(N85&lt;J85,"재고부족","정상"))))))))</f>
        <v/>
      </c>
      <c r="P85" s="23">
        <f>IF(B85="","",IF(M85="해당없음","해당없음",IF(M85&lt;&gt;"대상","대상 여부 확인",IF(COUNTIF('03_유효기간'!$B$7:$B$206,B85)=0,"미등록",IF(COUNTIFS('03_유효기간'!$B$7:$B$206,B85,'03_유효기간'!$L$7:$L$206,"미입력")+COUNTIFS('03_유효기간'!$B$7:$B$206,B85,'03_유효기간'!$L$7:$L$206,"LOT 미입력")&gt;0,"유효기한/LOT 미입력",IF(COUNTIFS('03_유효기간'!$B$7:$B$206,B85,'03_유효기간'!$L$7:$L$206,"날짜 확인")&gt;0,"날짜 확인",IF(COUNTIFS('03_유효기간'!$B$7:$B$206,B85,'03_유효기간'!$L$7:$L$206,"만료")&gt;0,"만료",IF(COUNTIFS('03_유효기간'!$B$7:$B$206,B85,'03_유효기간'!$L$7:$L$206,"유효기간 임박")&gt;0,"유효기간 임박",IF(COUNTIFS('03_유효기간'!$B$7:$B$206,B85,'03_유효기간'!$L$7:$L$206,"정상")&gt;0,"정상","활성 LOT 없음")))))))))</f>
        <v/>
      </c>
      <c r="Q85" s="19" t="n"/>
      <c r="R85" s="26" t="n"/>
    </row>
    <row r="86" ht="24" customHeight="1">
      <c r="A86" s="18" t="n">
        <v>80</v>
      </c>
      <c r="B86" s="19" t="n"/>
      <c r="C86" s="19" t="n"/>
      <c r="D86" s="19" t="n"/>
      <c r="E86" s="19" t="n"/>
      <c r="F86" s="19" t="n"/>
      <c r="G86" s="20" t="n"/>
      <c r="H86" s="19" t="n"/>
      <c r="I86" s="19" t="n"/>
      <c r="J86" s="30" t="n"/>
      <c r="K86" s="19" t="n"/>
      <c r="L86" s="19" t="n"/>
      <c r="M86" s="19" t="n"/>
      <c r="N86" s="31">
        <f>IF(B86="","",IF(OR(COUNTIF('02_입출고_재고'!$D$7:$D$206,B86)=0,COUNTIFS('02_입출고_재고'!$D$7:$D$206,B86,'02_입출고_재고'!$K$7:$K$206,"자재코드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확인")&gt;0),"",SUMIFS('02_입출고_재고'!$H$7:$H$206,'02_입출고_재고'!$D$7:$D$206,B86)-SUMIFS('02_입출고_재고'!$I$7:$I$206,'02_입출고_재고'!$D$7:$D$206,B86)))</f>
        <v/>
      </c>
      <c r="O86" s="23">
        <f>IF(B86="","",IF(COUNTIF($B$7:$B$106,B86)&gt;1,"코드 중복",IF(COUNTIF('02_입출고_재고'!$D$7:$D$206,B86)=0,"미등록",IF(COUNTIFS('02_입출고_재고'!$D$7:$D$206,B86,'02_입출고_재고'!$K$7:$K$206,"자재코드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확인")&gt;0,"입출고 입력 확인",IF(N86&lt;0,"출고수량 초과",IF(J86="","최소재고 미설정",IF(OR(NOT(ISNUMBER(J86)),J86&lt;0),"최소재고 확인",IF(N86&lt;J86,"재고부족","정상"))))))))</f>
        <v/>
      </c>
      <c r="P86" s="23">
        <f>IF(B86="","",IF(M86="해당없음","해당없음",IF(M86&lt;&gt;"대상","대상 여부 확인",IF(COUNTIF('03_유효기간'!$B$7:$B$206,B86)=0,"미등록",IF(COUNTIFS('03_유효기간'!$B$7:$B$206,B86,'03_유효기간'!$L$7:$L$206,"미입력")+COUNTIFS('03_유효기간'!$B$7:$B$206,B86,'03_유효기간'!$L$7:$L$206,"LOT 미입력")&gt;0,"유효기한/LOT 미입력",IF(COUNTIFS('03_유효기간'!$B$7:$B$206,B86,'03_유효기간'!$L$7:$L$206,"날짜 확인")&gt;0,"날짜 확인",IF(COUNTIFS('03_유효기간'!$B$7:$B$206,B86,'03_유효기간'!$L$7:$L$206,"만료")&gt;0,"만료",IF(COUNTIFS('03_유효기간'!$B$7:$B$206,B86,'03_유효기간'!$L$7:$L$206,"유효기간 임박")&gt;0,"유효기간 임박",IF(COUNTIFS('03_유효기간'!$B$7:$B$206,B86,'03_유효기간'!$L$7:$L$206,"정상")&gt;0,"정상","활성 LOT 없음")))))))))</f>
        <v/>
      </c>
      <c r="Q86" s="19" t="n"/>
      <c r="R86" s="26" t="n"/>
    </row>
    <row r="87" ht="24" customHeight="1">
      <c r="A87" s="18" t="n">
        <v>81</v>
      </c>
      <c r="B87" s="19" t="n"/>
      <c r="C87" s="19" t="n"/>
      <c r="D87" s="19" t="n"/>
      <c r="E87" s="19" t="n"/>
      <c r="F87" s="19" t="n"/>
      <c r="G87" s="20" t="n"/>
      <c r="H87" s="19" t="n"/>
      <c r="I87" s="19" t="n"/>
      <c r="J87" s="30" t="n"/>
      <c r="K87" s="19" t="n"/>
      <c r="L87" s="19" t="n"/>
      <c r="M87" s="19" t="n"/>
      <c r="N87" s="31">
        <f>IF(B87="","",IF(OR(COUNTIF('02_입출고_재고'!$D$7:$D$206,B87)=0,COUNTIFS('02_입출고_재고'!$D$7:$D$206,B87,'02_입출고_재고'!$K$7:$K$206,"자재코드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확인")&gt;0),"",SUMIFS('02_입출고_재고'!$H$7:$H$206,'02_입출고_재고'!$D$7:$D$206,B87)-SUMIFS('02_입출고_재고'!$I$7:$I$206,'02_입출고_재고'!$D$7:$D$206,B87)))</f>
        <v/>
      </c>
      <c r="O87" s="23">
        <f>IF(B87="","",IF(COUNTIF($B$7:$B$106,B87)&gt;1,"코드 중복",IF(COUNTIF('02_입출고_재고'!$D$7:$D$206,B87)=0,"미등록",IF(COUNTIFS('02_입출고_재고'!$D$7:$D$206,B87,'02_입출고_재고'!$K$7:$K$206,"자재코드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확인")&gt;0,"입출고 입력 확인",IF(N87&lt;0,"출고수량 초과",IF(J87="","최소재고 미설정",IF(OR(NOT(ISNUMBER(J87)),J87&lt;0),"최소재고 확인",IF(N87&lt;J87,"재고부족","정상"))))))))</f>
        <v/>
      </c>
      <c r="P87" s="23">
        <f>IF(B87="","",IF(M87="해당없음","해당없음",IF(M87&lt;&gt;"대상","대상 여부 확인",IF(COUNTIF('03_유효기간'!$B$7:$B$206,B87)=0,"미등록",IF(COUNTIFS('03_유효기간'!$B$7:$B$206,B87,'03_유효기간'!$L$7:$L$206,"미입력")+COUNTIFS('03_유효기간'!$B$7:$B$206,B87,'03_유효기간'!$L$7:$L$206,"LOT 미입력")&gt;0,"유효기한/LOT 미입력",IF(COUNTIFS('03_유효기간'!$B$7:$B$206,B87,'03_유효기간'!$L$7:$L$206,"날짜 확인")&gt;0,"날짜 확인",IF(COUNTIFS('03_유효기간'!$B$7:$B$206,B87,'03_유효기간'!$L$7:$L$206,"만료")&gt;0,"만료",IF(COUNTIFS('03_유효기간'!$B$7:$B$206,B87,'03_유효기간'!$L$7:$L$206,"유효기간 임박")&gt;0,"유효기간 임박",IF(COUNTIFS('03_유효기간'!$B$7:$B$206,B87,'03_유효기간'!$L$7:$L$206,"정상")&gt;0,"정상","활성 LOT 없음")))))))))</f>
        <v/>
      </c>
      <c r="Q87" s="19" t="n"/>
      <c r="R87" s="26" t="n"/>
    </row>
    <row r="88" ht="24" customHeight="1">
      <c r="A88" s="18" t="n">
        <v>82</v>
      </c>
      <c r="B88" s="19" t="n"/>
      <c r="C88" s="19" t="n"/>
      <c r="D88" s="19" t="n"/>
      <c r="E88" s="19" t="n"/>
      <c r="F88" s="19" t="n"/>
      <c r="G88" s="20" t="n"/>
      <c r="H88" s="19" t="n"/>
      <c r="I88" s="19" t="n"/>
      <c r="J88" s="30" t="n"/>
      <c r="K88" s="19" t="n"/>
      <c r="L88" s="19" t="n"/>
      <c r="M88" s="19" t="n"/>
      <c r="N88" s="31">
        <f>IF(B88="","",IF(OR(COUNTIF('02_입출고_재고'!$D$7:$D$206,B88)=0,COUNTIFS('02_입출고_재고'!$D$7:$D$206,B88,'02_입출고_재고'!$K$7:$K$206,"자재코드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확인")&gt;0),"",SUMIFS('02_입출고_재고'!$H$7:$H$206,'02_입출고_재고'!$D$7:$D$206,B88)-SUMIFS('02_입출고_재고'!$I$7:$I$206,'02_입출고_재고'!$D$7:$D$206,B88)))</f>
        <v/>
      </c>
      <c r="O88" s="23">
        <f>IF(B88="","",IF(COUNTIF($B$7:$B$106,B88)&gt;1,"코드 중복",IF(COUNTIF('02_입출고_재고'!$D$7:$D$206,B88)=0,"미등록",IF(COUNTIFS('02_입출고_재고'!$D$7:$D$206,B88,'02_입출고_재고'!$K$7:$K$206,"자재코드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확인")&gt;0,"입출고 입력 확인",IF(N88&lt;0,"출고수량 초과",IF(J88="","최소재고 미설정",IF(OR(NOT(ISNUMBER(J88)),J88&lt;0),"최소재고 확인",IF(N88&lt;J88,"재고부족","정상"))))))))</f>
        <v/>
      </c>
      <c r="P88" s="23">
        <f>IF(B88="","",IF(M88="해당없음","해당없음",IF(M88&lt;&gt;"대상","대상 여부 확인",IF(COUNTIF('03_유효기간'!$B$7:$B$206,B88)=0,"미등록",IF(COUNTIFS('03_유효기간'!$B$7:$B$206,B88,'03_유효기간'!$L$7:$L$206,"미입력")+COUNTIFS('03_유효기간'!$B$7:$B$206,B88,'03_유효기간'!$L$7:$L$206,"LOT 미입력")&gt;0,"유효기한/LOT 미입력",IF(COUNTIFS('03_유효기간'!$B$7:$B$206,B88,'03_유효기간'!$L$7:$L$206,"날짜 확인")&gt;0,"날짜 확인",IF(COUNTIFS('03_유효기간'!$B$7:$B$206,B88,'03_유효기간'!$L$7:$L$206,"만료")&gt;0,"만료",IF(COUNTIFS('03_유효기간'!$B$7:$B$206,B88,'03_유효기간'!$L$7:$L$206,"유효기간 임박")&gt;0,"유효기간 임박",IF(COUNTIFS('03_유효기간'!$B$7:$B$206,B88,'03_유효기간'!$L$7:$L$206,"정상")&gt;0,"정상","활성 LOT 없음")))))))))</f>
        <v/>
      </c>
      <c r="Q88" s="19" t="n"/>
      <c r="R88" s="26" t="n"/>
    </row>
    <row r="89" ht="24" customHeight="1">
      <c r="A89" s="18" t="n">
        <v>83</v>
      </c>
      <c r="B89" s="19" t="n"/>
      <c r="C89" s="19" t="n"/>
      <c r="D89" s="19" t="n"/>
      <c r="E89" s="19" t="n"/>
      <c r="F89" s="19" t="n"/>
      <c r="G89" s="20" t="n"/>
      <c r="H89" s="19" t="n"/>
      <c r="I89" s="19" t="n"/>
      <c r="J89" s="30" t="n"/>
      <c r="K89" s="19" t="n"/>
      <c r="L89" s="19" t="n"/>
      <c r="M89" s="19" t="n"/>
      <c r="N89" s="31">
        <f>IF(B89="","",IF(OR(COUNTIF('02_입출고_재고'!$D$7:$D$206,B89)=0,COUNTIFS('02_입출고_재고'!$D$7:$D$206,B89,'02_입출고_재고'!$K$7:$K$206,"자재코드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확인")&gt;0),"",SUMIFS('02_입출고_재고'!$H$7:$H$206,'02_입출고_재고'!$D$7:$D$206,B89)-SUMIFS('02_입출고_재고'!$I$7:$I$206,'02_입출고_재고'!$D$7:$D$206,B89)))</f>
        <v/>
      </c>
      <c r="O89" s="23">
        <f>IF(B89="","",IF(COUNTIF($B$7:$B$106,B89)&gt;1,"코드 중복",IF(COUNTIF('02_입출고_재고'!$D$7:$D$206,B89)=0,"미등록",IF(COUNTIFS('02_입출고_재고'!$D$7:$D$206,B89,'02_입출고_재고'!$K$7:$K$206,"자재코드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확인")&gt;0,"입출고 입력 확인",IF(N89&lt;0,"출고수량 초과",IF(J89="","최소재고 미설정",IF(OR(NOT(ISNUMBER(J89)),J89&lt;0),"최소재고 확인",IF(N89&lt;J89,"재고부족","정상"))))))))</f>
        <v/>
      </c>
      <c r="P89" s="23">
        <f>IF(B89="","",IF(M89="해당없음","해당없음",IF(M89&lt;&gt;"대상","대상 여부 확인",IF(COUNTIF('03_유효기간'!$B$7:$B$206,B89)=0,"미등록",IF(COUNTIFS('03_유효기간'!$B$7:$B$206,B89,'03_유효기간'!$L$7:$L$206,"미입력")+COUNTIFS('03_유효기간'!$B$7:$B$206,B89,'03_유효기간'!$L$7:$L$206,"LOT 미입력")&gt;0,"유효기한/LOT 미입력",IF(COUNTIFS('03_유효기간'!$B$7:$B$206,B89,'03_유효기간'!$L$7:$L$206,"날짜 확인")&gt;0,"날짜 확인",IF(COUNTIFS('03_유효기간'!$B$7:$B$206,B89,'03_유효기간'!$L$7:$L$206,"만료")&gt;0,"만료",IF(COUNTIFS('03_유효기간'!$B$7:$B$206,B89,'03_유효기간'!$L$7:$L$206,"유효기간 임박")&gt;0,"유효기간 임박",IF(COUNTIFS('03_유효기간'!$B$7:$B$206,B89,'03_유효기간'!$L$7:$L$206,"정상")&gt;0,"정상","활성 LOT 없음")))))))))</f>
        <v/>
      </c>
      <c r="Q89" s="19" t="n"/>
      <c r="R89" s="26" t="n"/>
    </row>
    <row r="90" ht="24" customHeight="1">
      <c r="A90" s="18" t="n">
        <v>84</v>
      </c>
      <c r="B90" s="19" t="n"/>
      <c r="C90" s="19" t="n"/>
      <c r="D90" s="19" t="n"/>
      <c r="E90" s="19" t="n"/>
      <c r="F90" s="19" t="n"/>
      <c r="G90" s="20" t="n"/>
      <c r="H90" s="19" t="n"/>
      <c r="I90" s="19" t="n"/>
      <c r="J90" s="30" t="n"/>
      <c r="K90" s="19" t="n"/>
      <c r="L90" s="19" t="n"/>
      <c r="M90" s="19" t="n"/>
      <c r="N90" s="31">
        <f>IF(B90="","",IF(OR(COUNTIF('02_입출고_재고'!$D$7:$D$206,B90)=0,COUNTIFS('02_입출고_재고'!$D$7:$D$206,B90,'02_입출고_재고'!$K$7:$K$206,"자재코드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확인")&gt;0),"",SUMIFS('02_입출고_재고'!$H$7:$H$206,'02_입출고_재고'!$D$7:$D$206,B90)-SUMIFS('02_입출고_재고'!$I$7:$I$206,'02_입출고_재고'!$D$7:$D$206,B90)))</f>
        <v/>
      </c>
      <c r="O90" s="23">
        <f>IF(B90="","",IF(COUNTIF($B$7:$B$106,B90)&gt;1,"코드 중복",IF(COUNTIF('02_입출고_재고'!$D$7:$D$206,B90)=0,"미등록",IF(COUNTIFS('02_입출고_재고'!$D$7:$D$206,B90,'02_입출고_재고'!$K$7:$K$206,"자재코드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확인")&gt;0,"입출고 입력 확인",IF(N90&lt;0,"출고수량 초과",IF(J90="","최소재고 미설정",IF(OR(NOT(ISNUMBER(J90)),J90&lt;0),"최소재고 확인",IF(N90&lt;J90,"재고부족","정상"))))))))</f>
        <v/>
      </c>
      <c r="P90" s="23">
        <f>IF(B90="","",IF(M90="해당없음","해당없음",IF(M90&lt;&gt;"대상","대상 여부 확인",IF(COUNTIF('03_유효기간'!$B$7:$B$206,B90)=0,"미등록",IF(COUNTIFS('03_유효기간'!$B$7:$B$206,B90,'03_유효기간'!$L$7:$L$206,"미입력")+COUNTIFS('03_유효기간'!$B$7:$B$206,B90,'03_유효기간'!$L$7:$L$206,"LOT 미입력")&gt;0,"유효기한/LOT 미입력",IF(COUNTIFS('03_유효기간'!$B$7:$B$206,B90,'03_유효기간'!$L$7:$L$206,"날짜 확인")&gt;0,"날짜 확인",IF(COUNTIFS('03_유효기간'!$B$7:$B$206,B90,'03_유효기간'!$L$7:$L$206,"만료")&gt;0,"만료",IF(COUNTIFS('03_유효기간'!$B$7:$B$206,B90,'03_유효기간'!$L$7:$L$206,"유효기간 임박")&gt;0,"유효기간 임박",IF(COUNTIFS('03_유효기간'!$B$7:$B$206,B90,'03_유효기간'!$L$7:$L$206,"정상")&gt;0,"정상","활성 LOT 없음")))))))))</f>
        <v/>
      </c>
      <c r="Q90" s="19" t="n"/>
      <c r="R90" s="26" t="n"/>
    </row>
    <row r="91" ht="24" customHeight="1">
      <c r="A91" s="18" t="n">
        <v>85</v>
      </c>
      <c r="B91" s="19" t="n"/>
      <c r="C91" s="19" t="n"/>
      <c r="D91" s="19" t="n"/>
      <c r="E91" s="19" t="n"/>
      <c r="F91" s="19" t="n"/>
      <c r="G91" s="20" t="n"/>
      <c r="H91" s="19" t="n"/>
      <c r="I91" s="19" t="n"/>
      <c r="J91" s="30" t="n"/>
      <c r="K91" s="19" t="n"/>
      <c r="L91" s="19" t="n"/>
      <c r="M91" s="19" t="n"/>
      <c r="N91" s="31">
        <f>IF(B91="","",IF(OR(COUNTIF('02_입출고_재고'!$D$7:$D$206,B91)=0,COUNTIFS('02_입출고_재고'!$D$7:$D$206,B91,'02_입출고_재고'!$K$7:$K$206,"자재코드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확인")&gt;0),"",SUMIFS('02_입출고_재고'!$H$7:$H$206,'02_입출고_재고'!$D$7:$D$206,B91)-SUMIFS('02_입출고_재고'!$I$7:$I$206,'02_입출고_재고'!$D$7:$D$206,B91)))</f>
        <v/>
      </c>
      <c r="O91" s="23">
        <f>IF(B91="","",IF(COUNTIF($B$7:$B$106,B91)&gt;1,"코드 중복",IF(COUNTIF('02_입출고_재고'!$D$7:$D$206,B91)=0,"미등록",IF(COUNTIFS('02_입출고_재고'!$D$7:$D$206,B91,'02_입출고_재고'!$K$7:$K$206,"자재코드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확인")&gt;0,"입출고 입력 확인",IF(N91&lt;0,"출고수량 초과",IF(J91="","최소재고 미설정",IF(OR(NOT(ISNUMBER(J91)),J91&lt;0),"최소재고 확인",IF(N91&lt;J91,"재고부족","정상"))))))))</f>
        <v/>
      </c>
      <c r="P91" s="23">
        <f>IF(B91="","",IF(M91="해당없음","해당없음",IF(M91&lt;&gt;"대상","대상 여부 확인",IF(COUNTIF('03_유효기간'!$B$7:$B$206,B91)=0,"미등록",IF(COUNTIFS('03_유효기간'!$B$7:$B$206,B91,'03_유효기간'!$L$7:$L$206,"미입력")+COUNTIFS('03_유효기간'!$B$7:$B$206,B91,'03_유효기간'!$L$7:$L$206,"LOT 미입력")&gt;0,"유효기한/LOT 미입력",IF(COUNTIFS('03_유효기간'!$B$7:$B$206,B91,'03_유효기간'!$L$7:$L$206,"날짜 확인")&gt;0,"날짜 확인",IF(COUNTIFS('03_유효기간'!$B$7:$B$206,B91,'03_유효기간'!$L$7:$L$206,"만료")&gt;0,"만료",IF(COUNTIFS('03_유효기간'!$B$7:$B$206,B91,'03_유효기간'!$L$7:$L$206,"유효기간 임박")&gt;0,"유효기간 임박",IF(COUNTIFS('03_유효기간'!$B$7:$B$206,B91,'03_유효기간'!$L$7:$L$206,"정상")&gt;0,"정상","활성 LOT 없음")))))))))</f>
        <v/>
      </c>
      <c r="Q91" s="19" t="n"/>
      <c r="R91" s="26" t="n"/>
    </row>
    <row r="92" ht="24" customHeight="1">
      <c r="A92" s="18" t="n">
        <v>86</v>
      </c>
      <c r="B92" s="19" t="n"/>
      <c r="C92" s="19" t="n"/>
      <c r="D92" s="19" t="n"/>
      <c r="E92" s="19" t="n"/>
      <c r="F92" s="19" t="n"/>
      <c r="G92" s="20" t="n"/>
      <c r="H92" s="19" t="n"/>
      <c r="I92" s="19" t="n"/>
      <c r="J92" s="30" t="n"/>
      <c r="K92" s="19" t="n"/>
      <c r="L92" s="19" t="n"/>
      <c r="M92" s="19" t="n"/>
      <c r="N92" s="31">
        <f>IF(B92="","",IF(OR(COUNTIF('02_입출고_재고'!$D$7:$D$206,B92)=0,COUNTIFS('02_입출고_재고'!$D$7:$D$206,B92,'02_입출고_재고'!$K$7:$K$206,"자재코드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확인")&gt;0),"",SUMIFS('02_입출고_재고'!$H$7:$H$206,'02_입출고_재고'!$D$7:$D$206,B92)-SUMIFS('02_입출고_재고'!$I$7:$I$206,'02_입출고_재고'!$D$7:$D$206,B92)))</f>
        <v/>
      </c>
      <c r="O92" s="23">
        <f>IF(B92="","",IF(COUNTIF($B$7:$B$106,B92)&gt;1,"코드 중복",IF(COUNTIF('02_입출고_재고'!$D$7:$D$206,B92)=0,"미등록",IF(COUNTIFS('02_입출고_재고'!$D$7:$D$206,B92,'02_입출고_재고'!$K$7:$K$206,"자재코드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확인")&gt;0,"입출고 입력 확인",IF(N92&lt;0,"출고수량 초과",IF(J92="","최소재고 미설정",IF(OR(NOT(ISNUMBER(J92)),J92&lt;0),"최소재고 확인",IF(N92&lt;J92,"재고부족","정상"))))))))</f>
        <v/>
      </c>
      <c r="P92" s="23">
        <f>IF(B92="","",IF(M92="해당없음","해당없음",IF(M92&lt;&gt;"대상","대상 여부 확인",IF(COUNTIF('03_유효기간'!$B$7:$B$206,B92)=0,"미등록",IF(COUNTIFS('03_유효기간'!$B$7:$B$206,B92,'03_유효기간'!$L$7:$L$206,"미입력")+COUNTIFS('03_유효기간'!$B$7:$B$206,B92,'03_유효기간'!$L$7:$L$206,"LOT 미입력")&gt;0,"유효기한/LOT 미입력",IF(COUNTIFS('03_유효기간'!$B$7:$B$206,B92,'03_유효기간'!$L$7:$L$206,"날짜 확인")&gt;0,"날짜 확인",IF(COUNTIFS('03_유효기간'!$B$7:$B$206,B92,'03_유효기간'!$L$7:$L$206,"만료")&gt;0,"만료",IF(COUNTIFS('03_유효기간'!$B$7:$B$206,B92,'03_유효기간'!$L$7:$L$206,"유효기간 임박")&gt;0,"유효기간 임박",IF(COUNTIFS('03_유효기간'!$B$7:$B$206,B92,'03_유효기간'!$L$7:$L$206,"정상")&gt;0,"정상","활성 LOT 없음")))))))))</f>
        <v/>
      </c>
      <c r="Q92" s="19" t="n"/>
      <c r="R92" s="26" t="n"/>
    </row>
    <row r="93" ht="24" customHeight="1">
      <c r="A93" s="18" t="n">
        <v>87</v>
      </c>
      <c r="B93" s="19" t="n"/>
      <c r="C93" s="19" t="n"/>
      <c r="D93" s="19" t="n"/>
      <c r="E93" s="19" t="n"/>
      <c r="F93" s="19" t="n"/>
      <c r="G93" s="20" t="n"/>
      <c r="H93" s="19" t="n"/>
      <c r="I93" s="19" t="n"/>
      <c r="J93" s="30" t="n"/>
      <c r="K93" s="19" t="n"/>
      <c r="L93" s="19" t="n"/>
      <c r="M93" s="19" t="n"/>
      <c r="N93" s="31">
        <f>IF(B93="","",IF(OR(COUNTIF('02_입출고_재고'!$D$7:$D$206,B93)=0,COUNTIFS('02_입출고_재고'!$D$7:$D$206,B93,'02_입출고_재고'!$K$7:$K$206,"자재코드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확인")&gt;0),"",SUMIFS('02_입출고_재고'!$H$7:$H$206,'02_입출고_재고'!$D$7:$D$206,B93)-SUMIFS('02_입출고_재고'!$I$7:$I$206,'02_입출고_재고'!$D$7:$D$206,B93)))</f>
        <v/>
      </c>
      <c r="O93" s="23">
        <f>IF(B93="","",IF(COUNTIF($B$7:$B$106,B93)&gt;1,"코드 중복",IF(COUNTIF('02_입출고_재고'!$D$7:$D$206,B93)=0,"미등록",IF(COUNTIFS('02_입출고_재고'!$D$7:$D$206,B93,'02_입출고_재고'!$K$7:$K$206,"자재코드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확인")&gt;0,"입출고 입력 확인",IF(N93&lt;0,"출고수량 초과",IF(J93="","최소재고 미설정",IF(OR(NOT(ISNUMBER(J93)),J93&lt;0),"최소재고 확인",IF(N93&lt;J93,"재고부족","정상"))))))))</f>
        <v/>
      </c>
      <c r="P93" s="23">
        <f>IF(B93="","",IF(M93="해당없음","해당없음",IF(M93&lt;&gt;"대상","대상 여부 확인",IF(COUNTIF('03_유효기간'!$B$7:$B$206,B93)=0,"미등록",IF(COUNTIFS('03_유효기간'!$B$7:$B$206,B93,'03_유효기간'!$L$7:$L$206,"미입력")+COUNTIFS('03_유효기간'!$B$7:$B$206,B93,'03_유효기간'!$L$7:$L$206,"LOT 미입력")&gt;0,"유효기한/LOT 미입력",IF(COUNTIFS('03_유효기간'!$B$7:$B$206,B93,'03_유효기간'!$L$7:$L$206,"날짜 확인")&gt;0,"날짜 확인",IF(COUNTIFS('03_유효기간'!$B$7:$B$206,B93,'03_유효기간'!$L$7:$L$206,"만료")&gt;0,"만료",IF(COUNTIFS('03_유효기간'!$B$7:$B$206,B93,'03_유효기간'!$L$7:$L$206,"유효기간 임박")&gt;0,"유효기간 임박",IF(COUNTIFS('03_유효기간'!$B$7:$B$206,B93,'03_유효기간'!$L$7:$L$206,"정상")&gt;0,"정상","활성 LOT 없음")))))))))</f>
        <v/>
      </c>
      <c r="Q93" s="19" t="n"/>
      <c r="R93" s="26" t="n"/>
    </row>
    <row r="94" ht="24" customHeight="1">
      <c r="A94" s="18" t="n">
        <v>88</v>
      </c>
      <c r="B94" s="19" t="n"/>
      <c r="C94" s="19" t="n"/>
      <c r="D94" s="19" t="n"/>
      <c r="E94" s="19" t="n"/>
      <c r="F94" s="19" t="n"/>
      <c r="G94" s="20" t="n"/>
      <c r="H94" s="19" t="n"/>
      <c r="I94" s="19" t="n"/>
      <c r="J94" s="30" t="n"/>
      <c r="K94" s="19" t="n"/>
      <c r="L94" s="19" t="n"/>
      <c r="M94" s="19" t="n"/>
      <c r="N94" s="31">
        <f>IF(B94="","",IF(OR(COUNTIF('02_입출고_재고'!$D$7:$D$206,B94)=0,COUNTIFS('02_입출고_재고'!$D$7:$D$206,B94,'02_입출고_재고'!$K$7:$K$206,"자재코드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확인")&gt;0),"",SUMIFS('02_입출고_재고'!$H$7:$H$206,'02_입출고_재고'!$D$7:$D$206,B94)-SUMIFS('02_입출고_재고'!$I$7:$I$206,'02_입출고_재고'!$D$7:$D$206,B94)))</f>
        <v/>
      </c>
      <c r="O94" s="23">
        <f>IF(B94="","",IF(COUNTIF($B$7:$B$106,B94)&gt;1,"코드 중복",IF(COUNTIF('02_입출고_재고'!$D$7:$D$206,B94)=0,"미등록",IF(COUNTIFS('02_입출고_재고'!$D$7:$D$206,B94,'02_입출고_재고'!$K$7:$K$206,"자재코드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확인")&gt;0,"입출고 입력 확인",IF(N94&lt;0,"출고수량 초과",IF(J94="","최소재고 미설정",IF(OR(NOT(ISNUMBER(J94)),J94&lt;0),"최소재고 확인",IF(N94&lt;J94,"재고부족","정상"))))))))</f>
        <v/>
      </c>
      <c r="P94" s="23">
        <f>IF(B94="","",IF(M94="해당없음","해당없음",IF(M94&lt;&gt;"대상","대상 여부 확인",IF(COUNTIF('03_유효기간'!$B$7:$B$206,B94)=0,"미등록",IF(COUNTIFS('03_유효기간'!$B$7:$B$206,B94,'03_유효기간'!$L$7:$L$206,"미입력")+COUNTIFS('03_유효기간'!$B$7:$B$206,B94,'03_유효기간'!$L$7:$L$206,"LOT 미입력")&gt;0,"유효기한/LOT 미입력",IF(COUNTIFS('03_유효기간'!$B$7:$B$206,B94,'03_유효기간'!$L$7:$L$206,"날짜 확인")&gt;0,"날짜 확인",IF(COUNTIFS('03_유효기간'!$B$7:$B$206,B94,'03_유효기간'!$L$7:$L$206,"만료")&gt;0,"만료",IF(COUNTIFS('03_유효기간'!$B$7:$B$206,B94,'03_유효기간'!$L$7:$L$206,"유효기간 임박")&gt;0,"유효기간 임박",IF(COUNTIFS('03_유효기간'!$B$7:$B$206,B94,'03_유효기간'!$L$7:$L$206,"정상")&gt;0,"정상","활성 LOT 없음")))))))))</f>
        <v/>
      </c>
      <c r="Q94" s="19" t="n"/>
      <c r="R94" s="26" t="n"/>
    </row>
    <row r="95" ht="24" customHeight="1">
      <c r="A95" s="18" t="n">
        <v>89</v>
      </c>
      <c r="B95" s="19" t="n"/>
      <c r="C95" s="19" t="n"/>
      <c r="D95" s="19" t="n"/>
      <c r="E95" s="19" t="n"/>
      <c r="F95" s="19" t="n"/>
      <c r="G95" s="20" t="n"/>
      <c r="H95" s="19" t="n"/>
      <c r="I95" s="19" t="n"/>
      <c r="J95" s="30" t="n"/>
      <c r="K95" s="19" t="n"/>
      <c r="L95" s="19" t="n"/>
      <c r="M95" s="19" t="n"/>
      <c r="N95" s="31">
        <f>IF(B95="","",IF(OR(COUNTIF('02_입출고_재고'!$D$7:$D$206,B95)=0,COUNTIFS('02_입출고_재고'!$D$7:$D$206,B95,'02_입출고_재고'!$K$7:$K$206,"자재코드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확인")&gt;0),"",SUMIFS('02_입출고_재고'!$H$7:$H$206,'02_입출고_재고'!$D$7:$D$206,B95)-SUMIFS('02_입출고_재고'!$I$7:$I$206,'02_입출고_재고'!$D$7:$D$206,B95)))</f>
        <v/>
      </c>
      <c r="O95" s="23">
        <f>IF(B95="","",IF(COUNTIF($B$7:$B$106,B95)&gt;1,"코드 중복",IF(COUNTIF('02_입출고_재고'!$D$7:$D$206,B95)=0,"미등록",IF(COUNTIFS('02_입출고_재고'!$D$7:$D$206,B95,'02_입출고_재고'!$K$7:$K$206,"자재코드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확인")&gt;0,"입출고 입력 확인",IF(N95&lt;0,"출고수량 초과",IF(J95="","최소재고 미설정",IF(OR(NOT(ISNUMBER(J95)),J95&lt;0),"최소재고 확인",IF(N95&lt;J95,"재고부족","정상"))))))))</f>
        <v/>
      </c>
      <c r="P95" s="23">
        <f>IF(B95="","",IF(M95="해당없음","해당없음",IF(M95&lt;&gt;"대상","대상 여부 확인",IF(COUNTIF('03_유효기간'!$B$7:$B$206,B95)=0,"미등록",IF(COUNTIFS('03_유효기간'!$B$7:$B$206,B95,'03_유효기간'!$L$7:$L$206,"미입력")+COUNTIFS('03_유효기간'!$B$7:$B$206,B95,'03_유효기간'!$L$7:$L$206,"LOT 미입력")&gt;0,"유효기한/LOT 미입력",IF(COUNTIFS('03_유효기간'!$B$7:$B$206,B95,'03_유효기간'!$L$7:$L$206,"날짜 확인")&gt;0,"날짜 확인",IF(COUNTIFS('03_유효기간'!$B$7:$B$206,B95,'03_유효기간'!$L$7:$L$206,"만료")&gt;0,"만료",IF(COUNTIFS('03_유효기간'!$B$7:$B$206,B95,'03_유효기간'!$L$7:$L$206,"유효기간 임박")&gt;0,"유효기간 임박",IF(COUNTIFS('03_유효기간'!$B$7:$B$206,B95,'03_유효기간'!$L$7:$L$206,"정상")&gt;0,"정상","활성 LOT 없음")))))))))</f>
        <v/>
      </c>
      <c r="Q95" s="19" t="n"/>
      <c r="R95" s="26" t="n"/>
    </row>
    <row r="96" ht="24" customHeight="1">
      <c r="A96" s="18" t="n">
        <v>90</v>
      </c>
      <c r="B96" s="19" t="n"/>
      <c r="C96" s="19" t="n"/>
      <c r="D96" s="19" t="n"/>
      <c r="E96" s="19" t="n"/>
      <c r="F96" s="19" t="n"/>
      <c r="G96" s="20" t="n"/>
      <c r="H96" s="19" t="n"/>
      <c r="I96" s="19" t="n"/>
      <c r="J96" s="30" t="n"/>
      <c r="K96" s="19" t="n"/>
      <c r="L96" s="19" t="n"/>
      <c r="M96" s="19" t="n"/>
      <c r="N96" s="31">
        <f>IF(B96="","",IF(OR(COUNTIF('02_입출고_재고'!$D$7:$D$206,B96)=0,COUNTIFS('02_입출고_재고'!$D$7:$D$206,B96,'02_입출고_재고'!$K$7:$K$206,"자재코드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확인")&gt;0),"",SUMIFS('02_입출고_재고'!$H$7:$H$206,'02_입출고_재고'!$D$7:$D$206,B96)-SUMIFS('02_입출고_재고'!$I$7:$I$206,'02_입출고_재고'!$D$7:$D$206,B96)))</f>
        <v/>
      </c>
      <c r="O96" s="23">
        <f>IF(B96="","",IF(COUNTIF($B$7:$B$106,B96)&gt;1,"코드 중복",IF(COUNTIF('02_입출고_재고'!$D$7:$D$206,B96)=0,"미등록",IF(COUNTIFS('02_입출고_재고'!$D$7:$D$206,B96,'02_입출고_재고'!$K$7:$K$206,"자재코드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확인")&gt;0,"입출고 입력 확인",IF(N96&lt;0,"출고수량 초과",IF(J96="","최소재고 미설정",IF(OR(NOT(ISNUMBER(J96)),J96&lt;0),"최소재고 확인",IF(N96&lt;J96,"재고부족","정상"))))))))</f>
        <v/>
      </c>
      <c r="P96" s="23">
        <f>IF(B96="","",IF(M96="해당없음","해당없음",IF(M96&lt;&gt;"대상","대상 여부 확인",IF(COUNTIF('03_유효기간'!$B$7:$B$206,B96)=0,"미등록",IF(COUNTIFS('03_유효기간'!$B$7:$B$206,B96,'03_유효기간'!$L$7:$L$206,"미입력")+COUNTIFS('03_유효기간'!$B$7:$B$206,B96,'03_유효기간'!$L$7:$L$206,"LOT 미입력")&gt;0,"유효기한/LOT 미입력",IF(COUNTIFS('03_유효기간'!$B$7:$B$206,B96,'03_유효기간'!$L$7:$L$206,"날짜 확인")&gt;0,"날짜 확인",IF(COUNTIFS('03_유효기간'!$B$7:$B$206,B96,'03_유효기간'!$L$7:$L$206,"만료")&gt;0,"만료",IF(COUNTIFS('03_유효기간'!$B$7:$B$206,B96,'03_유효기간'!$L$7:$L$206,"유효기간 임박")&gt;0,"유효기간 임박",IF(COUNTIFS('03_유효기간'!$B$7:$B$206,B96,'03_유효기간'!$L$7:$L$206,"정상")&gt;0,"정상","활성 LOT 없음")))))))))</f>
        <v/>
      </c>
      <c r="Q96" s="19" t="n"/>
      <c r="R96" s="26" t="n"/>
    </row>
    <row r="97" ht="24" customHeight="1">
      <c r="A97" s="18" t="n">
        <v>91</v>
      </c>
      <c r="B97" s="19" t="n"/>
      <c r="C97" s="19" t="n"/>
      <c r="D97" s="19" t="n"/>
      <c r="E97" s="19" t="n"/>
      <c r="F97" s="19" t="n"/>
      <c r="G97" s="20" t="n"/>
      <c r="H97" s="19" t="n"/>
      <c r="I97" s="19" t="n"/>
      <c r="J97" s="30" t="n"/>
      <c r="K97" s="19" t="n"/>
      <c r="L97" s="19" t="n"/>
      <c r="M97" s="19" t="n"/>
      <c r="N97" s="31">
        <f>IF(B97="","",IF(OR(COUNTIF('02_입출고_재고'!$D$7:$D$206,B97)=0,COUNTIFS('02_입출고_재고'!$D$7:$D$206,B97,'02_입출고_재고'!$K$7:$K$206,"자재코드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확인")&gt;0),"",SUMIFS('02_입출고_재고'!$H$7:$H$206,'02_입출고_재고'!$D$7:$D$206,B97)-SUMIFS('02_입출고_재고'!$I$7:$I$206,'02_입출고_재고'!$D$7:$D$206,B97)))</f>
        <v/>
      </c>
      <c r="O97" s="23">
        <f>IF(B97="","",IF(COUNTIF($B$7:$B$106,B97)&gt;1,"코드 중복",IF(COUNTIF('02_입출고_재고'!$D$7:$D$206,B97)=0,"미등록",IF(COUNTIFS('02_입출고_재고'!$D$7:$D$206,B97,'02_입출고_재고'!$K$7:$K$206,"자재코드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확인")&gt;0,"입출고 입력 확인",IF(N97&lt;0,"출고수량 초과",IF(J97="","최소재고 미설정",IF(OR(NOT(ISNUMBER(J97)),J97&lt;0),"최소재고 확인",IF(N97&lt;J97,"재고부족","정상"))))))))</f>
        <v/>
      </c>
      <c r="P97" s="23">
        <f>IF(B97="","",IF(M97="해당없음","해당없음",IF(M97&lt;&gt;"대상","대상 여부 확인",IF(COUNTIF('03_유효기간'!$B$7:$B$206,B97)=0,"미등록",IF(COUNTIFS('03_유효기간'!$B$7:$B$206,B97,'03_유효기간'!$L$7:$L$206,"미입력")+COUNTIFS('03_유효기간'!$B$7:$B$206,B97,'03_유효기간'!$L$7:$L$206,"LOT 미입력")&gt;0,"유효기한/LOT 미입력",IF(COUNTIFS('03_유효기간'!$B$7:$B$206,B97,'03_유효기간'!$L$7:$L$206,"날짜 확인")&gt;0,"날짜 확인",IF(COUNTIFS('03_유효기간'!$B$7:$B$206,B97,'03_유효기간'!$L$7:$L$206,"만료")&gt;0,"만료",IF(COUNTIFS('03_유효기간'!$B$7:$B$206,B97,'03_유효기간'!$L$7:$L$206,"유효기간 임박")&gt;0,"유효기간 임박",IF(COUNTIFS('03_유효기간'!$B$7:$B$206,B97,'03_유효기간'!$L$7:$L$206,"정상")&gt;0,"정상","활성 LOT 없음")))))))))</f>
        <v/>
      </c>
      <c r="Q97" s="19" t="n"/>
      <c r="R97" s="26" t="n"/>
    </row>
    <row r="98" ht="24" customHeight="1">
      <c r="A98" s="18" t="n">
        <v>92</v>
      </c>
      <c r="B98" s="19" t="n"/>
      <c r="C98" s="19" t="n"/>
      <c r="D98" s="19" t="n"/>
      <c r="E98" s="19" t="n"/>
      <c r="F98" s="19" t="n"/>
      <c r="G98" s="20" t="n"/>
      <c r="H98" s="19" t="n"/>
      <c r="I98" s="19" t="n"/>
      <c r="J98" s="30" t="n"/>
      <c r="K98" s="19" t="n"/>
      <c r="L98" s="19" t="n"/>
      <c r="M98" s="19" t="n"/>
      <c r="N98" s="31">
        <f>IF(B98="","",IF(OR(COUNTIF('02_입출고_재고'!$D$7:$D$206,B98)=0,COUNTIFS('02_입출고_재고'!$D$7:$D$206,B98,'02_입출고_재고'!$K$7:$K$206,"자재코드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확인")&gt;0),"",SUMIFS('02_입출고_재고'!$H$7:$H$206,'02_입출고_재고'!$D$7:$D$206,B98)-SUMIFS('02_입출고_재고'!$I$7:$I$206,'02_입출고_재고'!$D$7:$D$206,B98)))</f>
        <v/>
      </c>
      <c r="O98" s="23">
        <f>IF(B98="","",IF(COUNTIF($B$7:$B$106,B98)&gt;1,"코드 중복",IF(COUNTIF('02_입출고_재고'!$D$7:$D$206,B98)=0,"미등록",IF(COUNTIFS('02_입출고_재고'!$D$7:$D$206,B98,'02_입출고_재고'!$K$7:$K$206,"자재코드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확인")&gt;0,"입출고 입력 확인",IF(N98&lt;0,"출고수량 초과",IF(J98="","최소재고 미설정",IF(OR(NOT(ISNUMBER(J98)),J98&lt;0),"최소재고 확인",IF(N98&lt;J98,"재고부족","정상"))))))))</f>
        <v/>
      </c>
      <c r="P98" s="23">
        <f>IF(B98="","",IF(M98="해당없음","해당없음",IF(M98&lt;&gt;"대상","대상 여부 확인",IF(COUNTIF('03_유효기간'!$B$7:$B$206,B98)=0,"미등록",IF(COUNTIFS('03_유효기간'!$B$7:$B$206,B98,'03_유효기간'!$L$7:$L$206,"미입력")+COUNTIFS('03_유효기간'!$B$7:$B$206,B98,'03_유효기간'!$L$7:$L$206,"LOT 미입력")&gt;0,"유효기한/LOT 미입력",IF(COUNTIFS('03_유효기간'!$B$7:$B$206,B98,'03_유효기간'!$L$7:$L$206,"날짜 확인")&gt;0,"날짜 확인",IF(COUNTIFS('03_유효기간'!$B$7:$B$206,B98,'03_유효기간'!$L$7:$L$206,"만료")&gt;0,"만료",IF(COUNTIFS('03_유효기간'!$B$7:$B$206,B98,'03_유효기간'!$L$7:$L$206,"유효기간 임박")&gt;0,"유효기간 임박",IF(COUNTIFS('03_유효기간'!$B$7:$B$206,B98,'03_유효기간'!$L$7:$L$206,"정상")&gt;0,"정상","활성 LOT 없음")))))))))</f>
        <v/>
      </c>
      <c r="Q98" s="19" t="n"/>
      <c r="R98" s="26" t="n"/>
    </row>
    <row r="99" ht="24" customHeight="1">
      <c r="A99" s="18" t="n">
        <v>93</v>
      </c>
      <c r="B99" s="19" t="n"/>
      <c r="C99" s="19" t="n"/>
      <c r="D99" s="19" t="n"/>
      <c r="E99" s="19" t="n"/>
      <c r="F99" s="19" t="n"/>
      <c r="G99" s="20" t="n"/>
      <c r="H99" s="19" t="n"/>
      <c r="I99" s="19" t="n"/>
      <c r="J99" s="30" t="n"/>
      <c r="K99" s="19" t="n"/>
      <c r="L99" s="19" t="n"/>
      <c r="M99" s="19" t="n"/>
      <c r="N99" s="31">
        <f>IF(B99="","",IF(OR(COUNTIF('02_입출고_재고'!$D$7:$D$206,B99)=0,COUNTIFS('02_입출고_재고'!$D$7:$D$206,B99,'02_입출고_재고'!$K$7:$K$206,"자재코드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확인")&gt;0),"",SUMIFS('02_입출고_재고'!$H$7:$H$206,'02_입출고_재고'!$D$7:$D$206,B99)-SUMIFS('02_입출고_재고'!$I$7:$I$206,'02_입출고_재고'!$D$7:$D$206,B99)))</f>
        <v/>
      </c>
      <c r="O99" s="23">
        <f>IF(B99="","",IF(COUNTIF($B$7:$B$106,B99)&gt;1,"코드 중복",IF(COUNTIF('02_입출고_재고'!$D$7:$D$206,B99)=0,"미등록",IF(COUNTIFS('02_입출고_재고'!$D$7:$D$206,B99,'02_입출고_재고'!$K$7:$K$206,"자재코드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확인")&gt;0,"입출고 입력 확인",IF(N99&lt;0,"출고수량 초과",IF(J99="","최소재고 미설정",IF(OR(NOT(ISNUMBER(J99)),J99&lt;0),"최소재고 확인",IF(N99&lt;J99,"재고부족","정상"))))))))</f>
        <v/>
      </c>
      <c r="P99" s="23">
        <f>IF(B99="","",IF(M99="해당없음","해당없음",IF(M99&lt;&gt;"대상","대상 여부 확인",IF(COUNTIF('03_유효기간'!$B$7:$B$206,B99)=0,"미등록",IF(COUNTIFS('03_유효기간'!$B$7:$B$206,B99,'03_유효기간'!$L$7:$L$206,"미입력")+COUNTIFS('03_유효기간'!$B$7:$B$206,B99,'03_유효기간'!$L$7:$L$206,"LOT 미입력")&gt;0,"유효기한/LOT 미입력",IF(COUNTIFS('03_유효기간'!$B$7:$B$206,B99,'03_유효기간'!$L$7:$L$206,"날짜 확인")&gt;0,"날짜 확인",IF(COUNTIFS('03_유효기간'!$B$7:$B$206,B99,'03_유효기간'!$L$7:$L$206,"만료")&gt;0,"만료",IF(COUNTIFS('03_유효기간'!$B$7:$B$206,B99,'03_유효기간'!$L$7:$L$206,"유효기간 임박")&gt;0,"유효기간 임박",IF(COUNTIFS('03_유효기간'!$B$7:$B$206,B99,'03_유효기간'!$L$7:$L$206,"정상")&gt;0,"정상","활성 LOT 없음")))))))))</f>
        <v/>
      </c>
      <c r="Q99" s="19" t="n"/>
      <c r="R99" s="26" t="n"/>
    </row>
    <row r="100" ht="24" customHeight="1">
      <c r="A100" s="18" t="n">
        <v>94</v>
      </c>
      <c r="B100" s="19" t="n"/>
      <c r="C100" s="19" t="n"/>
      <c r="D100" s="19" t="n"/>
      <c r="E100" s="19" t="n"/>
      <c r="F100" s="19" t="n"/>
      <c r="G100" s="20" t="n"/>
      <c r="H100" s="19" t="n"/>
      <c r="I100" s="19" t="n"/>
      <c r="J100" s="30" t="n"/>
      <c r="K100" s="19" t="n"/>
      <c r="L100" s="19" t="n"/>
      <c r="M100" s="19" t="n"/>
      <c r="N100" s="31">
        <f>IF(B100="","",IF(OR(COUNTIF('02_입출고_재고'!$D$7:$D$206,B100)=0,COUNTIFS('02_입출고_재고'!$D$7:$D$206,B100,'02_입출고_재고'!$K$7:$K$206,"자재코드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확인")&gt;0),"",SUMIFS('02_입출고_재고'!$H$7:$H$206,'02_입출고_재고'!$D$7:$D$206,B100)-SUMIFS('02_입출고_재고'!$I$7:$I$206,'02_입출고_재고'!$D$7:$D$206,B100)))</f>
        <v/>
      </c>
      <c r="O100" s="23">
        <f>IF(B100="","",IF(COUNTIF($B$7:$B$106,B100)&gt;1,"코드 중복",IF(COUNTIF('02_입출고_재고'!$D$7:$D$206,B100)=0,"미등록",IF(COUNTIFS('02_입출고_재고'!$D$7:$D$206,B100,'02_입출고_재고'!$K$7:$K$206,"자재코드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확인")&gt;0,"입출고 입력 확인",IF(N100&lt;0,"출고수량 초과",IF(J100="","최소재고 미설정",IF(OR(NOT(ISNUMBER(J100)),J100&lt;0),"최소재고 확인",IF(N100&lt;J100,"재고부족","정상"))))))))</f>
        <v/>
      </c>
      <c r="P100" s="23">
        <f>IF(B100="","",IF(M100="해당없음","해당없음",IF(M100&lt;&gt;"대상","대상 여부 확인",IF(COUNTIF('03_유효기간'!$B$7:$B$206,B100)=0,"미등록",IF(COUNTIFS('03_유효기간'!$B$7:$B$206,B100,'03_유효기간'!$L$7:$L$206,"미입력")+COUNTIFS('03_유효기간'!$B$7:$B$206,B100,'03_유효기간'!$L$7:$L$206,"LOT 미입력")&gt;0,"유효기한/LOT 미입력",IF(COUNTIFS('03_유효기간'!$B$7:$B$206,B100,'03_유효기간'!$L$7:$L$206,"날짜 확인")&gt;0,"날짜 확인",IF(COUNTIFS('03_유효기간'!$B$7:$B$206,B100,'03_유효기간'!$L$7:$L$206,"만료")&gt;0,"만료",IF(COUNTIFS('03_유효기간'!$B$7:$B$206,B100,'03_유효기간'!$L$7:$L$206,"유효기간 임박")&gt;0,"유효기간 임박",IF(COUNTIFS('03_유효기간'!$B$7:$B$206,B100,'03_유효기간'!$L$7:$L$206,"정상")&gt;0,"정상","활성 LOT 없음")))))))))</f>
        <v/>
      </c>
      <c r="Q100" s="19" t="n"/>
      <c r="R100" s="26" t="n"/>
    </row>
    <row r="101" ht="24" customHeight="1">
      <c r="A101" s="18" t="n">
        <v>95</v>
      </c>
      <c r="B101" s="19" t="n"/>
      <c r="C101" s="19" t="n"/>
      <c r="D101" s="19" t="n"/>
      <c r="E101" s="19" t="n"/>
      <c r="F101" s="19" t="n"/>
      <c r="G101" s="20" t="n"/>
      <c r="H101" s="19" t="n"/>
      <c r="I101" s="19" t="n"/>
      <c r="J101" s="30" t="n"/>
      <c r="K101" s="19" t="n"/>
      <c r="L101" s="19" t="n"/>
      <c r="M101" s="19" t="n"/>
      <c r="N101" s="31">
        <f>IF(B101="","",IF(OR(COUNTIF('02_입출고_재고'!$D$7:$D$206,B101)=0,COUNTIFS('02_입출고_재고'!$D$7:$D$206,B101,'02_입출고_재고'!$K$7:$K$206,"자재코드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확인")&gt;0),"",SUMIFS('02_입출고_재고'!$H$7:$H$206,'02_입출고_재고'!$D$7:$D$206,B101)-SUMIFS('02_입출고_재고'!$I$7:$I$206,'02_입출고_재고'!$D$7:$D$206,B101)))</f>
        <v/>
      </c>
      <c r="O101" s="23">
        <f>IF(B101="","",IF(COUNTIF($B$7:$B$106,B101)&gt;1,"코드 중복",IF(COUNTIF('02_입출고_재고'!$D$7:$D$206,B101)=0,"미등록",IF(COUNTIFS('02_입출고_재고'!$D$7:$D$206,B101,'02_입출고_재고'!$K$7:$K$206,"자재코드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확인")&gt;0,"입출고 입력 확인",IF(N101&lt;0,"출고수량 초과",IF(J101="","최소재고 미설정",IF(OR(NOT(ISNUMBER(J101)),J101&lt;0),"최소재고 확인",IF(N101&lt;J101,"재고부족","정상"))))))))</f>
        <v/>
      </c>
      <c r="P101" s="23">
        <f>IF(B101="","",IF(M101="해당없음","해당없음",IF(M101&lt;&gt;"대상","대상 여부 확인",IF(COUNTIF('03_유효기간'!$B$7:$B$206,B101)=0,"미등록",IF(COUNTIFS('03_유효기간'!$B$7:$B$206,B101,'03_유효기간'!$L$7:$L$206,"미입력")+COUNTIFS('03_유효기간'!$B$7:$B$206,B101,'03_유효기간'!$L$7:$L$206,"LOT 미입력")&gt;0,"유효기한/LOT 미입력",IF(COUNTIFS('03_유효기간'!$B$7:$B$206,B101,'03_유효기간'!$L$7:$L$206,"날짜 확인")&gt;0,"날짜 확인",IF(COUNTIFS('03_유효기간'!$B$7:$B$206,B101,'03_유효기간'!$L$7:$L$206,"만료")&gt;0,"만료",IF(COUNTIFS('03_유효기간'!$B$7:$B$206,B101,'03_유효기간'!$L$7:$L$206,"유효기간 임박")&gt;0,"유효기간 임박",IF(COUNTIFS('03_유효기간'!$B$7:$B$206,B101,'03_유효기간'!$L$7:$L$206,"정상")&gt;0,"정상","활성 LOT 없음")))))))))</f>
        <v/>
      </c>
      <c r="Q101" s="19" t="n"/>
      <c r="R101" s="26" t="n"/>
    </row>
    <row r="102" ht="24" customHeight="1">
      <c r="A102" s="18" t="n">
        <v>96</v>
      </c>
      <c r="B102" s="19" t="n"/>
      <c r="C102" s="19" t="n"/>
      <c r="D102" s="19" t="n"/>
      <c r="E102" s="19" t="n"/>
      <c r="F102" s="19" t="n"/>
      <c r="G102" s="20" t="n"/>
      <c r="H102" s="19" t="n"/>
      <c r="I102" s="19" t="n"/>
      <c r="J102" s="30" t="n"/>
      <c r="K102" s="19" t="n"/>
      <c r="L102" s="19" t="n"/>
      <c r="M102" s="19" t="n"/>
      <c r="N102" s="31">
        <f>IF(B102="","",IF(OR(COUNTIF('02_입출고_재고'!$D$7:$D$206,B102)=0,COUNTIFS('02_입출고_재고'!$D$7:$D$206,B102,'02_입출고_재고'!$K$7:$K$206,"자재코드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확인")&gt;0),"",SUMIFS('02_입출고_재고'!$H$7:$H$206,'02_입출고_재고'!$D$7:$D$206,B102)-SUMIFS('02_입출고_재고'!$I$7:$I$206,'02_입출고_재고'!$D$7:$D$206,B102)))</f>
        <v/>
      </c>
      <c r="O102" s="23">
        <f>IF(B102="","",IF(COUNTIF($B$7:$B$106,B102)&gt;1,"코드 중복",IF(COUNTIF('02_입출고_재고'!$D$7:$D$206,B102)=0,"미등록",IF(COUNTIFS('02_입출고_재고'!$D$7:$D$206,B102,'02_입출고_재고'!$K$7:$K$206,"자재코드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확인")&gt;0,"입출고 입력 확인",IF(N102&lt;0,"출고수량 초과",IF(J102="","최소재고 미설정",IF(OR(NOT(ISNUMBER(J102)),J102&lt;0),"최소재고 확인",IF(N102&lt;J102,"재고부족","정상"))))))))</f>
        <v/>
      </c>
      <c r="P102" s="23">
        <f>IF(B102="","",IF(M102="해당없음","해당없음",IF(M102&lt;&gt;"대상","대상 여부 확인",IF(COUNTIF('03_유효기간'!$B$7:$B$206,B102)=0,"미등록",IF(COUNTIFS('03_유효기간'!$B$7:$B$206,B102,'03_유효기간'!$L$7:$L$206,"미입력")+COUNTIFS('03_유효기간'!$B$7:$B$206,B102,'03_유효기간'!$L$7:$L$206,"LOT 미입력")&gt;0,"유효기한/LOT 미입력",IF(COUNTIFS('03_유효기간'!$B$7:$B$206,B102,'03_유효기간'!$L$7:$L$206,"날짜 확인")&gt;0,"날짜 확인",IF(COUNTIFS('03_유효기간'!$B$7:$B$206,B102,'03_유효기간'!$L$7:$L$206,"만료")&gt;0,"만료",IF(COUNTIFS('03_유효기간'!$B$7:$B$206,B102,'03_유효기간'!$L$7:$L$206,"유효기간 임박")&gt;0,"유효기간 임박",IF(COUNTIFS('03_유효기간'!$B$7:$B$206,B102,'03_유효기간'!$L$7:$L$206,"정상")&gt;0,"정상","활성 LOT 없음")))))))))</f>
        <v/>
      </c>
      <c r="Q102" s="19" t="n"/>
      <c r="R102" s="26" t="n"/>
    </row>
    <row r="103" ht="24" customHeight="1">
      <c r="A103" s="18" t="n">
        <v>97</v>
      </c>
      <c r="B103" s="19" t="n"/>
      <c r="C103" s="19" t="n"/>
      <c r="D103" s="19" t="n"/>
      <c r="E103" s="19" t="n"/>
      <c r="F103" s="19" t="n"/>
      <c r="G103" s="20" t="n"/>
      <c r="H103" s="19" t="n"/>
      <c r="I103" s="19" t="n"/>
      <c r="J103" s="30" t="n"/>
      <c r="K103" s="19" t="n"/>
      <c r="L103" s="19" t="n"/>
      <c r="M103" s="19" t="n"/>
      <c r="N103" s="31">
        <f>IF(B103="","",IF(OR(COUNTIF('02_입출고_재고'!$D$7:$D$206,B103)=0,COUNTIFS('02_입출고_재고'!$D$7:$D$206,B103,'02_입출고_재고'!$K$7:$K$206,"자재코드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확인")&gt;0),"",SUMIFS('02_입출고_재고'!$H$7:$H$206,'02_입출고_재고'!$D$7:$D$206,B103)-SUMIFS('02_입출고_재고'!$I$7:$I$206,'02_입출고_재고'!$D$7:$D$206,B103)))</f>
        <v/>
      </c>
      <c r="O103" s="23">
        <f>IF(B103="","",IF(COUNTIF($B$7:$B$106,B103)&gt;1,"코드 중복",IF(COUNTIF('02_입출고_재고'!$D$7:$D$206,B103)=0,"미등록",IF(COUNTIFS('02_입출고_재고'!$D$7:$D$206,B103,'02_입출고_재고'!$K$7:$K$206,"자재코드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확인")&gt;0,"입출고 입력 확인",IF(N103&lt;0,"출고수량 초과",IF(J103="","최소재고 미설정",IF(OR(NOT(ISNUMBER(J103)),J103&lt;0),"최소재고 확인",IF(N103&lt;J103,"재고부족","정상"))))))))</f>
        <v/>
      </c>
      <c r="P103" s="23">
        <f>IF(B103="","",IF(M103="해당없음","해당없음",IF(M103&lt;&gt;"대상","대상 여부 확인",IF(COUNTIF('03_유효기간'!$B$7:$B$206,B103)=0,"미등록",IF(COUNTIFS('03_유효기간'!$B$7:$B$206,B103,'03_유효기간'!$L$7:$L$206,"미입력")+COUNTIFS('03_유효기간'!$B$7:$B$206,B103,'03_유효기간'!$L$7:$L$206,"LOT 미입력")&gt;0,"유효기한/LOT 미입력",IF(COUNTIFS('03_유효기간'!$B$7:$B$206,B103,'03_유효기간'!$L$7:$L$206,"날짜 확인")&gt;0,"날짜 확인",IF(COUNTIFS('03_유효기간'!$B$7:$B$206,B103,'03_유효기간'!$L$7:$L$206,"만료")&gt;0,"만료",IF(COUNTIFS('03_유효기간'!$B$7:$B$206,B103,'03_유효기간'!$L$7:$L$206,"유효기간 임박")&gt;0,"유효기간 임박",IF(COUNTIFS('03_유효기간'!$B$7:$B$206,B103,'03_유효기간'!$L$7:$L$206,"정상")&gt;0,"정상","활성 LOT 없음")))))))))</f>
        <v/>
      </c>
      <c r="Q103" s="19" t="n"/>
      <c r="R103" s="26" t="n"/>
    </row>
    <row r="104" ht="24" customHeight="1">
      <c r="A104" s="18" t="n">
        <v>98</v>
      </c>
      <c r="B104" s="19" t="n"/>
      <c r="C104" s="19" t="n"/>
      <c r="D104" s="19" t="n"/>
      <c r="E104" s="19" t="n"/>
      <c r="F104" s="19" t="n"/>
      <c r="G104" s="20" t="n"/>
      <c r="H104" s="19" t="n"/>
      <c r="I104" s="19" t="n"/>
      <c r="J104" s="30" t="n"/>
      <c r="K104" s="19" t="n"/>
      <c r="L104" s="19" t="n"/>
      <c r="M104" s="19" t="n"/>
      <c r="N104" s="31">
        <f>IF(B104="","",IF(OR(COUNTIF('02_입출고_재고'!$D$7:$D$206,B104)=0,COUNTIFS('02_입출고_재고'!$D$7:$D$206,B104,'02_입출고_재고'!$K$7:$K$206,"자재코드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확인")&gt;0),"",SUMIFS('02_입출고_재고'!$H$7:$H$206,'02_입출고_재고'!$D$7:$D$206,B104)-SUMIFS('02_입출고_재고'!$I$7:$I$206,'02_입출고_재고'!$D$7:$D$206,B104)))</f>
        <v/>
      </c>
      <c r="O104" s="23">
        <f>IF(B104="","",IF(COUNTIF($B$7:$B$106,B104)&gt;1,"코드 중복",IF(COUNTIF('02_입출고_재고'!$D$7:$D$206,B104)=0,"미등록",IF(COUNTIFS('02_입출고_재고'!$D$7:$D$206,B104,'02_입출고_재고'!$K$7:$K$206,"자재코드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확인")&gt;0,"입출고 입력 확인",IF(N104&lt;0,"출고수량 초과",IF(J104="","최소재고 미설정",IF(OR(NOT(ISNUMBER(J104)),J104&lt;0),"최소재고 확인",IF(N104&lt;J104,"재고부족","정상"))))))))</f>
        <v/>
      </c>
      <c r="P104" s="23">
        <f>IF(B104="","",IF(M104="해당없음","해당없음",IF(M104&lt;&gt;"대상","대상 여부 확인",IF(COUNTIF('03_유효기간'!$B$7:$B$206,B104)=0,"미등록",IF(COUNTIFS('03_유효기간'!$B$7:$B$206,B104,'03_유효기간'!$L$7:$L$206,"미입력")+COUNTIFS('03_유효기간'!$B$7:$B$206,B104,'03_유효기간'!$L$7:$L$206,"LOT 미입력")&gt;0,"유효기한/LOT 미입력",IF(COUNTIFS('03_유효기간'!$B$7:$B$206,B104,'03_유효기간'!$L$7:$L$206,"날짜 확인")&gt;0,"날짜 확인",IF(COUNTIFS('03_유효기간'!$B$7:$B$206,B104,'03_유효기간'!$L$7:$L$206,"만료")&gt;0,"만료",IF(COUNTIFS('03_유효기간'!$B$7:$B$206,B104,'03_유효기간'!$L$7:$L$206,"유효기간 임박")&gt;0,"유효기간 임박",IF(COUNTIFS('03_유효기간'!$B$7:$B$206,B104,'03_유효기간'!$L$7:$L$206,"정상")&gt;0,"정상","활성 LOT 없음")))))))))</f>
        <v/>
      </c>
      <c r="Q104" s="19" t="n"/>
      <c r="R104" s="26" t="n"/>
    </row>
    <row r="105" ht="24" customHeight="1">
      <c r="A105" s="18" t="n">
        <v>99</v>
      </c>
      <c r="B105" s="19" t="n"/>
      <c r="C105" s="19" t="n"/>
      <c r="D105" s="19" t="n"/>
      <c r="E105" s="19" t="n"/>
      <c r="F105" s="19" t="n"/>
      <c r="G105" s="20" t="n"/>
      <c r="H105" s="19" t="n"/>
      <c r="I105" s="19" t="n"/>
      <c r="J105" s="30" t="n"/>
      <c r="K105" s="19" t="n"/>
      <c r="L105" s="19" t="n"/>
      <c r="M105" s="19" t="n"/>
      <c r="N105" s="31">
        <f>IF(B105="","",IF(OR(COUNTIF('02_입출고_재고'!$D$7:$D$206,B105)=0,COUNTIFS('02_입출고_재고'!$D$7:$D$206,B105,'02_입출고_재고'!$K$7:$K$206,"자재코드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확인")&gt;0),"",SUMIFS('02_입출고_재고'!$H$7:$H$206,'02_입출고_재고'!$D$7:$D$206,B105)-SUMIFS('02_입출고_재고'!$I$7:$I$206,'02_입출고_재고'!$D$7:$D$206,B105)))</f>
        <v/>
      </c>
      <c r="O105" s="23">
        <f>IF(B105="","",IF(COUNTIF($B$7:$B$106,B105)&gt;1,"코드 중복",IF(COUNTIF('02_입출고_재고'!$D$7:$D$206,B105)=0,"미등록",IF(COUNTIFS('02_입출고_재고'!$D$7:$D$206,B105,'02_입출고_재고'!$K$7:$K$206,"자재코드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확인")&gt;0,"입출고 입력 확인",IF(N105&lt;0,"출고수량 초과",IF(J105="","최소재고 미설정",IF(OR(NOT(ISNUMBER(J105)),J105&lt;0),"최소재고 확인",IF(N105&lt;J105,"재고부족","정상"))))))))</f>
        <v/>
      </c>
      <c r="P105" s="23">
        <f>IF(B105="","",IF(M105="해당없음","해당없음",IF(M105&lt;&gt;"대상","대상 여부 확인",IF(COUNTIF('03_유효기간'!$B$7:$B$206,B105)=0,"미등록",IF(COUNTIFS('03_유효기간'!$B$7:$B$206,B105,'03_유효기간'!$L$7:$L$206,"미입력")+COUNTIFS('03_유효기간'!$B$7:$B$206,B105,'03_유효기간'!$L$7:$L$206,"LOT 미입력")&gt;0,"유효기한/LOT 미입력",IF(COUNTIFS('03_유효기간'!$B$7:$B$206,B105,'03_유효기간'!$L$7:$L$206,"날짜 확인")&gt;0,"날짜 확인",IF(COUNTIFS('03_유효기간'!$B$7:$B$206,B105,'03_유효기간'!$L$7:$L$206,"만료")&gt;0,"만료",IF(COUNTIFS('03_유효기간'!$B$7:$B$206,B105,'03_유효기간'!$L$7:$L$206,"유효기간 임박")&gt;0,"유효기간 임박",IF(COUNTIFS('03_유효기간'!$B$7:$B$206,B105,'03_유효기간'!$L$7:$L$206,"정상")&gt;0,"정상","활성 LOT 없음")))))))))</f>
        <v/>
      </c>
      <c r="Q105" s="19" t="n"/>
      <c r="R105" s="26" t="n"/>
    </row>
    <row r="106" ht="24" customHeight="1">
      <c r="A106" s="18" t="n">
        <v>100</v>
      </c>
      <c r="B106" s="19" t="n"/>
      <c r="C106" s="19" t="n"/>
      <c r="D106" s="19" t="n"/>
      <c r="E106" s="19" t="n"/>
      <c r="F106" s="19" t="n"/>
      <c r="G106" s="20" t="n"/>
      <c r="H106" s="19" t="n"/>
      <c r="I106" s="19" t="n"/>
      <c r="J106" s="30" t="n"/>
      <c r="K106" s="19" t="n"/>
      <c r="L106" s="19" t="n"/>
      <c r="M106" s="19" t="n"/>
      <c r="N106" s="31">
        <f>IF(B106="","",IF(OR(COUNTIF('02_입출고_재고'!$D$7:$D$206,B106)=0,COUNTIFS('02_입출고_재고'!$D$7:$D$206,B106,'02_입출고_재고'!$K$7:$K$206,"자재코드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확인")&gt;0),"",SUMIFS('02_입출고_재고'!$H$7:$H$206,'02_입출고_재고'!$D$7:$D$206,B106)-SUMIFS('02_입출고_재고'!$I$7:$I$206,'02_입출고_재고'!$D$7:$D$206,B106)))</f>
        <v/>
      </c>
      <c r="O106" s="23">
        <f>IF(B106="","",IF(COUNTIF($B$7:$B$106,B106)&gt;1,"코드 중복",IF(COUNTIF('02_입출고_재고'!$D$7:$D$206,B106)=0,"미등록",IF(COUNTIFS('02_입출고_재고'!$D$7:$D$206,B106,'02_입출고_재고'!$K$7:$K$206,"자재코드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확인")&gt;0,"입출고 입력 확인",IF(N106&lt;0,"출고수량 초과",IF(J106="","최소재고 미설정",IF(OR(NOT(ISNUMBER(J106)),J106&lt;0),"최소재고 확인",IF(N106&lt;J106,"재고부족","정상"))))))))</f>
        <v/>
      </c>
      <c r="P106" s="23">
        <f>IF(B106="","",IF(M106="해당없음","해당없음",IF(M106&lt;&gt;"대상","대상 여부 확인",IF(COUNTIF('03_유효기간'!$B$7:$B$206,B106)=0,"미등록",IF(COUNTIFS('03_유효기간'!$B$7:$B$206,B106,'03_유효기간'!$L$7:$L$206,"미입력")+COUNTIFS('03_유효기간'!$B$7:$B$206,B106,'03_유효기간'!$L$7:$L$206,"LOT 미입력")&gt;0,"유효기한/LOT 미입력",IF(COUNTIFS('03_유효기간'!$B$7:$B$206,B106,'03_유효기간'!$L$7:$L$206,"날짜 확인")&gt;0,"날짜 확인",IF(COUNTIFS('03_유효기간'!$B$7:$B$206,B106,'03_유효기간'!$L$7:$L$206,"만료")&gt;0,"만료",IF(COUNTIFS('03_유효기간'!$B$7:$B$206,B106,'03_유효기간'!$L$7:$L$206,"유효기간 임박")&gt;0,"유효기간 임박",IF(COUNTIFS('03_유효기간'!$B$7:$B$206,B106,'03_유효기간'!$L$7:$L$206,"정상")&gt;0,"정상","활성 LOT 없음")))))))))</f>
        <v/>
      </c>
      <c r="Q106" s="19" t="n"/>
      <c r="R106" s="26" t="n"/>
    </row>
  </sheetData>
  <mergeCells count="5">
    <mergeCell ref="A3:R3"/>
    <mergeCell ref="A2:R2"/>
    <mergeCell ref="A5:R5"/>
    <mergeCell ref="A1:R1"/>
    <mergeCell ref="A4:R4"/>
  </mergeCells>
  <conditionalFormatting sqref="O7:P1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3">
    <dataValidation sqref="M7:M106" showDropDown="0" showInputMessage="0" showErrorMessage="0" allowBlank="0" type="list">
      <formula1>"대상,해당없음,미확인"</formula1>
    </dataValidation>
    <dataValidation sqref="J7:J106" showDropDown="0" showInputMessage="0" showErrorMessage="0" allowBlank="0" type="decimal" operator="greaterThanOrEqual">
      <formula1>0</formula1>
    </dataValidation>
    <dataValidation sqref="R7:R106" showDropDown="0" showInputMessage="0" showErrorMessage="0" allowBlank="0" type="list">
      <formula1>"부자재,소모재"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24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21" customWidth="1" min="15" max="15"/>
  </cols>
  <sheetData>
    <row r="1" ht="32" customHeight="1">
      <c r="A1" s="2" t="inlineStr">
        <is>
          <t>용접 부자재 관리대장 — 입출고·재고 | Rev.00</t>
        </is>
      </c>
    </row>
    <row r="2" ht="44" customHeight="1">
      <c r="A2" s="3" t="inlineStr">
        <is>
          <t>시작 재고도 입고로 등록. 일자·구분·자재코드·수량을 입력. 입고/출고는 한쪽 수량만 양수로 입력, 조정도 한쪽만 입력하고 사유 기재. 잔량은 자재코드별 행 누계.</t>
        </is>
      </c>
    </row>
    <row r="3" ht="24" customHeight="1">
      <c r="A3" s="4" t="inlineStr">
        <is>
          <t>노란색: 입력 · 회색: 자동 계산 | SH-WEL 코드는 MES 미등록 부자재의 관리코드로 유지(SH-FM-368 확인 2026-10-30). MES 등록 시 대응표를 갱신하세요.</t>
        </is>
      </c>
    </row>
    <row r="4" ht="20" customHeight="1">
      <c r="A4" s="28" t="inlineStr">
        <is>
          <t>(주)신화에이치앤티 | 문서번호 SH-FM-367 | Rev.00 | 문서상태: 개정초안(미승인)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일자</t>
        </is>
      </c>
      <c r="C6" s="9" t="inlineStr">
        <is>
          <t>구분</t>
        </is>
      </c>
      <c r="D6" s="9" t="inlineStr">
        <is>
          <t>자재코드</t>
        </is>
      </c>
      <c r="E6" s="9" t="inlineStr">
        <is>
          <t>자재명(자동)</t>
        </is>
      </c>
      <c r="F6" s="9" t="inlineStr">
        <is>
          <t>제조 LOT</t>
        </is>
      </c>
      <c r="G6" s="9" t="inlineStr">
        <is>
          <t>사내 입고 LOT</t>
        </is>
      </c>
      <c r="H6" s="9" t="inlineStr">
        <is>
          <t>입고수량</t>
        </is>
      </c>
      <c r="I6" s="9" t="inlineStr">
        <is>
          <t>출고수량</t>
        </is>
      </c>
      <c r="J6" s="9" t="inlineStr">
        <is>
          <t>단위(자동)</t>
        </is>
      </c>
      <c r="K6" s="9" t="inlineStr">
        <is>
          <t>잔량(자동)</t>
        </is>
      </c>
      <c r="L6" s="9" t="inlineStr">
        <is>
          <t>보관위치</t>
        </is>
      </c>
      <c r="M6" s="9" t="inlineStr">
        <is>
          <t>담당자</t>
        </is>
      </c>
      <c r="N6" s="9" t="inlineStr">
        <is>
          <t>비고(선택)</t>
        </is>
      </c>
      <c r="O6" s="9" t="inlineStr">
        <is>
          <t>관리구분(자동)</t>
        </is>
      </c>
    </row>
    <row r="7" ht="24" customHeight="1">
      <c r="A7" s="18" t="n">
        <v>1</v>
      </c>
      <c r="B7" s="32" t="n"/>
      <c r="C7" s="19" t="n"/>
      <c r="D7" s="19" t="n"/>
      <c r="E7" s="23">
        <f>IF(D7="","",IFERROR(INDEX('01_자재목록'!$D$7:$D$106,MATCH(D7,'01_자재목록'!$B$7:$B$106,0))&amp;"","자재코드 확인"))</f>
        <v/>
      </c>
      <c r="F7" s="19" t="n"/>
      <c r="G7" s="19" t="n"/>
      <c r="H7" s="30" t="n"/>
      <c r="I7" s="30" t="n"/>
      <c r="J7" s="23">
        <f>IF(D7="","",IFERROR(INDEX('01_자재목록'!$I$7:$I$106,MATCH(D7,'01_자재목록'!$B$7:$B$106,0))&amp;"","자재코드 확인"))</f>
        <v/>
      </c>
      <c r="K7" s="31">
        <f>IF(D7="",IF(OR(B7&lt;&gt;"",C7&lt;&gt;"",H7&lt;&gt;"",I7&lt;&gt;""),"자재코드 입력 확인",""),IF(COUNTIF('01_자재목록'!$B$7:$B$106,D7)&lt;&gt;1,"자재코드 확인",IF(J7="","단위 입력 확인",IF(OR(NOT(ISNUMBER(B7)),B7&lt;1,AND(C7&lt;&gt;"입고",C7&lt;&gt;"출고",C7&lt;&gt;"조정")),"일자/구분 확인",IF(OR(AND(H7&lt;&gt;"",NOT(ISNUMBER(H7))),AND(I7&lt;&gt;"",NOT(ISNUMBER(I7))),H7&lt;0,I7&lt;0,AND(H7&lt;=0,I7&lt;=0),AND(H7&gt;0,I7&gt;0),AND(C7="입고",I7&gt;0),AND(C7="출고",H7&gt;0)),"수량/구분 확인",SUMIFS($H$7:H7,$D$7:D7,D7)-SUMIFS($I$7:I7,$D$7:D7,D7))))))</f>
        <v/>
      </c>
      <c r="L7" s="19" t="n"/>
      <c r="M7" s="19" t="n"/>
      <c r="N7" s="19" t="n"/>
      <c r="O7" s="27">
        <f>IF(D7="","",IF(COUNTIF('01_자재목록'!$B$7:$B$106,D7)&lt;&gt;1,"자재코드 확인",IF(INDEX('01_자재목록'!$R$7:$R$106,MATCH(D7,'01_자재목록'!$B$7:$B$106,0))="","구분 미입력",INDEX('01_자재목록'!$R$7:$R$106,MATCH(D7,'01_자재목록'!$B$7:$B$106,0)))))</f>
        <v/>
      </c>
    </row>
    <row r="8" ht="24" customHeight="1">
      <c r="A8" s="18" t="n">
        <v>2</v>
      </c>
      <c r="B8" s="32" t="n"/>
      <c r="C8" s="19" t="n"/>
      <c r="D8" s="19" t="n"/>
      <c r="E8" s="23">
        <f>IF(D8="","",IFERROR(INDEX('01_자재목록'!$D$7:$D$106,MATCH(D8,'01_자재목록'!$B$7:$B$106,0))&amp;"","자재코드 확인"))</f>
        <v/>
      </c>
      <c r="F8" s="19" t="n"/>
      <c r="G8" s="19" t="n"/>
      <c r="H8" s="30" t="n"/>
      <c r="I8" s="30" t="n"/>
      <c r="J8" s="23">
        <f>IF(D8="","",IFERROR(INDEX('01_자재목록'!$I$7:$I$106,MATCH(D8,'01_자재목록'!$B$7:$B$106,0))&amp;"","자재코드 확인"))</f>
        <v/>
      </c>
      <c r="K8" s="31">
        <f>IF(D8="",IF(OR(B8&lt;&gt;"",C8&lt;&gt;"",H8&lt;&gt;"",I8&lt;&gt;""),"자재코드 입력 확인",""),IF(COUNTIF('01_자재목록'!$B$7:$B$106,D8)&lt;&gt;1,"자재코드 확인",IF(J8="","단위 입력 확인",IF(OR(NOT(ISNUMBER(B8)),B8&lt;1,AND(C8&lt;&gt;"입고",C8&lt;&gt;"출고",C8&lt;&gt;"조정")),"일자/구분 확인",IF(OR(AND(H8&lt;&gt;"",NOT(ISNUMBER(H8))),AND(I8&lt;&gt;"",NOT(ISNUMBER(I8))),H8&lt;0,I8&lt;0,AND(H8&lt;=0,I8&lt;=0),AND(H8&gt;0,I8&gt;0),AND(C8="입고",I8&gt;0),AND(C8="출고",H8&gt;0)),"수량/구분 확인",SUMIFS($H$7:H8,$D$7:D8,D8)-SUMIFS($I$7:I8,$D$7:D8,D8))))))</f>
        <v/>
      </c>
      <c r="L8" s="19" t="n"/>
      <c r="M8" s="19" t="n"/>
      <c r="N8" s="19" t="n"/>
      <c r="O8" s="27">
        <f>IF(D8="","",IF(COUNTIF('01_자재목록'!$B$7:$B$106,D8)&lt;&gt;1,"자재코드 확인",IF(INDEX('01_자재목록'!$R$7:$R$106,MATCH(D8,'01_자재목록'!$B$7:$B$106,0))="","구분 미입력",INDEX('01_자재목록'!$R$7:$R$106,MATCH(D8,'01_자재목록'!$B$7:$B$106,0)))))</f>
        <v/>
      </c>
    </row>
    <row r="9" ht="24" customHeight="1">
      <c r="A9" s="18" t="n">
        <v>3</v>
      </c>
      <c r="B9" s="32" t="n"/>
      <c r="C9" s="19" t="n"/>
      <c r="D9" s="19" t="n"/>
      <c r="E9" s="23">
        <f>IF(D9="","",IFERROR(INDEX('01_자재목록'!$D$7:$D$106,MATCH(D9,'01_자재목록'!$B$7:$B$106,0))&amp;"","자재코드 확인"))</f>
        <v/>
      </c>
      <c r="F9" s="19" t="n"/>
      <c r="G9" s="19" t="n"/>
      <c r="H9" s="30" t="n"/>
      <c r="I9" s="30" t="n"/>
      <c r="J9" s="23">
        <f>IF(D9="","",IFERROR(INDEX('01_자재목록'!$I$7:$I$106,MATCH(D9,'01_자재목록'!$B$7:$B$106,0))&amp;"","자재코드 확인"))</f>
        <v/>
      </c>
      <c r="K9" s="31">
        <f>IF(D9="",IF(OR(B9&lt;&gt;"",C9&lt;&gt;"",H9&lt;&gt;"",I9&lt;&gt;""),"자재코드 입력 확인",""),IF(COUNTIF('01_자재목록'!$B$7:$B$106,D9)&lt;&gt;1,"자재코드 확인",IF(J9="","단위 입력 확인",IF(OR(NOT(ISNUMBER(B9)),B9&lt;1,AND(C9&lt;&gt;"입고",C9&lt;&gt;"출고",C9&lt;&gt;"조정")),"일자/구분 확인",IF(OR(AND(H9&lt;&gt;"",NOT(ISNUMBER(H9))),AND(I9&lt;&gt;"",NOT(ISNUMBER(I9))),H9&lt;0,I9&lt;0,AND(H9&lt;=0,I9&lt;=0),AND(H9&gt;0,I9&gt;0),AND(C9="입고",I9&gt;0),AND(C9="출고",H9&gt;0)),"수량/구분 확인",SUMIFS($H$7:H9,$D$7:D9,D9)-SUMIFS($I$7:I9,$D$7:D9,D9))))))</f>
        <v/>
      </c>
      <c r="L9" s="19" t="n"/>
      <c r="M9" s="19" t="n"/>
      <c r="N9" s="19" t="n"/>
      <c r="O9" s="27">
        <f>IF(D9="","",IF(COUNTIF('01_자재목록'!$B$7:$B$106,D9)&lt;&gt;1,"자재코드 확인",IF(INDEX('01_자재목록'!$R$7:$R$106,MATCH(D9,'01_자재목록'!$B$7:$B$106,0))="","구분 미입력",INDEX('01_자재목록'!$R$7:$R$106,MATCH(D9,'01_자재목록'!$B$7:$B$106,0)))))</f>
        <v/>
      </c>
    </row>
    <row r="10" ht="24" customHeight="1">
      <c r="A10" s="18" t="n">
        <v>4</v>
      </c>
      <c r="B10" s="32" t="n"/>
      <c r="C10" s="19" t="n"/>
      <c r="D10" s="19" t="n"/>
      <c r="E10" s="23">
        <f>IF(D10="","",IFERROR(INDEX('01_자재목록'!$D$7:$D$106,MATCH(D10,'01_자재목록'!$B$7:$B$106,0))&amp;"","자재코드 확인"))</f>
        <v/>
      </c>
      <c r="F10" s="19" t="n"/>
      <c r="G10" s="19" t="n"/>
      <c r="H10" s="30" t="n"/>
      <c r="I10" s="30" t="n"/>
      <c r="J10" s="23">
        <f>IF(D10="","",IFERROR(INDEX('01_자재목록'!$I$7:$I$106,MATCH(D10,'01_자재목록'!$B$7:$B$106,0))&amp;"","자재코드 확인"))</f>
        <v/>
      </c>
      <c r="K10" s="31">
        <f>IF(D10="",IF(OR(B10&lt;&gt;"",C10&lt;&gt;"",H10&lt;&gt;"",I10&lt;&gt;""),"자재코드 입력 확인",""),IF(COUNTIF('01_자재목록'!$B$7:$B$106,D10)&lt;&gt;1,"자재코드 확인",IF(J10="","단위 입력 확인",IF(OR(NOT(ISNUMBER(B10)),B10&lt;1,AND(C10&lt;&gt;"입고",C10&lt;&gt;"출고",C10&lt;&gt;"조정")),"일자/구분 확인",IF(OR(AND(H10&lt;&gt;"",NOT(ISNUMBER(H10))),AND(I10&lt;&gt;"",NOT(ISNUMBER(I10))),H10&lt;0,I10&lt;0,AND(H10&lt;=0,I10&lt;=0),AND(H10&gt;0,I10&gt;0),AND(C10="입고",I10&gt;0),AND(C10="출고",H10&gt;0)),"수량/구분 확인",SUMIFS($H$7:H10,$D$7:D10,D10)-SUMIFS($I$7:I10,$D$7:D10,D10))))))</f>
        <v/>
      </c>
      <c r="L10" s="19" t="n"/>
      <c r="M10" s="19" t="n"/>
      <c r="N10" s="19" t="n"/>
      <c r="O10" s="27">
        <f>IF(D10="","",IF(COUNTIF('01_자재목록'!$B$7:$B$106,D10)&lt;&gt;1,"자재코드 확인",IF(INDEX('01_자재목록'!$R$7:$R$106,MATCH(D10,'01_자재목록'!$B$7:$B$106,0))="","구분 미입력",INDEX('01_자재목록'!$R$7:$R$106,MATCH(D10,'01_자재목록'!$B$7:$B$106,0)))))</f>
        <v/>
      </c>
    </row>
    <row r="11" ht="24" customHeight="1">
      <c r="A11" s="18" t="n">
        <v>5</v>
      </c>
      <c r="B11" s="32" t="n"/>
      <c r="C11" s="19" t="n"/>
      <c r="D11" s="19" t="n"/>
      <c r="E11" s="23">
        <f>IF(D11="","",IFERROR(INDEX('01_자재목록'!$D$7:$D$106,MATCH(D11,'01_자재목록'!$B$7:$B$106,0))&amp;"","자재코드 확인"))</f>
        <v/>
      </c>
      <c r="F11" s="19" t="n"/>
      <c r="G11" s="19" t="n"/>
      <c r="H11" s="30" t="n"/>
      <c r="I11" s="30" t="n"/>
      <c r="J11" s="23">
        <f>IF(D11="","",IFERROR(INDEX('01_자재목록'!$I$7:$I$106,MATCH(D11,'01_자재목록'!$B$7:$B$106,0))&amp;"","자재코드 확인"))</f>
        <v/>
      </c>
      <c r="K11" s="31">
        <f>IF(D11="",IF(OR(B11&lt;&gt;"",C11&lt;&gt;"",H11&lt;&gt;"",I11&lt;&gt;""),"자재코드 입력 확인",""),IF(COUNTIF('01_자재목록'!$B$7:$B$106,D11)&lt;&gt;1,"자재코드 확인",IF(J11="","단위 입력 확인",IF(OR(NOT(ISNUMBER(B11)),B11&lt;1,AND(C11&lt;&gt;"입고",C11&lt;&gt;"출고",C11&lt;&gt;"조정")),"일자/구분 확인",IF(OR(AND(H11&lt;&gt;"",NOT(ISNUMBER(H11))),AND(I11&lt;&gt;"",NOT(ISNUMBER(I11))),H11&lt;0,I11&lt;0,AND(H11&lt;=0,I11&lt;=0),AND(H11&gt;0,I11&gt;0),AND(C11="입고",I11&gt;0),AND(C11="출고",H11&gt;0)),"수량/구분 확인",SUMIFS($H$7:H11,$D$7:D11,D11)-SUMIFS($I$7:I11,$D$7:D11,D11))))))</f>
        <v/>
      </c>
      <c r="L11" s="19" t="n"/>
      <c r="M11" s="19" t="n"/>
      <c r="N11" s="19" t="n"/>
      <c r="O11" s="27">
        <f>IF(D11="","",IF(COUNTIF('01_자재목록'!$B$7:$B$106,D11)&lt;&gt;1,"자재코드 확인",IF(INDEX('01_자재목록'!$R$7:$R$106,MATCH(D11,'01_자재목록'!$B$7:$B$106,0))="","구분 미입력",INDEX('01_자재목록'!$R$7:$R$106,MATCH(D11,'01_자재목록'!$B$7:$B$106,0)))))</f>
        <v/>
      </c>
    </row>
    <row r="12" ht="24" customHeight="1">
      <c r="A12" s="18" t="n">
        <v>6</v>
      </c>
      <c r="B12" s="32" t="n"/>
      <c r="C12" s="19" t="n"/>
      <c r="D12" s="19" t="n"/>
      <c r="E12" s="23">
        <f>IF(D12="","",IFERROR(INDEX('01_자재목록'!$D$7:$D$106,MATCH(D12,'01_자재목록'!$B$7:$B$106,0))&amp;"","자재코드 확인"))</f>
        <v/>
      </c>
      <c r="F12" s="19" t="n"/>
      <c r="G12" s="19" t="n"/>
      <c r="H12" s="30" t="n"/>
      <c r="I12" s="30" t="n"/>
      <c r="J12" s="23">
        <f>IF(D12="","",IFERROR(INDEX('01_자재목록'!$I$7:$I$106,MATCH(D12,'01_자재목록'!$B$7:$B$106,0))&amp;"","자재코드 확인"))</f>
        <v/>
      </c>
      <c r="K12" s="31">
        <f>IF(D12="",IF(OR(B12&lt;&gt;"",C12&lt;&gt;"",H12&lt;&gt;"",I12&lt;&gt;""),"자재코드 입력 확인",""),IF(COUNTIF('01_자재목록'!$B$7:$B$106,D12)&lt;&gt;1,"자재코드 확인",IF(J12="","단위 입력 확인",IF(OR(NOT(ISNUMBER(B12)),B12&lt;1,AND(C12&lt;&gt;"입고",C12&lt;&gt;"출고",C12&lt;&gt;"조정")),"일자/구분 확인",IF(OR(AND(H12&lt;&gt;"",NOT(ISNUMBER(H12))),AND(I12&lt;&gt;"",NOT(ISNUMBER(I12))),H12&lt;0,I12&lt;0,AND(H12&lt;=0,I12&lt;=0),AND(H12&gt;0,I12&gt;0),AND(C12="입고",I12&gt;0),AND(C12="출고",H12&gt;0)),"수량/구분 확인",SUMIFS($H$7:H12,$D$7:D12,D12)-SUMIFS($I$7:I12,$D$7:D12,D12))))))</f>
        <v/>
      </c>
      <c r="L12" s="19" t="n"/>
      <c r="M12" s="19" t="n"/>
      <c r="N12" s="19" t="n"/>
      <c r="O12" s="27">
        <f>IF(D12="","",IF(COUNTIF('01_자재목록'!$B$7:$B$106,D12)&lt;&gt;1,"자재코드 확인",IF(INDEX('01_자재목록'!$R$7:$R$106,MATCH(D12,'01_자재목록'!$B$7:$B$106,0))="","구분 미입력",INDEX('01_자재목록'!$R$7:$R$106,MATCH(D12,'01_자재목록'!$B$7:$B$106,0)))))</f>
        <v/>
      </c>
    </row>
    <row r="13" ht="24" customHeight="1">
      <c r="A13" s="18" t="n">
        <v>7</v>
      </c>
      <c r="B13" s="32" t="n"/>
      <c r="C13" s="19" t="n"/>
      <c r="D13" s="19" t="n"/>
      <c r="E13" s="23">
        <f>IF(D13="","",IFERROR(INDEX('01_자재목록'!$D$7:$D$106,MATCH(D13,'01_자재목록'!$B$7:$B$106,0))&amp;"","자재코드 확인"))</f>
        <v/>
      </c>
      <c r="F13" s="19" t="n"/>
      <c r="G13" s="19" t="n"/>
      <c r="H13" s="30" t="n"/>
      <c r="I13" s="30" t="n"/>
      <c r="J13" s="23">
        <f>IF(D13="","",IFERROR(INDEX('01_자재목록'!$I$7:$I$106,MATCH(D13,'01_자재목록'!$B$7:$B$106,0))&amp;"","자재코드 확인"))</f>
        <v/>
      </c>
      <c r="K13" s="31">
        <f>IF(D13="",IF(OR(B13&lt;&gt;"",C13&lt;&gt;"",H13&lt;&gt;"",I13&lt;&gt;""),"자재코드 입력 확인",""),IF(COUNTIF('01_자재목록'!$B$7:$B$106,D13)&lt;&gt;1,"자재코드 확인",IF(J13="","단위 입력 확인",IF(OR(NOT(ISNUMBER(B13)),B13&lt;1,AND(C13&lt;&gt;"입고",C13&lt;&gt;"출고",C13&lt;&gt;"조정")),"일자/구분 확인",IF(OR(AND(H13&lt;&gt;"",NOT(ISNUMBER(H13))),AND(I13&lt;&gt;"",NOT(ISNUMBER(I13))),H13&lt;0,I13&lt;0,AND(H13&lt;=0,I13&lt;=0),AND(H13&gt;0,I13&gt;0),AND(C13="입고",I13&gt;0),AND(C13="출고",H13&gt;0)),"수량/구분 확인",SUMIFS($H$7:H13,$D$7:D13,D13)-SUMIFS($I$7:I13,$D$7:D13,D13))))))</f>
        <v/>
      </c>
      <c r="L13" s="19" t="n"/>
      <c r="M13" s="19" t="n"/>
      <c r="N13" s="19" t="n"/>
      <c r="O13" s="27">
        <f>IF(D13="","",IF(COUNTIF('01_자재목록'!$B$7:$B$106,D13)&lt;&gt;1,"자재코드 확인",IF(INDEX('01_자재목록'!$R$7:$R$106,MATCH(D13,'01_자재목록'!$B$7:$B$106,0))="","구분 미입력",INDEX('01_자재목록'!$R$7:$R$106,MATCH(D13,'01_자재목록'!$B$7:$B$106,0)))))</f>
        <v/>
      </c>
    </row>
    <row r="14" ht="24" customHeight="1">
      <c r="A14" s="18" t="n">
        <v>8</v>
      </c>
      <c r="B14" s="32" t="n"/>
      <c r="C14" s="19" t="n"/>
      <c r="D14" s="19" t="n"/>
      <c r="E14" s="23">
        <f>IF(D14="","",IFERROR(INDEX('01_자재목록'!$D$7:$D$106,MATCH(D14,'01_자재목록'!$B$7:$B$106,0))&amp;"","자재코드 확인"))</f>
        <v/>
      </c>
      <c r="F14" s="19" t="n"/>
      <c r="G14" s="19" t="n"/>
      <c r="H14" s="30" t="n"/>
      <c r="I14" s="30" t="n"/>
      <c r="J14" s="23">
        <f>IF(D14="","",IFERROR(INDEX('01_자재목록'!$I$7:$I$106,MATCH(D14,'01_자재목록'!$B$7:$B$106,0))&amp;"","자재코드 확인"))</f>
        <v/>
      </c>
      <c r="K14" s="31">
        <f>IF(D14="",IF(OR(B14&lt;&gt;"",C14&lt;&gt;"",H14&lt;&gt;"",I14&lt;&gt;""),"자재코드 입력 확인",""),IF(COUNTIF('01_자재목록'!$B$7:$B$106,D14)&lt;&gt;1,"자재코드 확인",IF(J14="","단위 입력 확인",IF(OR(NOT(ISNUMBER(B14)),B14&lt;1,AND(C14&lt;&gt;"입고",C14&lt;&gt;"출고",C14&lt;&gt;"조정")),"일자/구분 확인",IF(OR(AND(H14&lt;&gt;"",NOT(ISNUMBER(H14))),AND(I14&lt;&gt;"",NOT(ISNUMBER(I14))),H14&lt;0,I14&lt;0,AND(H14&lt;=0,I14&lt;=0),AND(H14&gt;0,I14&gt;0),AND(C14="입고",I14&gt;0),AND(C14="출고",H14&gt;0)),"수량/구분 확인",SUMIFS($H$7:H14,$D$7:D14,D14)-SUMIFS($I$7:I14,$D$7:D14,D14))))))</f>
        <v/>
      </c>
      <c r="L14" s="19" t="n"/>
      <c r="M14" s="19" t="n"/>
      <c r="N14" s="19" t="n"/>
      <c r="O14" s="27">
        <f>IF(D14="","",IF(COUNTIF('01_자재목록'!$B$7:$B$106,D14)&lt;&gt;1,"자재코드 확인",IF(INDEX('01_자재목록'!$R$7:$R$106,MATCH(D14,'01_자재목록'!$B$7:$B$106,0))="","구분 미입력",INDEX('01_자재목록'!$R$7:$R$106,MATCH(D14,'01_자재목록'!$B$7:$B$106,0)))))</f>
        <v/>
      </c>
    </row>
    <row r="15" ht="24" customHeight="1">
      <c r="A15" s="18" t="n">
        <v>9</v>
      </c>
      <c r="B15" s="32" t="n"/>
      <c r="C15" s="19" t="n"/>
      <c r="D15" s="19" t="n"/>
      <c r="E15" s="23">
        <f>IF(D15="","",IFERROR(INDEX('01_자재목록'!$D$7:$D$106,MATCH(D15,'01_자재목록'!$B$7:$B$106,0))&amp;"","자재코드 확인"))</f>
        <v/>
      </c>
      <c r="F15" s="19" t="n"/>
      <c r="G15" s="19" t="n"/>
      <c r="H15" s="30" t="n"/>
      <c r="I15" s="30" t="n"/>
      <c r="J15" s="23">
        <f>IF(D15="","",IFERROR(INDEX('01_자재목록'!$I$7:$I$106,MATCH(D15,'01_자재목록'!$B$7:$B$106,0))&amp;"","자재코드 확인"))</f>
        <v/>
      </c>
      <c r="K15" s="31">
        <f>IF(D15="",IF(OR(B15&lt;&gt;"",C15&lt;&gt;"",H15&lt;&gt;"",I15&lt;&gt;""),"자재코드 입력 확인",""),IF(COUNTIF('01_자재목록'!$B$7:$B$106,D15)&lt;&gt;1,"자재코드 확인",IF(J15="","단위 입력 확인",IF(OR(NOT(ISNUMBER(B15)),B15&lt;1,AND(C15&lt;&gt;"입고",C15&lt;&gt;"출고",C15&lt;&gt;"조정")),"일자/구분 확인",IF(OR(AND(H15&lt;&gt;"",NOT(ISNUMBER(H15))),AND(I15&lt;&gt;"",NOT(ISNUMBER(I15))),H15&lt;0,I15&lt;0,AND(H15&lt;=0,I15&lt;=0),AND(H15&gt;0,I15&gt;0),AND(C15="입고",I15&gt;0),AND(C15="출고",H15&gt;0)),"수량/구분 확인",SUMIFS($H$7:H15,$D$7:D15,D15)-SUMIFS($I$7:I15,$D$7:D15,D15))))))</f>
        <v/>
      </c>
      <c r="L15" s="19" t="n"/>
      <c r="M15" s="19" t="n"/>
      <c r="N15" s="19" t="n"/>
      <c r="O15" s="27">
        <f>IF(D15="","",IF(COUNTIF('01_자재목록'!$B$7:$B$106,D15)&lt;&gt;1,"자재코드 확인",IF(INDEX('01_자재목록'!$R$7:$R$106,MATCH(D15,'01_자재목록'!$B$7:$B$106,0))="","구분 미입력",INDEX('01_자재목록'!$R$7:$R$106,MATCH(D15,'01_자재목록'!$B$7:$B$106,0)))))</f>
        <v/>
      </c>
    </row>
    <row r="16" ht="24" customHeight="1">
      <c r="A16" s="18" t="n">
        <v>10</v>
      </c>
      <c r="B16" s="32" t="n"/>
      <c r="C16" s="19" t="n"/>
      <c r="D16" s="19" t="n"/>
      <c r="E16" s="23">
        <f>IF(D16="","",IFERROR(INDEX('01_자재목록'!$D$7:$D$106,MATCH(D16,'01_자재목록'!$B$7:$B$106,0))&amp;"","자재코드 확인"))</f>
        <v/>
      </c>
      <c r="F16" s="19" t="n"/>
      <c r="G16" s="19" t="n"/>
      <c r="H16" s="30" t="n"/>
      <c r="I16" s="30" t="n"/>
      <c r="J16" s="23">
        <f>IF(D16="","",IFERROR(INDEX('01_자재목록'!$I$7:$I$106,MATCH(D16,'01_자재목록'!$B$7:$B$106,0))&amp;"","자재코드 확인"))</f>
        <v/>
      </c>
      <c r="K16" s="31">
        <f>IF(D16="",IF(OR(B16&lt;&gt;"",C16&lt;&gt;"",H16&lt;&gt;"",I16&lt;&gt;""),"자재코드 입력 확인",""),IF(COUNTIF('01_자재목록'!$B$7:$B$106,D16)&lt;&gt;1,"자재코드 확인",IF(J16="","단위 입력 확인",IF(OR(NOT(ISNUMBER(B16)),B16&lt;1,AND(C16&lt;&gt;"입고",C16&lt;&gt;"출고",C16&lt;&gt;"조정")),"일자/구분 확인",IF(OR(AND(H16&lt;&gt;"",NOT(ISNUMBER(H16))),AND(I16&lt;&gt;"",NOT(ISNUMBER(I16))),H16&lt;0,I16&lt;0,AND(H16&lt;=0,I16&lt;=0),AND(H16&gt;0,I16&gt;0),AND(C16="입고",I16&gt;0),AND(C16="출고",H16&gt;0)),"수량/구분 확인",SUMIFS($H$7:H16,$D$7:D16,D16)-SUMIFS($I$7:I16,$D$7:D16,D16))))))</f>
        <v/>
      </c>
      <c r="L16" s="19" t="n"/>
      <c r="M16" s="19" t="n"/>
      <c r="N16" s="19" t="n"/>
      <c r="O16" s="27">
        <f>IF(D16="","",IF(COUNTIF('01_자재목록'!$B$7:$B$106,D16)&lt;&gt;1,"자재코드 확인",IF(INDEX('01_자재목록'!$R$7:$R$106,MATCH(D16,'01_자재목록'!$B$7:$B$106,0))="","구분 미입력",INDEX('01_자재목록'!$R$7:$R$106,MATCH(D16,'01_자재목록'!$B$7:$B$106,0)))))</f>
        <v/>
      </c>
    </row>
    <row r="17" ht="24" customHeight="1">
      <c r="A17" s="18" t="n">
        <v>11</v>
      </c>
      <c r="B17" s="32" t="n"/>
      <c r="C17" s="19" t="n"/>
      <c r="D17" s="19" t="n"/>
      <c r="E17" s="23">
        <f>IF(D17="","",IFERROR(INDEX('01_자재목록'!$D$7:$D$106,MATCH(D17,'01_자재목록'!$B$7:$B$106,0))&amp;"","자재코드 확인"))</f>
        <v/>
      </c>
      <c r="F17" s="19" t="n"/>
      <c r="G17" s="19" t="n"/>
      <c r="H17" s="30" t="n"/>
      <c r="I17" s="30" t="n"/>
      <c r="J17" s="23">
        <f>IF(D17="","",IFERROR(INDEX('01_자재목록'!$I$7:$I$106,MATCH(D17,'01_자재목록'!$B$7:$B$106,0))&amp;"","자재코드 확인"))</f>
        <v/>
      </c>
      <c r="K17" s="31">
        <f>IF(D17="",IF(OR(B17&lt;&gt;"",C17&lt;&gt;"",H17&lt;&gt;"",I17&lt;&gt;""),"자재코드 입력 확인",""),IF(COUNTIF('01_자재목록'!$B$7:$B$106,D17)&lt;&gt;1,"자재코드 확인",IF(J17="","단위 입력 확인",IF(OR(NOT(ISNUMBER(B17)),B17&lt;1,AND(C17&lt;&gt;"입고",C17&lt;&gt;"출고",C17&lt;&gt;"조정")),"일자/구분 확인",IF(OR(AND(H17&lt;&gt;"",NOT(ISNUMBER(H17))),AND(I17&lt;&gt;"",NOT(ISNUMBER(I17))),H17&lt;0,I17&lt;0,AND(H17&lt;=0,I17&lt;=0),AND(H17&gt;0,I17&gt;0),AND(C17="입고",I17&gt;0),AND(C17="출고",H17&gt;0)),"수량/구분 확인",SUMIFS($H$7:H17,$D$7:D17,D17)-SUMIFS($I$7:I17,$D$7:D17,D17))))))</f>
        <v/>
      </c>
      <c r="L17" s="19" t="n"/>
      <c r="M17" s="19" t="n"/>
      <c r="N17" s="19" t="n"/>
      <c r="O17" s="27">
        <f>IF(D17="","",IF(COUNTIF('01_자재목록'!$B$7:$B$106,D17)&lt;&gt;1,"자재코드 확인",IF(INDEX('01_자재목록'!$R$7:$R$106,MATCH(D17,'01_자재목록'!$B$7:$B$106,0))="","구분 미입력",INDEX('01_자재목록'!$R$7:$R$106,MATCH(D17,'01_자재목록'!$B$7:$B$106,0)))))</f>
        <v/>
      </c>
    </row>
    <row r="18" ht="24" customHeight="1">
      <c r="A18" s="18" t="n">
        <v>12</v>
      </c>
      <c r="B18" s="32" t="n"/>
      <c r="C18" s="19" t="n"/>
      <c r="D18" s="19" t="n"/>
      <c r="E18" s="23">
        <f>IF(D18="","",IFERROR(INDEX('01_자재목록'!$D$7:$D$106,MATCH(D18,'01_자재목록'!$B$7:$B$106,0))&amp;"","자재코드 확인"))</f>
        <v/>
      </c>
      <c r="F18" s="19" t="n"/>
      <c r="G18" s="19" t="n"/>
      <c r="H18" s="30" t="n"/>
      <c r="I18" s="30" t="n"/>
      <c r="J18" s="23">
        <f>IF(D18="","",IFERROR(INDEX('01_자재목록'!$I$7:$I$106,MATCH(D18,'01_자재목록'!$B$7:$B$106,0))&amp;"","자재코드 확인"))</f>
        <v/>
      </c>
      <c r="K18" s="31">
        <f>IF(D18="",IF(OR(B18&lt;&gt;"",C18&lt;&gt;"",H18&lt;&gt;"",I18&lt;&gt;""),"자재코드 입력 확인",""),IF(COUNTIF('01_자재목록'!$B$7:$B$106,D18)&lt;&gt;1,"자재코드 확인",IF(J18="","단위 입력 확인",IF(OR(NOT(ISNUMBER(B18)),B18&lt;1,AND(C18&lt;&gt;"입고",C18&lt;&gt;"출고",C18&lt;&gt;"조정")),"일자/구분 확인",IF(OR(AND(H18&lt;&gt;"",NOT(ISNUMBER(H18))),AND(I18&lt;&gt;"",NOT(ISNUMBER(I18))),H18&lt;0,I18&lt;0,AND(H18&lt;=0,I18&lt;=0),AND(H18&gt;0,I18&gt;0),AND(C18="입고",I18&gt;0),AND(C18="출고",H18&gt;0)),"수량/구분 확인",SUMIFS($H$7:H18,$D$7:D18,D18)-SUMIFS($I$7:I18,$D$7:D18,D18))))))</f>
        <v/>
      </c>
      <c r="L18" s="19" t="n"/>
      <c r="M18" s="19" t="n"/>
      <c r="N18" s="19" t="n"/>
      <c r="O18" s="27">
        <f>IF(D18="","",IF(COUNTIF('01_자재목록'!$B$7:$B$106,D18)&lt;&gt;1,"자재코드 확인",IF(INDEX('01_자재목록'!$R$7:$R$106,MATCH(D18,'01_자재목록'!$B$7:$B$106,0))="","구분 미입력",INDEX('01_자재목록'!$R$7:$R$106,MATCH(D18,'01_자재목록'!$B$7:$B$106,0)))))</f>
        <v/>
      </c>
    </row>
    <row r="19" ht="24" customHeight="1">
      <c r="A19" s="18" t="n">
        <v>13</v>
      </c>
      <c r="B19" s="32" t="n"/>
      <c r="C19" s="19" t="n"/>
      <c r="D19" s="19" t="n"/>
      <c r="E19" s="23">
        <f>IF(D19="","",IFERROR(INDEX('01_자재목록'!$D$7:$D$106,MATCH(D19,'01_자재목록'!$B$7:$B$106,0))&amp;"","자재코드 확인"))</f>
        <v/>
      </c>
      <c r="F19" s="19" t="n"/>
      <c r="G19" s="19" t="n"/>
      <c r="H19" s="30" t="n"/>
      <c r="I19" s="30" t="n"/>
      <c r="J19" s="23">
        <f>IF(D19="","",IFERROR(INDEX('01_자재목록'!$I$7:$I$106,MATCH(D19,'01_자재목록'!$B$7:$B$106,0))&amp;"","자재코드 확인"))</f>
        <v/>
      </c>
      <c r="K19" s="31">
        <f>IF(D19="",IF(OR(B19&lt;&gt;"",C19&lt;&gt;"",H19&lt;&gt;"",I19&lt;&gt;""),"자재코드 입력 확인",""),IF(COUNTIF('01_자재목록'!$B$7:$B$106,D19)&lt;&gt;1,"자재코드 확인",IF(J19="","단위 입력 확인",IF(OR(NOT(ISNUMBER(B19)),B19&lt;1,AND(C19&lt;&gt;"입고",C19&lt;&gt;"출고",C19&lt;&gt;"조정")),"일자/구분 확인",IF(OR(AND(H19&lt;&gt;"",NOT(ISNUMBER(H19))),AND(I19&lt;&gt;"",NOT(ISNUMBER(I19))),H19&lt;0,I19&lt;0,AND(H19&lt;=0,I19&lt;=0),AND(H19&gt;0,I19&gt;0),AND(C19="입고",I19&gt;0),AND(C19="출고",H19&gt;0)),"수량/구분 확인",SUMIFS($H$7:H19,$D$7:D19,D19)-SUMIFS($I$7:I19,$D$7:D19,D19))))))</f>
        <v/>
      </c>
      <c r="L19" s="19" t="n"/>
      <c r="M19" s="19" t="n"/>
      <c r="N19" s="19" t="n"/>
      <c r="O19" s="27">
        <f>IF(D19="","",IF(COUNTIF('01_자재목록'!$B$7:$B$106,D19)&lt;&gt;1,"자재코드 확인",IF(INDEX('01_자재목록'!$R$7:$R$106,MATCH(D19,'01_자재목록'!$B$7:$B$106,0))="","구분 미입력",INDEX('01_자재목록'!$R$7:$R$106,MATCH(D19,'01_자재목록'!$B$7:$B$106,0)))))</f>
        <v/>
      </c>
    </row>
    <row r="20" ht="24" customHeight="1">
      <c r="A20" s="18" t="n">
        <v>14</v>
      </c>
      <c r="B20" s="32" t="n"/>
      <c r="C20" s="19" t="n"/>
      <c r="D20" s="19" t="n"/>
      <c r="E20" s="23">
        <f>IF(D20="","",IFERROR(INDEX('01_자재목록'!$D$7:$D$106,MATCH(D20,'01_자재목록'!$B$7:$B$106,0))&amp;"","자재코드 확인"))</f>
        <v/>
      </c>
      <c r="F20" s="19" t="n"/>
      <c r="G20" s="19" t="n"/>
      <c r="H20" s="30" t="n"/>
      <c r="I20" s="30" t="n"/>
      <c r="J20" s="23">
        <f>IF(D20="","",IFERROR(INDEX('01_자재목록'!$I$7:$I$106,MATCH(D20,'01_자재목록'!$B$7:$B$106,0))&amp;"","자재코드 확인"))</f>
        <v/>
      </c>
      <c r="K20" s="31">
        <f>IF(D20="",IF(OR(B20&lt;&gt;"",C20&lt;&gt;"",H20&lt;&gt;"",I20&lt;&gt;""),"자재코드 입력 확인",""),IF(COUNTIF('01_자재목록'!$B$7:$B$106,D20)&lt;&gt;1,"자재코드 확인",IF(J20="","단위 입력 확인",IF(OR(NOT(ISNUMBER(B20)),B20&lt;1,AND(C20&lt;&gt;"입고",C20&lt;&gt;"출고",C20&lt;&gt;"조정")),"일자/구분 확인",IF(OR(AND(H20&lt;&gt;"",NOT(ISNUMBER(H20))),AND(I20&lt;&gt;"",NOT(ISNUMBER(I20))),H20&lt;0,I20&lt;0,AND(H20&lt;=0,I20&lt;=0),AND(H20&gt;0,I20&gt;0),AND(C20="입고",I20&gt;0),AND(C20="출고",H20&gt;0)),"수량/구분 확인",SUMIFS($H$7:H20,$D$7:D20,D20)-SUMIFS($I$7:I20,$D$7:D20,D20))))))</f>
        <v/>
      </c>
      <c r="L20" s="19" t="n"/>
      <c r="M20" s="19" t="n"/>
      <c r="N20" s="19" t="n"/>
      <c r="O20" s="27">
        <f>IF(D20="","",IF(COUNTIF('01_자재목록'!$B$7:$B$106,D20)&lt;&gt;1,"자재코드 확인",IF(INDEX('01_자재목록'!$R$7:$R$106,MATCH(D20,'01_자재목록'!$B$7:$B$106,0))="","구분 미입력",INDEX('01_자재목록'!$R$7:$R$106,MATCH(D20,'01_자재목록'!$B$7:$B$106,0)))))</f>
        <v/>
      </c>
    </row>
    <row r="21" ht="24" customHeight="1">
      <c r="A21" s="18" t="n">
        <v>15</v>
      </c>
      <c r="B21" s="32" t="n"/>
      <c r="C21" s="19" t="n"/>
      <c r="D21" s="19" t="n"/>
      <c r="E21" s="23">
        <f>IF(D21="","",IFERROR(INDEX('01_자재목록'!$D$7:$D$106,MATCH(D21,'01_자재목록'!$B$7:$B$106,0))&amp;"","자재코드 확인"))</f>
        <v/>
      </c>
      <c r="F21" s="19" t="n"/>
      <c r="G21" s="19" t="n"/>
      <c r="H21" s="30" t="n"/>
      <c r="I21" s="30" t="n"/>
      <c r="J21" s="23">
        <f>IF(D21="","",IFERROR(INDEX('01_자재목록'!$I$7:$I$106,MATCH(D21,'01_자재목록'!$B$7:$B$106,0))&amp;"","자재코드 확인"))</f>
        <v/>
      </c>
      <c r="K21" s="31">
        <f>IF(D21="",IF(OR(B21&lt;&gt;"",C21&lt;&gt;"",H21&lt;&gt;"",I21&lt;&gt;""),"자재코드 입력 확인",""),IF(COUNTIF('01_자재목록'!$B$7:$B$106,D21)&lt;&gt;1,"자재코드 확인",IF(J21="","단위 입력 확인",IF(OR(NOT(ISNUMBER(B21)),B21&lt;1,AND(C21&lt;&gt;"입고",C21&lt;&gt;"출고",C21&lt;&gt;"조정")),"일자/구분 확인",IF(OR(AND(H21&lt;&gt;"",NOT(ISNUMBER(H21))),AND(I21&lt;&gt;"",NOT(ISNUMBER(I21))),H21&lt;0,I21&lt;0,AND(H21&lt;=0,I21&lt;=0),AND(H21&gt;0,I21&gt;0),AND(C21="입고",I21&gt;0),AND(C21="출고",H21&gt;0)),"수량/구분 확인",SUMIFS($H$7:H21,$D$7:D21,D21)-SUMIFS($I$7:I21,$D$7:D21,D21))))))</f>
        <v/>
      </c>
      <c r="L21" s="19" t="n"/>
      <c r="M21" s="19" t="n"/>
      <c r="N21" s="19" t="n"/>
      <c r="O21" s="27">
        <f>IF(D21="","",IF(COUNTIF('01_자재목록'!$B$7:$B$106,D21)&lt;&gt;1,"자재코드 확인",IF(INDEX('01_자재목록'!$R$7:$R$106,MATCH(D21,'01_자재목록'!$B$7:$B$106,0))="","구분 미입력",INDEX('01_자재목록'!$R$7:$R$106,MATCH(D21,'01_자재목록'!$B$7:$B$106,0)))))</f>
        <v/>
      </c>
    </row>
    <row r="22" ht="24" customHeight="1">
      <c r="A22" s="18" t="n">
        <v>16</v>
      </c>
      <c r="B22" s="32" t="n"/>
      <c r="C22" s="19" t="n"/>
      <c r="D22" s="19" t="n"/>
      <c r="E22" s="23">
        <f>IF(D22="","",IFERROR(INDEX('01_자재목록'!$D$7:$D$106,MATCH(D22,'01_자재목록'!$B$7:$B$106,0))&amp;"","자재코드 확인"))</f>
        <v/>
      </c>
      <c r="F22" s="19" t="n"/>
      <c r="G22" s="19" t="n"/>
      <c r="H22" s="30" t="n"/>
      <c r="I22" s="30" t="n"/>
      <c r="J22" s="23">
        <f>IF(D22="","",IFERROR(INDEX('01_자재목록'!$I$7:$I$106,MATCH(D22,'01_자재목록'!$B$7:$B$106,0))&amp;"","자재코드 확인"))</f>
        <v/>
      </c>
      <c r="K22" s="31">
        <f>IF(D22="",IF(OR(B22&lt;&gt;"",C22&lt;&gt;"",H22&lt;&gt;"",I22&lt;&gt;""),"자재코드 입력 확인",""),IF(COUNTIF('01_자재목록'!$B$7:$B$106,D22)&lt;&gt;1,"자재코드 확인",IF(J22="","단위 입력 확인",IF(OR(NOT(ISNUMBER(B22)),B22&lt;1,AND(C22&lt;&gt;"입고",C22&lt;&gt;"출고",C22&lt;&gt;"조정")),"일자/구분 확인",IF(OR(AND(H22&lt;&gt;"",NOT(ISNUMBER(H22))),AND(I22&lt;&gt;"",NOT(ISNUMBER(I22))),H22&lt;0,I22&lt;0,AND(H22&lt;=0,I22&lt;=0),AND(H22&gt;0,I22&gt;0),AND(C22="입고",I22&gt;0),AND(C22="출고",H22&gt;0)),"수량/구분 확인",SUMIFS($H$7:H22,$D$7:D22,D22)-SUMIFS($I$7:I22,$D$7:D22,D22))))))</f>
        <v/>
      </c>
      <c r="L22" s="19" t="n"/>
      <c r="M22" s="19" t="n"/>
      <c r="N22" s="19" t="n"/>
      <c r="O22" s="27">
        <f>IF(D22="","",IF(COUNTIF('01_자재목록'!$B$7:$B$106,D22)&lt;&gt;1,"자재코드 확인",IF(INDEX('01_자재목록'!$R$7:$R$106,MATCH(D22,'01_자재목록'!$B$7:$B$106,0))="","구분 미입력",INDEX('01_자재목록'!$R$7:$R$106,MATCH(D22,'01_자재목록'!$B$7:$B$106,0)))))</f>
        <v/>
      </c>
    </row>
    <row r="23" ht="24" customHeight="1">
      <c r="A23" s="18" t="n">
        <v>17</v>
      </c>
      <c r="B23" s="32" t="n"/>
      <c r="C23" s="19" t="n"/>
      <c r="D23" s="19" t="n"/>
      <c r="E23" s="23">
        <f>IF(D23="","",IFERROR(INDEX('01_자재목록'!$D$7:$D$106,MATCH(D23,'01_자재목록'!$B$7:$B$106,0))&amp;"","자재코드 확인"))</f>
        <v/>
      </c>
      <c r="F23" s="19" t="n"/>
      <c r="G23" s="19" t="n"/>
      <c r="H23" s="30" t="n"/>
      <c r="I23" s="30" t="n"/>
      <c r="J23" s="23">
        <f>IF(D23="","",IFERROR(INDEX('01_자재목록'!$I$7:$I$106,MATCH(D23,'01_자재목록'!$B$7:$B$106,0))&amp;"","자재코드 확인"))</f>
        <v/>
      </c>
      <c r="K23" s="31">
        <f>IF(D23="",IF(OR(B23&lt;&gt;"",C23&lt;&gt;"",H23&lt;&gt;"",I23&lt;&gt;""),"자재코드 입력 확인",""),IF(COUNTIF('01_자재목록'!$B$7:$B$106,D23)&lt;&gt;1,"자재코드 확인",IF(J23="","단위 입력 확인",IF(OR(NOT(ISNUMBER(B23)),B23&lt;1,AND(C23&lt;&gt;"입고",C23&lt;&gt;"출고",C23&lt;&gt;"조정")),"일자/구분 확인",IF(OR(AND(H23&lt;&gt;"",NOT(ISNUMBER(H23))),AND(I23&lt;&gt;"",NOT(ISNUMBER(I23))),H23&lt;0,I23&lt;0,AND(H23&lt;=0,I23&lt;=0),AND(H23&gt;0,I23&gt;0),AND(C23="입고",I23&gt;0),AND(C23="출고",H23&gt;0)),"수량/구분 확인",SUMIFS($H$7:H23,$D$7:D23,D23)-SUMIFS($I$7:I23,$D$7:D23,D23))))))</f>
        <v/>
      </c>
      <c r="L23" s="19" t="n"/>
      <c r="M23" s="19" t="n"/>
      <c r="N23" s="19" t="n"/>
      <c r="O23" s="27">
        <f>IF(D23="","",IF(COUNTIF('01_자재목록'!$B$7:$B$106,D23)&lt;&gt;1,"자재코드 확인",IF(INDEX('01_자재목록'!$R$7:$R$106,MATCH(D23,'01_자재목록'!$B$7:$B$106,0))="","구분 미입력",INDEX('01_자재목록'!$R$7:$R$106,MATCH(D23,'01_자재목록'!$B$7:$B$106,0)))))</f>
        <v/>
      </c>
    </row>
    <row r="24" ht="24" customHeight="1">
      <c r="A24" s="18" t="n">
        <v>18</v>
      </c>
      <c r="B24" s="32" t="n"/>
      <c r="C24" s="19" t="n"/>
      <c r="D24" s="19" t="n"/>
      <c r="E24" s="23">
        <f>IF(D24="","",IFERROR(INDEX('01_자재목록'!$D$7:$D$106,MATCH(D24,'01_자재목록'!$B$7:$B$106,0))&amp;"","자재코드 확인"))</f>
        <v/>
      </c>
      <c r="F24" s="19" t="n"/>
      <c r="G24" s="19" t="n"/>
      <c r="H24" s="30" t="n"/>
      <c r="I24" s="30" t="n"/>
      <c r="J24" s="23">
        <f>IF(D24="","",IFERROR(INDEX('01_자재목록'!$I$7:$I$106,MATCH(D24,'01_자재목록'!$B$7:$B$106,0))&amp;"","자재코드 확인"))</f>
        <v/>
      </c>
      <c r="K24" s="31">
        <f>IF(D24="",IF(OR(B24&lt;&gt;"",C24&lt;&gt;"",H24&lt;&gt;"",I24&lt;&gt;""),"자재코드 입력 확인",""),IF(COUNTIF('01_자재목록'!$B$7:$B$106,D24)&lt;&gt;1,"자재코드 확인",IF(J24="","단위 입력 확인",IF(OR(NOT(ISNUMBER(B24)),B24&lt;1,AND(C24&lt;&gt;"입고",C24&lt;&gt;"출고",C24&lt;&gt;"조정")),"일자/구분 확인",IF(OR(AND(H24&lt;&gt;"",NOT(ISNUMBER(H24))),AND(I24&lt;&gt;"",NOT(ISNUMBER(I24))),H24&lt;0,I24&lt;0,AND(H24&lt;=0,I24&lt;=0),AND(H24&gt;0,I24&gt;0),AND(C24="입고",I24&gt;0),AND(C24="출고",H24&gt;0)),"수량/구분 확인",SUMIFS($H$7:H24,$D$7:D24,D24)-SUMIFS($I$7:I24,$D$7:D24,D24))))))</f>
        <v/>
      </c>
      <c r="L24" s="19" t="n"/>
      <c r="M24" s="19" t="n"/>
      <c r="N24" s="19" t="n"/>
      <c r="O24" s="27">
        <f>IF(D24="","",IF(COUNTIF('01_자재목록'!$B$7:$B$106,D24)&lt;&gt;1,"자재코드 확인",IF(INDEX('01_자재목록'!$R$7:$R$106,MATCH(D24,'01_자재목록'!$B$7:$B$106,0))="","구분 미입력",INDEX('01_자재목록'!$R$7:$R$106,MATCH(D24,'01_자재목록'!$B$7:$B$106,0)))))</f>
        <v/>
      </c>
    </row>
    <row r="25" ht="24" customHeight="1">
      <c r="A25" s="18" t="n">
        <v>19</v>
      </c>
      <c r="B25" s="32" t="n"/>
      <c r="C25" s="19" t="n"/>
      <c r="D25" s="19" t="n"/>
      <c r="E25" s="23">
        <f>IF(D25="","",IFERROR(INDEX('01_자재목록'!$D$7:$D$106,MATCH(D25,'01_자재목록'!$B$7:$B$106,0))&amp;"","자재코드 확인"))</f>
        <v/>
      </c>
      <c r="F25" s="19" t="n"/>
      <c r="G25" s="19" t="n"/>
      <c r="H25" s="30" t="n"/>
      <c r="I25" s="30" t="n"/>
      <c r="J25" s="23">
        <f>IF(D25="","",IFERROR(INDEX('01_자재목록'!$I$7:$I$106,MATCH(D25,'01_자재목록'!$B$7:$B$106,0))&amp;"","자재코드 확인"))</f>
        <v/>
      </c>
      <c r="K25" s="31">
        <f>IF(D25="",IF(OR(B25&lt;&gt;"",C25&lt;&gt;"",H25&lt;&gt;"",I25&lt;&gt;""),"자재코드 입력 확인",""),IF(COUNTIF('01_자재목록'!$B$7:$B$106,D25)&lt;&gt;1,"자재코드 확인",IF(J25="","단위 입력 확인",IF(OR(NOT(ISNUMBER(B25)),B25&lt;1,AND(C25&lt;&gt;"입고",C25&lt;&gt;"출고",C25&lt;&gt;"조정")),"일자/구분 확인",IF(OR(AND(H25&lt;&gt;"",NOT(ISNUMBER(H25))),AND(I25&lt;&gt;"",NOT(ISNUMBER(I25))),H25&lt;0,I25&lt;0,AND(H25&lt;=0,I25&lt;=0),AND(H25&gt;0,I25&gt;0),AND(C25="입고",I25&gt;0),AND(C25="출고",H25&gt;0)),"수량/구분 확인",SUMIFS($H$7:H25,$D$7:D25,D25)-SUMIFS($I$7:I25,$D$7:D25,D25))))))</f>
        <v/>
      </c>
      <c r="L25" s="19" t="n"/>
      <c r="M25" s="19" t="n"/>
      <c r="N25" s="19" t="n"/>
      <c r="O25" s="27">
        <f>IF(D25="","",IF(COUNTIF('01_자재목록'!$B$7:$B$106,D25)&lt;&gt;1,"자재코드 확인",IF(INDEX('01_자재목록'!$R$7:$R$106,MATCH(D25,'01_자재목록'!$B$7:$B$106,0))="","구분 미입력",INDEX('01_자재목록'!$R$7:$R$106,MATCH(D25,'01_자재목록'!$B$7:$B$106,0)))))</f>
        <v/>
      </c>
    </row>
    <row r="26" ht="24" customHeight="1">
      <c r="A26" s="18" t="n">
        <v>20</v>
      </c>
      <c r="B26" s="32" t="n"/>
      <c r="C26" s="19" t="n"/>
      <c r="D26" s="19" t="n"/>
      <c r="E26" s="23">
        <f>IF(D26="","",IFERROR(INDEX('01_자재목록'!$D$7:$D$106,MATCH(D26,'01_자재목록'!$B$7:$B$106,0))&amp;"","자재코드 확인"))</f>
        <v/>
      </c>
      <c r="F26" s="19" t="n"/>
      <c r="G26" s="19" t="n"/>
      <c r="H26" s="30" t="n"/>
      <c r="I26" s="30" t="n"/>
      <c r="J26" s="23">
        <f>IF(D26="","",IFERROR(INDEX('01_자재목록'!$I$7:$I$106,MATCH(D26,'01_자재목록'!$B$7:$B$106,0))&amp;"","자재코드 확인"))</f>
        <v/>
      </c>
      <c r="K26" s="31">
        <f>IF(D26="",IF(OR(B26&lt;&gt;"",C26&lt;&gt;"",H26&lt;&gt;"",I26&lt;&gt;""),"자재코드 입력 확인",""),IF(COUNTIF('01_자재목록'!$B$7:$B$106,D26)&lt;&gt;1,"자재코드 확인",IF(J26="","단위 입력 확인",IF(OR(NOT(ISNUMBER(B26)),B26&lt;1,AND(C26&lt;&gt;"입고",C26&lt;&gt;"출고",C26&lt;&gt;"조정")),"일자/구분 확인",IF(OR(AND(H26&lt;&gt;"",NOT(ISNUMBER(H26))),AND(I26&lt;&gt;"",NOT(ISNUMBER(I26))),H26&lt;0,I26&lt;0,AND(H26&lt;=0,I26&lt;=0),AND(H26&gt;0,I26&gt;0),AND(C26="입고",I26&gt;0),AND(C26="출고",H26&gt;0)),"수량/구분 확인",SUMIFS($H$7:H26,$D$7:D26,D26)-SUMIFS($I$7:I26,$D$7:D26,D26))))))</f>
        <v/>
      </c>
      <c r="L26" s="19" t="n"/>
      <c r="M26" s="19" t="n"/>
      <c r="N26" s="19" t="n"/>
      <c r="O26" s="27">
        <f>IF(D26="","",IF(COUNTIF('01_자재목록'!$B$7:$B$106,D26)&lt;&gt;1,"자재코드 확인",IF(INDEX('01_자재목록'!$R$7:$R$106,MATCH(D26,'01_자재목록'!$B$7:$B$106,0))="","구분 미입력",INDEX('01_자재목록'!$R$7:$R$106,MATCH(D26,'01_자재목록'!$B$7:$B$106,0)))))</f>
        <v/>
      </c>
    </row>
    <row r="27" ht="24" customHeight="1">
      <c r="A27" s="18" t="n">
        <v>21</v>
      </c>
      <c r="B27" s="32" t="n"/>
      <c r="C27" s="19" t="n"/>
      <c r="D27" s="19" t="n"/>
      <c r="E27" s="23">
        <f>IF(D27="","",IFERROR(INDEX('01_자재목록'!$D$7:$D$106,MATCH(D27,'01_자재목록'!$B$7:$B$106,0))&amp;"","자재코드 확인"))</f>
        <v/>
      </c>
      <c r="F27" s="19" t="n"/>
      <c r="G27" s="19" t="n"/>
      <c r="H27" s="30" t="n"/>
      <c r="I27" s="30" t="n"/>
      <c r="J27" s="23">
        <f>IF(D27="","",IFERROR(INDEX('01_자재목록'!$I$7:$I$106,MATCH(D27,'01_자재목록'!$B$7:$B$106,0))&amp;"","자재코드 확인"))</f>
        <v/>
      </c>
      <c r="K27" s="31">
        <f>IF(D27="",IF(OR(B27&lt;&gt;"",C27&lt;&gt;"",H27&lt;&gt;"",I27&lt;&gt;""),"자재코드 입력 확인",""),IF(COUNTIF('01_자재목록'!$B$7:$B$106,D27)&lt;&gt;1,"자재코드 확인",IF(J27="","단위 입력 확인",IF(OR(NOT(ISNUMBER(B27)),B27&lt;1,AND(C27&lt;&gt;"입고",C27&lt;&gt;"출고",C27&lt;&gt;"조정")),"일자/구분 확인",IF(OR(AND(H27&lt;&gt;"",NOT(ISNUMBER(H27))),AND(I27&lt;&gt;"",NOT(ISNUMBER(I27))),H27&lt;0,I27&lt;0,AND(H27&lt;=0,I27&lt;=0),AND(H27&gt;0,I27&gt;0),AND(C27="입고",I27&gt;0),AND(C27="출고",H27&gt;0)),"수량/구분 확인",SUMIFS($H$7:H27,$D$7:D27,D27)-SUMIFS($I$7:I27,$D$7:D27,D27))))))</f>
        <v/>
      </c>
      <c r="L27" s="19" t="n"/>
      <c r="M27" s="19" t="n"/>
      <c r="N27" s="19" t="n"/>
      <c r="O27" s="27">
        <f>IF(D27="","",IF(COUNTIF('01_자재목록'!$B$7:$B$106,D27)&lt;&gt;1,"자재코드 확인",IF(INDEX('01_자재목록'!$R$7:$R$106,MATCH(D27,'01_자재목록'!$B$7:$B$106,0))="","구분 미입력",INDEX('01_자재목록'!$R$7:$R$106,MATCH(D27,'01_자재목록'!$B$7:$B$106,0)))))</f>
        <v/>
      </c>
    </row>
    <row r="28" ht="24" customHeight="1">
      <c r="A28" s="18" t="n">
        <v>22</v>
      </c>
      <c r="B28" s="32" t="n"/>
      <c r="C28" s="19" t="n"/>
      <c r="D28" s="19" t="n"/>
      <c r="E28" s="23">
        <f>IF(D28="","",IFERROR(INDEX('01_자재목록'!$D$7:$D$106,MATCH(D28,'01_자재목록'!$B$7:$B$106,0))&amp;"","자재코드 확인"))</f>
        <v/>
      </c>
      <c r="F28" s="19" t="n"/>
      <c r="G28" s="19" t="n"/>
      <c r="H28" s="30" t="n"/>
      <c r="I28" s="30" t="n"/>
      <c r="J28" s="23">
        <f>IF(D28="","",IFERROR(INDEX('01_자재목록'!$I$7:$I$106,MATCH(D28,'01_자재목록'!$B$7:$B$106,0))&amp;"","자재코드 확인"))</f>
        <v/>
      </c>
      <c r="K28" s="31">
        <f>IF(D28="",IF(OR(B28&lt;&gt;"",C28&lt;&gt;"",H28&lt;&gt;"",I28&lt;&gt;""),"자재코드 입력 확인",""),IF(COUNTIF('01_자재목록'!$B$7:$B$106,D28)&lt;&gt;1,"자재코드 확인",IF(J28="","단위 입력 확인",IF(OR(NOT(ISNUMBER(B28)),B28&lt;1,AND(C28&lt;&gt;"입고",C28&lt;&gt;"출고",C28&lt;&gt;"조정")),"일자/구분 확인",IF(OR(AND(H28&lt;&gt;"",NOT(ISNUMBER(H28))),AND(I28&lt;&gt;"",NOT(ISNUMBER(I28))),H28&lt;0,I28&lt;0,AND(H28&lt;=0,I28&lt;=0),AND(H28&gt;0,I28&gt;0),AND(C28="입고",I28&gt;0),AND(C28="출고",H28&gt;0)),"수량/구분 확인",SUMIFS($H$7:H28,$D$7:D28,D28)-SUMIFS($I$7:I28,$D$7:D28,D28))))))</f>
        <v/>
      </c>
      <c r="L28" s="19" t="n"/>
      <c r="M28" s="19" t="n"/>
      <c r="N28" s="19" t="n"/>
      <c r="O28" s="27">
        <f>IF(D28="","",IF(COUNTIF('01_자재목록'!$B$7:$B$106,D28)&lt;&gt;1,"자재코드 확인",IF(INDEX('01_자재목록'!$R$7:$R$106,MATCH(D28,'01_자재목록'!$B$7:$B$106,0))="","구분 미입력",INDEX('01_자재목록'!$R$7:$R$106,MATCH(D28,'01_자재목록'!$B$7:$B$106,0)))))</f>
        <v/>
      </c>
    </row>
    <row r="29" ht="24" customHeight="1">
      <c r="A29" s="18" t="n">
        <v>23</v>
      </c>
      <c r="B29" s="32" t="n"/>
      <c r="C29" s="19" t="n"/>
      <c r="D29" s="19" t="n"/>
      <c r="E29" s="23">
        <f>IF(D29="","",IFERROR(INDEX('01_자재목록'!$D$7:$D$106,MATCH(D29,'01_자재목록'!$B$7:$B$106,0))&amp;"","자재코드 확인"))</f>
        <v/>
      </c>
      <c r="F29" s="19" t="n"/>
      <c r="G29" s="19" t="n"/>
      <c r="H29" s="30" t="n"/>
      <c r="I29" s="30" t="n"/>
      <c r="J29" s="23">
        <f>IF(D29="","",IFERROR(INDEX('01_자재목록'!$I$7:$I$106,MATCH(D29,'01_자재목록'!$B$7:$B$106,0))&amp;"","자재코드 확인"))</f>
        <v/>
      </c>
      <c r="K29" s="31">
        <f>IF(D29="",IF(OR(B29&lt;&gt;"",C29&lt;&gt;"",H29&lt;&gt;"",I29&lt;&gt;""),"자재코드 입력 확인",""),IF(COUNTIF('01_자재목록'!$B$7:$B$106,D29)&lt;&gt;1,"자재코드 확인",IF(J29="","단위 입력 확인",IF(OR(NOT(ISNUMBER(B29)),B29&lt;1,AND(C29&lt;&gt;"입고",C29&lt;&gt;"출고",C29&lt;&gt;"조정")),"일자/구분 확인",IF(OR(AND(H29&lt;&gt;"",NOT(ISNUMBER(H29))),AND(I29&lt;&gt;"",NOT(ISNUMBER(I29))),H29&lt;0,I29&lt;0,AND(H29&lt;=0,I29&lt;=0),AND(H29&gt;0,I29&gt;0),AND(C29="입고",I29&gt;0),AND(C29="출고",H29&gt;0)),"수량/구분 확인",SUMIFS($H$7:H29,$D$7:D29,D29)-SUMIFS($I$7:I29,$D$7:D29,D29))))))</f>
        <v/>
      </c>
      <c r="L29" s="19" t="n"/>
      <c r="M29" s="19" t="n"/>
      <c r="N29" s="19" t="n"/>
      <c r="O29" s="27">
        <f>IF(D29="","",IF(COUNTIF('01_자재목록'!$B$7:$B$106,D29)&lt;&gt;1,"자재코드 확인",IF(INDEX('01_자재목록'!$R$7:$R$106,MATCH(D29,'01_자재목록'!$B$7:$B$106,0))="","구분 미입력",INDEX('01_자재목록'!$R$7:$R$106,MATCH(D29,'01_자재목록'!$B$7:$B$106,0)))))</f>
        <v/>
      </c>
    </row>
    <row r="30" ht="24" customHeight="1">
      <c r="A30" s="18" t="n">
        <v>24</v>
      </c>
      <c r="B30" s="32" t="n"/>
      <c r="C30" s="19" t="n"/>
      <c r="D30" s="19" t="n"/>
      <c r="E30" s="23">
        <f>IF(D30="","",IFERROR(INDEX('01_자재목록'!$D$7:$D$106,MATCH(D30,'01_자재목록'!$B$7:$B$106,0))&amp;"","자재코드 확인"))</f>
        <v/>
      </c>
      <c r="F30" s="19" t="n"/>
      <c r="G30" s="19" t="n"/>
      <c r="H30" s="30" t="n"/>
      <c r="I30" s="30" t="n"/>
      <c r="J30" s="23">
        <f>IF(D30="","",IFERROR(INDEX('01_자재목록'!$I$7:$I$106,MATCH(D30,'01_자재목록'!$B$7:$B$106,0))&amp;"","자재코드 확인"))</f>
        <v/>
      </c>
      <c r="K30" s="31">
        <f>IF(D30="",IF(OR(B30&lt;&gt;"",C30&lt;&gt;"",H30&lt;&gt;"",I30&lt;&gt;""),"자재코드 입력 확인",""),IF(COUNTIF('01_자재목록'!$B$7:$B$106,D30)&lt;&gt;1,"자재코드 확인",IF(J30="","단위 입력 확인",IF(OR(NOT(ISNUMBER(B30)),B30&lt;1,AND(C30&lt;&gt;"입고",C30&lt;&gt;"출고",C30&lt;&gt;"조정")),"일자/구분 확인",IF(OR(AND(H30&lt;&gt;"",NOT(ISNUMBER(H30))),AND(I30&lt;&gt;"",NOT(ISNUMBER(I30))),H30&lt;0,I30&lt;0,AND(H30&lt;=0,I30&lt;=0),AND(H30&gt;0,I30&gt;0),AND(C30="입고",I30&gt;0),AND(C30="출고",H30&gt;0)),"수량/구분 확인",SUMIFS($H$7:H30,$D$7:D30,D30)-SUMIFS($I$7:I30,$D$7:D30,D30))))))</f>
        <v/>
      </c>
      <c r="L30" s="19" t="n"/>
      <c r="M30" s="19" t="n"/>
      <c r="N30" s="19" t="n"/>
      <c r="O30" s="27">
        <f>IF(D30="","",IF(COUNTIF('01_자재목록'!$B$7:$B$106,D30)&lt;&gt;1,"자재코드 확인",IF(INDEX('01_자재목록'!$R$7:$R$106,MATCH(D30,'01_자재목록'!$B$7:$B$106,0))="","구분 미입력",INDEX('01_자재목록'!$R$7:$R$106,MATCH(D30,'01_자재목록'!$B$7:$B$106,0)))))</f>
        <v/>
      </c>
    </row>
    <row r="31" ht="24" customHeight="1">
      <c r="A31" s="18" t="n">
        <v>25</v>
      </c>
      <c r="B31" s="32" t="n"/>
      <c r="C31" s="19" t="n"/>
      <c r="D31" s="19" t="n"/>
      <c r="E31" s="23">
        <f>IF(D31="","",IFERROR(INDEX('01_자재목록'!$D$7:$D$106,MATCH(D31,'01_자재목록'!$B$7:$B$106,0))&amp;"","자재코드 확인"))</f>
        <v/>
      </c>
      <c r="F31" s="19" t="n"/>
      <c r="G31" s="19" t="n"/>
      <c r="H31" s="30" t="n"/>
      <c r="I31" s="30" t="n"/>
      <c r="J31" s="23">
        <f>IF(D31="","",IFERROR(INDEX('01_자재목록'!$I$7:$I$106,MATCH(D31,'01_자재목록'!$B$7:$B$106,0))&amp;"","자재코드 확인"))</f>
        <v/>
      </c>
      <c r="K31" s="31">
        <f>IF(D31="",IF(OR(B31&lt;&gt;"",C31&lt;&gt;"",H31&lt;&gt;"",I31&lt;&gt;""),"자재코드 입력 확인",""),IF(COUNTIF('01_자재목록'!$B$7:$B$106,D31)&lt;&gt;1,"자재코드 확인",IF(J31="","단위 입력 확인",IF(OR(NOT(ISNUMBER(B31)),B31&lt;1,AND(C31&lt;&gt;"입고",C31&lt;&gt;"출고",C31&lt;&gt;"조정")),"일자/구분 확인",IF(OR(AND(H31&lt;&gt;"",NOT(ISNUMBER(H31))),AND(I31&lt;&gt;"",NOT(ISNUMBER(I31))),H31&lt;0,I31&lt;0,AND(H31&lt;=0,I31&lt;=0),AND(H31&gt;0,I31&gt;0),AND(C31="입고",I31&gt;0),AND(C31="출고",H31&gt;0)),"수량/구분 확인",SUMIFS($H$7:H31,$D$7:D31,D31)-SUMIFS($I$7:I31,$D$7:D31,D31))))))</f>
        <v/>
      </c>
      <c r="L31" s="19" t="n"/>
      <c r="M31" s="19" t="n"/>
      <c r="N31" s="19" t="n"/>
      <c r="O31" s="27">
        <f>IF(D31="","",IF(COUNTIF('01_자재목록'!$B$7:$B$106,D31)&lt;&gt;1,"자재코드 확인",IF(INDEX('01_자재목록'!$R$7:$R$106,MATCH(D31,'01_자재목록'!$B$7:$B$106,0))="","구분 미입력",INDEX('01_자재목록'!$R$7:$R$106,MATCH(D31,'01_자재목록'!$B$7:$B$106,0)))))</f>
        <v/>
      </c>
    </row>
    <row r="32" ht="24" customHeight="1">
      <c r="A32" s="18" t="n">
        <v>26</v>
      </c>
      <c r="B32" s="32" t="n"/>
      <c r="C32" s="19" t="n"/>
      <c r="D32" s="19" t="n"/>
      <c r="E32" s="23">
        <f>IF(D32="","",IFERROR(INDEX('01_자재목록'!$D$7:$D$106,MATCH(D32,'01_자재목록'!$B$7:$B$106,0))&amp;"","자재코드 확인"))</f>
        <v/>
      </c>
      <c r="F32" s="19" t="n"/>
      <c r="G32" s="19" t="n"/>
      <c r="H32" s="30" t="n"/>
      <c r="I32" s="30" t="n"/>
      <c r="J32" s="23">
        <f>IF(D32="","",IFERROR(INDEX('01_자재목록'!$I$7:$I$106,MATCH(D32,'01_자재목록'!$B$7:$B$106,0))&amp;"","자재코드 확인"))</f>
        <v/>
      </c>
      <c r="K32" s="31">
        <f>IF(D32="",IF(OR(B32&lt;&gt;"",C32&lt;&gt;"",H32&lt;&gt;"",I32&lt;&gt;""),"자재코드 입력 확인",""),IF(COUNTIF('01_자재목록'!$B$7:$B$106,D32)&lt;&gt;1,"자재코드 확인",IF(J32="","단위 입력 확인",IF(OR(NOT(ISNUMBER(B32)),B32&lt;1,AND(C32&lt;&gt;"입고",C32&lt;&gt;"출고",C32&lt;&gt;"조정")),"일자/구분 확인",IF(OR(AND(H32&lt;&gt;"",NOT(ISNUMBER(H32))),AND(I32&lt;&gt;"",NOT(ISNUMBER(I32))),H32&lt;0,I32&lt;0,AND(H32&lt;=0,I32&lt;=0),AND(H32&gt;0,I32&gt;0),AND(C32="입고",I32&gt;0),AND(C32="출고",H32&gt;0)),"수량/구분 확인",SUMIFS($H$7:H32,$D$7:D32,D32)-SUMIFS($I$7:I32,$D$7:D32,D32))))))</f>
        <v/>
      </c>
      <c r="L32" s="19" t="n"/>
      <c r="M32" s="19" t="n"/>
      <c r="N32" s="19" t="n"/>
      <c r="O32" s="27">
        <f>IF(D32="","",IF(COUNTIF('01_자재목록'!$B$7:$B$106,D32)&lt;&gt;1,"자재코드 확인",IF(INDEX('01_자재목록'!$R$7:$R$106,MATCH(D32,'01_자재목록'!$B$7:$B$106,0))="","구분 미입력",INDEX('01_자재목록'!$R$7:$R$106,MATCH(D32,'01_자재목록'!$B$7:$B$106,0)))))</f>
        <v/>
      </c>
    </row>
    <row r="33" ht="24" customHeight="1">
      <c r="A33" s="18" t="n">
        <v>27</v>
      </c>
      <c r="B33" s="32" t="n"/>
      <c r="C33" s="19" t="n"/>
      <c r="D33" s="19" t="n"/>
      <c r="E33" s="23">
        <f>IF(D33="","",IFERROR(INDEX('01_자재목록'!$D$7:$D$106,MATCH(D33,'01_자재목록'!$B$7:$B$106,0))&amp;"","자재코드 확인"))</f>
        <v/>
      </c>
      <c r="F33" s="19" t="n"/>
      <c r="G33" s="19" t="n"/>
      <c r="H33" s="30" t="n"/>
      <c r="I33" s="30" t="n"/>
      <c r="J33" s="23">
        <f>IF(D33="","",IFERROR(INDEX('01_자재목록'!$I$7:$I$106,MATCH(D33,'01_자재목록'!$B$7:$B$106,0))&amp;"","자재코드 확인"))</f>
        <v/>
      </c>
      <c r="K33" s="31">
        <f>IF(D33="",IF(OR(B33&lt;&gt;"",C33&lt;&gt;"",H33&lt;&gt;"",I33&lt;&gt;""),"자재코드 입력 확인",""),IF(COUNTIF('01_자재목록'!$B$7:$B$106,D33)&lt;&gt;1,"자재코드 확인",IF(J33="","단위 입력 확인",IF(OR(NOT(ISNUMBER(B33)),B33&lt;1,AND(C33&lt;&gt;"입고",C33&lt;&gt;"출고",C33&lt;&gt;"조정")),"일자/구분 확인",IF(OR(AND(H33&lt;&gt;"",NOT(ISNUMBER(H33))),AND(I33&lt;&gt;"",NOT(ISNUMBER(I33))),H33&lt;0,I33&lt;0,AND(H33&lt;=0,I33&lt;=0),AND(H33&gt;0,I33&gt;0),AND(C33="입고",I33&gt;0),AND(C33="출고",H33&gt;0)),"수량/구분 확인",SUMIFS($H$7:H33,$D$7:D33,D33)-SUMIFS($I$7:I33,$D$7:D33,D33))))))</f>
        <v/>
      </c>
      <c r="L33" s="19" t="n"/>
      <c r="M33" s="19" t="n"/>
      <c r="N33" s="19" t="n"/>
      <c r="O33" s="27">
        <f>IF(D33="","",IF(COUNTIF('01_자재목록'!$B$7:$B$106,D33)&lt;&gt;1,"자재코드 확인",IF(INDEX('01_자재목록'!$R$7:$R$106,MATCH(D33,'01_자재목록'!$B$7:$B$106,0))="","구분 미입력",INDEX('01_자재목록'!$R$7:$R$106,MATCH(D33,'01_자재목록'!$B$7:$B$106,0)))))</f>
        <v/>
      </c>
    </row>
    <row r="34" ht="24" customHeight="1">
      <c r="A34" s="18" t="n">
        <v>28</v>
      </c>
      <c r="B34" s="32" t="n"/>
      <c r="C34" s="19" t="n"/>
      <c r="D34" s="19" t="n"/>
      <c r="E34" s="23">
        <f>IF(D34="","",IFERROR(INDEX('01_자재목록'!$D$7:$D$106,MATCH(D34,'01_자재목록'!$B$7:$B$106,0))&amp;"","자재코드 확인"))</f>
        <v/>
      </c>
      <c r="F34" s="19" t="n"/>
      <c r="G34" s="19" t="n"/>
      <c r="H34" s="30" t="n"/>
      <c r="I34" s="30" t="n"/>
      <c r="J34" s="23">
        <f>IF(D34="","",IFERROR(INDEX('01_자재목록'!$I$7:$I$106,MATCH(D34,'01_자재목록'!$B$7:$B$106,0))&amp;"","자재코드 확인"))</f>
        <v/>
      </c>
      <c r="K34" s="31">
        <f>IF(D34="",IF(OR(B34&lt;&gt;"",C34&lt;&gt;"",H34&lt;&gt;"",I34&lt;&gt;""),"자재코드 입력 확인",""),IF(COUNTIF('01_자재목록'!$B$7:$B$106,D34)&lt;&gt;1,"자재코드 확인",IF(J34="","단위 입력 확인",IF(OR(NOT(ISNUMBER(B34)),B34&lt;1,AND(C34&lt;&gt;"입고",C34&lt;&gt;"출고",C34&lt;&gt;"조정")),"일자/구분 확인",IF(OR(AND(H34&lt;&gt;"",NOT(ISNUMBER(H34))),AND(I34&lt;&gt;"",NOT(ISNUMBER(I34))),H34&lt;0,I34&lt;0,AND(H34&lt;=0,I34&lt;=0),AND(H34&gt;0,I34&gt;0),AND(C34="입고",I34&gt;0),AND(C34="출고",H34&gt;0)),"수량/구분 확인",SUMIFS($H$7:H34,$D$7:D34,D34)-SUMIFS($I$7:I34,$D$7:D34,D34))))))</f>
        <v/>
      </c>
      <c r="L34" s="19" t="n"/>
      <c r="M34" s="19" t="n"/>
      <c r="N34" s="19" t="n"/>
      <c r="O34" s="27">
        <f>IF(D34="","",IF(COUNTIF('01_자재목록'!$B$7:$B$106,D34)&lt;&gt;1,"자재코드 확인",IF(INDEX('01_자재목록'!$R$7:$R$106,MATCH(D34,'01_자재목록'!$B$7:$B$106,0))="","구분 미입력",INDEX('01_자재목록'!$R$7:$R$106,MATCH(D34,'01_자재목록'!$B$7:$B$106,0)))))</f>
        <v/>
      </c>
    </row>
    <row r="35" ht="24" customHeight="1">
      <c r="A35" s="18" t="n">
        <v>29</v>
      </c>
      <c r="B35" s="32" t="n"/>
      <c r="C35" s="19" t="n"/>
      <c r="D35" s="19" t="n"/>
      <c r="E35" s="23">
        <f>IF(D35="","",IFERROR(INDEX('01_자재목록'!$D$7:$D$106,MATCH(D35,'01_자재목록'!$B$7:$B$106,0))&amp;"","자재코드 확인"))</f>
        <v/>
      </c>
      <c r="F35" s="19" t="n"/>
      <c r="G35" s="19" t="n"/>
      <c r="H35" s="30" t="n"/>
      <c r="I35" s="30" t="n"/>
      <c r="J35" s="23">
        <f>IF(D35="","",IFERROR(INDEX('01_자재목록'!$I$7:$I$106,MATCH(D35,'01_자재목록'!$B$7:$B$106,0))&amp;"","자재코드 확인"))</f>
        <v/>
      </c>
      <c r="K35" s="31">
        <f>IF(D35="",IF(OR(B35&lt;&gt;"",C35&lt;&gt;"",H35&lt;&gt;"",I35&lt;&gt;""),"자재코드 입력 확인",""),IF(COUNTIF('01_자재목록'!$B$7:$B$106,D35)&lt;&gt;1,"자재코드 확인",IF(J35="","단위 입력 확인",IF(OR(NOT(ISNUMBER(B35)),B35&lt;1,AND(C35&lt;&gt;"입고",C35&lt;&gt;"출고",C35&lt;&gt;"조정")),"일자/구분 확인",IF(OR(AND(H35&lt;&gt;"",NOT(ISNUMBER(H35))),AND(I35&lt;&gt;"",NOT(ISNUMBER(I35))),H35&lt;0,I35&lt;0,AND(H35&lt;=0,I35&lt;=0),AND(H35&gt;0,I35&gt;0),AND(C35="입고",I35&gt;0),AND(C35="출고",H35&gt;0)),"수량/구분 확인",SUMIFS($H$7:H35,$D$7:D35,D35)-SUMIFS($I$7:I35,$D$7:D35,D35))))))</f>
        <v/>
      </c>
      <c r="L35" s="19" t="n"/>
      <c r="M35" s="19" t="n"/>
      <c r="N35" s="19" t="n"/>
      <c r="O35" s="27">
        <f>IF(D35="","",IF(COUNTIF('01_자재목록'!$B$7:$B$106,D35)&lt;&gt;1,"자재코드 확인",IF(INDEX('01_자재목록'!$R$7:$R$106,MATCH(D35,'01_자재목록'!$B$7:$B$106,0))="","구분 미입력",INDEX('01_자재목록'!$R$7:$R$106,MATCH(D35,'01_자재목록'!$B$7:$B$106,0)))))</f>
        <v/>
      </c>
    </row>
    <row r="36" ht="24" customHeight="1">
      <c r="A36" s="18" t="n">
        <v>30</v>
      </c>
      <c r="B36" s="32" t="n"/>
      <c r="C36" s="19" t="n"/>
      <c r="D36" s="19" t="n"/>
      <c r="E36" s="23">
        <f>IF(D36="","",IFERROR(INDEX('01_자재목록'!$D$7:$D$106,MATCH(D36,'01_자재목록'!$B$7:$B$106,0))&amp;"","자재코드 확인"))</f>
        <v/>
      </c>
      <c r="F36" s="19" t="n"/>
      <c r="G36" s="19" t="n"/>
      <c r="H36" s="30" t="n"/>
      <c r="I36" s="30" t="n"/>
      <c r="J36" s="23">
        <f>IF(D36="","",IFERROR(INDEX('01_자재목록'!$I$7:$I$106,MATCH(D36,'01_자재목록'!$B$7:$B$106,0))&amp;"","자재코드 확인"))</f>
        <v/>
      </c>
      <c r="K36" s="31">
        <f>IF(D36="",IF(OR(B36&lt;&gt;"",C36&lt;&gt;"",H36&lt;&gt;"",I36&lt;&gt;""),"자재코드 입력 확인",""),IF(COUNTIF('01_자재목록'!$B$7:$B$106,D36)&lt;&gt;1,"자재코드 확인",IF(J36="","단위 입력 확인",IF(OR(NOT(ISNUMBER(B36)),B36&lt;1,AND(C36&lt;&gt;"입고",C36&lt;&gt;"출고",C36&lt;&gt;"조정")),"일자/구분 확인",IF(OR(AND(H36&lt;&gt;"",NOT(ISNUMBER(H36))),AND(I36&lt;&gt;"",NOT(ISNUMBER(I36))),H36&lt;0,I36&lt;0,AND(H36&lt;=0,I36&lt;=0),AND(H36&gt;0,I36&gt;0),AND(C36="입고",I36&gt;0),AND(C36="출고",H36&gt;0)),"수량/구분 확인",SUMIFS($H$7:H36,$D$7:D36,D36)-SUMIFS($I$7:I36,$D$7:D36,D36))))))</f>
        <v/>
      </c>
      <c r="L36" s="19" t="n"/>
      <c r="M36" s="19" t="n"/>
      <c r="N36" s="19" t="n"/>
      <c r="O36" s="27">
        <f>IF(D36="","",IF(COUNTIF('01_자재목록'!$B$7:$B$106,D36)&lt;&gt;1,"자재코드 확인",IF(INDEX('01_자재목록'!$R$7:$R$106,MATCH(D36,'01_자재목록'!$B$7:$B$106,0))="","구분 미입력",INDEX('01_자재목록'!$R$7:$R$106,MATCH(D36,'01_자재목록'!$B$7:$B$106,0)))))</f>
        <v/>
      </c>
    </row>
    <row r="37" ht="24" customHeight="1">
      <c r="A37" s="18" t="n">
        <v>31</v>
      </c>
      <c r="B37" s="32" t="n"/>
      <c r="C37" s="19" t="n"/>
      <c r="D37" s="19" t="n"/>
      <c r="E37" s="23">
        <f>IF(D37="","",IFERROR(INDEX('01_자재목록'!$D$7:$D$106,MATCH(D37,'01_자재목록'!$B$7:$B$106,0))&amp;"","자재코드 확인"))</f>
        <v/>
      </c>
      <c r="F37" s="19" t="n"/>
      <c r="G37" s="19" t="n"/>
      <c r="H37" s="30" t="n"/>
      <c r="I37" s="30" t="n"/>
      <c r="J37" s="23">
        <f>IF(D37="","",IFERROR(INDEX('01_자재목록'!$I$7:$I$106,MATCH(D37,'01_자재목록'!$B$7:$B$106,0))&amp;"","자재코드 확인"))</f>
        <v/>
      </c>
      <c r="K37" s="31">
        <f>IF(D37="",IF(OR(B37&lt;&gt;"",C37&lt;&gt;"",H37&lt;&gt;"",I37&lt;&gt;""),"자재코드 입력 확인",""),IF(COUNTIF('01_자재목록'!$B$7:$B$106,D37)&lt;&gt;1,"자재코드 확인",IF(J37="","단위 입력 확인",IF(OR(NOT(ISNUMBER(B37)),B37&lt;1,AND(C37&lt;&gt;"입고",C37&lt;&gt;"출고",C37&lt;&gt;"조정")),"일자/구분 확인",IF(OR(AND(H37&lt;&gt;"",NOT(ISNUMBER(H37))),AND(I37&lt;&gt;"",NOT(ISNUMBER(I37))),H37&lt;0,I37&lt;0,AND(H37&lt;=0,I37&lt;=0),AND(H37&gt;0,I37&gt;0),AND(C37="입고",I37&gt;0),AND(C37="출고",H37&gt;0)),"수량/구분 확인",SUMIFS($H$7:H37,$D$7:D37,D37)-SUMIFS($I$7:I37,$D$7:D37,D37))))))</f>
        <v/>
      </c>
      <c r="L37" s="19" t="n"/>
      <c r="M37" s="19" t="n"/>
      <c r="N37" s="19" t="n"/>
      <c r="O37" s="27">
        <f>IF(D37="","",IF(COUNTIF('01_자재목록'!$B$7:$B$106,D37)&lt;&gt;1,"자재코드 확인",IF(INDEX('01_자재목록'!$R$7:$R$106,MATCH(D37,'01_자재목록'!$B$7:$B$106,0))="","구분 미입력",INDEX('01_자재목록'!$R$7:$R$106,MATCH(D37,'01_자재목록'!$B$7:$B$106,0)))))</f>
        <v/>
      </c>
    </row>
    <row r="38" ht="24" customHeight="1">
      <c r="A38" s="18" t="n">
        <v>32</v>
      </c>
      <c r="B38" s="32" t="n"/>
      <c r="C38" s="19" t="n"/>
      <c r="D38" s="19" t="n"/>
      <c r="E38" s="23">
        <f>IF(D38="","",IFERROR(INDEX('01_자재목록'!$D$7:$D$106,MATCH(D38,'01_자재목록'!$B$7:$B$106,0))&amp;"","자재코드 확인"))</f>
        <v/>
      </c>
      <c r="F38" s="19" t="n"/>
      <c r="G38" s="19" t="n"/>
      <c r="H38" s="30" t="n"/>
      <c r="I38" s="30" t="n"/>
      <c r="J38" s="23">
        <f>IF(D38="","",IFERROR(INDEX('01_자재목록'!$I$7:$I$106,MATCH(D38,'01_자재목록'!$B$7:$B$106,0))&amp;"","자재코드 확인"))</f>
        <v/>
      </c>
      <c r="K38" s="31">
        <f>IF(D38="",IF(OR(B38&lt;&gt;"",C38&lt;&gt;"",H38&lt;&gt;"",I38&lt;&gt;""),"자재코드 입력 확인",""),IF(COUNTIF('01_자재목록'!$B$7:$B$106,D38)&lt;&gt;1,"자재코드 확인",IF(J38="","단위 입력 확인",IF(OR(NOT(ISNUMBER(B38)),B38&lt;1,AND(C38&lt;&gt;"입고",C38&lt;&gt;"출고",C38&lt;&gt;"조정")),"일자/구분 확인",IF(OR(AND(H38&lt;&gt;"",NOT(ISNUMBER(H38))),AND(I38&lt;&gt;"",NOT(ISNUMBER(I38))),H38&lt;0,I38&lt;0,AND(H38&lt;=0,I38&lt;=0),AND(H38&gt;0,I38&gt;0),AND(C38="입고",I38&gt;0),AND(C38="출고",H38&gt;0)),"수량/구분 확인",SUMIFS($H$7:H38,$D$7:D38,D38)-SUMIFS($I$7:I38,$D$7:D38,D38))))))</f>
        <v/>
      </c>
      <c r="L38" s="19" t="n"/>
      <c r="M38" s="19" t="n"/>
      <c r="N38" s="19" t="n"/>
      <c r="O38" s="27">
        <f>IF(D38="","",IF(COUNTIF('01_자재목록'!$B$7:$B$106,D38)&lt;&gt;1,"자재코드 확인",IF(INDEX('01_자재목록'!$R$7:$R$106,MATCH(D38,'01_자재목록'!$B$7:$B$106,0))="","구분 미입력",INDEX('01_자재목록'!$R$7:$R$106,MATCH(D38,'01_자재목록'!$B$7:$B$106,0)))))</f>
        <v/>
      </c>
    </row>
    <row r="39" ht="24" customHeight="1">
      <c r="A39" s="18" t="n">
        <v>33</v>
      </c>
      <c r="B39" s="32" t="n"/>
      <c r="C39" s="19" t="n"/>
      <c r="D39" s="19" t="n"/>
      <c r="E39" s="23">
        <f>IF(D39="","",IFERROR(INDEX('01_자재목록'!$D$7:$D$106,MATCH(D39,'01_자재목록'!$B$7:$B$106,0))&amp;"","자재코드 확인"))</f>
        <v/>
      </c>
      <c r="F39" s="19" t="n"/>
      <c r="G39" s="19" t="n"/>
      <c r="H39" s="30" t="n"/>
      <c r="I39" s="30" t="n"/>
      <c r="J39" s="23">
        <f>IF(D39="","",IFERROR(INDEX('01_자재목록'!$I$7:$I$106,MATCH(D39,'01_자재목록'!$B$7:$B$106,0))&amp;"","자재코드 확인"))</f>
        <v/>
      </c>
      <c r="K39" s="31">
        <f>IF(D39="",IF(OR(B39&lt;&gt;"",C39&lt;&gt;"",H39&lt;&gt;"",I39&lt;&gt;""),"자재코드 입력 확인",""),IF(COUNTIF('01_자재목록'!$B$7:$B$106,D39)&lt;&gt;1,"자재코드 확인",IF(J39="","단위 입력 확인",IF(OR(NOT(ISNUMBER(B39)),B39&lt;1,AND(C39&lt;&gt;"입고",C39&lt;&gt;"출고",C39&lt;&gt;"조정")),"일자/구분 확인",IF(OR(AND(H39&lt;&gt;"",NOT(ISNUMBER(H39))),AND(I39&lt;&gt;"",NOT(ISNUMBER(I39))),H39&lt;0,I39&lt;0,AND(H39&lt;=0,I39&lt;=0),AND(H39&gt;0,I39&gt;0),AND(C39="입고",I39&gt;0),AND(C39="출고",H39&gt;0)),"수량/구분 확인",SUMIFS($H$7:H39,$D$7:D39,D39)-SUMIFS($I$7:I39,$D$7:D39,D39))))))</f>
        <v/>
      </c>
      <c r="L39" s="19" t="n"/>
      <c r="M39" s="19" t="n"/>
      <c r="N39" s="19" t="n"/>
      <c r="O39" s="27">
        <f>IF(D39="","",IF(COUNTIF('01_자재목록'!$B$7:$B$106,D39)&lt;&gt;1,"자재코드 확인",IF(INDEX('01_자재목록'!$R$7:$R$106,MATCH(D39,'01_자재목록'!$B$7:$B$106,0))="","구분 미입력",INDEX('01_자재목록'!$R$7:$R$106,MATCH(D39,'01_자재목록'!$B$7:$B$106,0)))))</f>
        <v/>
      </c>
    </row>
    <row r="40" ht="24" customHeight="1">
      <c r="A40" s="18" t="n">
        <v>34</v>
      </c>
      <c r="B40" s="32" t="n"/>
      <c r="C40" s="19" t="n"/>
      <c r="D40" s="19" t="n"/>
      <c r="E40" s="23">
        <f>IF(D40="","",IFERROR(INDEX('01_자재목록'!$D$7:$D$106,MATCH(D40,'01_자재목록'!$B$7:$B$106,0))&amp;"","자재코드 확인"))</f>
        <v/>
      </c>
      <c r="F40" s="19" t="n"/>
      <c r="G40" s="19" t="n"/>
      <c r="H40" s="30" t="n"/>
      <c r="I40" s="30" t="n"/>
      <c r="J40" s="23">
        <f>IF(D40="","",IFERROR(INDEX('01_자재목록'!$I$7:$I$106,MATCH(D40,'01_자재목록'!$B$7:$B$106,0))&amp;"","자재코드 확인"))</f>
        <v/>
      </c>
      <c r="K40" s="31">
        <f>IF(D40="",IF(OR(B40&lt;&gt;"",C40&lt;&gt;"",H40&lt;&gt;"",I40&lt;&gt;""),"자재코드 입력 확인",""),IF(COUNTIF('01_자재목록'!$B$7:$B$106,D40)&lt;&gt;1,"자재코드 확인",IF(J40="","단위 입력 확인",IF(OR(NOT(ISNUMBER(B40)),B40&lt;1,AND(C40&lt;&gt;"입고",C40&lt;&gt;"출고",C40&lt;&gt;"조정")),"일자/구분 확인",IF(OR(AND(H40&lt;&gt;"",NOT(ISNUMBER(H40))),AND(I40&lt;&gt;"",NOT(ISNUMBER(I40))),H40&lt;0,I40&lt;0,AND(H40&lt;=0,I40&lt;=0),AND(H40&gt;0,I40&gt;0),AND(C40="입고",I40&gt;0),AND(C40="출고",H40&gt;0)),"수량/구분 확인",SUMIFS($H$7:H40,$D$7:D40,D40)-SUMIFS($I$7:I40,$D$7:D40,D40))))))</f>
        <v/>
      </c>
      <c r="L40" s="19" t="n"/>
      <c r="M40" s="19" t="n"/>
      <c r="N40" s="19" t="n"/>
      <c r="O40" s="27">
        <f>IF(D40="","",IF(COUNTIF('01_자재목록'!$B$7:$B$106,D40)&lt;&gt;1,"자재코드 확인",IF(INDEX('01_자재목록'!$R$7:$R$106,MATCH(D40,'01_자재목록'!$B$7:$B$106,0))="","구분 미입력",INDEX('01_자재목록'!$R$7:$R$106,MATCH(D40,'01_자재목록'!$B$7:$B$106,0)))))</f>
        <v/>
      </c>
    </row>
    <row r="41" ht="24" customHeight="1">
      <c r="A41" s="18" t="n">
        <v>35</v>
      </c>
      <c r="B41" s="32" t="n"/>
      <c r="C41" s="19" t="n"/>
      <c r="D41" s="19" t="n"/>
      <c r="E41" s="23">
        <f>IF(D41="","",IFERROR(INDEX('01_자재목록'!$D$7:$D$106,MATCH(D41,'01_자재목록'!$B$7:$B$106,0))&amp;"","자재코드 확인"))</f>
        <v/>
      </c>
      <c r="F41" s="19" t="n"/>
      <c r="G41" s="19" t="n"/>
      <c r="H41" s="30" t="n"/>
      <c r="I41" s="30" t="n"/>
      <c r="J41" s="23">
        <f>IF(D41="","",IFERROR(INDEX('01_자재목록'!$I$7:$I$106,MATCH(D41,'01_자재목록'!$B$7:$B$106,0))&amp;"","자재코드 확인"))</f>
        <v/>
      </c>
      <c r="K41" s="31">
        <f>IF(D41="",IF(OR(B41&lt;&gt;"",C41&lt;&gt;"",H41&lt;&gt;"",I41&lt;&gt;""),"자재코드 입력 확인",""),IF(COUNTIF('01_자재목록'!$B$7:$B$106,D41)&lt;&gt;1,"자재코드 확인",IF(J41="","단위 입력 확인",IF(OR(NOT(ISNUMBER(B41)),B41&lt;1,AND(C41&lt;&gt;"입고",C41&lt;&gt;"출고",C41&lt;&gt;"조정")),"일자/구분 확인",IF(OR(AND(H41&lt;&gt;"",NOT(ISNUMBER(H41))),AND(I41&lt;&gt;"",NOT(ISNUMBER(I41))),H41&lt;0,I41&lt;0,AND(H41&lt;=0,I41&lt;=0),AND(H41&gt;0,I41&gt;0),AND(C41="입고",I41&gt;0),AND(C41="출고",H41&gt;0)),"수량/구분 확인",SUMIFS($H$7:H41,$D$7:D41,D41)-SUMIFS($I$7:I41,$D$7:D41,D41))))))</f>
        <v/>
      </c>
      <c r="L41" s="19" t="n"/>
      <c r="M41" s="19" t="n"/>
      <c r="N41" s="19" t="n"/>
      <c r="O41" s="27">
        <f>IF(D41="","",IF(COUNTIF('01_자재목록'!$B$7:$B$106,D41)&lt;&gt;1,"자재코드 확인",IF(INDEX('01_자재목록'!$R$7:$R$106,MATCH(D41,'01_자재목록'!$B$7:$B$106,0))="","구분 미입력",INDEX('01_자재목록'!$R$7:$R$106,MATCH(D41,'01_자재목록'!$B$7:$B$106,0)))))</f>
        <v/>
      </c>
    </row>
    <row r="42" ht="24" customHeight="1">
      <c r="A42" s="18" t="n">
        <v>36</v>
      </c>
      <c r="B42" s="32" t="n"/>
      <c r="C42" s="19" t="n"/>
      <c r="D42" s="19" t="n"/>
      <c r="E42" s="23">
        <f>IF(D42="","",IFERROR(INDEX('01_자재목록'!$D$7:$D$106,MATCH(D42,'01_자재목록'!$B$7:$B$106,0))&amp;"","자재코드 확인"))</f>
        <v/>
      </c>
      <c r="F42" s="19" t="n"/>
      <c r="G42" s="19" t="n"/>
      <c r="H42" s="30" t="n"/>
      <c r="I42" s="30" t="n"/>
      <c r="J42" s="23">
        <f>IF(D42="","",IFERROR(INDEX('01_자재목록'!$I$7:$I$106,MATCH(D42,'01_자재목록'!$B$7:$B$106,0))&amp;"","자재코드 확인"))</f>
        <v/>
      </c>
      <c r="K42" s="31">
        <f>IF(D42="",IF(OR(B42&lt;&gt;"",C42&lt;&gt;"",H42&lt;&gt;"",I42&lt;&gt;""),"자재코드 입력 확인",""),IF(COUNTIF('01_자재목록'!$B$7:$B$106,D42)&lt;&gt;1,"자재코드 확인",IF(J42="","단위 입력 확인",IF(OR(NOT(ISNUMBER(B42)),B42&lt;1,AND(C42&lt;&gt;"입고",C42&lt;&gt;"출고",C42&lt;&gt;"조정")),"일자/구분 확인",IF(OR(AND(H42&lt;&gt;"",NOT(ISNUMBER(H42))),AND(I42&lt;&gt;"",NOT(ISNUMBER(I42))),H42&lt;0,I42&lt;0,AND(H42&lt;=0,I42&lt;=0),AND(H42&gt;0,I42&gt;0),AND(C42="입고",I42&gt;0),AND(C42="출고",H42&gt;0)),"수량/구분 확인",SUMIFS($H$7:H42,$D$7:D42,D42)-SUMIFS($I$7:I42,$D$7:D42,D42))))))</f>
        <v/>
      </c>
      <c r="L42" s="19" t="n"/>
      <c r="M42" s="19" t="n"/>
      <c r="N42" s="19" t="n"/>
      <c r="O42" s="27">
        <f>IF(D42="","",IF(COUNTIF('01_자재목록'!$B$7:$B$106,D42)&lt;&gt;1,"자재코드 확인",IF(INDEX('01_자재목록'!$R$7:$R$106,MATCH(D42,'01_자재목록'!$B$7:$B$106,0))="","구분 미입력",INDEX('01_자재목록'!$R$7:$R$106,MATCH(D42,'01_자재목록'!$B$7:$B$106,0)))))</f>
        <v/>
      </c>
    </row>
    <row r="43" ht="24" customHeight="1">
      <c r="A43" s="18" t="n">
        <v>37</v>
      </c>
      <c r="B43" s="32" t="n"/>
      <c r="C43" s="19" t="n"/>
      <c r="D43" s="19" t="n"/>
      <c r="E43" s="23">
        <f>IF(D43="","",IFERROR(INDEX('01_자재목록'!$D$7:$D$106,MATCH(D43,'01_자재목록'!$B$7:$B$106,0))&amp;"","자재코드 확인"))</f>
        <v/>
      </c>
      <c r="F43" s="19" t="n"/>
      <c r="G43" s="19" t="n"/>
      <c r="H43" s="30" t="n"/>
      <c r="I43" s="30" t="n"/>
      <c r="J43" s="23">
        <f>IF(D43="","",IFERROR(INDEX('01_자재목록'!$I$7:$I$106,MATCH(D43,'01_자재목록'!$B$7:$B$106,0))&amp;"","자재코드 확인"))</f>
        <v/>
      </c>
      <c r="K43" s="31">
        <f>IF(D43="",IF(OR(B43&lt;&gt;"",C43&lt;&gt;"",H43&lt;&gt;"",I43&lt;&gt;""),"자재코드 입력 확인",""),IF(COUNTIF('01_자재목록'!$B$7:$B$106,D43)&lt;&gt;1,"자재코드 확인",IF(J43="","단위 입력 확인",IF(OR(NOT(ISNUMBER(B43)),B43&lt;1,AND(C43&lt;&gt;"입고",C43&lt;&gt;"출고",C43&lt;&gt;"조정")),"일자/구분 확인",IF(OR(AND(H43&lt;&gt;"",NOT(ISNUMBER(H43))),AND(I43&lt;&gt;"",NOT(ISNUMBER(I43))),H43&lt;0,I43&lt;0,AND(H43&lt;=0,I43&lt;=0),AND(H43&gt;0,I43&gt;0),AND(C43="입고",I43&gt;0),AND(C43="출고",H43&gt;0)),"수량/구분 확인",SUMIFS($H$7:H43,$D$7:D43,D43)-SUMIFS($I$7:I43,$D$7:D43,D43))))))</f>
        <v/>
      </c>
      <c r="L43" s="19" t="n"/>
      <c r="M43" s="19" t="n"/>
      <c r="N43" s="19" t="n"/>
      <c r="O43" s="27">
        <f>IF(D43="","",IF(COUNTIF('01_자재목록'!$B$7:$B$106,D43)&lt;&gt;1,"자재코드 확인",IF(INDEX('01_자재목록'!$R$7:$R$106,MATCH(D43,'01_자재목록'!$B$7:$B$106,0))="","구분 미입력",INDEX('01_자재목록'!$R$7:$R$106,MATCH(D43,'01_자재목록'!$B$7:$B$106,0)))))</f>
        <v/>
      </c>
    </row>
    <row r="44" ht="24" customHeight="1">
      <c r="A44" s="18" t="n">
        <v>38</v>
      </c>
      <c r="B44" s="32" t="n"/>
      <c r="C44" s="19" t="n"/>
      <c r="D44" s="19" t="n"/>
      <c r="E44" s="23">
        <f>IF(D44="","",IFERROR(INDEX('01_자재목록'!$D$7:$D$106,MATCH(D44,'01_자재목록'!$B$7:$B$106,0))&amp;"","자재코드 확인"))</f>
        <v/>
      </c>
      <c r="F44" s="19" t="n"/>
      <c r="G44" s="19" t="n"/>
      <c r="H44" s="30" t="n"/>
      <c r="I44" s="30" t="n"/>
      <c r="J44" s="23">
        <f>IF(D44="","",IFERROR(INDEX('01_자재목록'!$I$7:$I$106,MATCH(D44,'01_자재목록'!$B$7:$B$106,0))&amp;"","자재코드 확인"))</f>
        <v/>
      </c>
      <c r="K44" s="31">
        <f>IF(D44="",IF(OR(B44&lt;&gt;"",C44&lt;&gt;"",H44&lt;&gt;"",I44&lt;&gt;""),"자재코드 입력 확인",""),IF(COUNTIF('01_자재목록'!$B$7:$B$106,D44)&lt;&gt;1,"자재코드 확인",IF(J44="","단위 입력 확인",IF(OR(NOT(ISNUMBER(B44)),B44&lt;1,AND(C44&lt;&gt;"입고",C44&lt;&gt;"출고",C44&lt;&gt;"조정")),"일자/구분 확인",IF(OR(AND(H44&lt;&gt;"",NOT(ISNUMBER(H44))),AND(I44&lt;&gt;"",NOT(ISNUMBER(I44))),H44&lt;0,I44&lt;0,AND(H44&lt;=0,I44&lt;=0),AND(H44&gt;0,I44&gt;0),AND(C44="입고",I44&gt;0),AND(C44="출고",H44&gt;0)),"수량/구분 확인",SUMIFS($H$7:H44,$D$7:D44,D44)-SUMIFS($I$7:I44,$D$7:D44,D44))))))</f>
        <v/>
      </c>
      <c r="L44" s="19" t="n"/>
      <c r="M44" s="19" t="n"/>
      <c r="N44" s="19" t="n"/>
      <c r="O44" s="27">
        <f>IF(D44="","",IF(COUNTIF('01_자재목록'!$B$7:$B$106,D44)&lt;&gt;1,"자재코드 확인",IF(INDEX('01_자재목록'!$R$7:$R$106,MATCH(D44,'01_자재목록'!$B$7:$B$106,0))="","구분 미입력",INDEX('01_자재목록'!$R$7:$R$106,MATCH(D44,'01_자재목록'!$B$7:$B$106,0)))))</f>
        <v/>
      </c>
    </row>
    <row r="45" ht="24" customHeight="1">
      <c r="A45" s="18" t="n">
        <v>39</v>
      </c>
      <c r="B45" s="32" t="n"/>
      <c r="C45" s="19" t="n"/>
      <c r="D45" s="19" t="n"/>
      <c r="E45" s="23">
        <f>IF(D45="","",IFERROR(INDEX('01_자재목록'!$D$7:$D$106,MATCH(D45,'01_자재목록'!$B$7:$B$106,0))&amp;"","자재코드 확인"))</f>
        <v/>
      </c>
      <c r="F45" s="19" t="n"/>
      <c r="G45" s="19" t="n"/>
      <c r="H45" s="30" t="n"/>
      <c r="I45" s="30" t="n"/>
      <c r="J45" s="23">
        <f>IF(D45="","",IFERROR(INDEX('01_자재목록'!$I$7:$I$106,MATCH(D45,'01_자재목록'!$B$7:$B$106,0))&amp;"","자재코드 확인"))</f>
        <v/>
      </c>
      <c r="K45" s="31">
        <f>IF(D45="",IF(OR(B45&lt;&gt;"",C45&lt;&gt;"",H45&lt;&gt;"",I45&lt;&gt;""),"자재코드 입력 확인",""),IF(COUNTIF('01_자재목록'!$B$7:$B$106,D45)&lt;&gt;1,"자재코드 확인",IF(J45="","단위 입력 확인",IF(OR(NOT(ISNUMBER(B45)),B45&lt;1,AND(C45&lt;&gt;"입고",C45&lt;&gt;"출고",C45&lt;&gt;"조정")),"일자/구분 확인",IF(OR(AND(H45&lt;&gt;"",NOT(ISNUMBER(H45))),AND(I45&lt;&gt;"",NOT(ISNUMBER(I45))),H45&lt;0,I45&lt;0,AND(H45&lt;=0,I45&lt;=0),AND(H45&gt;0,I45&gt;0),AND(C45="입고",I45&gt;0),AND(C45="출고",H45&gt;0)),"수량/구분 확인",SUMIFS($H$7:H45,$D$7:D45,D45)-SUMIFS($I$7:I45,$D$7:D45,D45))))))</f>
        <v/>
      </c>
      <c r="L45" s="19" t="n"/>
      <c r="M45" s="19" t="n"/>
      <c r="N45" s="19" t="n"/>
      <c r="O45" s="27">
        <f>IF(D45="","",IF(COUNTIF('01_자재목록'!$B$7:$B$106,D45)&lt;&gt;1,"자재코드 확인",IF(INDEX('01_자재목록'!$R$7:$R$106,MATCH(D45,'01_자재목록'!$B$7:$B$106,0))="","구분 미입력",INDEX('01_자재목록'!$R$7:$R$106,MATCH(D45,'01_자재목록'!$B$7:$B$106,0)))))</f>
        <v/>
      </c>
    </row>
    <row r="46" ht="24" customHeight="1">
      <c r="A46" s="18" t="n">
        <v>40</v>
      </c>
      <c r="B46" s="32" t="n"/>
      <c r="C46" s="19" t="n"/>
      <c r="D46" s="19" t="n"/>
      <c r="E46" s="23">
        <f>IF(D46="","",IFERROR(INDEX('01_자재목록'!$D$7:$D$106,MATCH(D46,'01_자재목록'!$B$7:$B$106,0))&amp;"","자재코드 확인"))</f>
        <v/>
      </c>
      <c r="F46" s="19" t="n"/>
      <c r="G46" s="19" t="n"/>
      <c r="H46" s="30" t="n"/>
      <c r="I46" s="30" t="n"/>
      <c r="J46" s="23">
        <f>IF(D46="","",IFERROR(INDEX('01_자재목록'!$I$7:$I$106,MATCH(D46,'01_자재목록'!$B$7:$B$106,0))&amp;"","자재코드 확인"))</f>
        <v/>
      </c>
      <c r="K46" s="31">
        <f>IF(D46="",IF(OR(B46&lt;&gt;"",C46&lt;&gt;"",H46&lt;&gt;"",I46&lt;&gt;""),"자재코드 입력 확인",""),IF(COUNTIF('01_자재목록'!$B$7:$B$106,D46)&lt;&gt;1,"자재코드 확인",IF(J46="","단위 입력 확인",IF(OR(NOT(ISNUMBER(B46)),B46&lt;1,AND(C46&lt;&gt;"입고",C46&lt;&gt;"출고",C46&lt;&gt;"조정")),"일자/구분 확인",IF(OR(AND(H46&lt;&gt;"",NOT(ISNUMBER(H46))),AND(I46&lt;&gt;"",NOT(ISNUMBER(I46))),H46&lt;0,I46&lt;0,AND(H46&lt;=0,I46&lt;=0),AND(H46&gt;0,I46&gt;0),AND(C46="입고",I46&gt;0),AND(C46="출고",H46&gt;0)),"수량/구분 확인",SUMIFS($H$7:H46,$D$7:D46,D46)-SUMIFS($I$7:I46,$D$7:D46,D46))))))</f>
        <v/>
      </c>
      <c r="L46" s="19" t="n"/>
      <c r="M46" s="19" t="n"/>
      <c r="N46" s="19" t="n"/>
      <c r="O46" s="27">
        <f>IF(D46="","",IF(COUNTIF('01_자재목록'!$B$7:$B$106,D46)&lt;&gt;1,"자재코드 확인",IF(INDEX('01_자재목록'!$R$7:$R$106,MATCH(D46,'01_자재목록'!$B$7:$B$106,0))="","구분 미입력",INDEX('01_자재목록'!$R$7:$R$106,MATCH(D46,'01_자재목록'!$B$7:$B$106,0)))))</f>
        <v/>
      </c>
    </row>
    <row r="47" ht="24" customHeight="1">
      <c r="A47" s="18" t="n">
        <v>41</v>
      </c>
      <c r="B47" s="32" t="n"/>
      <c r="C47" s="19" t="n"/>
      <c r="D47" s="19" t="n"/>
      <c r="E47" s="23">
        <f>IF(D47="","",IFERROR(INDEX('01_자재목록'!$D$7:$D$106,MATCH(D47,'01_자재목록'!$B$7:$B$106,0))&amp;"","자재코드 확인"))</f>
        <v/>
      </c>
      <c r="F47" s="19" t="n"/>
      <c r="G47" s="19" t="n"/>
      <c r="H47" s="30" t="n"/>
      <c r="I47" s="30" t="n"/>
      <c r="J47" s="23">
        <f>IF(D47="","",IFERROR(INDEX('01_자재목록'!$I$7:$I$106,MATCH(D47,'01_자재목록'!$B$7:$B$106,0))&amp;"","자재코드 확인"))</f>
        <v/>
      </c>
      <c r="K47" s="31">
        <f>IF(D47="",IF(OR(B47&lt;&gt;"",C47&lt;&gt;"",H47&lt;&gt;"",I47&lt;&gt;""),"자재코드 입력 확인",""),IF(COUNTIF('01_자재목록'!$B$7:$B$106,D47)&lt;&gt;1,"자재코드 확인",IF(J47="","단위 입력 확인",IF(OR(NOT(ISNUMBER(B47)),B47&lt;1,AND(C47&lt;&gt;"입고",C47&lt;&gt;"출고",C47&lt;&gt;"조정")),"일자/구분 확인",IF(OR(AND(H47&lt;&gt;"",NOT(ISNUMBER(H47))),AND(I47&lt;&gt;"",NOT(ISNUMBER(I47))),H47&lt;0,I47&lt;0,AND(H47&lt;=0,I47&lt;=0),AND(H47&gt;0,I47&gt;0),AND(C47="입고",I47&gt;0),AND(C47="출고",H47&gt;0)),"수량/구분 확인",SUMIFS($H$7:H47,$D$7:D47,D47)-SUMIFS($I$7:I47,$D$7:D47,D47))))))</f>
        <v/>
      </c>
      <c r="L47" s="19" t="n"/>
      <c r="M47" s="19" t="n"/>
      <c r="N47" s="19" t="n"/>
      <c r="O47" s="27">
        <f>IF(D47="","",IF(COUNTIF('01_자재목록'!$B$7:$B$106,D47)&lt;&gt;1,"자재코드 확인",IF(INDEX('01_자재목록'!$R$7:$R$106,MATCH(D47,'01_자재목록'!$B$7:$B$106,0))="","구분 미입력",INDEX('01_자재목록'!$R$7:$R$106,MATCH(D47,'01_자재목록'!$B$7:$B$106,0)))))</f>
        <v/>
      </c>
    </row>
    <row r="48" ht="24" customHeight="1">
      <c r="A48" s="18" t="n">
        <v>42</v>
      </c>
      <c r="B48" s="32" t="n"/>
      <c r="C48" s="19" t="n"/>
      <c r="D48" s="19" t="n"/>
      <c r="E48" s="23">
        <f>IF(D48="","",IFERROR(INDEX('01_자재목록'!$D$7:$D$106,MATCH(D48,'01_자재목록'!$B$7:$B$106,0))&amp;"","자재코드 확인"))</f>
        <v/>
      </c>
      <c r="F48" s="19" t="n"/>
      <c r="G48" s="19" t="n"/>
      <c r="H48" s="30" t="n"/>
      <c r="I48" s="30" t="n"/>
      <c r="J48" s="23">
        <f>IF(D48="","",IFERROR(INDEX('01_자재목록'!$I$7:$I$106,MATCH(D48,'01_자재목록'!$B$7:$B$106,0))&amp;"","자재코드 확인"))</f>
        <v/>
      </c>
      <c r="K48" s="31">
        <f>IF(D48="",IF(OR(B48&lt;&gt;"",C48&lt;&gt;"",H48&lt;&gt;"",I48&lt;&gt;""),"자재코드 입력 확인",""),IF(COUNTIF('01_자재목록'!$B$7:$B$106,D48)&lt;&gt;1,"자재코드 확인",IF(J48="","단위 입력 확인",IF(OR(NOT(ISNUMBER(B48)),B48&lt;1,AND(C48&lt;&gt;"입고",C48&lt;&gt;"출고",C48&lt;&gt;"조정")),"일자/구분 확인",IF(OR(AND(H48&lt;&gt;"",NOT(ISNUMBER(H48))),AND(I48&lt;&gt;"",NOT(ISNUMBER(I48))),H48&lt;0,I48&lt;0,AND(H48&lt;=0,I48&lt;=0),AND(H48&gt;0,I48&gt;0),AND(C48="입고",I48&gt;0),AND(C48="출고",H48&gt;0)),"수량/구분 확인",SUMIFS($H$7:H48,$D$7:D48,D48)-SUMIFS($I$7:I48,$D$7:D48,D48))))))</f>
        <v/>
      </c>
      <c r="L48" s="19" t="n"/>
      <c r="M48" s="19" t="n"/>
      <c r="N48" s="19" t="n"/>
      <c r="O48" s="27">
        <f>IF(D48="","",IF(COUNTIF('01_자재목록'!$B$7:$B$106,D48)&lt;&gt;1,"자재코드 확인",IF(INDEX('01_자재목록'!$R$7:$R$106,MATCH(D48,'01_자재목록'!$B$7:$B$106,0))="","구분 미입력",INDEX('01_자재목록'!$R$7:$R$106,MATCH(D48,'01_자재목록'!$B$7:$B$106,0)))))</f>
        <v/>
      </c>
    </row>
    <row r="49" ht="24" customHeight="1">
      <c r="A49" s="18" t="n">
        <v>43</v>
      </c>
      <c r="B49" s="32" t="n"/>
      <c r="C49" s="19" t="n"/>
      <c r="D49" s="19" t="n"/>
      <c r="E49" s="23">
        <f>IF(D49="","",IFERROR(INDEX('01_자재목록'!$D$7:$D$106,MATCH(D49,'01_자재목록'!$B$7:$B$106,0))&amp;"","자재코드 확인"))</f>
        <v/>
      </c>
      <c r="F49" s="19" t="n"/>
      <c r="G49" s="19" t="n"/>
      <c r="H49" s="30" t="n"/>
      <c r="I49" s="30" t="n"/>
      <c r="J49" s="23">
        <f>IF(D49="","",IFERROR(INDEX('01_자재목록'!$I$7:$I$106,MATCH(D49,'01_자재목록'!$B$7:$B$106,0))&amp;"","자재코드 확인"))</f>
        <v/>
      </c>
      <c r="K49" s="31">
        <f>IF(D49="",IF(OR(B49&lt;&gt;"",C49&lt;&gt;"",H49&lt;&gt;"",I49&lt;&gt;""),"자재코드 입력 확인",""),IF(COUNTIF('01_자재목록'!$B$7:$B$106,D49)&lt;&gt;1,"자재코드 확인",IF(J49="","단위 입력 확인",IF(OR(NOT(ISNUMBER(B49)),B49&lt;1,AND(C49&lt;&gt;"입고",C49&lt;&gt;"출고",C49&lt;&gt;"조정")),"일자/구분 확인",IF(OR(AND(H49&lt;&gt;"",NOT(ISNUMBER(H49))),AND(I49&lt;&gt;"",NOT(ISNUMBER(I49))),H49&lt;0,I49&lt;0,AND(H49&lt;=0,I49&lt;=0),AND(H49&gt;0,I49&gt;0),AND(C49="입고",I49&gt;0),AND(C49="출고",H49&gt;0)),"수량/구분 확인",SUMIFS($H$7:H49,$D$7:D49,D49)-SUMIFS($I$7:I49,$D$7:D49,D49))))))</f>
        <v/>
      </c>
      <c r="L49" s="19" t="n"/>
      <c r="M49" s="19" t="n"/>
      <c r="N49" s="19" t="n"/>
      <c r="O49" s="27">
        <f>IF(D49="","",IF(COUNTIF('01_자재목록'!$B$7:$B$106,D49)&lt;&gt;1,"자재코드 확인",IF(INDEX('01_자재목록'!$R$7:$R$106,MATCH(D49,'01_자재목록'!$B$7:$B$106,0))="","구분 미입력",INDEX('01_자재목록'!$R$7:$R$106,MATCH(D49,'01_자재목록'!$B$7:$B$106,0)))))</f>
        <v/>
      </c>
    </row>
    <row r="50" ht="24" customHeight="1">
      <c r="A50" s="18" t="n">
        <v>44</v>
      </c>
      <c r="B50" s="32" t="n"/>
      <c r="C50" s="19" t="n"/>
      <c r="D50" s="19" t="n"/>
      <c r="E50" s="23">
        <f>IF(D50="","",IFERROR(INDEX('01_자재목록'!$D$7:$D$106,MATCH(D50,'01_자재목록'!$B$7:$B$106,0))&amp;"","자재코드 확인"))</f>
        <v/>
      </c>
      <c r="F50" s="19" t="n"/>
      <c r="G50" s="19" t="n"/>
      <c r="H50" s="30" t="n"/>
      <c r="I50" s="30" t="n"/>
      <c r="J50" s="23">
        <f>IF(D50="","",IFERROR(INDEX('01_자재목록'!$I$7:$I$106,MATCH(D50,'01_자재목록'!$B$7:$B$106,0))&amp;"","자재코드 확인"))</f>
        <v/>
      </c>
      <c r="K50" s="31">
        <f>IF(D50="",IF(OR(B50&lt;&gt;"",C50&lt;&gt;"",H50&lt;&gt;"",I50&lt;&gt;""),"자재코드 입력 확인",""),IF(COUNTIF('01_자재목록'!$B$7:$B$106,D50)&lt;&gt;1,"자재코드 확인",IF(J50="","단위 입력 확인",IF(OR(NOT(ISNUMBER(B50)),B50&lt;1,AND(C50&lt;&gt;"입고",C50&lt;&gt;"출고",C50&lt;&gt;"조정")),"일자/구분 확인",IF(OR(AND(H50&lt;&gt;"",NOT(ISNUMBER(H50))),AND(I50&lt;&gt;"",NOT(ISNUMBER(I50))),H50&lt;0,I50&lt;0,AND(H50&lt;=0,I50&lt;=0),AND(H50&gt;0,I50&gt;0),AND(C50="입고",I50&gt;0),AND(C50="출고",H50&gt;0)),"수량/구분 확인",SUMIFS($H$7:H50,$D$7:D50,D50)-SUMIFS($I$7:I50,$D$7:D50,D50))))))</f>
        <v/>
      </c>
      <c r="L50" s="19" t="n"/>
      <c r="M50" s="19" t="n"/>
      <c r="N50" s="19" t="n"/>
      <c r="O50" s="27">
        <f>IF(D50="","",IF(COUNTIF('01_자재목록'!$B$7:$B$106,D50)&lt;&gt;1,"자재코드 확인",IF(INDEX('01_자재목록'!$R$7:$R$106,MATCH(D50,'01_자재목록'!$B$7:$B$106,0))="","구분 미입력",INDEX('01_자재목록'!$R$7:$R$106,MATCH(D50,'01_자재목록'!$B$7:$B$106,0)))))</f>
        <v/>
      </c>
    </row>
    <row r="51" ht="24" customHeight="1">
      <c r="A51" s="18" t="n">
        <v>45</v>
      </c>
      <c r="B51" s="32" t="n"/>
      <c r="C51" s="19" t="n"/>
      <c r="D51" s="19" t="n"/>
      <c r="E51" s="23">
        <f>IF(D51="","",IFERROR(INDEX('01_자재목록'!$D$7:$D$106,MATCH(D51,'01_자재목록'!$B$7:$B$106,0))&amp;"","자재코드 확인"))</f>
        <v/>
      </c>
      <c r="F51" s="19" t="n"/>
      <c r="G51" s="19" t="n"/>
      <c r="H51" s="30" t="n"/>
      <c r="I51" s="30" t="n"/>
      <c r="J51" s="23">
        <f>IF(D51="","",IFERROR(INDEX('01_자재목록'!$I$7:$I$106,MATCH(D51,'01_자재목록'!$B$7:$B$106,0))&amp;"","자재코드 확인"))</f>
        <v/>
      </c>
      <c r="K51" s="31">
        <f>IF(D51="",IF(OR(B51&lt;&gt;"",C51&lt;&gt;"",H51&lt;&gt;"",I51&lt;&gt;""),"자재코드 입력 확인",""),IF(COUNTIF('01_자재목록'!$B$7:$B$106,D51)&lt;&gt;1,"자재코드 확인",IF(J51="","단위 입력 확인",IF(OR(NOT(ISNUMBER(B51)),B51&lt;1,AND(C51&lt;&gt;"입고",C51&lt;&gt;"출고",C51&lt;&gt;"조정")),"일자/구분 확인",IF(OR(AND(H51&lt;&gt;"",NOT(ISNUMBER(H51))),AND(I51&lt;&gt;"",NOT(ISNUMBER(I51))),H51&lt;0,I51&lt;0,AND(H51&lt;=0,I51&lt;=0),AND(H51&gt;0,I51&gt;0),AND(C51="입고",I51&gt;0),AND(C51="출고",H51&gt;0)),"수량/구분 확인",SUMIFS($H$7:H51,$D$7:D51,D51)-SUMIFS($I$7:I51,$D$7:D51,D51))))))</f>
        <v/>
      </c>
      <c r="L51" s="19" t="n"/>
      <c r="M51" s="19" t="n"/>
      <c r="N51" s="19" t="n"/>
      <c r="O51" s="27">
        <f>IF(D51="","",IF(COUNTIF('01_자재목록'!$B$7:$B$106,D51)&lt;&gt;1,"자재코드 확인",IF(INDEX('01_자재목록'!$R$7:$R$106,MATCH(D51,'01_자재목록'!$B$7:$B$106,0))="","구분 미입력",INDEX('01_자재목록'!$R$7:$R$106,MATCH(D51,'01_자재목록'!$B$7:$B$106,0)))))</f>
        <v/>
      </c>
    </row>
    <row r="52" ht="24" customHeight="1">
      <c r="A52" s="18" t="n">
        <v>46</v>
      </c>
      <c r="B52" s="32" t="n"/>
      <c r="C52" s="19" t="n"/>
      <c r="D52" s="19" t="n"/>
      <c r="E52" s="23">
        <f>IF(D52="","",IFERROR(INDEX('01_자재목록'!$D$7:$D$106,MATCH(D52,'01_자재목록'!$B$7:$B$106,0))&amp;"","자재코드 확인"))</f>
        <v/>
      </c>
      <c r="F52" s="19" t="n"/>
      <c r="G52" s="19" t="n"/>
      <c r="H52" s="30" t="n"/>
      <c r="I52" s="30" t="n"/>
      <c r="J52" s="23">
        <f>IF(D52="","",IFERROR(INDEX('01_자재목록'!$I$7:$I$106,MATCH(D52,'01_자재목록'!$B$7:$B$106,0))&amp;"","자재코드 확인"))</f>
        <v/>
      </c>
      <c r="K52" s="31">
        <f>IF(D52="",IF(OR(B52&lt;&gt;"",C52&lt;&gt;"",H52&lt;&gt;"",I52&lt;&gt;""),"자재코드 입력 확인",""),IF(COUNTIF('01_자재목록'!$B$7:$B$106,D52)&lt;&gt;1,"자재코드 확인",IF(J52="","단위 입력 확인",IF(OR(NOT(ISNUMBER(B52)),B52&lt;1,AND(C52&lt;&gt;"입고",C52&lt;&gt;"출고",C52&lt;&gt;"조정")),"일자/구분 확인",IF(OR(AND(H52&lt;&gt;"",NOT(ISNUMBER(H52))),AND(I52&lt;&gt;"",NOT(ISNUMBER(I52))),H52&lt;0,I52&lt;0,AND(H52&lt;=0,I52&lt;=0),AND(H52&gt;0,I52&gt;0),AND(C52="입고",I52&gt;0),AND(C52="출고",H52&gt;0)),"수량/구분 확인",SUMIFS($H$7:H52,$D$7:D52,D52)-SUMIFS($I$7:I52,$D$7:D52,D52))))))</f>
        <v/>
      </c>
      <c r="L52" s="19" t="n"/>
      <c r="M52" s="19" t="n"/>
      <c r="N52" s="19" t="n"/>
      <c r="O52" s="27">
        <f>IF(D52="","",IF(COUNTIF('01_자재목록'!$B$7:$B$106,D52)&lt;&gt;1,"자재코드 확인",IF(INDEX('01_자재목록'!$R$7:$R$106,MATCH(D52,'01_자재목록'!$B$7:$B$106,0))="","구분 미입력",INDEX('01_자재목록'!$R$7:$R$106,MATCH(D52,'01_자재목록'!$B$7:$B$106,0)))))</f>
        <v/>
      </c>
    </row>
    <row r="53" ht="24" customHeight="1">
      <c r="A53" s="18" t="n">
        <v>47</v>
      </c>
      <c r="B53" s="32" t="n"/>
      <c r="C53" s="19" t="n"/>
      <c r="D53" s="19" t="n"/>
      <c r="E53" s="23">
        <f>IF(D53="","",IFERROR(INDEX('01_자재목록'!$D$7:$D$106,MATCH(D53,'01_자재목록'!$B$7:$B$106,0))&amp;"","자재코드 확인"))</f>
        <v/>
      </c>
      <c r="F53" s="19" t="n"/>
      <c r="G53" s="19" t="n"/>
      <c r="H53" s="30" t="n"/>
      <c r="I53" s="30" t="n"/>
      <c r="J53" s="23">
        <f>IF(D53="","",IFERROR(INDEX('01_자재목록'!$I$7:$I$106,MATCH(D53,'01_자재목록'!$B$7:$B$106,0))&amp;"","자재코드 확인"))</f>
        <v/>
      </c>
      <c r="K53" s="31">
        <f>IF(D53="",IF(OR(B53&lt;&gt;"",C53&lt;&gt;"",H53&lt;&gt;"",I53&lt;&gt;""),"자재코드 입력 확인",""),IF(COUNTIF('01_자재목록'!$B$7:$B$106,D53)&lt;&gt;1,"자재코드 확인",IF(J53="","단위 입력 확인",IF(OR(NOT(ISNUMBER(B53)),B53&lt;1,AND(C53&lt;&gt;"입고",C53&lt;&gt;"출고",C53&lt;&gt;"조정")),"일자/구분 확인",IF(OR(AND(H53&lt;&gt;"",NOT(ISNUMBER(H53))),AND(I53&lt;&gt;"",NOT(ISNUMBER(I53))),H53&lt;0,I53&lt;0,AND(H53&lt;=0,I53&lt;=0),AND(H53&gt;0,I53&gt;0),AND(C53="입고",I53&gt;0),AND(C53="출고",H53&gt;0)),"수량/구분 확인",SUMIFS($H$7:H53,$D$7:D53,D53)-SUMIFS($I$7:I53,$D$7:D53,D53))))))</f>
        <v/>
      </c>
      <c r="L53" s="19" t="n"/>
      <c r="M53" s="19" t="n"/>
      <c r="N53" s="19" t="n"/>
      <c r="O53" s="27">
        <f>IF(D53="","",IF(COUNTIF('01_자재목록'!$B$7:$B$106,D53)&lt;&gt;1,"자재코드 확인",IF(INDEX('01_자재목록'!$R$7:$R$106,MATCH(D53,'01_자재목록'!$B$7:$B$106,0))="","구분 미입력",INDEX('01_자재목록'!$R$7:$R$106,MATCH(D53,'01_자재목록'!$B$7:$B$106,0)))))</f>
        <v/>
      </c>
    </row>
    <row r="54" ht="24" customHeight="1">
      <c r="A54" s="18" t="n">
        <v>48</v>
      </c>
      <c r="B54" s="32" t="n"/>
      <c r="C54" s="19" t="n"/>
      <c r="D54" s="19" t="n"/>
      <c r="E54" s="23">
        <f>IF(D54="","",IFERROR(INDEX('01_자재목록'!$D$7:$D$106,MATCH(D54,'01_자재목록'!$B$7:$B$106,0))&amp;"","자재코드 확인"))</f>
        <v/>
      </c>
      <c r="F54" s="19" t="n"/>
      <c r="G54" s="19" t="n"/>
      <c r="H54" s="30" t="n"/>
      <c r="I54" s="30" t="n"/>
      <c r="J54" s="23">
        <f>IF(D54="","",IFERROR(INDEX('01_자재목록'!$I$7:$I$106,MATCH(D54,'01_자재목록'!$B$7:$B$106,0))&amp;"","자재코드 확인"))</f>
        <v/>
      </c>
      <c r="K54" s="31">
        <f>IF(D54="",IF(OR(B54&lt;&gt;"",C54&lt;&gt;"",H54&lt;&gt;"",I54&lt;&gt;""),"자재코드 입력 확인",""),IF(COUNTIF('01_자재목록'!$B$7:$B$106,D54)&lt;&gt;1,"자재코드 확인",IF(J54="","단위 입력 확인",IF(OR(NOT(ISNUMBER(B54)),B54&lt;1,AND(C54&lt;&gt;"입고",C54&lt;&gt;"출고",C54&lt;&gt;"조정")),"일자/구분 확인",IF(OR(AND(H54&lt;&gt;"",NOT(ISNUMBER(H54))),AND(I54&lt;&gt;"",NOT(ISNUMBER(I54))),H54&lt;0,I54&lt;0,AND(H54&lt;=0,I54&lt;=0),AND(H54&gt;0,I54&gt;0),AND(C54="입고",I54&gt;0),AND(C54="출고",H54&gt;0)),"수량/구분 확인",SUMIFS($H$7:H54,$D$7:D54,D54)-SUMIFS($I$7:I54,$D$7:D54,D54))))))</f>
        <v/>
      </c>
      <c r="L54" s="19" t="n"/>
      <c r="M54" s="19" t="n"/>
      <c r="N54" s="19" t="n"/>
      <c r="O54" s="27">
        <f>IF(D54="","",IF(COUNTIF('01_자재목록'!$B$7:$B$106,D54)&lt;&gt;1,"자재코드 확인",IF(INDEX('01_자재목록'!$R$7:$R$106,MATCH(D54,'01_자재목록'!$B$7:$B$106,0))="","구분 미입력",INDEX('01_자재목록'!$R$7:$R$106,MATCH(D54,'01_자재목록'!$B$7:$B$106,0)))))</f>
        <v/>
      </c>
    </row>
    <row r="55" ht="24" customHeight="1">
      <c r="A55" s="18" t="n">
        <v>49</v>
      </c>
      <c r="B55" s="32" t="n"/>
      <c r="C55" s="19" t="n"/>
      <c r="D55" s="19" t="n"/>
      <c r="E55" s="23">
        <f>IF(D55="","",IFERROR(INDEX('01_자재목록'!$D$7:$D$106,MATCH(D55,'01_자재목록'!$B$7:$B$106,0))&amp;"","자재코드 확인"))</f>
        <v/>
      </c>
      <c r="F55" s="19" t="n"/>
      <c r="G55" s="19" t="n"/>
      <c r="H55" s="30" t="n"/>
      <c r="I55" s="30" t="n"/>
      <c r="J55" s="23">
        <f>IF(D55="","",IFERROR(INDEX('01_자재목록'!$I$7:$I$106,MATCH(D55,'01_자재목록'!$B$7:$B$106,0))&amp;"","자재코드 확인"))</f>
        <v/>
      </c>
      <c r="K55" s="31">
        <f>IF(D55="",IF(OR(B55&lt;&gt;"",C55&lt;&gt;"",H55&lt;&gt;"",I55&lt;&gt;""),"자재코드 입력 확인",""),IF(COUNTIF('01_자재목록'!$B$7:$B$106,D55)&lt;&gt;1,"자재코드 확인",IF(J55="","단위 입력 확인",IF(OR(NOT(ISNUMBER(B55)),B55&lt;1,AND(C55&lt;&gt;"입고",C55&lt;&gt;"출고",C55&lt;&gt;"조정")),"일자/구분 확인",IF(OR(AND(H55&lt;&gt;"",NOT(ISNUMBER(H55))),AND(I55&lt;&gt;"",NOT(ISNUMBER(I55))),H55&lt;0,I55&lt;0,AND(H55&lt;=0,I55&lt;=0),AND(H55&gt;0,I55&gt;0),AND(C55="입고",I55&gt;0),AND(C55="출고",H55&gt;0)),"수량/구분 확인",SUMIFS($H$7:H55,$D$7:D55,D55)-SUMIFS($I$7:I55,$D$7:D55,D55))))))</f>
        <v/>
      </c>
      <c r="L55" s="19" t="n"/>
      <c r="M55" s="19" t="n"/>
      <c r="N55" s="19" t="n"/>
      <c r="O55" s="27">
        <f>IF(D55="","",IF(COUNTIF('01_자재목록'!$B$7:$B$106,D55)&lt;&gt;1,"자재코드 확인",IF(INDEX('01_자재목록'!$R$7:$R$106,MATCH(D55,'01_자재목록'!$B$7:$B$106,0))="","구분 미입력",INDEX('01_자재목록'!$R$7:$R$106,MATCH(D55,'01_자재목록'!$B$7:$B$106,0)))))</f>
        <v/>
      </c>
    </row>
    <row r="56" ht="24" customHeight="1">
      <c r="A56" s="18" t="n">
        <v>50</v>
      </c>
      <c r="B56" s="32" t="n"/>
      <c r="C56" s="19" t="n"/>
      <c r="D56" s="19" t="n"/>
      <c r="E56" s="23">
        <f>IF(D56="","",IFERROR(INDEX('01_자재목록'!$D$7:$D$106,MATCH(D56,'01_자재목록'!$B$7:$B$106,0))&amp;"","자재코드 확인"))</f>
        <v/>
      </c>
      <c r="F56" s="19" t="n"/>
      <c r="G56" s="19" t="n"/>
      <c r="H56" s="30" t="n"/>
      <c r="I56" s="30" t="n"/>
      <c r="J56" s="23">
        <f>IF(D56="","",IFERROR(INDEX('01_자재목록'!$I$7:$I$106,MATCH(D56,'01_자재목록'!$B$7:$B$106,0))&amp;"","자재코드 확인"))</f>
        <v/>
      </c>
      <c r="K56" s="31">
        <f>IF(D56="",IF(OR(B56&lt;&gt;"",C56&lt;&gt;"",H56&lt;&gt;"",I56&lt;&gt;""),"자재코드 입력 확인",""),IF(COUNTIF('01_자재목록'!$B$7:$B$106,D56)&lt;&gt;1,"자재코드 확인",IF(J56="","단위 입력 확인",IF(OR(NOT(ISNUMBER(B56)),B56&lt;1,AND(C56&lt;&gt;"입고",C56&lt;&gt;"출고",C56&lt;&gt;"조정")),"일자/구분 확인",IF(OR(AND(H56&lt;&gt;"",NOT(ISNUMBER(H56))),AND(I56&lt;&gt;"",NOT(ISNUMBER(I56))),H56&lt;0,I56&lt;0,AND(H56&lt;=0,I56&lt;=0),AND(H56&gt;0,I56&gt;0),AND(C56="입고",I56&gt;0),AND(C56="출고",H56&gt;0)),"수량/구분 확인",SUMIFS($H$7:H56,$D$7:D56,D56)-SUMIFS($I$7:I56,$D$7:D56,D56))))))</f>
        <v/>
      </c>
      <c r="L56" s="19" t="n"/>
      <c r="M56" s="19" t="n"/>
      <c r="N56" s="19" t="n"/>
      <c r="O56" s="27">
        <f>IF(D56="","",IF(COUNTIF('01_자재목록'!$B$7:$B$106,D56)&lt;&gt;1,"자재코드 확인",IF(INDEX('01_자재목록'!$R$7:$R$106,MATCH(D56,'01_자재목록'!$B$7:$B$106,0))="","구분 미입력",INDEX('01_자재목록'!$R$7:$R$106,MATCH(D56,'01_자재목록'!$B$7:$B$106,0)))))</f>
        <v/>
      </c>
    </row>
    <row r="57" ht="24" customHeight="1">
      <c r="A57" s="18" t="n">
        <v>51</v>
      </c>
      <c r="B57" s="32" t="n"/>
      <c r="C57" s="19" t="n"/>
      <c r="D57" s="19" t="n"/>
      <c r="E57" s="23">
        <f>IF(D57="","",IFERROR(INDEX('01_자재목록'!$D$7:$D$106,MATCH(D57,'01_자재목록'!$B$7:$B$106,0))&amp;"","자재코드 확인"))</f>
        <v/>
      </c>
      <c r="F57" s="19" t="n"/>
      <c r="G57" s="19" t="n"/>
      <c r="H57" s="30" t="n"/>
      <c r="I57" s="30" t="n"/>
      <c r="J57" s="23">
        <f>IF(D57="","",IFERROR(INDEX('01_자재목록'!$I$7:$I$106,MATCH(D57,'01_자재목록'!$B$7:$B$106,0))&amp;"","자재코드 확인"))</f>
        <v/>
      </c>
      <c r="K57" s="31">
        <f>IF(D57="",IF(OR(B57&lt;&gt;"",C57&lt;&gt;"",H57&lt;&gt;"",I57&lt;&gt;""),"자재코드 입력 확인",""),IF(COUNTIF('01_자재목록'!$B$7:$B$106,D57)&lt;&gt;1,"자재코드 확인",IF(J57="","단위 입력 확인",IF(OR(NOT(ISNUMBER(B57)),B57&lt;1,AND(C57&lt;&gt;"입고",C57&lt;&gt;"출고",C57&lt;&gt;"조정")),"일자/구분 확인",IF(OR(AND(H57&lt;&gt;"",NOT(ISNUMBER(H57))),AND(I57&lt;&gt;"",NOT(ISNUMBER(I57))),H57&lt;0,I57&lt;0,AND(H57&lt;=0,I57&lt;=0),AND(H57&gt;0,I57&gt;0),AND(C57="입고",I57&gt;0),AND(C57="출고",H57&gt;0)),"수량/구분 확인",SUMIFS($H$7:H57,$D$7:D57,D57)-SUMIFS($I$7:I57,$D$7:D57,D57))))))</f>
        <v/>
      </c>
      <c r="L57" s="19" t="n"/>
      <c r="M57" s="19" t="n"/>
      <c r="N57" s="19" t="n"/>
      <c r="O57" s="27">
        <f>IF(D57="","",IF(COUNTIF('01_자재목록'!$B$7:$B$106,D57)&lt;&gt;1,"자재코드 확인",IF(INDEX('01_자재목록'!$R$7:$R$106,MATCH(D57,'01_자재목록'!$B$7:$B$106,0))="","구분 미입력",INDEX('01_자재목록'!$R$7:$R$106,MATCH(D57,'01_자재목록'!$B$7:$B$106,0)))))</f>
        <v/>
      </c>
    </row>
    <row r="58" ht="24" customHeight="1">
      <c r="A58" s="18" t="n">
        <v>52</v>
      </c>
      <c r="B58" s="32" t="n"/>
      <c r="C58" s="19" t="n"/>
      <c r="D58" s="19" t="n"/>
      <c r="E58" s="23">
        <f>IF(D58="","",IFERROR(INDEX('01_자재목록'!$D$7:$D$106,MATCH(D58,'01_자재목록'!$B$7:$B$106,0))&amp;"","자재코드 확인"))</f>
        <v/>
      </c>
      <c r="F58" s="19" t="n"/>
      <c r="G58" s="19" t="n"/>
      <c r="H58" s="30" t="n"/>
      <c r="I58" s="30" t="n"/>
      <c r="J58" s="23">
        <f>IF(D58="","",IFERROR(INDEX('01_자재목록'!$I$7:$I$106,MATCH(D58,'01_자재목록'!$B$7:$B$106,0))&amp;"","자재코드 확인"))</f>
        <v/>
      </c>
      <c r="K58" s="31">
        <f>IF(D58="",IF(OR(B58&lt;&gt;"",C58&lt;&gt;"",H58&lt;&gt;"",I58&lt;&gt;""),"자재코드 입력 확인",""),IF(COUNTIF('01_자재목록'!$B$7:$B$106,D58)&lt;&gt;1,"자재코드 확인",IF(J58="","단위 입력 확인",IF(OR(NOT(ISNUMBER(B58)),B58&lt;1,AND(C58&lt;&gt;"입고",C58&lt;&gt;"출고",C58&lt;&gt;"조정")),"일자/구분 확인",IF(OR(AND(H58&lt;&gt;"",NOT(ISNUMBER(H58))),AND(I58&lt;&gt;"",NOT(ISNUMBER(I58))),H58&lt;0,I58&lt;0,AND(H58&lt;=0,I58&lt;=0),AND(H58&gt;0,I58&gt;0),AND(C58="입고",I58&gt;0),AND(C58="출고",H58&gt;0)),"수량/구분 확인",SUMIFS($H$7:H58,$D$7:D58,D58)-SUMIFS($I$7:I58,$D$7:D58,D58))))))</f>
        <v/>
      </c>
      <c r="L58" s="19" t="n"/>
      <c r="M58" s="19" t="n"/>
      <c r="N58" s="19" t="n"/>
      <c r="O58" s="27">
        <f>IF(D58="","",IF(COUNTIF('01_자재목록'!$B$7:$B$106,D58)&lt;&gt;1,"자재코드 확인",IF(INDEX('01_자재목록'!$R$7:$R$106,MATCH(D58,'01_자재목록'!$B$7:$B$106,0))="","구분 미입력",INDEX('01_자재목록'!$R$7:$R$106,MATCH(D58,'01_자재목록'!$B$7:$B$106,0)))))</f>
        <v/>
      </c>
    </row>
    <row r="59" ht="24" customHeight="1">
      <c r="A59" s="18" t="n">
        <v>53</v>
      </c>
      <c r="B59" s="32" t="n"/>
      <c r="C59" s="19" t="n"/>
      <c r="D59" s="19" t="n"/>
      <c r="E59" s="23">
        <f>IF(D59="","",IFERROR(INDEX('01_자재목록'!$D$7:$D$106,MATCH(D59,'01_자재목록'!$B$7:$B$106,0))&amp;"","자재코드 확인"))</f>
        <v/>
      </c>
      <c r="F59" s="19" t="n"/>
      <c r="G59" s="19" t="n"/>
      <c r="H59" s="30" t="n"/>
      <c r="I59" s="30" t="n"/>
      <c r="J59" s="23">
        <f>IF(D59="","",IFERROR(INDEX('01_자재목록'!$I$7:$I$106,MATCH(D59,'01_자재목록'!$B$7:$B$106,0))&amp;"","자재코드 확인"))</f>
        <v/>
      </c>
      <c r="K59" s="31">
        <f>IF(D59="",IF(OR(B59&lt;&gt;"",C59&lt;&gt;"",H59&lt;&gt;"",I59&lt;&gt;""),"자재코드 입력 확인",""),IF(COUNTIF('01_자재목록'!$B$7:$B$106,D59)&lt;&gt;1,"자재코드 확인",IF(J59="","단위 입력 확인",IF(OR(NOT(ISNUMBER(B59)),B59&lt;1,AND(C59&lt;&gt;"입고",C59&lt;&gt;"출고",C59&lt;&gt;"조정")),"일자/구분 확인",IF(OR(AND(H59&lt;&gt;"",NOT(ISNUMBER(H59))),AND(I59&lt;&gt;"",NOT(ISNUMBER(I59))),H59&lt;0,I59&lt;0,AND(H59&lt;=0,I59&lt;=0),AND(H59&gt;0,I59&gt;0),AND(C59="입고",I59&gt;0),AND(C59="출고",H59&gt;0)),"수량/구분 확인",SUMIFS($H$7:H59,$D$7:D59,D59)-SUMIFS($I$7:I59,$D$7:D59,D59))))))</f>
        <v/>
      </c>
      <c r="L59" s="19" t="n"/>
      <c r="M59" s="19" t="n"/>
      <c r="N59" s="19" t="n"/>
      <c r="O59" s="27">
        <f>IF(D59="","",IF(COUNTIF('01_자재목록'!$B$7:$B$106,D59)&lt;&gt;1,"자재코드 확인",IF(INDEX('01_자재목록'!$R$7:$R$106,MATCH(D59,'01_자재목록'!$B$7:$B$106,0))="","구분 미입력",INDEX('01_자재목록'!$R$7:$R$106,MATCH(D59,'01_자재목록'!$B$7:$B$106,0)))))</f>
        <v/>
      </c>
    </row>
    <row r="60" ht="24" customHeight="1">
      <c r="A60" s="18" t="n">
        <v>54</v>
      </c>
      <c r="B60" s="32" t="n"/>
      <c r="C60" s="19" t="n"/>
      <c r="D60" s="19" t="n"/>
      <c r="E60" s="23">
        <f>IF(D60="","",IFERROR(INDEX('01_자재목록'!$D$7:$D$106,MATCH(D60,'01_자재목록'!$B$7:$B$106,0))&amp;"","자재코드 확인"))</f>
        <v/>
      </c>
      <c r="F60" s="19" t="n"/>
      <c r="G60" s="19" t="n"/>
      <c r="H60" s="30" t="n"/>
      <c r="I60" s="30" t="n"/>
      <c r="J60" s="23">
        <f>IF(D60="","",IFERROR(INDEX('01_자재목록'!$I$7:$I$106,MATCH(D60,'01_자재목록'!$B$7:$B$106,0))&amp;"","자재코드 확인"))</f>
        <v/>
      </c>
      <c r="K60" s="31">
        <f>IF(D60="",IF(OR(B60&lt;&gt;"",C60&lt;&gt;"",H60&lt;&gt;"",I60&lt;&gt;""),"자재코드 입력 확인",""),IF(COUNTIF('01_자재목록'!$B$7:$B$106,D60)&lt;&gt;1,"자재코드 확인",IF(J60="","단위 입력 확인",IF(OR(NOT(ISNUMBER(B60)),B60&lt;1,AND(C60&lt;&gt;"입고",C60&lt;&gt;"출고",C60&lt;&gt;"조정")),"일자/구분 확인",IF(OR(AND(H60&lt;&gt;"",NOT(ISNUMBER(H60))),AND(I60&lt;&gt;"",NOT(ISNUMBER(I60))),H60&lt;0,I60&lt;0,AND(H60&lt;=0,I60&lt;=0),AND(H60&gt;0,I60&gt;0),AND(C60="입고",I60&gt;0),AND(C60="출고",H60&gt;0)),"수량/구분 확인",SUMIFS($H$7:H60,$D$7:D60,D60)-SUMIFS($I$7:I60,$D$7:D60,D60))))))</f>
        <v/>
      </c>
      <c r="L60" s="19" t="n"/>
      <c r="M60" s="19" t="n"/>
      <c r="N60" s="19" t="n"/>
      <c r="O60" s="27">
        <f>IF(D60="","",IF(COUNTIF('01_자재목록'!$B$7:$B$106,D60)&lt;&gt;1,"자재코드 확인",IF(INDEX('01_자재목록'!$R$7:$R$106,MATCH(D60,'01_자재목록'!$B$7:$B$106,0))="","구분 미입력",INDEX('01_자재목록'!$R$7:$R$106,MATCH(D60,'01_자재목록'!$B$7:$B$106,0)))))</f>
        <v/>
      </c>
    </row>
    <row r="61" ht="24" customHeight="1">
      <c r="A61" s="18" t="n">
        <v>55</v>
      </c>
      <c r="B61" s="32" t="n"/>
      <c r="C61" s="19" t="n"/>
      <c r="D61" s="19" t="n"/>
      <c r="E61" s="23">
        <f>IF(D61="","",IFERROR(INDEX('01_자재목록'!$D$7:$D$106,MATCH(D61,'01_자재목록'!$B$7:$B$106,0))&amp;"","자재코드 확인"))</f>
        <v/>
      </c>
      <c r="F61" s="19" t="n"/>
      <c r="G61" s="19" t="n"/>
      <c r="H61" s="30" t="n"/>
      <c r="I61" s="30" t="n"/>
      <c r="J61" s="23">
        <f>IF(D61="","",IFERROR(INDEX('01_자재목록'!$I$7:$I$106,MATCH(D61,'01_자재목록'!$B$7:$B$106,0))&amp;"","자재코드 확인"))</f>
        <v/>
      </c>
      <c r="K61" s="31">
        <f>IF(D61="",IF(OR(B61&lt;&gt;"",C61&lt;&gt;"",H61&lt;&gt;"",I61&lt;&gt;""),"자재코드 입력 확인",""),IF(COUNTIF('01_자재목록'!$B$7:$B$106,D61)&lt;&gt;1,"자재코드 확인",IF(J61="","단위 입력 확인",IF(OR(NOT(ISNUMBER(B61)),B61&lt;1,AND(C61&lt;&gt;"입고",C61&lt;&gt;"출고",C61&lt;&gt;"조정")),"일자/구분 확인",IF(OR(AND(H61&lt;&gt;"",NOT(ISNUMBER(H61))),AND(I61&lt;&gt;"",NOT(ISNUMBER(I61))),H61&lt;0,I61&lt;0,AND(H61&lt;=0,I61&lt;=0),AND(H61&gt;0,I61&gt;0),AND(C61="입고",I61&gt;0),AND(C61="출고",H61&gt;0)),"수량/구분 확인",SUMIFS($H$7:H61,$D$7:D61,D61)-SUMIFS($I$7:I61,$D$7:D61,D61))))))</f>
        <v/>
      </c>
      <c r="L61" s="19" t="n"/>
      <c r="M61" s="19" t="n"/>
      <c r="N61" s="19" t="n"/>
      <c r="O61" s="27">
        <f>IF(D61="","",IF(COUNTIF('01_자재목록'!$B$7:$B$106,D61)&lt;&gt;1,"자재코드 확인",IF(INDEX('01_자재목록'!$R$7:$R$106,MATCH(D61,'01_자재목록'!$B$7:$B$106,0))="","구분 미입력",INDEX('01_자재목록'!$R$7:$R$106,MATCH(D61,'01_자재목록'!$B$7:$B$106,0)))))</f>
        <v/>
      </c>
    </row>
    <row r="62" ht="24" customHeight="1">
      <c r="A62" s="18" t="n">
        <v>56</v>
      </c>
      <c r="B62" s="32" t="n"/>
      <c r="C62" s="19" t="n"/>
      <c r="D62" s="19" t="n"/>
      <c r="E62" s="23">
        <f>IF(D62="","",IFERROR(INDEX('01_자재목록'!$D$7:$D$106,MATCH(D62,'01_자재목록'!$B$7:$B$106,0))&amp;"","자재코드 확인"))</f>
        <v/>
      </c>
      <c r="F62" s="19" t="n"/>
      <c r="G62" s="19" t="n"/>
      <c r="H62" s="30" t="n"/>
      <c r="I62" s="30" t="n"/>
      <c r="J62" s="23">
        <f>IF(D62="","",IFERROR(INDEX('01_자재목록'!$I$7:$I$106,MATCH(D62,'01_자재목록'!$B$7:$B$106,0))&amp;"","자재코드 확인"))</f>
        <v/>
      </c>
      <c r="K62" s="31">
        <f>IF(D62="",IF(OR(B62&lt;&gt;"",C62&lt;&gt;"",H62&lt;&gt;"",I62&lt;&gt;""),"자재코드 입력 확인",""),IF(COUNTIF('01_자재목록'!$B$7:$B$106,D62)&lt;&gt;1,"자재코드 확인",IF(J62="","단위 입력 확인",IF(OR(NOT(ISNUMBER(B62)),B62&lt;1,AND(C62&lt;&gt;"입고",C62&lt;&gt;"출고",C62&lt;&gt;"조정")),"일자/구분 확인",IF(OR(AND(H62&lt;&gt;"",NOT(ISNUMBER(H62))),AND(I62&lt;&gt;"",NOT(ISNUMBER(I62))),H62&lt;0,I62&lt;0,AND(H62&lt;=0,I62&lt;=0),AND(H62&gt;0,I62&gt;0),AND(C62="입고",I62&gt;0),AND(C62="출고",H62&gt;0)),"수량/구분 확인",SUMIFS($H$7:H62,$D$7:D62,D62)-SUMIFS($I$7:I62,$D$7:D62,D62))))))</f>
        <v/>
      </c>
      <c r="L62" s="19" t="n"/>
      <c r="M62" s="19" t="n"/>
      <c r="N62" s="19" t="n"/>
      <c r="O62" s="27">
        <f>IF(D62="","",IF(COUNTIF('01_자재목록'!$B$7:$B$106,D62)&lt;&gt;1,"자재코드 확인",IF(INDEX('01_자재목록'!$R$7:$R$106,MATCH(D62,'01_자재목록'!$B$7:$B$106,0))="","구분 미입력",INDEX('01_자재목록'!$R$7:$R$106,MATCH(D62,'01_자재목록'!$B$7:$B$106,0)))))</f>
        <v/>
      </c>
    </row>
    <row r="63" ht="24" customHeight="1">
      <c r="A63" s="18" t="n">
        <v>57</v>
      </c>
      <c r="B63" s="32" t="n"/>
      <c r="C63" s="19" t="n"/>
      <c r="D63" s="19" t="n"/>
      <c r="E63" s="23">
        <f>IF(D63="","",IFERROR(INDEX('01_자재목록'!$D$7:$D$106,MATCH(D63,'01_자재목록'!$B$7:$B$106,0))&amp;"","자재코드 확인"))</f>
        <v/>
      </c>
      <c r="F63" s="19" t="n"/>
      <c r="G63" s="19" t="n"/>
      <c r="H63" s="30" t="n"/>
      <c r="I63" s="30" t="n"/>
      <c r="J63" s="23">
        <f>IF(D63="","",IFERROR(INDEX('01_자재목록'!$I$7:$I$106,MATCH(D63,'01_자재목록'!$B$7:$B$106,0))&amp;"","자재코드 확인"))</f>
        <v/>
      </c>
      <c r="K63" s="31">
        <f>IF(D63="",IF(OR(B63&lt;&gt;"",C63&lt;&gt;"",H63&lt;&gt;"",I63&lt;&gt;""),"자재코드 입력 확인",""),IF(COUNTIF('01_자재목록'!$B$7:$B$106,D63)&lt;&gt;1,"자재코드 확인",IF(J63="","단위 입력 확인",IF(OR(NOT(ISNUMBER(B63)),B63&lt;1,AND(C63&lt;&gt;"입고",C63&lt;&gt;"출고",C63&lt;&gt;"조정")),"일자/구분 확인",IF(OR(AND(H63&lt;&gt;"",NOT(ISNUMBER(H63))),AND(I63&lt;&gt;"",NOT(ISNUMBER(I63))),H63&lt;0,I63&lt;0,AND(H63&lt;=0,I63&lt;=0),AND(H63&gt;0,I63&gt;0),AND(C63="입고",I63&gt;0),AND(C63="출고",H63&gt;0)),"수량/구분 확인",SUMIFS($H$7:H63,$D$7:D63,D63)-SUMIFS($I$7:I63,$D$7:D63,D63))))))</f>
        <v/>
      </c>
      <c r="L63" s="19" t="n"/>
      <c r="M63" s="19" t="n"/>
      <c r="N63" s="19" t="n"/>
      <c r="O63" s="27">
        <f>IF(D63="","",IF(COUNTIF('01_자재목록'!$B$7:$B$106,D63)&lt;&gt;1,"자재코드 확인",IF(INDEX('01_자재목록'!$R$7:$R$106,MATCH(D63,'01_자재목록'!$B$7:$B$106,0))="","구분 미입력",INDEX('01_자재목록'!$R$7:$R$106,MATCH(D63,'01_자재목록'!$B$7:$B$106,0)))))</f>
        <v/>
      </c>
    </row>
    <row r="64" ht="24" customHeight="1">
      <c r="A64" s="18" t="n">
        <v>58</v>
      </c>
      <c r="B64" s="32" t="n"/>
      <c r="C64" s="19" t="n"/>
      <c r="D64" s="19" t="n"/>
      <c r="E64" s="23">
        <f>IF(D64="","",IFERROR(INDEX('01_자재목록'!$D$7:$D$106,MATCH(D64,'01_자재목록'!$B$7:$B$106,0))&amp;"","자재코드 확인"))</f>
        <v/>
      </c>
      <c r="F64" s="19" t="n"/>
      <c r="G64" s="19" t="n"/>
      <c r="H64" s="30" t="n"/>
      <c r="I64" s="30" t="n"/>
      <c r="J64" s="23">
        <f>IF(D64="","",IFERROR(INDEX('01_자재목록'!$I$7:$I$106,MATCH(D64,'01_자재목록'!$B$7:$B$106,0))&amp;"","자재코드 확인"))</f>
        <v/>
      </c>
      <c r="K64" s="31">
        <f>IF(D64="",IF(OR(B64&lt;&gt;"",C64&lt;&gt;"",H64&lt;&gt;"",I64&lt;&gt;""),"자재코드 입력 확인",""),IF(COUNTIF('01_자재목록'!$B$7:$B$106,D64)&lt;&gt;1,"자재코드 확인",IF(J64="","단위 입력 확인",IF(OR(NOT(ISNUMBER(B64)),B64&lt;1,AND(C64&lt;&gt;"입고",C64&lt;&gt;"출고",C64&lt;&gt;"조정")),"일자/구분 확인",IF(OR(AND(H64&lt;&gt;"",NOT(ISNUMBER(H64))),AND(I64&lt;&gt;"",NOT(ISNUMBER(I64))),H64&lt;0,I64&lt;0,AND(H64&lt;=0,I64&lt;=0),AND(H64&gt;0,I64&gt;0),AND(C64="입고",I64&gt;0),AND(C64="출고",H64&gt;0)),"수량/구분 확인",SUMIFS($H$7:H64,$D$7:D64,D64)-SUMIFS($I$7:I64,$D$7:D64,D64))))))</f>
        <v/>
      </c>
      <c r="L64" s="19" t="n"/>
      <c r="M64" s="19" t="n"/>
      <c r="N64" s="19" t="n"/>
      <c r="O64" s="27">
        <f>IF(D64="","",IF(COUNTIF('01_자재목록'!$B$7:$B$106,D64)&lt;&gt;1,"자재코드 확인",IF(INDEX('01_자재목록'!$R$7:$R$106,MATCH(D64,'01_자재목록'!$B$7:$B$106,0))="","구분 미입력",INDEX('01_자재목록'!$R$7:$R$106,MATCH(D64,'01_자재목록'!$B$7:$B$106,0)))))</f>
        <v/>
      </c>
    </row>
    <row r="65" ht="24" customHeight="1">
      <c r="A65" s="18" t="n">
        <v>59</v>
      </c>
      <c r="B65" s="32" t="n"/>
      <c r="C65" s="19" t="n"/>
      <c r="D65" s="19" t="n"/>
      <c r="E65" s="23">
        <f>IF(D65="","",IFERROR(INDEX('01_자재목록'!$D$7:$D$106,MATCH(D65,'01_자재목록'!$B$7:$B$106,0))&amp;"","자재코드 확인"))</f>
        <v/>
      </c>
      <c r="F65" s="19" t="n"/>
      <c r="G65" s="19" t="n"/>
      <c r="H65" s="30" t="n"/>
      <c r="I65" s="30" t="n"/>
      <c r="J65" s="23">
        <f>IF(D65="","",IFERROR(INDEX('01_자재목록'!$I$7:$I$106,MATCH(D65,'01_자재목록'!$B$7:$B$106,0))&amp;"","자재코드 확인"))</f>
        <v/>
      </c>
      <c r="K65" s="31">
        <f>IF(D65="",IF(OR(B65&lt;&gt;"",C65&lt;&gt;"",H65&lt;&gt;"",I65&lt;&gt;""),"자재코드 입력 확인",""),IF(COUNTIF('01_자재목록'!$B$7:$B$106,D65)&lt;&gt;1,"자재코드 확인",IF(J65="","단위 입력 확인",IF(OR(NOT(ISNUMBER(B65)),B65&lt;1,AND(C65&lt;&gt;"입고",C65&lt;&gt;"출고",C65&lt;&gt;"조정")),"일자/구분 확인",IF(OR(AND(H65&lt;&gt;"",NOT(ISNUMBER(H65))),AND(I65&lt;&gt;"",NOT(ISNUMBER(I65))),H65&lt;0,I65&lt;0,AND(H65&lt;=0,I65&lt;=0),AND(H65&gt;0,I65&gt;0),AND(C65="입고",I65&gt;0),AND(C65="출고",H65&gt;0)),"수량/구분 확인",SUMIFS($H$7:H65,$D$7:D65,D65)-SUMIFS($I$7:I65,$D$7:D65,D65))))))</f>
        <v/>
      </c>
      <c r="L65" s="19" t="n"/>
      <c r="M65" s="19" t="n"/>
      <c r="N65" s="19" t="n"/>
      <c r="O65" s="27">
        <f>IF(D65="","",IF(COUNTIF('01_자재목록'!$B$7:$B$106,D65)&lt;&gt;1,"자재코드 확인",IF(INDEX('01_자재목록'!$R$7:$R$106,MATCH(D65,'01_자재목록'!$B$7:$B$106,0))="","구분 미입력",INDEX('01_자재목록'!$R$7:$R$106,MATCH(D65,'01_자재목록'!$B$7:$B$106,0)))))</f>
        <v/>
      </c>
    </row>
    <row r="66" ht="24" customHeight="1">
      <c r="A66" s="18" t="n">
        <v>60</v>
      </c>
      <c r="B66" s="32" t="n"/>
      <c r="C66" s="19" t="n"/>
      <c r="D66" s="19" t="n"/>
      <c r="E66" s="23">
        <f>IF(D66="","",IFERROR(INDEX('01_자재목록'!$D$7:$D$106,MATCH(D66,'01_자재목록'!$B$7:$B$106,0))&amp;"","자재코드 확인"))</f>
        <v/>
      </c>
      <c r="F66" s="19" t="n"/>
      <c r="G66" s="19" t="n"/>
      <c r="H66" s="30" t="n"/>
      <c r="I66" s="30" t="n"/>
      <c r="J66" s="23">
        <f>IF(D66="","",IFERROR(INDEX('01_자재목록'!$I$7:$I$106,MATCH(D66,'01_자재목록'!$B$7:$B$106,0))&amp;"","자재코드 확인"))</f>
        <v/>
      </c>
      <c r="K66" s="31">
        <f>IF(D66="",IF(OR(B66&lt;&gt;"",C66&lt;&gt;"",H66&lt;&gt;"",I66&lt;&gt;""),"자재코드 입력 확인",""),IF(COUNTIF('01_자재목록'!$B$7:$B$106,D66)&lt;&gt;1,"자재코드 확인",IF(J66="","단위 입력 확인",IF(OR(NOT(ISNUMBER(B66)),B66&lt;1,AND(C66&lt;&gt;"입고",C66&lt;&gt;"출고",C66&lt;&gt;"조정")),"일자/구분 확인",IF(OR(AND(H66&lt;&gt;"",NOT(ISNUMBER(H66))),AND(I66&lt;&gt;"",NOT(ISNUMBER(I66))),H66&lt;0,I66&lt;0,AND(H66&lt;=0,I66&lt;=0),AND(H66&gt;0,I66&gt;0),AND(C66="입고",I66&gt;0),AND(C66="출고",H66&gt;0)),"수량/구분 확인",SUMIFS($H$7:H66,$D$7:D66,D66)-SUMIFS($I$7:I66,$D$7:D66,D66))))))</f>
        <v/>
      </c>
      <c r="L66" s="19" t="n"/>
      <c r="M66" s="19" t="n"/>
      <c r="N66" s="19" t="n"/>
      <c r="O66" s="27">
        <f>IF(D66="","",IF(COUNTIF('01_자재목록'!$B$7:$B$106,D66)&lt;&gt;1,"자재코드 확인",IF(INDEX('01_자재목록'!$R$7:$R$106,MATCH(D66,'01_자재목록'!$B$7:$B$106,0))="","구분 미입력",INDEX('01_자재목록'!$R$7:$R$106,MATCH(D66,'01_자재목록'!$B$7:$B$106,0)))))</f>
        <v/>
      </c>
    </row>
    <row r="67" ht="24" customHeight="1">
      <c r="A67" s="18" t="n">
        <v>61</v>
      </c>
      <c r="B67" s="32" t="n"/>
      <c r="C67" s="19" t="n"/>
      <c r="D67" s="19" t="n"/>
      <c r="E67" s="23">
        <f>IF(D67="","",IFERROR(INDEX('01_자재목록'!$D$7:$D$106,MATCH(D67,'01_자재목록'!$B$7:$B$106,0))&amp;"","자재코드 확인"))</f>
        <v/>
      </c>
      <c r="F67" s="19" t="n"/>
      <c r="G67" s="19" t="n"/>
      <c r="H67" s="30" t="n"/>
      <c r="I67" s="30" t="n"/>
      <c r="J67" s="23">
        <f>IF(D67="","",IFERROR(INDEX('01_자재목록'!$I$7:$I$106,MATCH(D67,'01_자재목록'!$B$7:$B$106,0))&amp;"","자재코드 확인"))</f>
        <v/>
      </c>
      <c r="K67" s="31">
        <f>IF(D67="",IF(OR(B67&lt;&gt;"",C67&lt;&gt;"",H67&lt;&gt;"",I67&lt;&gt;""),"자재코드 입력 확인",""),IF(COUNTIF('01_자재목록'!$B$7:$B$106,D67)&lt;&gt;1,"자재코드 확인",IF(J67="","단위 입력 확인",IF(OR(NOT(ISNUMBER(B67)),B67&lt;1,AND(C67&lt;&gt;"입고",C67&lt;&gt;"출고",C67&lt;&gt;"조정")),"일자/구분 확인",IF(OR(AND(H67&lt;&gt;"",NOT(ISNUMBER(H67))),AND(I67&lt;&gt;"",NOT(ISNUMBER(I67))),H67&lt;0,I67&lt;0,AND(H67&lt;=0,I67&lt;=0),AND(H67&gt;0,I67&gt;0),AND(C67="입고",I67&gt;0),AND(C67="출고",H67&gt;0)),"수량/구분 확인",SUMIFS($H$7:H67,$D$7:D67,D67)-SUMIFS($I$7:I67,$D$7:D67,D67))))))</f>
        <v/>
      </c>
      <c r="L67" s="19" t="n"/>
      <c r="M67" s="19" t="n"/>
      <c r="N67" s="19" t="n"/>
      <c r="O67" s="27">
        <f>IF(D67="","",IF(COUNTIF('01_자재목록'!$B$7:$B$106,D67)&lt;&gt;1,"자재코드 확인",IF(INDEX('01_자재목록'!$R$7:$R$106,MATCH(D67,'01_자재목록'!$B$7:$B$106,0))="","구분 미입력",INDEX('01_자재목록'!$R$7:$R$106,MATCH(D67,'01_자재목록'!$B$7:$B$106,0)))))</f>
        <v/>
      </c>
    </row>
    <row r="68" ht="24" customHeight="1">
      <c r="A68" s="18" t="n">
        <v>62</v>
      </c>
      <c r="B68" s="32" t="n"/>
      <c r="C68" s="19" t="n"/>
      <c r="D68" s="19" t="n"/>
      <c r="E68" s="23">
        <f>IF(D68="","",IFERROR(INDEX('01_자재목록'!$D$7:$D$106,MATCH(D68,'01_자재목록'!$B$7:$B$106,0))&amp;"","자재코드 확인"))</f>
        <v/>
      </c>
      <c r="F68" s="19" t="n"/>
      <c r="G68" s="19" t="n"/>
      <c r="H68" s="30" t="n"/>
      <c r="I68" s="30" t="n"/>
      <c r="J68" s="23">
        <f>IF(D68="","",IFERROR(INDEX('01_자재목록'!$I$7:$I$106,MATCH(D68,'01_자재목록'!$B$7:$B$106,0))&amp;"","자재코드 확인"))</f>
        <v/>
      </c>
      <c r="K68" s="31">
        <f>IF(D68="",IF(OR(B68&lt;&gt;"",C68&lt;&gt;"",H68&lt;&gt;"",I68&lt;&gt;""),"자재코드 입력 확인",""),IF(COUNTIF('01_자재목록'!$B$7:$B$106,D68)&lt;&gt;1,"자재코드 확인",IF(J68="","단위 입력 확인",IF(OR(NOT(ISNUMBER(B68)),B68&lt;1,AND(C68&lt;&gt;"입고",C68&lt;&gt;"출고",C68&lt;&gt;"조정")),"일자/구분 확인",IF(OR(AND(H68&lt;&gt;"",NOT(ISNUMBER(H68))),AND(I68&lt;&gt;"",NOT(ISNUMBER(I68))),H68&lt;0,I68&lt;0,AND(H68&lt;=0,I68&lt;=0),AND(H68&gt;0,I68&gt;0),AND(C68="입고",I68&gt;0),AND(C68="출고",H68&gt;0)),"수량/구분 확인",SUMIFS($H$7:H68,$D$7:D68,D68)-SUMIFS($I$7:I68,$D$7:D68,D68))))))</f>
        <v/>
      </c>
      <c r="L68" s="19" t="n"/>
      <c r="M68" s="19" t="n"/>
      <c r="N68" s="19" t="n"/>
      <c r="O68" s="27">
        <f>IF(D68="","",IF(COUNTIF('01_자재목록'!$B$7:$B$106,D68)&lt;&gt;1,"자재코드 확인",IF(INDEX('01_자재목록'!$R$7:$R$106,MATCH(D68,'01_자재목록'!$B$7:$B$106,0))="","구분 미입력",INDEX('01_자재목록'!$R$7:$R$106,MATCH(D68,'01_자재목록'!$B$7:$B$106,0)))))</f>
        <v/>
      </c>
    </row>
    <row r="69" ht="24" customHeight="1">
      <c r="A69" s="18" t="n">
        <v>63</v>
      </c>
      <c r="B69" s="32" t="n"/>
      <c r="C69" s="19" t="n"/>
      <c r="D69" s="19" t="n"/>
      <c r="E69" s="23">
        <f>IF(D69="","",IFERROR(INDEX('01_자재목록'!$D$7:$D$106,MATCH(D69,'01_자재목록'!$B$7:$B$106,0))&amp;"","자재코드 확인"))</f>
        <v/>
      </c>
      <c r="F69" s="19" t="n"/>
      <c r="G69" s="19" t="n"/>
      <c r="H69" s="30" t="n"/>
      <c r="I69" s="30" t="n"/>
      <c r="J69" s="23">
        <f>IF(D69="","",IFERROR(INDEX('01_자재목록'!$I$7:$I$106,MATCH(D69,'01_자재목록'!$B$7:$B$106,0))&amp;"","자재코드 확인"))</f>
        <v/>
      </c>
      <c r="K69" s="31">
        <f>IF(D69="",IF(OR(B69&lt;&gt;"",C69&lt;&gt;"",H69&lt;&gt;"",I69&lt;&gt;""),"자재코드 입력 확인",""),IF(COUNTIF('01_자재목록'!$B$7:$B$106,D69)&lt;&gt;1,"자재코드 확인",IF(J69="","단위 입력 확인",IF(OR(NOT(ISNUMBER(B69)),B69&lt;1,AND(C69&lt;&gt;"입고",C69&lt;&gt;"출고",C69&lt;&gt;"조정")),"일자/구분 확인",IF(OR(AND(H69&lt;&gt;"",NOT(ISNUMBER(H69))),AND(I69&lt;&gt;"",NOT(ISNUMBER(I69))),H69&lt;0,I69&lt;0,AND(H69&lt;=0,I69&lt;=0),AND(H69&gt;0,I69&gt;0),AND(C69="입고",I69&gt;0),AND(C69="출고",H69&gt;0)),"수량/구분 확인",SUMIFS($H$7:H69,$D$7:D69,D69)-SUMIFS($I$7:I69,$D$7:D69,D69))))))</f>
        <v/>
      </c>
      <c r="L69" s="19" t="n"/>
      <c r="M69" s="19" t="n"/>
      <c r="N69" s="19" t="n"/>
      <c r="O69" s="27">
        <f>IF(D69="","",IF(COUNTIF('01_자재목록'!$B$7:$B$106,D69)&lt;&gt;1,"자재코드 확인",IF(INDEX('01_자재목록'!$R$7:$R$106,MATCH(D69,'01_자재목록'!$B$7:$B$106,0))="","구분 미입력",INDEX('01_자재목록'!$R$7:$R$106,MATCH(D69,'01_자재목록'!$B$7:$B$106,0)))))</f>
        <v/>
      </c>
    </row>
    <row r="70" ht="24" customHeight="1">
      <c r="A70" s="18" t="n">
        <v>64</v>
      </c>
      <c r="B70" s="32" t="n"/>
      <c r="C70" s="19" t="n"/>
      <c r="D70" s="19" t="n"/>
      <c r="E70" s="23">
        <f>IF(D70="","",IFERROR(INDEX('01_자재목록'!$D$7:$D$106,MATCH(D70,'01_자재목록'!$B$7:$B$106,0))&amp;"","자재코드 확인"))</f>
        <v/>
      </c>
      <c r="F70" s="19" t="n"/>
      <c r="G70" s="19" t="n"/>
      <c r="H70" s="30" t="n"/>
      <c r="I70" s="30" t="n"/>
      <c r="J70" s="23">
        <f>IF(D70="","",IFERROR(INDEX('01_자재목록'!$I$7:$I$106,MATCH(D70,'01_자재목록'!$B$7:$B$106,0))&amp;"","자재코드 확인"))</f>
        <v/>
      </c>
      <c r="K70" s="31">
        <f>IF(D70="",IF(OR(B70&lt;&gt;"",C70&lt;&gt;"",H70&lt;&gt;"",I70&lt;&gt;""),"자재코드 입력 확인",""),IF(COUNTIF('01_자재목록'!$B$7:$B$106,D70)&lt;&gt;1,"자재코드 확인",IF(J70="","단위 입력 확인",IF(OR(NOT(ISNUMBER(B70)),B70&lt;1,AND(C70&lt;&gt;"입고",C70&lt;&gt;"출고",C70&lt;&gt;"조정")),"일자/구분 확인",IF(OR(AND(H70&lt;&gt;"",NOT(ISNUMBER(H70))),AND(I70&lt;&gt;"",NOT(ISNUMBER(I70))),H70&lt;0,I70&lt;0,AND(H70&lt;=0,I70&lt;=0),AND(H70&gt;0,I70&gt;0),AND(C70="입고",I70&gt;0),AND(C70="출고",H70&gt;0)),"수량/구분 확인",SUMIFS($H$7:H70,$D$7:D70,D70)-SUMIFS($I$7:I70,$D$7:D70,D70))))))</f>
        <v/>
      </c>
      <c r="L70" s="19" t="n"/>
      <c r="M70" s="19" t="n"/>
      <c r="N70" s="19" t="n"/>
      <c r="O70" s="27">
        <f>IF(D70="","",IF(COUNTIF('01_자재목록'!$B$7:$B$106,D70)&lt;&gt;1,"자재코드 확인",IF(INDEX('01_자재목록'!$R$7:$R$106,MATCH(D70,'01_자재목록'!$B$7:$B$106,0))="","구분 미입력",INDEX('01_자재목록'!$R$7:$R$106,MATCH(D70,'01_자재목록'!$B$7:$B$106,0)))))</f>
        <v/>
      </c>
    </row>
    <row r="71" ht="24" customHeight="1">
      <c r="A71" s="18" t="n">
        <v>65</v>
      </c>
      <c r="B71" s="32" t="n"/>
      <c r="C71" s="19" t="n"/>
      <c r="D71" s="19" t="n"/>
      <c r="E71" s="23">
        <f>IF(D71="","",IFERROR(INDEX('01_자재목록'!$D$7:$D$106,MATCH(D71,'01_자재목록'!$B$7:$B$106,0))&amp;"","자재코드 확인"))</f>
        <v/>
      </c>
      <c r="F71" s="19" t="n"/>
      <c r="G71" s="19" t="n"/>
      <c r="H71" s="30" t="n"/>
      <c r="I71" s="30" t="n"/>
      <c r="J71" s="23">
        <f>IF(D71="","",IFERROR(INDEX('01_자재목록'!$I$7:$I$106,MATCH(D71,'01_자재목록'!$B$7:$B$106,0))&amp;"","자재코드 확인"))</f>
        <v/>
      </c>
      <c r="K71" s="31">
        <f>IF(D71="",IF(OR(B71&lt;&gt;"",C71&lt;&gt;"",H71&lt;&gt;"",I71&lt;&gt;""),"자재코드 입력 확인",""),IF(COUNTIF('01_자재목록'!$B$7:$B$106,D71)&lt;&gt;1,"자재코드 확인",IF(J71="","단위 입력 확인",IF(OR(NOT(ISNUMBER(B71)),B71&lt;1,AND(C71&lt;&gt;"입고",C71&lt;&gt;"출고",C71&lt;&gt;"조정")),"일자/구분 확인",IF(OR(AND(H71&lt;&gt;"",NOT(ISNUMBER(H71))),AND(I71&lt;&gt;"",NOT(ISNUMBER(I71))),H71&lt;0,I71&lt;0,AND(H71&lt;=0,I71&lt;=0),AND(H71&gt;0,I71&gt;0),AND(C71="입고",I71&gt;0),AND(C71="출고",H71&gt;0)),"수량/구분 확인",SUMIFS($H$7:H71,$D$7:D71,D71)-SUMIFS($I$7:I71,$D$7:D71,D71))))))</f>
        <v/>
      </c>
      <c r="L71" s="19" t="n"/>
      <c r="M71" s="19" t="n"/>
      <c r="N71" s="19" t="n"/>
      <c r="O71" s="27">
        <f>IF(D71="","",IF(COUNTIF('01_자재목록'!$B$7:$B$106,D71)&lt;&gt;1,"자재코드 확인",IF(INDEX('01_자재목록'!$R$7:$R$106,MATCH(D71,'01_자재목록'!$B$7:$B$106,0))="","구분 미입력",INDEX('01_자재목록'!$R$7:$R$106,MATCH(D71,'01_자재목록'!$B$7:$B$106,0)))))</f>
        <v/>
      </c>
    </row>
    <row r="72" ht="24" customHeight="1">
      <c r="A72" s="18" t="n">
        <v>66</v>
      </c>
      <c r="B72" s="32" t="n"/>
      <c r="C72" s="19" t="n"/>
      <c r="D72" s="19" t="n"/>
      <c r="E72" s="23">
        <f>IF(D72="","",IFERROR(INDEX('01_자재목록'!$D$7:$D$106,MATCH(D72,'01_자재목록'!$B$7:$B$106,0))&amp;"","자재코드 확인"))</f>
        <v/>
      </c>
      <c r="F72" s="19" t="n"/>
      <c r="G72" s="19" t="n"/>
      <c r="H72" s="30" t="n"/>
      <c r="I72" s="30" t="n"/>
      <c r="J72" s="23">
        <f>IF(D72="","",IFERROR(INDEX('01_자재목록'!$I$7:$I$106,MATCH(D72,'01_자재목록'!$B$7:$B$106,0))&amp;"","자재코드 확인"))</f>
        <v/>
      </c>
      <c r="K72" s="31">
        <f>IF(D72="",IF(OR(B72&lt;&gt;"",C72&lt;&gt;"",H72&lt;&gt;"",I72&lt;&gt;""),"자재코드 입력 확인",""),IF(COUNTIF('01_자재목록'!$B$7:$B$106,D72)&lt;&gt;1,"자재코드 확인",IF(J72="","단위 입력 확인",IF(OR(NOT(ISNUMBER(B72)),B72&lt;1,AND(C72&lt;&gt;"입고",C72&lt;&gt;"출고",C72&lt;&gt;"조정")),"일자/구분 확인",IF(OR(AND(H72&lt;&gt;"",NOT(ISNUMBER(H72))),AND(I72&lt;&gt;"",NOT(ISNUMBER(I72))),H72&lt;0,I72&lt;0,AND(H72&lt;=0,I72&lt;=0),AND(H72&gt;0,I72&gt;0),AND(C72="입고",I72&gt;0),AND(C72="출고",H72&gt;0)),"수량/구분 확인",SUMIFS($H$7:H72,$D$7:D72,D72)-SUMIFS($I$7:I72,$D$7:D72,D72))))))</f>
        <v/>
      </c>
      <c r="L72" s="19" t="n"/>
      <c r="M72" s="19" t="n"/>
      <c r="N72" s="19" t="n"/>
      <c r="O72" s="27">
        <f>IF(D72="","",IF(COUNTIF('01_자재목록'!$B$7:$B$106,D72)&lt;&gt;1,"자재코드 확인",IF(INDEX('01_자재목록'!$R$7:$R$106,MATCH(D72,'01_자재목록'!$B$7:$B$106,0))="","구분 미입력",INDEX('01_자재목록'!$R$7:$R$106,MATCH(D72,'01_자재목록'!$B$7:$B$106,0)))))</f>
        <v/>
      </c>
    </row>
    <row r="73" ht="24" customHeight="1">
      <c r="A73" s="18" t="n">
        <v>67</v>
      </c>
      <c r="B73" s="32" t="n"/>
      <c r="C73" s="19" t="n"/>
      <c r="D73" s="19" t="n"/>
      <c r="E73" s="23">
        <f>IF(D73="","",IFERROR(INDEX('01_자재목록'!$D$7:$D$106,MATCH(D73,'01_자재목록'!$B$7:$B$106,0))&amp;"","자재코드 확인"))</f>
        <v/>
      </c>
      <c r="F73" s="19" t="n"/>
      <c r="G73" s="19" t="n"/>
      <c r="H73" s="30" t="n"/>
      <c r="I73" s="30" t="n"/>
      <c r="J73" s="23">
        <f>IF(D73="","",IFERROR(INDEX('01_자재목록'!$I$7:$I$106,MATCH(D73,'01_자재목록'!$B$7:$B$106,0))&amp;"","자재코드 확인"))</f>
        <v/>
      </c>
      <c r="K73" s="31">
        <f>IF(D73="",IF(OR(B73&lt;&gt;"",C73&lt;&gt;"",H73&lt;&gt;"",I73&lt;&gt;""),"자재코드 입력 확인",""),IF(COUNTIF('01_자재목록'!$B$7:$B$106,D73)&lt;&gt;1,"자재코드 확인",IF(J73="","단위 입력 확인",IF(OR(NOT(ISNUMBER(B73)),B73&lt;1,AND(C73&lt;&gt;"입고",C73&lt;&gt;"출고",C73&lt;&gt;"조정")),"일자/구분 확인",IF(OR(AND(H73&lt;&gt;"",NOT(ISNUMBER(H73))),AND(I73&lt;&gt;"",NOT(ISNUMBER(I73))),H73&lt;0,I73&lt;0,AND(H73&lt;=0,I73&lt;=0),AND(H73&gt;0,I73&gt;0),AND(C73="입고",I73&gt;0),AND(C73="출고",H73&gt;0)),"수량/구분 확인",SUMIFS($H$7:H73,$D$7:D73,D73)-SUMIFS($I$7:I73,$D$7:D73,D73))))))</f>
        <v/>
      </c>
      <c r="L73" s="19" t="n"/>
      <c r="M73" s="19" t="n"/>
      <c r="N73" s="19" t="n"/>
      <c r="O73" s="27">
        <f>IF(D73="","",IF(COUNTIF('01_자재목록'!$B$7:$B$106,D73)&lt;&gt;1,"자재코드 확인",IF(INDEX('01_자재목록'!$R$7:$R$106,MATCH(D73,'01_자재목록'!$B$7:$B$106,0))="","구분 미입력",INDEX('01_자재목록'!$R$7:$R$106,MATCH(D73,'01_자재목록'!$B$7:$B$106,0)))))</f>
        <v/>
      </c>
    </row>
    <row r="74" ht="24" customHeight="1">
      <c r="A74" s="18" t="n">
        <v>68</v>
      </c>
      <c r="B74" s="32" t="n"/>
      <c r="C74" s="19" t="n"/>
      <c r="D74" s="19" t="n"/>
      <c r="E74" s="23">
        <f>IF(D74="","",IFERROR(INDEX('01_자재목록'!$D$7:$D$106,MATCH(D74,'01_자재목록'!$B$7:$B$106,0))&amp;"","자재코드 확인"))</f>
        <v/>
      </c>
      <c r="F74" s="19" t="n"/>
      <c r="G74" s="19" t="n"/>
      <c r="H74" s="30" t="n"/>
      <c r="I74" s="30" t="n"/>
      <c r="J74" s="23">
        <f>IF(D74="","",IFERROR(INDEX('01_자재목록'!$I$7:$I$106,MATCH(D74,'01_자재목록'!$B$7:$B$106,0))&amp;"","자재코드 확인"))</f>
        <v/>
      </c>
      <c r="K74" s="31">
        <f>IF(D74="",IF(OR(B74&lt;&gt;"",C74&lt;&gt;"",H74&lt;&gt;"",I74&lt;&gt;""),"자재코드 입력 확인",""),IF(COUNTIF('01_자재목록'!$B$7:$B$106,D74)&lt;&gt;1,"자재코드 확인",IF(J74="","단위 입력 확인",IF(OR(NOT(ISNUMBER(B74)),B74&lt;1,AND(C74&lt;&gt;"입고",C74&lt;&gt;"출고",C74&lt;&gt;"조정")),"일자/구분 확인",IF(OR(AND(H74&lt;&gt;"",NOT(ISNUMBER(H74))),AND(I74&lt;&gt;"",NOT(ISNUMBER(I74))),H74&lt;0,I74&lt;0,AND(H74&lt;=0,I74&lt;=0),AND(H74&gt;0,I74&gt;0),AND(C74="입고",I74&gt;0),AND(C74="출고",H74&gt;0)),"수량/구분 확인",SUMIFS($H$7:H74,$D$7:D74,D74)-SUMIFS($I$7:I74,$D$7:D74,D74))))))</f>
        <v/>
      </c>
      <c r="L74" s="19" t="n"/>
      <c r="M74" s="19" t="n"/>
      <c r="N74" s="19" t="n"/>
      <c r="O74" s="27">
        <f>IF(D74="","",IF(COUNTIF('01_자재목록'!$B$7:$B$106,D74)&lt;&gt;1,"자재코드 확인",IF(INDEX('01_자재목록'!$R$7:$R$106,MATCH(D74,'01_자재목록'!$B$7:$B$106,0))="","구분 미입력",INDEX('01_자재목록'!$R$7:$R$106,MATCH(D74,'01_자재목록'!$B$7:$B$106,0)))))</f>
        <v/>
      </c>
    </row>
    <row r="75" ht="24" customHeight="1">
      <c r="A75" s="18" t="n">
        <v>69</v>
      </c>
      <c r="B75" s="32" t="n"/>
      <c r="C75" s="19" t="n"/>
      <c r="D75" s="19" t="n"/>
      <c r="E75" s="23">
        <f>IF(D75="","",IFERROR(INDEX('01_자재목록'!$D$7:$D$106,MATCH(D75,'01_자재목록'!$B$7:$B$106,0))&amp;"","자재코드 확인"))</f>
        <v/>
      </c>
      <c r="F75" s="19" t="n"/>
      <c r="G75" s="19" t="n"/>
      <c r="H75" s="30" t="n"/>
      <c r="I75" s="30" t="n"/>
      <c r="J75" s="23">
        <f>IF(D75="","",IFERROR(INDEX('01_자재목록'!$I$7:$I$106,MATCH(D75,'01_자재목록'!$B$7:$B$106,0))&amp;"","자재코드 확인"))</f>
        <v/>
      </c>
      <c r="K75" s="31">
        <f>IF(D75="",IF(OR(B75&lt;&gt;"",C75&lt;&gt;"",H75&lt;&gt;"",I75&lt;&gt;""),"자재코드 입력 확인",""),IF(COUNTIF('01_자재목록'!$B$7:$B$106,D75)&lt;&gt;1,"자재코드 확인",IF(J75="","단위 입력 확인",IF(OR(NOT(ISNUMBER(B75)),B75&lt;1,AND(C75&lt;&gt;"입고",C75&lt;&gt;"출고",C75&lt;&gt;"조정")),"일자/구분 확인",IF(OR(AND(H75&lt;&gt;"",NOT(ISNUMBER(H75))),AND(I75&lt;&gt;"",NOT(ISNUMBER(I75))),H75&lt;0,I75&lt;0,AND(H75&lt;=0,I75&lt;=0),AND(H75&gt;0,I75&gt;0),AND(C75="입고",I75&gt;0),AND(C75="출고",H75&gt;0)),"수량/구분 확인",SUMIFS($H$7:H75,$D$7:D75,D75)-SUMIFS($I$7:I75,$D$7:D75,D75))))))</f>
        <v/>
      </c>
      <c r="L75" s="19" t="n"/>
      <c r="M75" s="19" t="n"/>
      <c r="N75" s="19" t="n"/>
      <c r="O75" s="27">
        <f>IF(D75="","",IF(COUNTIF('01_자재목록'!$B$7:$B$106,D75)&lt;&gt;1,"자재코드 확인",IF(INDEX('01_자재목록'!$R$7:$R$106,MATCH(D75,'01_자재목록'!$B$7:$B$106,0))="","구분 미입력",INDEX('01_자재목록'!$R$7:$R$106,MATCH(D75,'01_자재목록'!$B$7:$B$106,0)))))</f>
        <v/>
      </c>
    </row>
    <row r="76" ht="24" customHeight="1">
      <c r="A76" s="18" t="n">
        <v>70</v>
      </c>
      <c r="B76" s="32" t="n"/>
      <c r="C76" s="19" t="n"/>
      <c r="D76" s="19" t="n"/>
      <c r="E76" s="23">
        <f>IF(D76="","",IFERROR(INDEX('01_자재목록'!$D$7:$D$106,MATCH(D76,'01_자재목록'!$B$7:$B$106,0))&amp;"","자재코드 확인"))</f>
        <v/>
      </c>
      <c r="F76" s="19" t="n"/>
      <c r="G76" s="19" t="n"/>
      <c r="H76" s="30" t="n"/>
      <c r="I76" s="30" t="n"/>
      <c r="J76" s="23">
        <f>IF(D76="","",IFERROR(INDEX('01_자재목록'!$I$7:$I$106,MATCH(D76,'01_자재목록'!$B$7:$B$106,0))&amp;"","자재코드 확인"))</f>
        <v/>
      </c>
      <c r="K76" s="31">
        <f>IF(D76="",IF(OR(B76&lt;&gt;"",C76&lt;&gt;"",H76&lt;&gt;"",I76&lt;&gt;""),"자재코드 입력 확인",""),IF(COUNTIF('01_자재목록'!$B$7:$B$106,D76)&lt;&gt;1,"자재코드 확인",IF(J76="","단위 입력 확인",IF(OR(NOT(ISNUMBER(B76)),B76&lt;1,AND(C76&lt;&gt;"입고",C76&lt;&gt;"출고",C76&lt;&gt;"조정")),"일자/구분 확인",IF(OR(AND(H76&lt;&gt;"",NOT(ISNUMBER(H76))),AND(I76&lt;&gt;"",NOT(ISNUMBER(I76))),H76&lt;0,I76&lt;0,AND(H76&lt;=0,I76&lt;=0),AND(H76&gt;0,I76&gt;0),AND(C76="입고",I76&gt;0),AND(C76="출고",H76&gt;0)),"수량/구분 확인",SUMIFS($H$7:H76,$D$7:D76,D76)-SUMIFS($I$7:I76,$D$7:D76,D76))))))</f>
        <v/>
      </c>
      <c r="L76" s="19" t="n"/>
      <c r="M76" s="19" t="n"/>
      <c r="N76" s="19" t="n"/>
      <c r="O76" s="27">
        <f>IF(D76="","",IF(COUNTIF('01_자재목록'!$B$7:$B$106,D76)&lt;&gt;1,"자재코드 확인",IF(INDEX('01_자재목록'!$R$7:$R$106,MATCH(D76,'01_자재목록'!$B$7:$B$106,0))="","구분 미입력",INDEX('01_자재목록'!$R$7:$R$106,MATCH(D76,'01_자재목록'!$B$7:$B$106,0)))))</f>
        <v/>
      </c>
    </row>
    <row r="77" ht="24" customHeight="1">
      <c r="A77" s="18" t="n">
        <v>71</v>
      </c>
      <c r="B77" s="32" t="n"/>
      <c r="C77" s="19" t="n"/>
      <c r="D77" s="19" t="n"/>
      <c r="E77" s="23">
        <f>IF(D77="","",IFERROR(INDEX('01_자재목록'!$D$7:$D$106,MATCH(D77,'01_자재목록'!$B$7:$B$106,0))&amp;"","자재코드 확인"))</f>
        <v/>
      </c>
      <c r="F77" s="19" t="n"/>
      <c r="G77" s="19" t="n"/>
      <c r="H77" s="30" t="n"/>
      <c r="I77" s="30" t="n"/>
      <c r="J77" s="23">
        <f>IF(D77="","",IFERROR(INDEX('01_자재목록'!$I$7:$I$106,MATCH(D77,'01_자재목록'!$B$7:$B$106,0))&amp;"","자재코드 확인"))</f>
        <v/>
      </c>
      <c r="K77" s="31">
        <f>IF(D77="",IF(OR(B77&lt;&gt;"",C77&lt;&gt;"",H77&lt;&gt;"",I77&lt;&gt;""),"자재코드 입력 확인",""),IF(COUNTIF('01_자재목록'!$B$7:$B$106,D77)&lt;&gt;1,"자재코드 확인",IF(J77="","단위 입력 확인",IF(OR(NOT(ISNUMBER(B77)),B77&lt;1,AND(C77&lt;&gt;"입고",C77&lt;&gt;"출고",C77&lt;&gt;"조정")),"일자/구분 확인",IF(OR(AND(H77&lt;&gt;"",NOT(ISNUMBER(H77))),AND(I77&lt;&gt;"",NOT(ISNUMBER(I77))),H77&lt;0,I77&lt;0,AND(H77&lt;=0,I77&lt;=0),AND(H77&gt;0,I77&gt;0),AND(C77="입고",I77&gt;0),AND(C77="출고",H77&gt;0)),"수량/구분 확인",SUMIFS($H$7:H77,$D$7:D77,D77)-SUMIFS($I$7:I77,$D$7:D77,D77))))))</f>
        <v/>
      </c>
      <c r="L77" s="19" t="n"/>
      <c r="M77" s="19" t="n"/>
      <c r="N77" s="19" t="n"/>
      <c r="O77" s="27">
        <f>IF(D77="","",IF(COUNTIF('01_자재목록'!$B$7:$B$106,D77)&lt;&gt;1,"자재코드 확인",IF(INDEX('01_자재목록'!$R$7:$R$106,MATCH(D77,'01_자재목록'!$B$7:$B$106,0))="","구분 미입력",INDEX('01_자재목록'!$R$7:$R$106,MATCH(D77,'01_자재목록'!$B$7:$B$106,0)))))</f>
        <v/>
      </c>
    </row>
    <row r="78" ht="24" customHeight="1">
      <c r="A78" s="18" t="n">
        <v>72</v>
      </c>
      <c r="B78" s="32" t="n"/>
      <c r="C78" s="19" t="n"/>
      <c r="D78" s="19" t="n"/>
      <c r="E78" s="23">
        <f>IF(D78="","",IFERROR(INDEX('01_자재목록'!$D$7:$D$106,MATCH(D78,'01_자재목록'!$B$7:$B$106,0))&amp;"","자재코드 확인"))</f>
        <v/>
      </c>
      <c r="F78" s="19" t="n"/>
      <c r="G78" s="19" t="n"/>
      <c r="H78" s="30" t="n"/>
      <c r="I78" s="30" t="n"/>
      <c r="J78" s="23">
        <f>IF(D78="","",IFERROR(INDEX('01_자재목록'!$I$7:$I$106,MATCH(D78,'01_자재목록'!$B$7:$B$106,0))&amp;"","자재코드 확인"))</f>
        <v/>
      </c>
      <c r="K78" s="31">
        <f>IF(D78="",IF(OR(B78&lt;&gt;"",C78&lt;&gt;"",H78&lt;&gt;"",I78&lt;&gt;""),"자재코드 입력 확인",""),IF(COUNTIF('01_자재목록'!$B$7:$B$106,D78)&lt;&gt;1,"자재코드 확인",IF(J78="","단위 입력 확인",IF(OR(NOT(ISNUMBER(B78)),B78&lt;1,AND(C78&lt;&gt;"입고",C78&lt;&gt;"출고",C78&lt;&gt;"조정")),"일자/구분 확인",IF(OR(AND(H78&lt;&gt;"",NOT(ISNUMBER(H78))),AND(I78&lt;&gt;"",NOT(ISNUMBER(I78))),H78&lt;0,I78&lt;0,AND(H78&lt;=0,I78&lt;=0),AND(H78&gt;0,I78&gt;0),AND(C78="입고",I78&gt;0),AND(C78="출고",H78&gt;0)),"수량/구분 확인",SUMIFS($H$7:H78,$D$7:D78,D78)-SUMIFS($I$7:I78,$D$7:D78,D78))))))</f>
        <v/>
      </c>
      <c r="L78" s="19" t="n"/>
      <c r="M78" s="19" t="n"/>
      <c r="N78" s="19" t="n"/>
      <c r="O78" s="27">
        <f>IF(D78="","",IF(COUNTIF('01_자재목록'!$B$7:$B$106,D78)&lt;&gt;1,"자재코드 확인",IF(INDEX('01_자재목록'!$R$7:$R$106,MATCH(D78,'01_자재목록'!$B$7:$B$106,0))="","구분 미입력",INDEX('01_자재목록'!$R$7:$R$106,MATCH(D78,'01_자재목록'!$B$7:$B$106,0)))))</f>
        <v/>
      </c>
    </row>
    <row r="79" ht="24" customHeight="1">
      <c r="A79" s="18" t="n">
        <v>73</v>
      </c>
      <c r="B79" s="32" t="n"/>
      <c r="C79" s="19" t="n"/>
      <c r="D79" s="19" t="n"/>
      <c r="E79" s="23">
        <f>IF(D79="","",IFERROR(INDEX('01_자재목록'!$D$7:$D$106,MATCH(D79,'01_자재목록'!$B$7:$B$106,0))&amp;"","자재코드 확인"))</f>
        <v/>
      </c>
      <c r="F79" s="19" t="n"/>
      <c r="G79" s="19" t="n"/>
      <c r="H79" s="30" t="n"/>
      <c r="I79" s="30" t="n"/>
      <c r="J79" s="23">
        <f>IF(D79="","",IFERROR(INDEX('01_자재목록'!$I$7:$I$106,MATCH(D79,'01_자재목록'!$B$7:$B$106,0))&amp;"","자재코드 확인"))</f>
        <v/>
      </c>
      <c r="K79" s="31">
        <f>IF(D79="",IF(OR(B79&lt;&gt;"",C79&lt;&gt;"",H79&lt;&gt;"",I79&lt;&gt;""),"자재코드 입력 확인",""),IF(COUNTIF('01_자재목록'!$B$7:$B$106,D79)&lt;&gt;1,"자재코드 확인",IF(J79="","단위 입력 확인",IF(OR(NOT(ISNUMBER(B79)),B79&lt;1,AND(C79&lt;&gt;"입고",C79&lt;&gt;"출고",C79&lt;&gt;"조정")),"일자/구분 확인",IF(OR(AND(H79&lt;&gt;"",NOT(ISNUMBER(H79))),AND(I79&lt;&gt;"",NOT(ISNUMBER(I79))),H79&lt;0,I79&lt;0,AND(H79&lt;=0,I79&lt;=0),AND(H79&gt;0,I79&gt;0),AND(C79="입고",I79&gt;0),AND(C79="출고",H79&gt;0)),"수량/구분 확인",SUMIFS($H$7:H79,$D$7:D79,D79)-SUMIFS($I$7:I79,$D$7:D79,D79))))))</f>
        <v/>
      </c>
      <c r="L79" s="19" t="n"/>
      <c r="M79" s="19" t="n"/>
      <c r="N79" s="19" t="n"/>
      <c r="O79" s="27">
        <f>IF(D79="","",IF(COUNTIF('01_자재목록'!$B$7:$B$106,D79)&lt;&gt;1,"자재코드 확인",IF(INDEX('01_자재목록'!$R$7:$R$106,MATCH(D79,'01_자재목록'!$B$7:$B$106,0))="","구분 미입력",INDEX('01_자재목록'!$R$7:$R$106,MATCH(D79,'01_자재목록'!$B$7:$B$106,0)))))</f>
        <v/>
      </c>
    </row>
    <row r="80" ht="24" customHeight="1">
      <c r="A80" s="18" t="n">
        <v>74</v>
      </c>
      <c r="B80" s="32" t="n"/>
      <c r="C80" s="19" t="n"/>
      <c r="D80" s="19" t="n"/>
      <c r="E80" s="23">
        <f>IF(D80="","",IFERROR(INDEX('01_자재목록'!$D$7:$D$106,MATCH(D80,'01_자재목록'!$B$7:$B$106,0))&amp;"","자재코드 확인"))</f>
        <v/>
      </c>
      <c r="F80" s="19" t="n"/>
      <c r="G80" s="19" t="n"/>
      <c r="H80" s="30" t="n"/>
      <c r="I80" s="30" t="n"/>
      <c r="J80" s="23">
        <f>IF(D80="","",IFERROR(INDEX('01_자재목록'!$I$7:$I$106,MATCH(D80,'01_자재목록'!$B$7:$B$106,0))&amp;"","자재코드 확인"))</f>
        <v/>
      </c>
      <c r="K80" s="31">
        <f>IF(D80="",IF(OR(B80&lt;&gt;"",C80&lt;&gt;"",H80&lt;&gt;"",I80&lt;&gt;""),"자재코드 입력 확인",""),IF(COUNTIF('01_자재목록'!$B$7:$B$106,D80)&lt;&gt;1,"자재코드 확인",IF(J80="","단위 입력 확인",IF(OR(NOT(ISNUMBER(B80)),B80&lt;1,AND(C80&lt;&gt;"입고",C80&lt;&gt;"출고",C80&lt;&gt;"조정")),"일자/구분 확인",IF(OR(AND(H80&lt;&gt;"",NOT(ISNUMBER(H80))),AND(I80&lt;&gt;"",NOT(ISNUMBER(I80))),H80&lt;0,I80&lt;0,AND(H80&lt;=0,I80&lt;=0),AND(H80&gt;0,I80&gt;0),AND(C80="입고",I80&gt;0),AND(C80="출고",H80&gt;0)),"수량/구분 확인",SUMIFS($H$7:H80,$D$7:D80,D80)-SUMIFS($I$7:I80,$D$7:D80,D80))))))</f>
        <v/>
      </c>
      <c r="L80" s="19" t="n"/>
      <c r="M80" s="19" t="n"/>
      <c r="N80" s="19" t="n"/>
      <c r="O80" s="27">
        <f>IF(D80="","",IF(COUNTIF('01_자재목록'!$B$7:$B$106,D80)&lt;&gt;1,"자재코드 확인",IF(INDEX('01_자재목록'!$R$7:$R$106,MATCH(D80,'01_자재목록'!$B$7:$B$106,0))="","구분 미입력",INDEX('01_자재목록'!$R$7:$R$106,MATCH(D80,'01_자재목록'!$B$7:$B$106,0)))))</f>
        <v/>
      </c>
    </row>
    <row r="81" ht="24" customHeight="1">
      <c r="A81" s="18" t="n">
        <v>75</v>
      </c>
      <c r="B81" s="32" t="n"/>
      <c r="C81" s="19" t="n"/>
      <c r="D81" s="19" t="n"/>
      <c r="E81" s="23">
        <f>IF(D81="","",IFERROR(INDEX('01_자재목록'!$D$7:$D$106,MATCH(D81,'01_자재목록'!$B$7:$B$106,0))&amp;"","자재코드 확인"))</f>
        <v/>
      </c>
      <c r="F81" s="19" t="n"/>
      <c r="G81" s="19" t="n"/>
      <c r="H81" s="30" t="n"/>
      <c r="I81" s="30" t="n"/>
      <c r="J81" s="23">
        <f>IF(D81="","",IFERROR(INDEX('01_자재목록'!$I$7:$I$106,MATCH(D81,'01_자재목록'!$B$7:$B$106,0))&amp;"","자재코드 확인"))</f>
        <v/>
      </c>
      <c r="K81" s="31">
        <f>IF(D81="",IF(OR(B81&lt;&gt;"",C81&lt;&gt;"",H81&lt;&gt;"",I81&lt;&gt;""),"자재코드 입력 확인",""),IF(COUNTIF('01_자재목록'!$B$7:$B$106,D81)&lt;&gt;1,"자재코드 확인",IF(J81="","단위 입력 확인",IF(OR(NOT(ISNUMBER(B81)),B81&lt;1,AND(C81&lt;&gt;"입고",C81&lt;&gt;"출고",C81&lt;&gt;"조정")),"일자/구분 확인",IF(OR(AND(H81&lt;&gt;"",NOT(ISNUMBER(H81))),AND(I81&lt;&gt;"",NOT(ISNUMBER(I81))),H81&lt;0,I81&lt;0,AND(H81&lt;=0,I81&lt;=0),AND(H81&gt;0,I81&gt;0),AND(C81="입고",I81&gt;0),AND(C81="출고",H81&gt;0)),"수량/구분 확인",SUMIFS($H$7:H81,$D$7:D81,D81)-SUMIFS($I$7:I81,$D$7:D81,D81))))))</f>
        <v/>
      </c>
      <c r="L81" s="19" t="n"/>
      <c r="M81" s="19" t="n"/>
      <c r="N81" s="19" t="n"/>
      <c r="O81" s="27">
        <f>IF(D81="","",IF(COUNTIF('01_자재목록'!$B$7:$B$106,D81)&lt;&gt;1,"자재코드 확인",IF(INDEX('01_자재목록'!$R$7:$R$106,MATCH(D81,'01_자재목록'!$B$7:$B$106,0))="","구분 미입력",INDEX('01_자재목록'!$R$7:$R$106,MATCH(D81,'01_자재목록'!$B$7:$B$106,0)))))</f>
        <v/>
      </c>
    </row>
    <row r="82" ht="24" customHeight="1">
      <c r="A82" s="18" t="n">
        <v>76</v>
      </c>
      <c r="B82" s="32" t="n"/>
      <c r="C82" s="19" t="n"/>
      <c r="D82" s="19" t="n"/>
      <c r="E82" s="23">
        <f>IF(D82="","",IFERROR(INDEX('01_자재목록'!$D$7:$D$106,MATCH(D82,'01_자재목록'!$B$7:$B$106,0))&amp;"","자재코드 확인"))</f>
        <v/>
      </c>
      <c r="F82" s="19" t="n"/>
      <c r="G82" s="19" t="n"/>
      <c r="H82" s="30" t="n"/>
      <c r="I82" s="30" t="n"/>
      <c r="J82" s="23">
        <f>IF(D82="","",IFERROR(INDEX('01_자재목록'!$I$7:$I$106,MATCH(D82,'01_자재목록'!$B$7:$B$106,0))&amp;"","자재코드 확인"))</f>
        <v/>
      </c>
      <c r="K82" s="31">
        <f>IF(D82="",IF(OR(B82&lt;&gt;"",C82&lt;&gt;"",H82&lt;&gt;"",I82&lt;&gt;""),"자재코드 입력 확인",""),IF(COUNTIF('01_자재목록'!$B$7:$B$106,D82)&lt;&gt;1,"자재코드 확인",IF(J82="","단위 입력 확인",IF(OR(NOT(ISNUMBER(B82)),B82&lt;1,AND(C82&lt;&gt;"입고",C82&lt;&gt;"출고",C82&lt;&gt;"조정")),"일자/구분 확인",IF(OR(AND(H82&lt;&gt;"",NOT(ISNUMBER(H82))),AND(I82&lt;&gt;"",NOT(ISNUMBER(I82))),H82&lt;0,I82&lt;0,AND(H82&lt;=0,I82&lt;=0),AND(H82&gt;0,I82&gt;0),AND(C82="입고",I82&gt;0),AND(C82="출고",H82&gt;0)),"수량/구분 확인",SUMIFS($H$7:H82,$D$7:D82,D82)-SUMIFS($I$7:I82,$D$7:D82,D82))))))</f>
        <v/>
      </c>
      <c r="L82" s="19" t="n"/>
      <c r="M82" s="19" t="n"/>
      <c r="N82" s="19" t="n"/>
      <c r="O82" s="27">
        <f>IF(D82="","",IF(COUNTIF('01_자재목록'!$B$7:$B$106,D82)&lt;&gt;1,"자재코드 확인",IF(INDEX('01_자재목록'!$R$7:$R$106,MATCH(D82,'01_자재목록'!$B$7:$B$106,0))="","구분 미입력",INDEX('01_자재목록'!$R$7:$R$106,MATCH(D82,'01_자재목록'!$B$7:$B$106,0)))))</f>
        <v/>
      </c>
    </row>
    <row r="83" ht="24" customHeight="1">
      <c r="A83" s="18" t="n">
        <v>77</v>
      </c>
      <c r="B83" s="32" t="n"/>
      <c r="C83" s="19" t="n"/>
      <c r="D83" s="19" t="n"/>
      <c r="E83" s="23">
        <f>IF(D83="","",IFERROR(INDEX('01_자재목록'!$D$7:$D$106,MATCH(D83,'01_자재목록'!$B$7:$B$106,0))&amp;"","자재코드 확인"))</f>
        <v/>
      </c>
      <c r="F83" s="19" t="n"/>
      <c r="G83" s="19" t="n"/>
      <c r="H83" s="30" t="n"/>
      <c r="I83" s="30" t="n"/>
      <c r="J83" s="23">
        <f>IF(D83="","",IFERROR(INDEX('01_자재목록'!$I$7:$I$106,MATCH(D83,'01_자재목록'!$B$7:$B$106,0))&amp;"","자재코드 확인"))</f>
        <v/>
      </c>
      <c r="K83" s="31">
        <f>IF(D83="",IF(OR(B83&lt;&gt;"",C83&lt;&gt;"",H83&lt;&gt;"",I83&lt;&gt;""),"자재코드 입력 확인",""),IF(COUNTIF('01_자재목록'!$B$7:$B$106,D83)&lt;&gt;1,"자재코드 확인",IF(J83="","단위 입력 확인",IF(OR(NOT(ISNUMBER(B83)),B83&lt;1,AND(C83&lt;&gt;"입고",C83&lt;&gt;"출고",C83&lt;&gt;"조정")),"일자/구분 확인",IF(OR(AND(H83&lt;&gt;"",NOT(ISNUMBER(H83))),AND(I83&lt;&gt;"",NOT(ISNUMBER(I83))),H83&lt;0,I83&lt;0,AND(H83&lt;=0,I83&lt;=0),AND(H83&gt;0,I83&gt;0),AND(C83="입고",I83&gt;0),AND(C83="출고",H83&gt;0)),"수량/구분 확인",SUMIFS($H$7:H83,$D$7:D83,D83)-SUMIFS($I$7:I83,$D$7:D83,D83))))))</f>
        <v/>
      </c>
      <c r="L83" s="19" t="n"/>
      <c r="M83" s="19" t="n"/>
      <c r="N83" s="19" t="n"/>
      <c r="O83" s="27">
        <f>IF(D83="","",IF(COUNTIF('01_자재목록'!$B$7:$B$106,D83)&lt;&gt;1,"자재코드 확인",IF(INDEX('01_자재목록'!$R$7:$R$106,MATCH(D83,'01_자재목록'!$B$7:$B$106,0))="","구분 미입력",INDEX('01_자재목록'!$R$7:$R$106,MATCH(D83,'01_자재목록'!$B$7:$B$106,0)))))</f>
        <v/>
      </c>
    </row>
    <row r="84" ht="24" customHeight="1">
      <c r="A84" s="18" t="n">
        <v>78</v>
      </c>
      <c r="B84" s="32" t="n"/>
      <c r="C84" s="19" t="n"/>
      <c r="D84" s="19" t="n"/>
      <c r="E84" s="23">
        <f>IF(D84="","",IFERROR(INDEX('01_자재목록'!$D$7:$D$106,MATCH(D84,'01_자재목록'!$B$7:$B$106,0))&amp;"","자재코드 확인"))</f>
        <v/>
      </c>
      <c r="F84" s="19" t="n"/>
      <c r="G84" s="19" t="n"/>
      <c r="H84" s="30" t="n"/>
      <c r="I84" s="30" t="n"/>
      <c r="J84" s="23">
        <f>IF(D84="","",IFERROR(INDEX('01_자재목록'!$I$7:$I$106,MATCH(D84,'01_자재목록'!$B$7:$B$106,0))&amp;"","자재코드 확인"))</f>
        <v/>
      </c>
      <c r="K84" s="31">
        <f>IF(D84="",IF(OR(B84&lt;&gt;"",C84&lt;&gt;"",H84&lt;&gt;"",I84&lt;&gt;""),"자재코드 입력 확인",""),IF(COUNTIF('01_자재목록'!$B$7:$B$106,D84)&lt;&gt;1,"자재코드 확인",IF(J84="","단위 입력 확인",IF(OR(NOT(ISNUMBER(B84)),B84&lt;1,AND(C84&lt;&gt;"입고",C84&lt;&gt;"출고",C84&lt;&gt;"조정")),"일자/구분 확인",IF(OR(AND(H84&lt;&gt;"",NOT(ISNUMBER(H84))),AND(I84&lt;&gt;"",NOT(ISNUMBER(I84))),H84&lt;0,I84&lt;0,AND(H84&lt;=0,I84&lt;=0),AND(H84&gt;0,I84&gt;0),AND(C84="입고",I84&gt;0),AND(C84="출고",H84&gt;0)),"수량/구분 확인",SUMIFS($H$7:H84,$D$7:D84,D84)-SUMIFS($I$7:I84,$D$7:D84,D84))))))</f>
        <v/>
      </c>
      <c r="L84" s="19" t="n"/>
      <c r="M84" s="19" t="n"/>
      <c r="N84" s="19" t="n"/>
      <c r="O84" s="27">
        <f>IF(D84="","",IF(COUNTIF('01_자재목록'!$B$7:$B$106,D84)&lt;&gt;1,"자재코드 확인",IF(INDEX('01_자재목록'!$R$7:$R$106,MATCH(D84,'01_자재목록'!$B$7:$B$106,0))="","구분 미입력",INDEX('01_자재목록'!$R$7:$R$106,MATCH(D84,'01_자재목록'!$B$7:$B$106,0)))))</f>
        <v/>
      </c>
    </row>
    <row r="85" ht="24" customHeight="1">
      <c r="A85" s="18" t="n">
        <v>79</v>
      </c>
      <c r="B85" s="32" t="n"/>
      <c r="C85" s="19" t="n"/>
      <c r="D85" s="19" t="n"/>
      <c r="E85" s="23">
        <f>IF(D85="","",IFERROR(INDEX('01_자재목록'!$D$7:$D$106,MATCH(D85,'01_자재목록'!$B$7:$B$106,0))&amp;"","자재코드 확인"))</f>
        <v/>
      </c>
      <c r="F85" s="19" t="n"/>
      <c r="G85" s="19" t="n"/>
      <c r="H85" s="30" t="n"/>
      <c r="I85" s="30" t="n"/>
      <c r="J85" s="23">
        <f>IF(D85="","",IFERROR(INDEX('01_자재목록'!$I$7:$I$106,MATCH(D85,'01_자재목록'!$B$7:$B$106,0))&amp;"","자재코드 확인"))</f>
        <v/>
      </c>
      <c r="K85" s="31">
        <f>IF(D85="",IF(OR(B85&lt;&gt;"",C85&lt;&gt;"",H85&lt;&gt;"",I85&lt;&gt;""),"자재코드 입력 확인",""),IF(COUNTIF('01_자재목록'!$B$7:$B$106,D85)&lt;&gt;1,"자재코드 확인",IF(J85="","단위 입력 확인",IF(OR(NOT(ISNUMBER(B85)),B85&lt;1,AND(C85&lt;&gt;"입고",C85&lt;&gt;"출고",C85&lt;&gt;"조정")),"일자/구분 확인",IF(OR(AND(H85&lt;&gt;"",NOT(ISNUMBER(H85))),AND(I85&lt;&gt;"",NOT(ISNUMBER(I85))),H85&lt;0,I85&lt;0,AND(H85&lt;=0,I85&lt;=0),AND(H85&gt;0,I85&gt;0),AND(C85="입고",I85&gt;0),AND(C85="출고",H85&gt;0)),"수량/구분 확인",SUMIFS($H$7:H85,$D$7:D85,D85)-SUMIFS($I$7:I85,$D$7:D85,D85))))))</f>
        <v/>
      </c>
      <c r="L85" s="19" t="n"/>
      <c r="M85" s="19" t="n"/>
      <c r="N85" s="19" t="n"/>
      <c r="O85" s="27">
        <f>IF(D85="","",IF(COUNTIF('01_자재목록'!$B$7:$B$106,D85)&lt;&gt;1,"자재코드 확인",IF(INDEX('01_자재목록'!$R$7:$R$106,MATCH(D85,'01_자재목록'!$B$7:$B$106,0))="","구분 미입력",INDEX('01_자재목록'!$R$7:$R$106,MATCH(D85,'01_자재목록'!$B$7:$B$106,0)))))</f>
        <v/>
      </c>
    </row>
    <row r="86" ht="24" customHeight="1">
      <c r="A86" s="18" t="n">
        <v>80</v>
      </c>
      <c r="B86" s="32" t="n"/>
      <c r="C86" s="19" t="n"/>
      <c r="D86" s="19" t="n"/>
      <c r="E86" s="23">
        <f>IF(D86="","",IFERROR(INDEX('01_자재목록'!$D$7:$D$106,MATCH(D86,'01_자재목록'!$B$7:$B$106,0))&amp;"","자재코드 확인"))</f>
        <v/>
      </c>
      <c r="F86" s="19" t="n"/>
      <c r="G86" s="19" t="n"/>
      <c r="H86" s="30" t="n"/>
      <c r="I86" s="30" t="n"/>
      <c r="J86" s="23">
        <f>IF(D86="","",IFERROR(INDEX('01_자재목록'!$I$7:$I$106,MATCH(D86,'01_자재목록'!$B$7:$B$106,0))&amp;"","자재코드 확인"))</f>
        <v/>
      </c>
      <c r="K86" s="31">
        <f>IF(D86="",IF(OR(B86&lt;&gt;"",C86&lt;&gt;"",H86&lt;&gt;"",I86&lt;&gt;""),"자재코드 입력 확인",""),IF(COUNTIF('01_자재목록'!$B$7:$B$106,D86)&lt;&gt;1,"자재코드 확인",IF(J86="","단위 입력 확인",IF(OR(NOT(ISNUMBER(B86)),B86&lt;1,AND(C86&lt;&gt;"입고",C86&lt;&gt;"출고",C86&lt;&gt;"조정")),"일자/구분 확인",IF(OR(AND(H86&lt;&gt;"",NOT(ISNUMBER(H86))),AND(I86&lt;&gt;"",NOT(ISNUMBER(I86))),H86&lt;0,I86&lt;0,AND(H86&lt;=0,I86&lt;=0),AND(H86&gt;0,I86&gt;0),AND(C86="입고",I86&gt;0),AND(C86="출고",H86&gt;0)),"수량/구분 확인",SUMIFS($H$7:H86,$D$7:D86,D86)-SUMIFS($I$7:I86,$D$7:D86,D86))))))</f>
        <v/>
      </c>
      <c r="L86" s="19" t="n"/>
      <c r="M86" s="19" t="n"/>
      <c r="N86" s="19" t="n"/>
      <c r="O86" s="27">
        <f>IF(D86="","",IF(COUNTIF('01_자재목록'!$B$7:$B$106,D86)&lt;&gt;1,"자재코드 확인",IF(INDEX('01_자재목록'!$R$7:$R$106,MATCH(D86,'01_자재목록'!$B$7:$B$106,0))="","구분 미입력",INDEX('01_자재목록'!$R$7:$R$106,MATCH(D86,'01_자재목록'!$B$7:$B$106,0)))))</f>
        <v/>
      </c>
    </row>
    <row r="87" ht="24" customHeight="1">
      <c r="A87" s="18" t="n">
        <v>81</v>
      </c>
      <c r="B87" s="32" t="n"/>
      <c r="C87" s="19" t="n"/>
      <c r="D87" s="19" t="n"/>
      <c r="E87" s="23">
        <f>IF(D87="","",IFERROR(INDEX('01_자재목록'!$D$7:$D$106,MATCH(D87,'01_자재목록'!$B$7:$B$106,0))&amp;"","자재코드 확인"))</f>
        <v/>
      </c>
      <c r="F87" s="19" t="n"/>
      <c r="G87" s="19" t="n"/>
      <c r="H87" s="30" t="n"/>
      <c r="I87" s="30" t="n"/>
      <c r="J87" s="23">
        <f>IF(D87="","",IFERROR(INDEX('01_자재목록'!$I$7:$I$106,MATCH(D87,'01_자재목록'!$B$7:$B$106,0))&amp;"","자재코드 확인"))</f>
        <v/>
      </c>
      <c r="K87" s="31">
        <f>IF(D87="",IF(OR(B87&lt;&gt;"",C87&lt;&gt;"",H87&lt;&gt;"",I87&lt;&gt;""),"자재코드 입력 확인",""),IF(COUNTIF('01_자재목록'!$B$7:$B$106,D87)&lt;&gt;1,"자재코드 확인",IF(J87="","단위 입력 확인",IF(OR(NOT(ISNUMBER(B87)),B87&lt;1,AND(C87&lt;&gt;"입고",C87&lt;&gt;"출고",C87&lt;&gt;"조정")),"일자/구분 확인",IF(OR(AND(H87&lt;&gt;"",NOT(ISNUMBER(H87))),AND(I87&lt;&gt;"",NOT(ISNUMBER(I87))),H87&lt;0,I87&lt;0,AND(H87&lt;=0,I87&lt;=0),AND(H87&gt;0,I87&gt;0),AND(C87="입고",I87&gt;0),AND(C87="출고",H87&gt;0)),"수량/구분 확인",SUMIFS($H$7:H87,$D$7:D87,D87)-SUMIFS($I$7:I87,$D$7:D87,D87))))))</f>
        <v/>
      </c>
      <c r="L87" s="19" t="n"/>
      <c r="M87" s="19" t="n"/>
      <c r="N87" s="19" t="n"/>
      <c r="O87" s="27">
        <f>IF(D87="","",IF(COUNTIF('01_자재목록'!$B$7:$B$106,D87)&lt;&gt;1,"자재코드 확인",IF(INDEX('01_자재목록'!$R$7:$R$106,MATCH(D87,'01_자재목록'!$B$7:$B$106,0))="","구분 미입력",INDEX('01_자재목록'!$R$7:$R$106,MATCH(D87,'01_자재목록'!$B$7:$B$106,0)))))</f>
        <v/>
      </c>
    </row>
    <row r="88" ht="24" customHeight="1">
      <c r="A88" s="18" t="n">
        <v>82</v>
      </c>
      <c r="B88" s="32" t="n"/>
      <c r="C88" s="19" t="n"/>
      <c r="D88" s="19" t="n"/>
      <c r="E88" s="23">
        <f>IF(D88="","",IFERROR(INDEX('01_자재목록'!$D$7:$D$106,MATCH(D88,'01_자재목록'!$B$7:$B$106,0))&amp;"","자재코드 확인"))</f>
        <v/>
      </c>
      <c r="F88" s="19" t="n"/>
      <c r="G88" s="19" t="n"/>
      <c r="H88" s="30" t="n"/>
      <c r="I88" s="30" t="n"/>
      <c r="J88" s="23">
        <f>IF(D88="","",IFERROR(INDEX('01_자재목록'!$I$7:$I$106,MATCH(D88,'01_자재목록'!$B$7:$B$106,0))&amp;"","자재코드 확인"))</f>
        <v/>
      </c>
      <c r="K88" s="31">
        <f>IF(D88="",IF(OR(B88&lt;&gt;"",C88&lt;&gt;"",H88&lt;&gt;"",I88&lt;&gt;""),"자재코드 입력 확인",""),IF(COUNTIF('01_자재목록'!$B$7:$B$106,D88)&lt;&gt;1,"자재코드 확인",IF(J88="","단위 입력 확인",IF(OR(NOT(ISNUMBER(B88)),B88&lt;1,AND(C88&lt;&gt;"입고",C88&lt;&gt;"출고",C88&lt;&gt;"조정")),"일자/구분 확인",IF(OR(AND(H88&lt;&gt;"",NOT(ISNUMBER(H88))),AND(I88&lt;&gt;"",NOT(ISNUMBER(I88))),H88&lt;0,I88&lt;0,AND(H88&lt;=0,I88&lt;=0),AND(H88&gt;0,I88&gt;0),AND(C88="입고",I88&gt;0),AND(C88="출고",H88&gt;0)),"수량/구분 확인",SUMIFS($H$7:H88,$D$7:D88,D88)-SUMIFS($I$7:I88,$D$7:D88,D88))))))</f>
        <v/>
      </c>
      <c r="L88" s="19" t="n"/>
      <c r="M88" s="19" t="n"/>
      <c r="N88" s="19" t="n"/>
      <c r="O88" s="27">
        <f>IF(D88="","",IF(COUNTIF('01_자재목록'!$B$7:$B$106,D88)&lt;&gt;1,"자재코드 확인",IF(INDEX('01_자재목록'!$R$7:$R$106,MATCH(D88,'01_자재목록'!$B$7:$B$106,0))="","구분 미입력",INDEX('01_자재목록'!$R$7:$R$106,MATCH(D88,'01_자재목록'!$B$7:$B$106,0)))))</f>
        <v/>
      </c>
    </row>
    <row r="89" ht="24" customHeight="1">
      <c r="A89" s="18" t="n">
        <v>83</v>
      </c>
      <c r="B89" s="32" t="n"/>
      <c r="C89" s="19" t="n"/>
      <c r="D89" s="19" t="n"/>
      <c r="E89" s="23">
        <f>IF(D89="","",IFERROR(INDEX('01_자재목록'!$D$7:$D$106,MATCH(D89,'01_자재목록'!$B$7:$B$106,0))&amp;"","자재코드 확인"))</f>
        <v/>
      </c>
      <c r="F89" s="19" t="n"/>
      <c r="G89" s="19" t="n"/>
      <c r="H89" s="30" t="n"/>
      <c r="I89" s="30" t="n"/>
      <c r="J89" s="23">
        <f>IF(D89="","",IFERROR(INDEX('01_자재목록'!$I$7:$I$106,MATCH(D89,'01_자재목록'!$B$7:$B$106,0))&amp;"","자재코드 확인"))</f>
        <v/>
      </c>
      <c r="K89" s="31">
        <f>IF(D89="",IF(OR(B89&lt;&gt;"",C89&lt;&gt;"",H89&lt;&gt;"",I89&lt;&gt;""),"자재코드 입력 확인",""),IF(COUNTIF('01_자재목록'!$B$7:$B$106,D89)&lt;&gt;1,"자재코드 확인",IF(J89="","단위 입력 확인",IF(OR(NOT(ISNUMBER(B89)),B89&lt;1,AND(C89&lt;&gt;"입고",C89&lt;&gt;"출고",C89&lt;&gt;"조정")),"일자/구분 확인",IF(OR(AND(H89&lt;&gt;"",NOT(ISNUMBER(H89))),AND(I89&lt;&gt;"",NOT(ISNUMBER(I89))),H89&lt;0,I89&lt;0,AND(H89&lt;=0,I89&lt;=0),AND(H89&gt;0,I89&gt;0),AND(C89="입고",I89&gt;0),AND(C89="출고",H89&gt;0)),"수량/구분 확인",SUMIFS($H$7:H89,$D$7:D89,D89)-SUMIFS($I$7:I89,$D$7:D89,D89))))))</f>
        <v/>
      </c>
      <c r="L89" s="19" t="n"/>
      <c r="M89" s="19" t="n"/>
      <c r="N89" s="19" t="n"/>
      <c r="O89" s="27">
        <f>IF(D89="","",IF(COUNTIF('01_자재목록'!$B$7:$B$106,D89)&lt;&gt;1,"자재코드 확인",IF(INDEX('01_자재목록'!$R$7:$R$106,MATCH(D89,'01_자재목록'!$B$7:$B$106,0))="","구분 미입력",INDEX('01_자재목록'!$R$7:$R$106,MATCH(D89,'01_자재목록'!$B$7:$B$106,0)))))</f>
        <v/>
      </c>
    </row>
    <row r="90" ht="24" customHeight="1">
      <c r="A90" s="18" t="n">
        <v>84</v>
      </c>
      <c r="B90" s="32" t="n"/>
      <c r="C90" s="19" t="n"/>
      <c r="D90" s="19" t="n"/>
      <c r="E90" s="23">
        <f>IF(D90="","",IFERROR(INDEX('01_자재목록'!$D$7:$D$106,MATCH(D90,'01_자재목록'!$B$7:$B$106,0))&amp;"","자재코드 확인"))</f>
        <v/>
      </c>
      <c r="F90" s="19" t="n"/>
      <c r="G90" s="19" t="n"/>
      <c r="H90" s="30" t="n"/>
      <c r="I90" s="30" t="n"/>
      <c r="J90" s="23">
        <f>IF(D90="","",IFERROR(INDEX('01_자재목록'!$I$7:$I$106,MATCH(D90,'01_자재목록'!$B$7:$B$106,0))&amp;"","자재코드 확인"))</f>
        <v/>
      </c>
      <c r="K90" s="31">
        <f>IF(D90="",IF(OR(B90&lt;&gt;"",C90&lt;&gt;"",H90&lt;&gt;"",I90&lt;&gt;""),"자재코드 입력 확인",""),IF(COUNTIF('01_자재목록'!$B$7:$B$106,D90)&lt;&gt;1,"자재코드 확인",IF(J90="","단위 입력 확인",IF(OR(NOT(ISNUMBER(B90)),B90&lt;1,AND(C90&lt;&gt;"입고",C90&lt;&gt;"출고",C90&lt;&gt;"조정")),"일자/구분 확인",IF(OR(AND(H90&lt;&gt;"",NOT(ISNUMBER(H90))),AND(I90&lt;&gt;"",NOT(ISNUMBER(I90))),H90&lt;0,I90&lt;0,AND(H90&lt;=0,I90&lt;=0),AND(H90&gt;0,I90&gt;0),AND(C90="입고",I90&gt;0),AND(C90="출고",H90&gt;0)),"수량/구분 확인",SUMIFS($H$7:H90,$D$7:D90,D90)-SUMIFS($I$7:I90,$D$7:D90,D90))))))</f>
        <v/>
      </c>
      <c r="L90" s="19" t="n"/>
      <c r="M90" s="19" t="n"/>
      <c r="N90" s="19" t="n"/>
      <c r="O90" s="27">
        <f>IF(D90="","",IF(COUNTIF('01_자재목록'!$B$7:$B$106,D90)&lt;&gt;1,"자재코드 확인",IF(INDEX('01_자재목록'!$R$7:$R$106,MATCH(D90,'01_자재목록'!$B$7:$B$106,0))="","구분 미입력",INDEX('01_자재목록'!$R$7:$R$106,MATCH(D90,'01_자재목록'!$B$7:$B$106,0)))))</f>
        <v/>
      </c>
    </row>
    <row r="91" ht="24" customHeight="1">
      <c r="A91" s="18" t="n">
        <v>85</v>
      </c>
      <c r="B91" s="32" t="n"/>
      <c r="C91" s="19" t="n"/>
      <c r="D91" s="19" t="n"/>
      <c r="E91" s="23">
        <f>IF(D91="","",IFERROR(INDEX('01_자재목록'!$D$7:$D$106,MATCH(D91,'01_자재목록'!$B$7:$B$106,0))&amp;"","자재코드 확인"))</f>
        <v/>
      </c>
      <c r="F91" s="19" t="n"/>
      <c r="G91" s="19" t="n"/>
      <c r="H91" s="30" t="n"/>
      <c r="I91" s="30" t="n"/>
      <c r="J91" s="23">
        <f>IF(D91="","",IFERROR(INDEX('01_자재목록'!$I$7:$I$106,MATCH(D91,'01_자재목록'!$B$7:$B$106,0))&amp;"","자재코드 확인"))</f>
        <v/>
      </c>
      <c r="K91" s="31">
        <f>IF(D91="",IF(OR(B91&lt;&gt;"",C91&lt;&gt;"",H91&lt;&gt;"",I91&lt;&gt;""),"자재코드 입력 확인",""),IF(COUNTIF('01_자재목록'!$B$7:$B$106,D91)&lt;&gt;1,"자재코드 확인",IF(J91="","단위 입력 확인",IF(OR(NOT(ISNUMBER(B91)),B91&lt;1,AND(C91&lt;&gt;"입고",C91&lt;&gt;"출고",C91&lt;&gt;"조정")),"일자/구분 확인",IF(OR(AND(H91&lt;&gt;"",NOT(ISNUMBER(H91))),AND(I91&lt;&gt;"",NOT(ISNUMBER(I91))),H91&lt;0,I91&lt;0,AND(H91&lt;=0,I91&lt;=0),AND(H91&gt;0,I91&gt;0),AND(C91="입고",I91&gt;0),AND(C91="출고",H91&gt;0)),"수량/구분 확인",SUMIFS($H$7:H91,$D$7:D91,D91)-SUMIFS($I$7:I91,$D$7:D91,D91))))))</f>
        <v/>
      </c>
      <c r="L91" s="19" t="n"/>
      <c r="M91" s="19" t="n"/>
      <c r="N91" s="19" t="n"/>
      <c r="O91" s="27">
        <f>IF(D91="","",IF(COUNTIF('01_자재목록'!$B$7:$B$106,D91)&lt;&gt;1,"자재코드 확인",IF(INDEX('01_자재목록'!$R$7:$R$106,MATCH(D91,'01_자재목록'!$B$7:$B$106,0))="","구분 미입력",INDEX('01_자재목록'!$R$7:$R$106,MATCH(D91,'01_자재목록'!$B$7:$B$106,0)))))</f>
        <v/>
      </c>
    </row>
    <row r="92" ht="24" customHeight="1">
      <c r="A92" s="18" t="n">
        <v>86</v>
      </c>
      <c r="B92" s="32" t="n"/>
      <c r="C92" s="19" t="n"/>
      <c r="D92" s="19" t="n"/>
      <c r="E92" s="23">
        <f>IF(D92="","",IFERROR(INDEX('01_자재목록'!$D$7:$D$106,MATCH(D92,'01_자재목록'!$B$7:$B$106,0))&amp;"","자재코드 확인"))</f>
        <v/>
      </c>
      <c r="F92" s="19" t="n"/>
      <c r="G92" s="19" t="n"/>
      <c r="H92" s="30" t="n"/>
      <c r="I92" s="30" t="n"/>
      <c r="J92" s="23">
        <f>IF(D92="","",IFERROR(INDEX('01_자재목록'!$I$7:$I$106,MATCH(D92,'01_자재목록'!$B$7:$B$106,0))&amp;"","자재코드 확인"))</f>
        <v/>
      </c>
      <c r="K92" s="31">
        <f>IF(D92="",IF(OR(B92&lt;&gt;"",C92&lt;&gt;"",H92&lt;&gt;"",I92&lt;&gt;""),"자재코드 입력 확인",""),IF(COUNTIF('01_자재목록'!$B$7:$B$106,D92)&lt;&gt;1,"자재코드 확인",IF(J92="","단위 입력 확인",IF(OR(NOT(ISNUMBER(B92)),B92&lt;1,AND(C92&lt;&gt;"입고",C92&lt;&gt;"출고",C92&lt;&gt;"조정")),"일자/구분 확인",IF(OR(AND(H92&lt;&gt;"",NOT(ISNUMBER(H92))),AND(I92&lt;&gt;"",NOT(ISNUMBER(I92))),H92&lt;0,I92&lt;0,AND(H92&lt;=0,I92&lt;=0),AND(H92&gt;0,I92&gt;0),AND(C92="입고",I92&gt;0),AND(C92="출고",H92&gt;0)),"수량/구분 확인",SUMIFS($H$7:H92,$D$7:D92,D92)-SUMIFS($I$7:I92,$D$7:D92,D92))))))</f>
        <v/>
      </c>
      <c r="L92" s="19" t="n"/>
      <c r="M92" s="19" t="n"/>
      <c r="N92" s="19" t="n"/>
      <c r="O92" s="27">
        <f>IF(D92="","",IF(COUNTIF('01_자재목록'!$B$7:$B$106,D92)&lt;&gt;1,"자재코드 확인",IF(INDEX('01_자재목록'!$R$7:$R$106,MATCH(D92,'01_자재목록'!$B$7:$B$106,0))="","구분 미입력",INDEX('01_자재목록'!$R$7:$R$106,MATCH(D92,'01_자재목록'!$B$7:$B$106,0)))))</f>
        <v/>
      </c>
    </row>
    <row r="93" ht="24" customHeight="1">
      <c r="A93" s="18" t="n">
        <v>87</v>
      </c>
      <c r="B93" s="32" t="n"/>
      <c r="C93" s="19" t="n"/>
      <c r="D93" s="19" t="n"/>
      <c r="E93" s="23">
        <f>IF(D93="","",IFERROR(INDEX('01_자재목록'!$D$7:$D$106,MATCH(D93,'01_자재목록'!$B$7:$B$106,0))&amp;"","자재코드 확인"))</f>
        <v/>
      </c>
      <c r="F93" s="19" t="n"/>
      <c r="G93" s="19" t="n"/>
      <c r="H93" s="30" t="n"/>
      <c r="I93" s="30" t="n"/>
      <c r="J93" s="23">
        <f>IF(D93="","",IFERROR(INDEX('01_자재목록'!$I$7:$I$106,MATCH(D93,'01_자재목록'!$B$7:$B$106,0))&amp;"","자재코드 확인"))</f>
        <v/>
      </c>
      <c r="K93" s="31">
        <f>IF(D93="",IF(OR(B93&lt;&gt;"",C93&lt;&gt;"",H93&lt;&gt;"",I93&lt;&gt;""),"자재코드 입력 확인",""),IF(COUNTIF('01_자재목록'!$B$7:$B$106,D93)&lt;&gt;1,"자재코드 확인",IF(J93="","단위 입력 확인",IF(OR(NOT(ISNUMBER(B93)),B93&lt;1,AND(C93&lt;&gt;"입고",C93&lt;&gt;"출고",C93&lt;&gt;"조정")),"일자/구분 확인",IF(OR(AND(H93&lt;&gt;"",NOT(ISNUMBER(H93))),AND(I93&lt;&gt;"",NOT(ISNUMBER(I93))),H93&lt;0,I93&lt;0,AND(H93&lt;=0,I93&lt;=0),AND(H93&gt;0,I93&gt;0),AND(C93="입고",I93&gt;0),AND(C93="출고",H93&gt;0)),"수량/구분 확인",SUMIFS($H$7:H93,$D$7:D93,D93)-SUMIFS($I$7:I93,$D$7:D93,D93))))))</f>
        <v/>
      </c>
      <c r="L93" s="19" t="n"/>
      <c r="M93" s="19" t="n"/>
      <c r="N93" s="19" t="n"/>
      <c r="O93" s="27">
        <f>IF(D93="","",IF(COUNTIF('01_자재목록'!$B$7:$B$106,D93)&lt;&gt;1,"자재코드 확인",IF(INDEX('01_자재목록'!$R$7:$R$106,MATCH(D93,'01_자재목록'!$B$7:$B$106,0))="","구분 미입력",INDEX('01_자재목록'!$R$7:$R$106,MATCH(D93,'01_자재목록'!$B$7:$B$106,0)))))</f>
        <v/>
      </c>
    </row>
    <row r="94" ht="24" customHeight="1">
      <c r="A94" s="18" t="n">
        <v>88</v>
      </c>
      <c r="B94" s="32" t="n"/>
      <c r="C94" s="19" t="n"/>
      <c r="D94" s="19" t="n"/>
      <c r="E94" s="23">
        <f>IF(D94="","",IFERROR(INDEX('01_자재목록'!$D$7:$D$106,MATCH(D94,'01_자재목록'!$B$7:$B$106,0))&amp;"","자재코드 확인"))</f>
        <v/>
      </c>
      <c r="F94" s="19" t="n"/>
      <c r="G94" s="19" t="n"/>
      <c r="H94" s="30" t="n"/>
      <c r="I94" s="30" t="n"/>
      <c r="J94" s="23">
        <f>IF(D94="","",IFERROR(INDEX('01_자재목록'!$I$7:$I$106,MATCH(D94,'01_자재목록'!$B$7:$B$106,0))&amp;"","자재코드 확인"))</f>
        <v/>
      </c>
      <c r="K94" s="31">
        <f>IF(D94="",IF(OR(B94&lt;&gt;"",C94&lt;&gt;"",H94&lt;&gt;"",I94&lt;&gt;""),"자재코드 입력 확인",""),IF(COUNTIF('01_자재목록'!$B$7:$B$106,D94)&lt;&gt;1,"자재코드 확인",IF(J94="","단위 입력 확인",IF(OR(NOT(ISNUMBER(B94)),B94&lt;1,AND(C94&lt;&gt;"입고",C94&lt;&gt;"출고",C94&lt;&gt;"조정")),"일자/구분 확인",IF(OR(AND(H94&lt;&gt;"",NOT(ISNUMBER(H94))),AND(I94&lt;&gt;"",NOT(ISNUMBER(I94))),H94&lt;0,I94&lt;0,AND(H94&lt;=0,I94&lt;=0),AND(H94&gt;0,I94&gt;0),AND(C94="입고",I94&gt;0),AND(C94="출고",H94&gt;0)),"수량/구분 확인",SUMIFS($H$7:H94,$D$7:D94,D94)-SUMIFS($I$7:I94,$D$7:D94,D94))))))</f>
        <v/>
      </c>
      <c r="L94" s="19" t="n"/>
      <c r="M94" s="19" t="n"/>
      <c r="N94" s="19" t="n"/>
      <c r="O94" s="27">
        <f>IF(D94="","",IF(COUNTIF('01_자재목록'!$B$7:$B$106,D94)&lt;&gt;1,"자재코드 확인",IF(INDEX('01_자재목록'!$R$7:$R$106,MATCH(D94,'01_자재목록'!$B$7:$B$106,0))="","구분 미입력",INDEX('01_자재목록'!$R$7:$R$106,MATCH(D94,'01_자재목록'!$B$7:$B$106,0)))))</f>
        <v/>
      </c>
    </row>
    <row r="95" ht="24" customHeight="1">
      <c r="A95" s="18" t="n">
        <v>89</v>
      </c>
      <c r="B95" s="32" t="n"/>
      <c r="C95" s="19" t="n"/>
      <c r="D95" s="19" t="n"/>
      <c r="E95" s="23">
        <f>IF(D95="","",IFERROR(INDEX('01_자재목록'!$D$7:$D$106,MATCH(D95,'01_자재목록'!$B$7:$B$106,0))&amp;"","자재코드 확인"))</f>
        <v/>
      </c>
      <c r="F95" s="19" t="n"/>
      <c r="G95" s="19" t="n"/>
      <c r="H95" s="30" t="n"/>
      <c r="I95" s="30" t="n"/>
      <c r="J95" s="23">
        <f>IF(D95="","",IFERROR(INDEX('01_자재목록'!$I$7:$I$106,MATCH(D95,'01_자재목록'!$B$7:$B$106,0))&amp;"","자재코드 확인"))</f>
        <v/>
      </c>
      <c r="K95" s="31">
        <f>IF(D95="",IF(OR(B95&lt;&gt;"",C95&lt;&gt;"",H95&lt;&gt;"",I95&lt;&gt;""),"자재코드 입력 확인",""),IF(COUNTIF('01_자재목록'!$B$7:$B$106,D95)&lt;&gt;1,"자재코드 확인",IF(J95="","단위 입력 확인",IF(OR(NOT(ISNUMBER(B95)),B95&lt;1,AND(C95&lt;&gt;"입고",C95&lt;&gt;"출고",C95&lt;&gt;"조정")),"일자/구분 확인",IF(OR(AND(H95&lt;&gt;"",NOT(ISNUMBER(H95))),AND(I95&lt;&gt;"",NOT(ISNUMBER(I95))),H95&lt;0,I95&lt;0,AND(H95&lt;=0,I95&lt;=0),AND(H95&gt;0,I95&gt;0),AND(C95="입고",I95&gt;0),AND(C95="출고",H95&gt;0)),"수량/구분 확인",SUMIFS($H$7:H95,$D$7:D95,D95)-SUMIFS($I$7:I95,$D$7:D95,D95))))))</f>
        <v/>
      </c>
      <c r="L95" s="19" t="n"/>
      <c r="M95" s="19" t="n"/>
      <c r="N95" s="19" t="n"/>
      <c r="O95" s="27">
        <f>IF(D95="","",IF(COUNTIF('01_자재목록'!$B$7:$B$106,D95)&lt;&gt;1,"자재코드 확인",IF(INDEX('01_자재목록'!$R$7:$R$106,MATCH(D95,'01_자재목록'!$B$7:$B$106,0))="","구분 미입력",INDEX('01_자재목록'!$R$7:$R$106,MATCH(D95,'01_자재목록'!$B$7:$B$106,0)))))</f>
        <v/>
      </c>
    </row>
    <row r="96" ht="24" customHeight="1">
      <c r="A96" s="18" t="n">
        <v>90</v>
      </c>
      <c r="B96" s="32" t="n"/>
      <c r="C96" s="19" t="n"/>
      <c r="D96" s="19" t="n"/>
      <c r="E96" s="23">
        <f>IF(D96="","",IFERROR(INDEX('01_자재목록'!$D$7:$D$106,MATCH(D96,'01_자재목록'!$B$7:$B$106,0))&amp;"","자재코드 확인"))</f>
        <v/>
      </c>
      <c r="F96" s="19" t="n"/>
      <c r="G96" s="19" t="n"/>
      <c r="H96" s="30" t="n"/>
      <c r="I96" s="30" t="n"/>
      <c r="J96" s="23">
        <f>IF(D96="","",IFERROR(INDEX('01_자재목록'!$I$7:$I$106,MATCH(D96,'01_자재목록'!$B$7:$B$106,0))&amp;"","자재코드 확인"))</f>
        <v/>
      </c>
      <c r="K96" s="31">
        <f>IF(D96="",IF(OR(B96&lt;&gt;"",C96&lt;&gt;"",H96&lt;&gt;"",I96&lt;&gt;""),"자재코드 입력 확인",""),IF(COUNTIF('01_자재목록'!$B$7:$B$106,D96)&lt;&gt;1,"자재코드 확인",IF(J96="","단위 입력 확인",IF(OR(NOT(ISNUMBER(B96)),B96&lt;1,AND(C96&lt;&gt;"입고",C96&lt;&gt;"출고",C96&lt;&gt;"조정")),"일자/구분 확인",IF(OR(AND(H96&lt;&gt;"",NOT(ISNUMBER(H96))),AND(I96&lt;&gt;"",NOT(ISNUMBER(I96))),H96&lt;0,I96&lt;0,AND(H96&lt;=0,I96&lt;=0),AND(H96&gt;0,I96&gt;0),AND(C96="입고",I96&gt;0),AND(C96="출고",H96&gt;0)),"수량/구분 확인",SUMIFS($H$7:H96,$D$7:D96,D96)-SUMIFS($I$7:I96,$D$7:D96,D96))))))</f>
        <v/>
      </c>
      <c r="L96" s="19" t="n"/>
      <c r="M96" s="19" t="n"/>
      <c r="N96" s="19" t="n"/>
      <c r="O96" s="27">
        <f>IF(D96="","",IF(COUNTIF('01_자재목록'!$B$7:$B$106,D96)&lt;&gt;1,"자재코드 확인",IF(INDEX('01_자재목록'!$R$7:$R$106,MATCH(D96,'01_자재목록'!$B$7:$B$106,0))="","구분 미입력",INDEX('01_자재목록'!$R$7:$R$106,MATCH(D96,'01_자재목록'!$B$7:$B$106,0)))))</f>
        <v/>
      </c>
    </row>
    <row r="97" ht="24" customHeight="1">
      <c r="A97" s="18" t="n">
        <v>91</v>
      </c>
      <c r="B97" s="32" t="n"/>
      <c r="C97" s="19" t="n"/>
      <c r="D97" s="19" t="n"/>
      <c r="E97" s="23">
        <f>IF(D97="","",IFERROR(INDEX('01_자재목록'!$D$7:$D$106,MATCH(D97,'01_자재목록'!$B$7:$B$106,0))&amp;"","자재코드 확인"))</f>
        <v/>
      </c>
      <c r="F97" s="19" t="n"/>
      <c r="G97" s="19" t="n"/>
      <c r="H97" s="30" t="n"/>
      <c r="I97" s="30" t="n"/>
      <c r="J97" s="23">
        <f>IF(D97="","",IFERROR(INDEX('01_자재목록'!$I$7:$I$106,MATCH(D97,'01_자재목록'!$B$7:$B$106,0))&amp;"","자재코드 확인"))</f>
        <v/>
      </c>
      <c r="K97" s="31">
        <f>IF(D97="",IF(OR(B97&lt;&gt;"",C97&lt;&gt;"",H97&lt;&gt;"",I97&lt;&gt;""),"자재코드 입력 확인",""),IF(COUNTIF('01_자재목록'!$B$7:$B$106,D97)&lt;&gt;1,"자재코드 확인",IF(J97="","단위 입력 확인",IF(OR(NOT(ISNUMBER(B97)),B97&lt;1,AND(C97&lt;&gt;"입고",C97&lt;&gt;"출고",C97&lt;&gt;"조정")),"일자/구분 확인",IF(OR(AND(H97&lt;&gt;"",NOT(ISNUMBER(H97))),AND(I97&lt;&gt;"",NOT(ISNUMBER(I97))),H97&lt;0,I97&lt;0,AND(H97&lt;=0,I97&lt;=0),AND(H97&gt;0,I97&gt;0),AND(C97="입고",I97&gt;0),AND(C97="출고",H97&gt;0)),"수량/구분 확인",SUMIFS($H$7:H97,$D$7:D97,D97)-SUMIFS($I$7:I97,$D$7:D97,D97))))))</f>
        <v/>
      </c>
      <c r="L97" s="19" t="n"/>
      <c r="M97" s="19" t="n"/>
      <c r="N97" s="19" t="n"/>
      <c r="O97" s="27">
        <f>IF(D97="","",IF(COUNTIF('01_자재목록'!$B$7:$B$106,D97)&lt;&gt;1,"자재코드 확인",IF(INDEX('01_자재목록'!$R$7:$R$106,MATCH(D97,'01_자재목록'!$B$7:$B$106,0))="","구분 미입력",INDEX('01_자재목록'!$R$7:$R$106,MATCH(D97,'01_자재목록'!$B$7:$B$106,0)))))</f>
        <v/>
      </c>
    </row>
    <row r="98" ht="24" customHeight="1">
      <c r="A98" s="18" t="n">
        <v>92</v>
      </c>
      <c r="B98" s="32" t="n"/>
      <c r="C98" s="19" t="n"/>
      <c r="D98" s="19" t="n"/>
      <c r="E98" s="23">
        <f>IF(D98="","",IFERROR(INDEX('01_자재목록'!$D$7:$D$106,MATCH(D98,'01_자재목록'!$B$7:$B$106,0))&amp;"","자재코드 확인"))</f>
        <v/>
      </c>
      <c r="F98" s="19" t="n"/>
      <c r="G98" s="19" t="n"/>
      <c r="H98" s="30" t="n"/>
      <c r="I98" s="30" t="n"/>
      <c r="J98" s="23">
        <f>IF(D98="","",IFERROR(INDEX('01_자재목록'!$I$7:$I$106,MATCH(D98,'01_자재목록'!$B$7:$B$106,0))&amp;"","자재코드 확인"))</f>
        <v/>
      </c>
      <c r="K98" s="31">
        <f>IF(D98="",IF(OR(B98&lt;&gt;"",C98&lt;&gt;"",H98&lt;&gt;"",I98&lt;&gt;""),"자재코드 입력 확인",""),IF(COUNTIF('01_자재목록'!$B$7:$B$106,D98)&lt;&gt;1,"자재코드 확인",IF(J98="","단위 입력 확인",IF(OR(NOT(ISNUMBER(B98)),B98&lt;1,AND(C98&lt;&gt;"입고",C98&lt;&gt;"출고",C98&lt;&gt;"조정")),"일자/구분 확인",IF(OR(AND(H98&lt;&gt;"",NOT(ISNUMBER(H98))),AND(I98&lt;&gt;"",NOT(ISNUMBER(I98))),H98&lt;0,I98&lt;0,AND(H98&lt;=0,I98&lt;=0),AND(H98&gt;0,I98&gt;0),AND(C98="입고",I98&gt;0),AND(C98="출고",H98&gt;0)),"수량/구분 확인",SUMIFS($H$7:H98,$D$7:D98,D98)-SUMIFS($I$7:I98,$D$7:D98,D98))))))</f>
        <v/>
      </c>
      <c r="L98" s="19" t="n"/>
      <c r="M98" s="19" t="n"/>
      <c r="N98" s="19" t="n"/>
      <c r="O98" s="27">
        <f>IF(D98="","",IF(COUNTIF('01_자재목록'!$B$7:$B$106,D98)&lt;&gt;1,"자재코드 확인",IF(INDEX('01_자재목록'!$R$7:$R$106,MATCH(D98,'01_자재목록'!$B$7:$B$106,0))="","구분 미입력",INDEX('01_자재목록'!$R$7:$R$106,MATCH(D98,'01_자재목록'!$B$7:$B$106,0)))))</f>
        <v/>
      </c>
    </row>
    <row r="99" ht="24" customHeight="1">
      <c r="A99" s="18" t="n">
        <v>93</v>
      </c>
      <c r="B99" s="32" t="n"/>
      <c r="C99" s="19" t="n"/>
      <c r="D99" s="19" t="n"/>
      <c r="E99" s="23">
        <f>IF(D99="","",IFERROR(INDEX('01_자재목록'!$D$7:$D$106,MATCH(D99,'01_자재목록'!$B$7:$B$106,0))&amp;"","자재코드 확인"))</f>
        <v/>
      </c>
      <c r="F99" s="19" t="n"/>
      <c r="G99" s="19" t="n"/>
      <c r="H99" s="30" t="n"/>
      <c r="I99" s="30" t="n"/>
      <c r="J99" s="23">
        <f>IF(D99="","",IFERROR(INDEX('01_자재목록'!$I$7:$I$106,MATCH(D99,'01_자재목록'!$B$7:$B$106,0))&amp;"","자재코드 확인"))</f>
        <v/>
      </c>
      <c r="K99" s="31">
        <f>IF(D99="",IF(OR(B99&lt;&gt;"",C99&lt;&gt;"",H99&lt;&gt;"",I99&lt;&gt;""),"자재코드 입력 확인",""),IF(COUNTIF('01_자재목록'!$B$7:$B$106,D99)&lt;&gt;1,"자재코드 확인",IF(J99="","단위 입력 확인",IF(OR(NOT(ISNUMBER(B99)),B99&lt;1,AND(C99&lt;&gt;"입고",C99&lt;&gt;"출고",C99&lt;&gt;"조정")),"일자/구분 확인",IF(OR(AND(H99&lt;&gt;"",NOT(ISNUMBER(H99))),AND(I99&lt;&gt;"",NOT(ISNUMBER(I99))),H99&lt;0,I99&lt;0,AND(H99&lt;=0,I99&lt;=0),AND(H99&gt;0,I99&gt;0),AND(C99="입고",I99&gt;0),AND(C99="출고",H99&gt;0)),"수량/구분 확인",SUMIFS($H$7:H99,$D$7:D99,D99)-SUMIFS($I$7:I99,$D$7:D99,D99))))))</f>
        <v/>
      </c>
      <c r="L99" s="19" t="n"/>
      <c r="M99" s="19" t="n"/>
      <c r="N99" s="19" t="n"/>
      <c r="O99" s="27">
        <f>IF(D99="","",IF(COUNTIF('01_자재목록'!$B$7:$B$106,D99)&lt;&gt;1,"자재코드 확인",IF(INDEX('01_자재목록'!$R$7:$R$106,MATCH(D99,'01_자재목록'!$B$7:$B$106,0))="","구분 미입력",INDEX('01_자재목록'!$R$7:$R$106,MATCH(D99,'01_자재목록'!$B$7:$B$106,0)))))</f>
        <v/>
      </c>
    </row>
    <row r="100" ht="24" customHeight="1">
      <c r="A100" s="18" t="n">
        <v>94</v>
      </c>
      <c r="B100" s="32" t="n"/>
      <c r="C100" s="19" t="n"/>
      <c r="D100" s="19" t="n"/>
      <c r="E100" s="23">
        <f>IF(D100="","",IFERROR(INDEX('01_자재목록'!$D$7:$D$106,MATCH(D100,'01_자재목록'!$B$7:$B$106,0))&amp;"","자재코드 확인"))</f>
        <v/>
      </c>
      <c r="F100" s="19" t="n"/>
      <c r="G100" s="19" t="n"/>
      <c r="H100" s="30" t="n"/>
      <c r="I100" s="30" t="n"/>
      <c r="J100" s="23">
        <f>IF(D100="","",IFERROR(INDEX('01_자재목록'!$I$7:$I$106,MATCH(D100,'01_자재목록'!$B$7:$B$106,0))&amp;"","자재코드 확인"))</f>
        <v/>
      </c>
      <c r="K100" s="31">
        <f>IF(D100="",IF(OR(B100&lt;&gt;"",C100&lt;&gt;"",H100&lt;&gt;"",I100&lt;&gt;""),"자재코드 입력 확인",""),IF(COUNTIF('01_자재목록'!$B$7:$B$106,D100)&lt;&gt;1,"자재코드 확인",IF(J100="","단위 입력 확인",IF(OR(NOT(ISNUMBER(B100)),B100&lt;1,AND(C100&lt;&gt;"입고",C100&lt;&gt;"출고",C100&lt;&gt;"조정")),"일자/구분 확인",IF(OR(AND(H100&lt;&gt;"",NOT(ISNUMBER(H100))),AND(I100&lt;&gt;"",NOT(ISNUMBER(I100))),H100&lt;0,I100&lt;0,AND(H100&lt;=0,I100&lt;=0),AND(H100&gt;0,I100&gt;0),AND(C100="입고",I100&gt;0),AND(C100="출고",H100&gt;0)),"수량/구분 확인",SUMIFS($H$7:H100,$D$7:D100,D100)-SUMIFS($I$7:I100,$D$7:D100,D100))))))</f>
        <v/>
      </c>
      <c r="L100" s="19" t="n"/>
      <c r="M100" s="19" t="n"/>
      <c r="N100" s="19" t="n"/>
      <c r="O100" s="27">
        <f>IF(D100="","",IF(COUNTIF('01_자재목록'!$B$7:$B$106,D100)&lt;&gt;1,"자재코드 확인",IF(INDEX('01_자재목록'!$R$7:$R$106,MATCH(D100,'01_자재목록'!$B$7:$B$106,0))="","구분 미입력",INDEX('01_자재목록'!$R$7:$R$106,MATCH(D100,'01_자재목록'!$B$7:$B$106,0)))))</f>
        <v/>
      </c>
    </row>
    <row r="101" ht="24" customHeight="1">
      <c r="A101" s="18" t="n">
        <v>95</v>
      </c>
      <c r="B101" s="32" t="n"/>
      <c r="C101" s="19" t="n"/>
      <c r="D101" s="19" t="n"/>
      <c r="E101" s="23">
        <f>IF(D101="","",IFERROR(INDEX('01_자재목록'!$D$7:$D$106,MATCH(D101,'01_자재목록'!$B$7:$B$106,0))&amp;"","자재코드 확인"))</f>
        <v/>
      </c>
      <c r="F101" s="19" t="n"/>
      <c r="G101" s="19" t="n"/>
      <c r="H101" s="30" t="n"/>
      <c r="I101" s="30" t="n"/>
      <c r="J101" s="23">
        <f>IF(D101="","",IFERROR(INDEX('01_자재목록'!$I$7:$I$106,MATCH(D101,'01_자재목록'!$B$7:$B$106,0))&amp;"","자재코드 확인"))</f>
        <v/>
      </c>
      <c r="K101" s="31">
        <f>IF(D101="",IF(OR(B101&lt;&gt;"",C101&lt;&gt;"",H101&lt;&gt;"",I101&lt;&gt;""),"자재코드 입력 확인",""),IF(COUNTIF('01_자재목록'!$B$7:$B$106,D101)&lt;&gt;1,"자재코드 확인",IF(J101="","단위 입력 확인",IF(OR(NOT(ISNUMBER(B101)),B101&lt;1,AND(C101&lt;&gt;"입고",C101&lt;&gt;"출고",C101&lt;&gt;"조정")),"일자/구분 확인",IF(OR(AND(H101&lt;&gt;"",NOT(ISNUMBER(H101))),AND(I101&lt;&gt;"",NOT(ISNUMBER(I101))),H101&lt;0,I101&lt;0,AND(H101&lt;=0,I101&lt;=0),AND(H101&gt;0,I101&gt;0),AND(C101="입고",I101&gt;0),AND(C101="출고",H101&gt;0)),"수량/구분 확인",SUMIFS($H$7:H101,$D$7:D101,D101)-SUMIFS($I$7:I101,$D$7:D101,D101))))))</f>
        <v/>
      </c>
      <c r="L101" s="19" t="n"/>
      <c r="M101" s="19" t="n"/>
      <c r="N101" s="19" t="n"/>
      <c r="O101" s="27">
        <f>IF(D101="","",IF(COUNTIF('01_자재목록'!$B$7:$B$106,D101)&lt;&gt;1,"자재코드 확인",IF(INDEX('01_자재목록'!$R$7:$R$106,MATCH(D101,'01_자재목록'!$B$7:$B$106,0))="","구분 미입력",INDEX('01_자재목록'!$R$7:$R$106,MATCH(D101,'01_자재목록'!$B$7:$B$106,0)))))</f>
        <v/>
      </c>
    </row>
    <row r="102" ht="24" customHeight="1">
      <c r="A102" s="18" t="n">
        <v>96</v>
      </c>
      <c r="B102" s="32" t="n"/>
      <c r="C102" s="19" t="n"/>
      <c r="D102" s="19" t="n"/>
      <c r="E102" s="23">
        <f>IF(D102="","",IFERROR(INDEX('01_자재목록'!$D$7:$D$106,MATCH(D102,'01_자재목록'!$B$7:$B$106,0))&amp;"","자재코드 확인"))</f>
        <v/>
      </c>
      <c r="F102" s="19" t="n"/>
      <c r="G102" s="19" t="n"/>
      <c r="H102" s="30" t="n"/>
      <c r="I102" s="30" t="n"/>
      <c r="J102" s="23">
        <f>IF(D102="","",IFERROR(INDEX('01_자재목록'!$I$7:$I$106,MATCH(D102,'01_자재목록'!$B$7:$B$106,0))&amp;"","자재코드 확인"))</f>
        <v/>
      </c>
      <c r="K102" s="31">
        <f>IF(D102="",IF(OR(B102&lt;&gt;"",C102&lt;&gt;"",H102&lt;&gt;"",I102&lt;&gt;""),"자재코드 입력 확인",""),IF(COUNTIF('01_자재목록'!$B$7:$B$106,D102)&lt;&gt;1,"자재코드 확인",IF(J102="","단위 입력 확인",IF(OR(NOT(ISNUMBER(B102)),B102&lt;1,AND(C102&lt;&gt;"입고",C102&lt;&gt;"출고",C102&lt;&gt;"조정")),"일자/구분 확인",IF(OR(AND(H102&lt;&gt;"",NOT(ISNUMBER(H102))),AND(I102&lt;&gt;"",NOT(ISNUMBER(I102))),H102&lt;0,I102&lt;0,AND(H102&lt;=0,I102&lt;=0),AND(H102&gt;0,I102&gt;0),AND(C102="입고",I102&gt;0),AND(C102="출고",H102&gt;0)),"수량/구분 확인",SUMIFS($H$7:H102,$D$7:D102,D102)-SUMIFS($I$7:I102,$D$7:D102,D102))))))</f>
        <v/>
      </c>
      <c r="L102" s="19" t="n"/>
      <c r="M102" s="19" t="n"/>
      <c r="N102" s="19" t="n"/>
      <c r="O102" s="27">
        <f>IF(D102="","",IF(COUNTIF('01_자재목록'!$B$7:$B$106,D102)&lt;&gt;1,"자재코드 확인",IF(INDEX('01_자재목록'!$R$7:$R$106,MATCH(D102,'01_자재목록'!$B$7:$B$106,0))="","구분 미입력",INDEX('01_자재목록'!$R$7:$R$106,MATCH(D102,'01_자재목록'!$B$7:$B$106,0)))))</f>
        <v/>
      </c>
    </row>
    <row r="103" ht="24" customHeight="1">
      <c r="A103" s="18" t="n">
        <v>97</v>
      </c>
      <c r="B103" s="32" t="n"/>
      <c r="C103" s="19" t="n"/>
      <c r="D103" s="19" t="n"/>
      <c r="E103" s="23">
        <f>IF(D103="","",IFERROR(INDEX('01_자재목록'!$D$7:$D$106,MATCH(D103,'01_자재목록'!$B$7:$B$106,0))&amp;"","자재코드 확인"))</f>
        <v/>
      </c>
      <c r="F103" s="19" t="n"/>
      <c r="G103" s="19" t="n"/>
      <c r="H103" s="30" t="n"/>
      <c r="I103" s="30" t="n"/>
      <c r="J103" s="23">
        <f>IF(D103="","",IFERROR(INDEX('01_자재목록'!$I$7:$I$106,MATCH(D103,'01_자재목록'!$B$7:$B$106,0))&amp;"","자재코드 확인"))</f>
        <v/>
      </c>
      <c r="K103" s="31">
        <f>IF(D103="",IF(OR(B103&lt;&gt;"",C103&lt;&gt;"",H103&lt;&gt;"",I103&lt;&gt;""),"자재코드 입력 확인",""),IF(COUNTIF('01_자재목록'!$B$7:$B$106,D103)&lt;&gt;1,"자재코드 확인",IF(J103="","단위 입력 확인",IF(OR(NOT(ISNUMBER(B103)),B103&lt;1,AND(C103&lt;&gt;"입고",C103&lt;&gt;"출고",C103&lt;&gt;"조정")),"일자/구분 확인",IF(OR(AND(H103&lt;&gt;"",NOT(ISNUMBER(H103))),AND(I103&lt;&gt;"",NOT(ISNUMBER(I103))),H103&lt;0,I103&lt;0,AND(H103&lt;=0,I103&lt;=0),AND(H103&gt;0,I103&gt;0),AND(C103="입고",I103&gt;0),AND(C103="출고",H103&gt;0)),"수량/구분 확인",SUMIFS($H$7:H103,$D$7:D103,D103)-SUMIFS($I$7:I103,$D$7:D103,D103))))))</f>
        <v/>
      </c>
      <c r="L103" s="19" t="n"/>
      <c r="M103" s="19" t="n"/>
      <c r="N103" s="19" t="n"/>
      <c r="O103" s="27">
        <f>IF(D103="","",IF(COUNTIF('01_자재목록'!$B$7:$B$106,D103)&lt;&gt;1,"자재코드 확인",IF(INDEX('01_자재목록'!$R$7:$R$106,MATCH(D103,'01_자재목록'!$B$7:$B$106,0))="","구분 미입력",INDEX('01_자재목록'!$R$7:$R$106,MATCH(D103,'01_자재목록'!$B$7:$B$106,0)))))</f>
        <v/>
      </c>
    </row>
    <row r="104" ht="24" customHeight="1">
      <c r="A104" s="18" t="n">
        <v>98</v>
      </c>
      <c r="B104" s="32" t="n"/>
      <c r="C104" s="19" t="n"/>
      <c r="D104" s="19" t="n"/>
      <c r="E104" s="23">
        <f>IF(D104="","",IFERROR(INDEX('01_자재목록'!$D$7:$D$106,MATCH(D104,'01_자재목록'!$B$7:$B$106,0))&amp;"","자재코드 확인"))</f>
        <v/>
      </c>
      <c r="F104" s="19" t="n"/>
      <c r="G104" s="19" t="n"/>
      <c r="H104" s="30" t="n"/>
      <c r="I104" s="30" t="n"/>
      <c r="J104" s="23">
        <f>IF(D104="","",IFERROR(INDEX('01_자재목록'!$I$7:$I$106,MATCH(D104,'01_자재목록'!$B$7:$B$106,0))&amp;"","자재코드 확인"))</f>
        <v/>
      </c>
      <c r="K104" s="31">
        <f>IF(D104="",IF(OR(B104&lt;&gt;"",C104&lt;&gt;"",H104&lt;&gt;"",I104&lt;&gt;""),"자재코드 입력 확인",""),IF(COUNTIF('01_자재목록'!$B$7:$B$106,D104)&lt;&gt;1,"자재코드 확인",IF(J104="","단위 입력 확인",IF(OR(NOT(ISNUMBER(B104)),B104&lt;1,AND(C104&lt;&gt;"입고",C104&lt;&gt;"출고",C104&lt;&gt;"조정")),"일자/구분 확인",IF(OR(AND(H104&lt;&gt;"",NOT(ISNUMBER(H104))),AND(I104&lt;&gt;"",NOT(ISNUMBER(I104))),H104&lt;0,I104&lt;0,AND(H104&lt;=0,I104&lt;=0),AND(H104&gt;0,I104&gt;0),AND(C104="입고",I104&gt;0),AND(C104="출고",H104&gt;0)),"수량/구분 확인",SUMIFS($H$7:H104,$D$7:D104,D104)-SUMIFS($I$7:I104,$D$7:D104,D104))))))</f>
        <v/>
      </c>
      <c r="L104" s="19" t="n"/>
      <c r="M104" s="19" t="n"/>
      <c r="N104" s="19" t="n"/>
      <c r="O104" s="27">
        <f>IF(D104="","",IF(COUNTIF('01_자재목록'!$B$7:$B$106,D104)&lt;&gt;1,"자재코드 확인",IF(INDEX('01_자재목록'!$R$7:$R$106,MATCH(D104,'01_자재목록'!$B$7:$B$106,0))="","구분 미입력",INDEX('01_자재목록'!$R$7:$R$106,MATCH(D104,'01_자재목록'!$B$7:$B$106,0)))))</f>
        <v/>
      </c>
    </row>
    <row r="105" ht="24" customHeight="1">
      <c r="A105" s="18" t="n">
        <v>99</v>
      </c>
      <c r="B105" s="32" t="n"/>
      <c r="C105" s="19" t="n"/>
      <c r="D105" s="19" t="n"/>
      <c r="E105" s="23">
        <f>IF(D105="","",IFERROR(INDEX('01_자재목록'!$D$7:$D$106,MATCH(D105,'01_자재목록'!$B$7:$B$106,0))&amp;"","자재코드 확인"))</f>
        <v/>
      </c>
      <c r="F105" s="19" t="n"/>
      <c r="G105" s="19" t="n"/>
      <c r="H105" s="30" t="n"/>
      <c r="I105" s="30" t="n"/>
      <c r="J105" s="23">
        <f>IF(D105="","",IFERROR(INDEX('01_자재목록'!$I$7:$I$106,MATCH(D105,'01_자재목록'!$B$7:$B$106,0))&amp;"","자재코드 확인"))</f>
        <v/>
      </c>
      <c r="K105" s="31">
        <f>IF(D105="",IF(OR(B105&lt;&gt;"",C105&lt;&gt;"",H105&lt;&gt;"",I105&lt;&gt;""),"자재코드 입력 확인",""),IF(COUNTIF('01_자재목록'!$B$7:$B$106,D105)&lt;&gt;1,"자재코드 확인",IF(J105="","단위 입력 확인",IF(OR(NOT(ISNUMBER(B105)),B105&lt;1,AND(C105&lt;&gt;"입고",C105&lt;&gt;"출고",C105&lt;&gt;"조정")),"일자/구분 확인",IF(OR(AND(H105&lt;&gt;"",NOT(ISNUMBER(H105))),AND(I105&lt;&gt;"",NOT(ISNUMBER(I105))),H105&lt;0,I105&lt;0,AND(H105&lt;=0,I105&lt;=0),AND(H105&gt;0,I105&gt;0),AND(C105="입고",I105&gt;0),AND(C105="출고",H105&gt;0)),"수량/구분 확인",SUMIFS($H$7:H105,$D$7:D105,D105)-SUMIFS($I$7:I105,$D$7:D105,D105))))))</f>
        <v/>
      </c>
      <c r="L105" s="19" t="n"/>
      <c r="M105" s="19" t="n"/>
      <c r="N105" s="19" t="n"/>
      <c r="O105" s="27">
        <f>IF(D105="","",IF(COUNTIF('01_자재목록'!$B$7:$B$106,D105)&lt;&gt;1,"자재코드 확인",IF(INDEX('01_자재목록'!$R$7:$R$106,MATCH(D105,'01_자재목록'!$B$7:$B$106,0))="","구분 미입력",INDEX('01_자재목록'!$R$7:$R$106,MATCH(D105,'01_자재목록'!$B$7:$B$106,0)))))</f>
        <v/>
      </c>
    </row>
    <row r="106" ht="24" customHeight="1">
      <c r="A106" s="18" t="n">
        <v>100</v>
      </c>
      <c r="B106" s="32" t="n"/>
      <c r="C106" s="19" t="n"/>
      <c r="D106" s="19" t="n"/>
      <c r="E106" s="23">
        <f>IF(D106="","",IFERROR(INDEX('01_자재목록'!$D$7:$D$106,MATCH(D106,'01_자재목록'!$B$7:$B$106,0))&amp;"","자재코드 확인"))</f>
        <v/>
      </c>
      <c r="F106" s="19" t="n"/>
      <c r="G106" s="19" t="n"/>
      <c r="H106" s="30" t="n"/>
      <c r="I106" s="30" t="n"/>
      <c r="J106" s="23">
        <f>IF(D106="","",IFERROR(INDEX('01_자재목록'!$I$7:$I$106,MATCH(D106,'01_자재목록'!$B$7:$B$106,0))&amp;"","자재코드 확인"))</f>
        <v/>
      </c>
      <c r="K106" s="31">
        <f>IF(D106="",IF(OR(B106&lt;&gt;"",C106&lt;&gt;"",H106&lt;&gt;"",I106&lt;&gt;""),"자재코드 입력 확인",""),IF(COUNTIF('01_자재목록'!$B$7:$B$106,D106)&lt;&gt;1,"자재코드 확인",IF(J106="","단위 입력 확인",IF(OR(NOT(ISNUMBER(B106)),B106&lt;1,AND(C106&lt;&gt;"입고",C106&lt;&gt;"출고",C106&lt;&gt;"조정")),"일자/구분 확인",IF(OR(AND(H106&lt;&gt;"",NOT(ISNUMBER(H106))),AND(I106&lt;&gt;"",NOT(ISNUMBER(I106))),H106&lt;0,I106&lt;0,AND(H106&lt;=0,I106&lt;=0),AND(H106&gt;0,I106&gt;0),AND(C106="입고",I106&gt;0),AND(C106="출고",H106&gt;0)),"수량/구분 확인",SUMIFS($H$7:H106,$D$7:D106,D106)-SUMIFS($I$7:I106,$D$7:D106,D106))))))</f>
        <v/>
      </c>
      <c r="L106" s="19" t="n"/>
      <c r="M106" s="19" t="n"/>
      <c r="N106" s="19" t="n"/>
      <c r="O106" s="27">
        <f>IF(D106="","",IF(COUNTIF('01_자재목록'!$B$7:$B$106,D106)&lt;&gt;1,"자재코드 확인",IF(INDEX('01_자재목록'!$R$7:$R$106,MATCH(D106,'01_자재목록'!$B$7:$B$106,0))="","구분 미입력",INDEX('01_자재목록'!$R$7:$R$106,MATCH(D106,'01_자재목록'!$B$7:$B$106,0)))))</f>
        <v/>
      </c>
    </row>
    <row r="107" ht="24" customHeight="1">
      <c r="A107" s="18" t="n">
        <v>101</v>
      </c>
      <c r="B107" s="32" t="n"/>
      <c r="C107" s="19" t="n"/>
      <c r="D107" s="19" t="n"/>
      <c r="E107" s="23">
        <f>IF(D107="","",IFERROR(INDEX('01_자재목록'!$D$7:$D$106,MATCH(D107,'01_자재목록'!$B$7:$B$106,0))&amp;"","자재코드 확인"))</f>
        <v/>
      </c>
      <c r="F107" s="19" t="n"/>
      <c r="G107" s="19" t="n"/>
      <c r="H107" s="30" t="n"/>
      <c r="I107" s="30" t="n"/>
      <c r="J107" s="23">
        <f>IF(D107="","",IFERROR(INDEX('01_자재목록'!$I$7:$I$106,MATCH(D107,'01_자재목록'!$B$7:$B$106,0))&amp;"","자재코드 확인"))</f>
        <v/>
      </c>
      <c r="K107" s="31">
        <f>IF(D107="",IF(OR(B107&lt;&gt;"",C107&lt;&gt;"",H107&lt;&gt;"",I107&lt;&gt;""),"자재코드 입력 확인",""),IF(COUNTIF('01_자재목록'!$B$7:$B$106,D107)&lt;&gt;1,"자재코드 확인",IF(J107="","단위 입력 확인",IF(OR(NOT(ISNUMBER(B107)),B107&lt;1,AND(C107&lt;&gt;"입고",C107&lt;&gt;"출고",C107&lt;&gt;"조정")),"일자/구분 확인",IF(OR(AND(H107&lt;&gt;"",NOT(ISNUMBER(H107))),AND(I107&lt;&gt;"",NOT(ISNUMBER(I107))),H107&lt;0,I107&lt;0,AND(H107&lt;=0,I107&lt;=0),AND(H107&gt;0,I107&gt;0),AND(C107="입고",I107&gt;0),AND(C107="출고",H107&gt;0)),"수량/구분 확인",SUMIFS($H$7:H107,$D$7:D107,D107)-SUMIFS($I$7:I107,$D$7:D107,D107))))))</f>
        <v/>
      </c>
      <c r="L107" s="19" t="n"/>
      <c r="M107" s="19" t="n"/>
      <c r="N107" s="19" t="n"/>
      <c r="O107" s="27">
        <f>IF(D107="","",IF(COUNTIF('01_자재목록'!$B$7:$B$106,D107)&lt;&gt;1,"자재코드 확인",IF(INDEX('01_자재목록'!$R$7:$R$106,MATCH(D107,'01_자재목록'!$B$7:$B$106,0))="","구분 미입력",INDEX('01_자재목록'!$R$7:$R$106,MATCH(D107,'01_자재목록'!$B$7:$B$106,0)))))</f>
        <v/>
      </c>
    </row>
    <row r="108" ht="24" customHeight="1">
      <c r="A108" s="18" t="n">
        <v>102</v>
      </c>
      <c r="B108" s="32" t="n"/>
      <c r="C108" s="19" t="n"/>
      <c r="D108" s="19" t="n"/>
      <c r="E108" s="23">
        <f>IF(D108="","",IFERROR(INDEX('01_자재목록'!$D$7:$D$106,MATCH(D108,'01_자재목록'!$B$7:$B$106,0))&amp;"","자재코드 확인"))</f>
        <v/>
      </c>
      <c r="F108" s="19" t="n"/>
      <c r="G108" s="19" t="n"/>
      <c r="H108" s="30" t="n"/>
      <c r="I108" s="30" t="n"/>
      <c r="J108" s="23">
        <f>IF(D108="","",IFERROR(INDEX('01_자재목록'!$I$7:$I$106,MATCH(D108,'01_자재목록'!$B$7:$B$106,0))&amp;"","자재코드 확인"))</f>
        <v/>
      </c>
      <c r="K108" s="31">
        <f>IF(D108="",IF(OR(B108&lt;&gt;"",C108&lt;&gt;"",H108&lt;&gt;"",I108&lt;&gt;""),"자재코드 입력 확인",""),IF(COUNTIF('01_자재목록'!$B$7:$B$106,D108)&lt;&gt;1,"자재코드 확인",IF(J108="","단위 입력 확인",IF(OR(NOT(ISNUMBER(B108)),B108&lt;1,AND(C108&lt;&gt;"입고",C108&lt;&gt;"출고",C108&lt;&gt;"조정")),"일자/구분 확인",IF(OR(AND(H108&lt;&gt;"",NOT(ISNUMBER(H108))),AND(I108&lt;&gt;"",NOT(ISNUMBER(I108))),H108&lt;0,I108&lt;0,AND(H108&lt;=0,I108&lt;=0),AND(H108&gt;0,I108&gt;0),AND(C108="입고",I108&gt;0),AND(C108="출고",H108&gt;0)),"수량/구분 확인",SUMIFS($H$7:H108,$D$7:D108,D108)-SUMIFS($I$7:I108,$D$7:D108,D108))))))</f>
        <v/>
      </c>
      <c r="L108" s="19" t="n"/>
      <c r="M108" s="19" t="n"/>
      <c r="N108" s="19" t="n"/>
      <c r="O108" s="27">
        <f>IF(D108="","",IF(COUNTIF('01_자재목록'!$B$7:$B$106,D108)&lt;&gt;1,"자재코드 확인",IF(INDEX('01_자재목록'!$R$7:$R$106,MATCH(D108,'01_자재목록'!$B$7:$B$106,0))="","구분 미입력",INDEX('01_자재목록'!$R$7:$R$106,MATCH(D108,'01_자재목록'!$B$7:$B$106,0)))))</f>
        <v/>
      </c>
    </row>
    <row r="109" ht="24" customHeight="1">
      <c r="A109" s="18" t="n">
        <v>103</v>
      </c>
      <c r="B109" s="32" t="n"/>
      <c r="C109" s="19" t="n"/>
      <c r="D109" s="19" t="n"/>
      <c r="E109" s="23">
        <f>IF(D109="","",IFERROR(INDEX('01_자재목록'!$D$7:$D$106,MATCH(D109,'01_자재목록'!$B$7:$B$106,0))&amp;"","자재코드 확인"))</f>
        <v/>
      </c>
      <c r="F109" s="19" t="n"/>
      <c r="G109" s="19" t="n"/>
      <c r="H109" s="30" t="n"/>
      <c r="I109" s="30" t="n"/>
      <c r="J109" s="23">
        <f>IF(D109="","",IFERROR(INDEX('01_자재목록'!$I$7:$I$106,MATCH(D109,'01_자재목록'!$B$7:$B$106,0))&amp;"","자재코드 확인"))</f>
        <v/>
      </c>
      <c r="K109" s="31">
        <f>IF(D109="",IF(OR(B109&lt;&gt;"",C109&lt;&gt;"",H109&lt;&gt;"",I109&lt;&gt;""),"자재코드 입력 확인",""),IF(COUNTIF('01_자재목록'!$B$7:$B$106,D109)&lt;&gt;1,"자재코드 확인",IF(J109="","단위 입력 확인",IF(OR(NOT(ISNUMBER(B109)),B109&lt;1,AND(C109&lt;&gt;"입고",C109&lt;&gt;"출고",C109&lt;&gt;"조정")),"일자/구분 확인",IF(OR(AND(H109&lt;&gt;"",NOT(ISNUMBER(H109))),AND(I109&lt;&gt;"",NOT(ISNUMBER(I109))),H109&lt;0,I109&lt;0,AND(H109&lt;=0,I109&lt;=0),AND(H109&gt;0,I109&gt;0),AND(C109="입고",I109&gt;0),AND(C109="출고",H109&gt;0)),"수량/구분 확인",SUMIFS($H$7:H109,$D$7:D109,D109)-SUMIFS($I$7:I109,$D$7:D109,D109))))))</f>
        <v/>
      </c>
      <c r="L109" s="19" t="n"/>
      <c r="M109" s="19" t="n"/>
      <c r="N109" s="19" t="n"/>
      <c r="O109" s="27">
        <f>IF(D109="","",IF(COUNTIF('01_자재목록'!$B$7:$B$106,D109)&lt;&gt;1,"자재코드 확인",IF(INDEX('01_자재목록'!$R$7:$R$106,MATCH(D109,'01_자재목록'!$B$7:$B$106,0))="","구분 미입력",INDEX('01_자재목록'!$R$7:$R$106,MATCH(D109,'01_자재목록'!$B$7:$B$106,0)))))</f>
        <v/>
      </c>
    </row>
    <row r="110" ht="24" customHeight="1">
      <c r="A110" s="18" t="n">
        <v>104</v>
      </c>
      <c r="B110" s="32" t="n"/>
      <c r="C110" s="19" t="n"/>
      <c r="D110" s="19" t="n"/>
      <c r="E110" s="23">
        <f>IF(D110="","",IFERROR(INDEX('01_자재목록'!$D$7:$D$106,MATCH(D110,'01_자재목록'!$B$7:$B$106,0))&amp;"","자재코드 확인"))</f>
        <v/>
      </c>
      <c r="F110" s="19" t="n"/>
      <c r="G110" s="19" t="n"/>
      <c r="H110" s="30" t="n"/>
      <c r="I110" s="30" t="n"/>
      <c r="J110" s="23">
        <f>IF(D110="","",IFERROR(INDEX('01_자재목록'!$I$7:$I$106,MATCH(D110,'01_자재목록'!$B$7:$B$106,0))&amp;"","자재코드 확인"))</f>
        <v/>
      </c>
      <c r="K110" s="31">
        <f>IF(D110="",IF(OR(B110&lt;&gt;"",C110&lt;&gt;"",H110&lt;&gt;"",I110&lt;&gt;""),"자재코드 입력 확인",""),IF(COUNTIF('01_자재목록'!$B$7:$B$106,D110)&lt;&gt;1,"자재코드 확인",IF(J110="","단위 입력 확인",IF(OR(NOT(ISNUMBER(B110)),B110&lt;1,AND(C110&lt;&gt;"입고",C110&lt;&gt;"출고",C110&lt;&gt;"조정")),"일자/구분 확인",IF(OR(AND(H110&lt;&gt;"",NOT(ISNUMBER(H110))),AND(I110&lt;&gt;"",NOT(ISNUMBER(I110))),H110&lt;0,I110&lt;0,AND(H110&lt;=0,I110&lt;=0),AND(H110&gt;0,I110&gt;0),AND(C110="입고",I110&gt;0),AND(C110="출고",H110&gt;0)),"수량/구분 확인",SUMIFS($H$7:H110,$D$7:D110,D110)-SUMIFS($I$7:I110,$D$7:D110,D110))))))</f>
        <v/>
      </c>
      <c r="L110" s="19" t="n"/>
      <c r="M110" s="19" t="n"/>
      <c r="N110" s="19" t="n"/>
      <c r="O110" s="27">
        <f>IF(D110="","",IF(COUNTIF('01_자재목록'!$B$7:$B$106,D110)&lt;&gt;1,"자재코드 확인",IF(INDEX('01_자재목록'!$R$7:$R$106,MATCH(D110,'01_자재목록'!$B$7:$B$106,0))="","구분 미입력",INDEX('01_자재목록'!$R$7:$R$106,MATCH(D110,'01_자재목록'!$B$7:$B$106,0)))))</f>
        <v/>
      </c>
    </row>
    <row r="111" ht="24" customHeight="1">
      <c r="A111" s="18" t="n">
        <v>105</v>
      </c>
      <c r="B111" s="32" t="n"/>
      <c r="C111" s="19" t="n"/>
      <c r="D111" s="19" t="n"/>
      <c r="E111" s="23">
        <f>IF(D111="","",IFERROR(INDEX('01_자재목록'!$D$7:$D$106,MATCH(D111,'01_자재목록'!$B$7:$B$106,0))&amp;"","자재코드 확인"))</f>
        <v/>
      </c>
      <c r="F111" s="19" t="n"/>
      <c r="G111" s="19" t="n"/>
      <c r="H111" s="30" t="n"/>
      <c r="I111" s="30" t="n"/>
      <c r="J111" s="23">
        <f>IF(D111="","",IFERROR(INDEX('01_자재목록'!$I$7:$I$106,MATCH(D111,'01_자재목록'!$B$7:$B$106,0))&amp;"","자재코드 확인"))</f>
        <v/>
      </c>
      <c r="K111" s="31">
        <f>IF(D111="",IF(OR(B111&lt;&gt;"",C111&lt;&gt;"",H111&lt;&gt;"",I111&lt;&gt;""),"자재코드 입력 확인",""),IF(COUNTIF('01_자재목록'!$B$7:$B$106,D111)&lt;&gt;1,"자재코드 확인",IF(J111="","단위 입력 확인",IF(OR(NOT(ISNUMBER(B111)),B111&lt;1,AND(C111&lt;&gt;"입고",C111&lt;&gt;"출고",C111&lt;&gt;"조정")),"일자/구분 확인",IF(OR(AND(H111&lt;&gt;"",NOT(ISNUMBER(H111))),AND(I111&lt;&gt;"",NOT(ISNUMBER(I111))),H111&lt;0,I111&lt;0,AND(H111&lt;=0,I111&lt;=0),AND(H111&gt;0,I111&gt;0),AND(C111="입고",I111&gt;0),AND(C111="출고",H111&gt;0)),"수량/구분 확인",SUMIFS($H$7:H111,$D$7:D111,D111)-SUMIFS($I$7:I111,$D$7:D111,D111))))))</f>
        <v/>
      </c>
      <c r="L111" s="19" t="n"/>
      <c r="M111" s="19" t="n"/>
      <c r="N111" s="19" t="n"/>
      <c r="O111" s="27">
        <f>IF(D111="","",IF(COUNTIF('01_자재목록'!$B$7:$B$106,D111)&lt;&gt;1,"자재코드 확인",IF(INDEX('01_자재목록'!$R$7:$R$106,MATCH(D111,'01_자재목록'!$B$7:$B$106,0))="","구분 미입력",INDEX('01_자재목록'!$R$7:$R$106,MATCH(D111,'01_자재목록'!$B$7:$B$106,0)))))</f>
        <v/>
      </c>
    </row>
    <row r="112" ht="24" customHeight="1">
      <c r="A112" s="18" t="n">
        <v>106</v>
      </c>
      <c r="B112" s="32" t="n"/>
      <c r="C112" s="19" t="n"/>
      <c r="D112" s="19" t="n"/>
      <c r="E112" s="23">
        <f>IF(D112="","",IFERROR(INDEX('01_자재목록'!$D$7:$D$106,MATCH(D112,'01_자재목록'!$B$7:$B$106,0))&amp;"","자재코드 확인"))</f>
        <v/>
      </c>
      <c r="F112" s="19" t="n"/>
      <c r="G112" s="19" t="n"/>
      <c r="H112" s="30" t="n"/>
      <c r="I112" s="30" t="n"/>
      <c r="J112" s="23">
        <f>IF(D112="","",IFERROR(INDEX('01_자재목록'!$I$7:$I$106,MATCH(D112,'01_자재목록'!$B$7:$B$106,0))&amp;"","자재코드 확인"))</f>
        <v/>
      </c>
      <c r="K112" s="31">
        <f>IF(D112="",IF(OR(B112&lt;&gt;"",C112&lt;&gt;"",H112&lt;&gt;"",I112&lt;&gt;""),"자재코드 입력 확인",""),IF(COUNTIF('01_자재목록'!$B$7:$B$106,D112)&lt;&gt;1,"자재코드 확인",IF(J112="","단위 입력 확인",IF(OR(NOT(ISNUMBER(B112)),B112&lt;1,AND(C112&lt;&gt;"입고",C112&lt;&gt;"출고",C112&lt;&gt;"조정")),"일자/구분 확인",IF(OR(AND(H112&lt;&gt;"",NOT(ISNUMBER(H112))),AND(I112&lt;&gt;"",NOT(ISNUMBER(I112))),H112&lt;0,I112&lt;0,AND(H112&lt;=0,I112&lt;=0),AND(H112&gt;0,I112&gt;0),AND(C112="입고",I112&gt;0),AND(C112="출고",H112&gt;0)),"수량/구분 확인",SUMIFS($H$7:H112,$D$7:D112,D112)-SUMIFS($I$7:I112,$D$7:D112,D112))))))</f>
        <v/>
      </c>
      <c r="L112" s="19" t="n"/>
      <c r="M112" s="19" t="n"/>
      <c r="N112" s="19" t="n"/>
      <c r="O112" s="27">
        <f>IF(D112="","",IF(COUNTIF('01_자재목록'!$B$7:$B$106,D112)&lt;&gt;1,"자재코드 확인",IF(INDEX('01_자재목록'!$R$7:$R$106,MATCH(D112,'01_자재목록'!$B$7:$B$106,0))="","구분 미입력",INDEX('01_자재목록'!$R$7:$R$106,MATCH(D112,'01_자재목록'!$B$7:$B$106,0)))))</f>
        <v/>
      </c>
    </row>
    <row r="113" ht="24" customHeight="1">
      <c r="A113" s="18" t="n">
        <v>107</v>
      </c>
      <c r="B113" s="32" t="n"/>
      <c r="C113" s="19" t="n"/>
      <c r="D113" s="19" t="n"/>
      <c r="E113" s="23">
        <f>IF(D113="","",IFERROR(INDEX('01_자재목록'!$D$7:$D$106,MATCH(D113,'01_자재목록'!$B$7:$B$106,0))&amp;"","자재코드 확인"))</f>
        <v/>
      </c>
      <c r="F113" s="19" t="n"/>
      <c r="G113" s="19" t="n"/>
      <c r="H113" s="30" t="n"/>
      <c r="I113" s="30" t="n"/>
      <c r="J113" s="23">
        <f>IF(D113="","",IFERROR(INDEX('01_자재목록'!$I$7:$I$106,MATCH(D113,'01_자재목록'!$B$7:$B$106,0))&amp;"","자재코드 확인"))</f>
        <v/>
      </c>
      <c r="K113" s="31">
        <f>IF(D113="",IF(OR(B113&lt;&gt;"",C113&lt;&gt;"",H113&lt;&gt;"",I113&lt;&gt;""),"자재코드 입력 확인",""),IF(COUNTIF('01_자재목록'!$B$7:$B$106,D113)&lt;&gt;1,"자재코드 확인",IF(J113="","단위 입력 확인",IF(OR(NOT(ISNUMBER(B113)),B113&lt;1,AND(C113&lt;&gt;"입고",C113&lt;&gt;"출고",C113&lt;&gt;"조정")),"일자/구분 확인",IF(OR(AND(H113&lt;&gt;"",NOT(ISNUMBER(H113))),AND(I113&lt;&gt;"",NOT(ISNUMBER(I113))),H113&lt;0,I113&lt;0,AND(H113&lt;=0,I113&lt;=0),AND(H113&gt;0,I113&gt;0),AND(C113="입고",I113&gt;0),AND(C113="출고",H113&gt;0)),"수량/구분 확인",SUMIFS($H$7:H113,$D$7:D113,D113)-SUMIFS($I$7:I113,$D$7:D113,D113))))))</f>
        <v/>
      </c>
      <c r="L113" s="19" t="n"/>
      <c r="M113" s="19" t="n"/>
      <c r="N113" s="19" t="n"/>
      <c r="O113" s="27">
        <f>IF(D113="","",IF(COUNTIF('01_자재목록'!$B$7:$B$106,D113)&lt;&gt;1,"자재코드 확인",IF(INDEX('01_자재목록'!$R$7:$R$106,MATCH(D113,'01_자재목록'!$B$7:$B$106,0))="","구분 미입력",INDEX('01_자재목록'!$R$7:$R$106,MATCH(D113,'01_자재목록'!$B$7:$B$106,0)))))</f>
        <v/>
      </c>
    </row>
    <row r="114" ht="24" customHeight="1">
      <c r="A114" s="18" t="n">
        <v>108</v>
      </c>
      <c r="B114" s="32" t="n"/>
      <c r="C114" s="19" t="n"/>
      <c r="D114" s="19" t="n"/>
      <c r="E114" s="23">
        <f>IF(D114="","",IFERROR(INDEX('01_자재목록'!$D$7:$D$106,MATCH(D114,'01_자재목록'!$B$7:$B$106,0))&amp;"","자재코드 확인"))</f>
        <v/>
      </c>
      <c r="F114" s="19" t="n"/>
      <c r="G114" s="19" t="n"/>
      <c r="H114" s="30" t="n"/>
      <c r="I114" s="30" t="n"/>
      <c r="J114" s="23">
        <f>IF(D114="","",IFERROR(INDEX('01_자재목록'!$I$7:$I$106,MATCH(D114,'01_자재목록'!$B$7:$B$106,0))&amp;"","자재코드 확인"))</f>
        <v/>
      </c>
      <c r="K114" s="31">
        <f>IF(D114="",IF(OR(B114&lt;&gt;"",C114&lt;&gt;"",H114&lt;&gt;"",I114&lt;&gt;""),"자재코드 입력 확인",""),IF(COUNTIF('01_자재목록'!$B$7:$B$106,D114)&lt;&gt;1,"자재코드 확인",IF(J114="","단위 입력 확인",IF(OR(NOT(ISNUMBER(B114)),B114&lt;1,AND(C114&lt;&gt;"입고",C114&lt;&gt;"출고",C114&lt;&gt;"조정")),"일자/구분 확인",IF(OR(AND(H114&lt;&gt;"",NOT(ISNUMBER(H114))),AND(I114&lt;&gt;"",NOT(ISNUMBER(I114))),H114&lt;0,I114&lt;0,AND(H114&lt;=0,I114&lt;=0),AND(H114&gt;0,I114&gt;0),AND(C114="입고",I114&gt;0),AND(C114="출고",H114&gt;0)),"수량/구분 확인",SUMIFS($H$7:H114,$D$7:D114,D114)-SUMIFS($I$7:I114,$D$7:D114,D114))))))</f>
        <v/>
      </c>
      <c r="L114" s="19" t="n"/>
      <c r="M114" s="19" t="n"/>
      <c r="N114" s="19" t="n"/>
      <c r="O114" s="27">
        <f>IF(D114="","",IF(COUNTIF('01_자재목록'!$B$7:$B$106,D114)&lt;&gt;1,"자재코드 확인",IF(INDEX('01_자재목록'!$R$7:$R$106,MATCH(D114,'01_자재목록'!$B$7:$B$106,0))="","구분 미입력",INDEX('01_자재목록'!$R$7:$R$106,MATCH(D114,'01_자재목록'!$B$7:$B$106,0)))))</f>
        <v/>
      </c>
    </row>
    <row r="115" ht="24" customHeight="1">
      <c r="A115" s="18" t="n">
        <v>109</v>
      </c>
      <c r="B115" s="32" t="n"/>
      <c r="C115" s="19" t="n"/>
      <c r="D115" s="19" t="n"/>
      <c r="E115" s="23">
        <f>IF(D115="","",IFERROR(INDEX('01_자재목록'!$D$7:$D$106,MATCH(D115,'01_자재목록'!$B$7:$B$106,0))&amp;"","자재코드 확인"))</f>
        <v/>
      </c>
      <c r="F115" s="19" t="n"/>
      <c r="G115" s="19" t="n"/>
      <c r="H115" s="30" t="n"/>
      <c r="I115" s="30" t="n"/>
      <c r="J115" s="23">
        <f>IF(D115="","",IFERROR(INDEX('01_자재목록'!$I$7:$I$106,MATCH(D115,'01_자재목록'!$B$7:$B$106,0))&amp;"","자재코드 확인"))</f>
        <v/>
      </c>
      <c r="K115" s="31">
        <f>IF(D115="",IF(OR(B115&lt;&gt;"",C115&lt;&gt;"",H115&lt;&gt;"",I115&lt;&gt;""),"자재코드 입력 확인",""),IF(COUNTIF('01_자재목록'!$B$7:$B$106,D115)&lt;&gt;1,"자재코드 확인",IF(J115="","단위 입력 확인",IF(OR(NOT(ISNUMBER(B115)),B115&lt;1,AND(C115&lt;&gt;"입고",C115&lt;&gt;"출고",C115&lt;&gt;"조정")),"일자/구분 확인",IF(OR(AND(H115&lt;&gt;"",NOT(ISNUMBER(H115))),AND(I115&lt;&gt;"",NOT(ISNUMBER(I115))),H115&lt;0,I115&lt;0,AND(H115&lt;=0,I115&lt;=0),AND(H115&gt;0,I115&gt;0),AND(C115="입고",I115&gt;0),AND(C115="출고",H115&gt;0)),"수량/구분 확인",SUMIFS($H$7:H115,$D$7:D115,D115)-SUMIFS($I$7:I115,$D$7:D115,D115))))))</f>
        <v/>
      </c>
      <c r="L115" s="19" t="n"/>
      <c r="M115" s="19" t="n"/>
      <c r="N115" s="19" t="n"/>
      <c r="O115" s="27">
        <f>IF(D115="","",IF(COUNTIF('01_자재목록'!$B$7:$B$106,D115)&lt;&gt;1,"자재코드 확인",IF(INDEX('01_자재목록'!$R$7:$R$106,MATCH(D115,'01_자재목록'!$B$7:$B$106,0))="","구분 미입력",INDEX('01_자재목록'!$R$7:$R$106,MATCH(D115,'01_자재목록'!$B$7:$B$106,0)))))</f>
        <v/>
      </c>
    </row>
    <row r="116" ht="24" customHeight="1">
      <c r="A116" s="18" t="n">
        <v>110</v>
      </c>
      <c r="B116" s="32" t="n"/>
      <c r="C116" s="19" t="n"/>
      <c r="D116" s="19" t="n"/>
      <c r="E116" s="23">
        <f>IF(D116="","",IFERROR(INDEX('01_자재목록'!$D$7:$D$106,MATCH(D116,'01_자재목록'!$B$7:$B$106,0))&amp;"","자재코드 확인"))</f>
        <v/>
      </c>
      <c r="F116" s="19" t="n"/>
      <c r="G116" s="19" t="n"/>
      <c r="H116" s="30" t="n"/>
      <c r="I116" s="30" t="n"/>
      <c r="J116" s="23">
        <f>IF(D116="","",IFERROR(INDEX('01_자재목록'!$I$7:$I$106,MATCH(D116,'01_자재목록'!$B$7:$B$106,0))&amp;"","자재코드 확인"))</f>
        <v/>
      </c>
      <c r="K116" s="31">
        <f>IF(D116="",IF(OR(B116&lt;&gt;"",C116&lt;&gt;"",H116&lt;&gt;"",I116&lt;&gt;""),"자재코드 입력 확인",""),IF(COUNTIF('01_자재목록'!$B$7:$B$106,D116)&lt;&gt;1,"자재코드 확인",IF(J116="","단위 입력 확인",IF(OR(NOT(ISNUMBER(B116)),B116&lt;1,AND(C116&lt;&gt;"입고",C116&lt;&gt;"출고",C116&lt;&gt;"조정")),"일자/구분 확인",IF(OR(AND(H116&lt;&gt;"",NOT(ISNUMBER(H116))),AND(I116&lt;&gt;"",NOT(ISNUMBER(I116))),H116&lt;0,I116&lt;0,AND(H116&lt;=0,I116&lt;=0),AND(H116&gt;0,I116&gt;0),AND(C116="입고",I116&gt;0),AND(C116="출고",H116&gt;0)),"수량/구분 확인",SUMIFS($H$7:H116,$D$7:D116,D116)-SUMIFS($I$7:I116,$D$7:D116,D116))))))</f>
        <v/>
      </c>
      <c r="L116" s="19" t="n"/>
      <c r="M116" s="19" t="n"/>
      <c r="N116" s="19" t="n"/>
      <c r="O116" s="27">
        <f>IF(D116="","",IF(COUNTIF('01_자재목록'!$B$7:$B$106,D116)&lt;&gt;1,"자재코드 확인",IF(INDEX('01_자재목록'!$R$7:$R$106,MATCH(D116,'01_자재목록'!$B$7:$B$106,0))="","구분 미입력",INDEX('01_자재목록'!$R$7:$R$106,MATCH(D116,'01_자재목록'!$B$7:$B$106,0)))))</f>
        <v/>
      </c>
    </row>
    <row r="117" ht="24" customHeight="1">
      <c r="A117" s="18" t="n">
        <v>111</v>
      </c>
      <c r="B117" s="32" t="n"/>
      <c r="C117" s="19" t="n"/>
      <c r="D117" s="19" t="n"/>
      <c r="E117" s="23">
        <f>IF(D117="","",IFERROR(INDEX('01_자재목록'!$D$7:$D$106,MATCH(D117,'01_자재목록'!$B$7:$B$106,0))&amp;"","자재코드 확인"))</f>
        <v/>
      </c>
      <c r="F117" s="19" t="n"/>
      <c r="G117" s="19" t="n"/>
      <c r="H117" s="30" t="n"/>
      <c r="I117" s="30" t="n"/>
      <c r="J117" s="23">
        <f>IF(D117="","",IFERROR(INDEX('01_자재목록'!$I$7:$I$106,MATCH(D117,'01_자재목록'!$B$7:$B$106,0))&amp;"","자재코드 확인"))</f>
        <v/>
      </c>
      <c r="K117" s="31">
        <f>IF(D117="",IF(OR(B117&lt;&gt;"",C117&lt;&gt;"",H117&lt;&gt;"",I117&lt;&gt;""),"자재코드 입력 확인",""),IF(COUNTIF('01_자재목록'!$B$7:$B$106,D117)&lt;&gt;1,"자재코드 확인",IF(J117="","단위 입력 확인",IF(OR(NOT(ISNUMBER(B117)),B117&lt;1,AND(C117&lt;&gt;"입고",C117&lt;&gt;"출고",C117&lt;&gt;"조정")),"일자/구분 확인",IF(OR(AND(H117&lt;&gt;"",NOT(ISNUMBER(H117))),AND(I117&lt;&gt;"",NOT(ISNUMBER(I117))),H117&lt;0,I117&lt;0,AND(H117&lt;=0,I117&lt;=0),AND(H117&gt;0,I117&gt;0),AND(C117="입고",I117&gt;0),AND(C117="출고",H117&gt;0)),"수량/구분 확인",SUMIFS($H$7:H117,$D$7:D117,D117)-SUMIFS($I$7:I117,$D$7:D117,D117))))))</f>
        <v/>
      </c>
      <c r="L117" s="19" t="n"/>
      <c r="M117" s="19" t="n"/>
      <c r="N117" s="19" t="n"/>
      <c r="O117" s="27">
        <f>IF(D117="","",IF(COUNTIF('01_자재목록'!$B$7:$B$106,D117)&lt;&gt;1,"자재코드 확인",IF(INDEX('01_자재목록'!$R$7:$R$106,MATCH(D117,'01_자재목록'!$B$7:$B$106,0))="","구분 미입력",INDEX('01_자재목록'!$R$7:$R$106,MATCH(D117,'01_자재목록'!$B$7:$B$106,0)))))</f>
        <v/>
      </c>
    </row>
    <row r="118" ht="24" customHeight="1">
      <c r="A118" s="18" t="n">
        <v>112</v>
      </c>
      <c r="B118" s="32" t="n"/>
      <c r="C118" s="19" t="n"/>
      <c r="D118" s="19" t="n"/>
      <c r="E118" s="23">
        <f>IF(D118="","",IFERROR(INDEX('01_자재목록'!$D$7:$D$106,MATCH(D118,'01_자재목록'!$B$7:$B$106,0))&amp;"","자재코드 확인"))</f>
        <v/>
      </c>
      <c r="F118" s="19" t="n"/>
      <c r="G118" s="19" t="n"/>
      <c r="H118" s="30" t="n"/>
      <c r="I118" s="30" t="n"/>
      <c r="J118" s="23">
        <f>IF(D118="","",IFERROR(INDEX('01_자재목록'!$I$7:$I$106,MATCH(D118,'01_자재목록'!$B$7:$B$106,0))&amp;"","자재코드 확인"))</f>
        <v/>
      </c>
      <c r="K118" s="31">
        <f>IF(D118="",IF(OR(B118&lt;&gt;"",C118&lt;&gt;"",H118&lt;&gt;"",I118&lt;&gt;""),"자재코드 입력 확인",""),IF(COUNTIF('01_자재목록'!$B$7:$B$106,D118)&lt;&gt;1,"자재코드 확인",IF(J118="","단위 입력 확인",IF(OR(NOT(ISNUMBER(B118)),B118&lt;1,AND(C118&lt;&gt;"입고",C118&lt;&gt;"출고",C118&lt;&gt;"조정")),"일자/구분 확인",IF(OR(AND(H118&lt;&gt;"",NOT(ISNUMBER(H118))),AND(I118&lt;&gt;"",NOT(ISNUMBER(I118))),H118&lt;0,I118&lt;0,AND(H118&lt;=0,I118&lt;=0),AND(H118&gt;0,I118&gt;0),AND(C118="입고",I118&gt;0),AND(C118="출고",H118&gt;0)),"수량/구분 확인",SUMIFS($H$7:H118,$D$7:D118,D118)-SUMIFS($I$7:I118,$D$7:D118,D118))))))</f>
        <v/>
      </c>
      <c r="L118" s="19" t="n"/>
      <c r="M118" s="19" t="n"/>
      <c r="N118" s="19" t="n"/>
      <c r="O118" s="27">
        <f>IF(D118="","",IF(COUNTIF('01_자재목록'!$B$7:$B$106,D118)&lt;&gt;1,"자재코드 확인",IF(INDEX('01_자재목록'!$R$7:$R$106,MATCH(D118,'01_자재목록'!$B$7:$B$106,0))="","구분 미입력",INDEX('01_자재목록'!$R$7:$R$106,MATCH(D118,'01_자재목록'!$B$7:$B$106,0)))))</f>
        <v/>
      </c>
    </row>
    <row r="119" ht="24" customHeight="1">
      <c r="A119" s="18" t="n">
        <v>113</v>
      </c>
      <c r="B119" s="32" t="n"/>
      <c r="C119" s="19" t="n"/>
      <c r="D119" s="19" t="n"/>
      <c r="E119" s="23">
        <f>IF(D119="","",IFERROR(INDEX('01_자재목록'!$D$7:$D$106,MATCH(D119,'01_자재목록'!$B$7:$B$106,0))&amp;"","자재코드 확인"))</f>
        <v/>
      </c>
      <c r="F119" s="19" t="n"/>
      <c r="G119" s="19" t="n"/>
      <c r="H119" s="30" t="n"/>
      <c r="I119" s="30" t="n"/>
      <c r="J119" s="23">
        <f>IF(D119="","",IFERROR(INDEX('01_자재목록'!$I$7:$I$106,MATCH(D119,'01_자재목록'!$B$7:$B$106,0))&amp;"","자재코드 확인"))</f>
        <v/>
      </c>
      <c r="K119" s="31">
        <f>IF(D119="",IF(OR(B119&lt;&gt;"",C119&lt;&gt;"",H119&lt;&gt;"",I119&lt;&gt;""),"자재코드 입력 확인",""),IF(COUNTIF('01_자재목록'!$B$7:$B$106,D119)&lt;&gt;1,"자재코드 확인",IF(J119="","단위 입력 확인",IF(OR(NOT(ISNUMBER(B119)),B119&lt;1,AND(C119&lt;&gt;"입고",C119&lt;&gt;"출고",C119&lt;&gt;"조정")),"일자/구분 확인",IF(OR(AND(H119&lt;&gt;"",NOT(ISNUMBER(H119))),AND(I119&lt;&gt;"",NOT(ISNUMBER(I119))),H119&lt;0,I119&lt;0,AND(H119&lt;=0,I119&lt;=0),AND(H119&gt;0,I119&gt;0),AND(C119="입고",I119&gt;0),AND(C119="출고",H119&gt;0)),"수량/구분 확인",SUMIFS($H$7:H119,$D$7:D119,D119)-SUMIFS($I$7:I119,$D$7:D119,D119))))))</f>
        <v/>
      </c>
      <c r="L119" s="19" t="n"/>
      <c r="M119" s="19" t="n"/>
      <c r="N119" s="19" t="n"/>
      <c r="O119" s="27">
        <f>IF(D119="","",IF(COUNTIF('01_자재목록'!$B$7:$B$106,D119)&lt;&gt;1,"자재코드 확인",IF(INDEX('01_자재목록'!$R$7:$R$106,MATCH(D119,'01_자재목록'!$B$7:$B$106,0))="","구분 미입력",INDEX('01_자재목록'!$R$7:$R$106,MATCH(D119,'01_자재목록'!$B$7:$B$106,0)))))</f>
        <v/>
      </c>
    </row>
    <row r="120" ht="24" customHeight="1">
      <c r="A120" s="18" t="n">
        <v>114</v>
      </c>
      <c r="B120" s="32" t="n"/>
      <c r="C120" s="19" t="n"/>
      <c r="D120" s="19" t="n"/>
      <c r="E120" s="23">
        <f>IF(D120="","",IFERROR(INDEX('01_자재목록'!$D$7:$D$106,MATCH(D120,'01_자재목록'!$B$7:$B$106,0))&amp;"","자재코드 확인"))</f>
        <v/>
      </c>
      <c r="F120" s="19" t="n"/>
      <c r="G120" s="19" t="n"/>
      <c r="H120" s="30" t="n"/>
      <c r="I120" s="30" t="n"/>
      <c r="J120" s="23">
        <f>IF(D120="","",IFERROR(INDEX('01_자재목록'!$I$7:$I$106,MATCH(D120,'01_자재목록'!$B$7:$B$106,0))&amp;"","자재코드 확인"))</f>
        <v/>
      </c>
      <c r="K120" s="31">
        <f>IF(D120="",IF(OR(B120&lt;&gt;"",C120&lt;&gt;"",H120&lt;&gt;"",I120&lt;&gt;""),"자재코드 입력 확인",""),IF(COUNTIF('01_자재목록'!$B$7:$B$106,D120)&lt;&gt;1,"자재코드 확인",IF(J120="","단위 입력 확인",IF(OR(NOT(ISNUMBER(B120)),B120&lt;1,AND(C120&lt;&gt;"입고",C120&lt;&gt;"출고",C120&lt;&gt;"조정")),"일자/구분 확인",IF(OR(AND(H120&lt;&gt;"",NOT(ISNUMBER(H120))),AND(I120&lt;&gt;"",NOT(ISNUMBER(I120))),H120&lt;0,I120&lt;0,AND(H120&lt;=0,I120&lt;=0),AND(H120&gt;0,I120&gt;0),AND(C120="입고",I120&gt;0),AND(C120="출고",H120&gt;0)),"수량/구분 확인",SUMIFS($H$7:H120,$D$7:D120,D120)-SUMIFS($I$7:I120,$D$7:D120,D120))))))</f>
        <v/>
      </c>
      <c r="L120" s="19" t="n"/>
      <c r="M120" s="19" t="n"/>
      <c r="N120" s="19" t="n"/>
      <c r="O120" s="27">
        <f>IF(D120="","",IF(COUNTIF('01_자재목록'!$B$7:$B$106,D120)&lt;&gt;1,"자재코드 확인",IF(INDEX('01_자재목록'!$R$7:$R$106,MATCH(D120,'01_자재목록'!$B$7:$B$106,0))="","구분 미입력",INDEX('01_자재목록'!$R$7:$R$106,MATCH(D120,'01_자재목록'!$B$7:$B$106,0)))))</f>
        <v/>
      </c>
    </row>
    <row r="121" ht="24" customHeight="1">
      <c r="A121" s="18" t="n">
        <v>115</v>
      </c>
      <c r="B121" s="32" t="n"/>
      <c r="C121" s="19" t="n"/>
      <c r="D121" s="19" t="n"/>
      <c r="E121" s="23">
        <f>IF(D121="","",IFERROR(INDEX('01_자재목록'!$D$7:$D$106,MATCH(D121,'01_자재목록'!$B$7:$B$106,0))&amp;"","자재코드 확인"))</f>
        <v/>
      </c>
      <c r="F121" s="19" t="n"/>
      <c r="G121" s="19" t="n"/>
      <c r="H121" s="30" t="n"/>
      <c r="I121" s="30" t="n"/>
      <c r="J121" s="23">
        <f>IF(D121="","",IFERROR(INDEX('01_자재목록'!$I$7:$I$106,MATCH(D121,'01_자재목록'!$B$7:$B$106,0))&amp;"","자재코드 확인"))</f>
        <v/>
      </c>
      <c r="K121" s="31">
        <f>IF(D121="",IF(OR(B121&lt;&gt;"",C121&lt;&gt;"",H121&lt;&gt;"",I121&lt;&gt;""),"자재코드 입력 확인",""),IF(COUNTIF('01_자재목록'!$B$7:$B$106,D121)&lt;&gt;1,"자재코드 확인",IF(J121="","단위 입력 확인",IF(OR(NOT(ISNUMBER(B121)),B121&lt;1,AND(C121&lt;&gt;"입고",C121&lt;&gt;"출고",C121&lt;&gt;"조정")),"일자/구분 확인",IF(OR(AND(H121&lt;&gt;"",NOT(ISNUMBER(H121))),AND(I121&lt;&gt;"",NOT(ISNUMBER(I121))),H121&lt;0,I121&lt;0,AND(H121&lt;=0,I121&lt;=0),AND(H121&gt;0,I121&gt;0),AND(C121="입고",I121&gt;0),AND(C121="출고",H121&gt;0)),"수량/구분 확인",SUMIFS($H$7:H121,$D$7:D121,D121)-SUMIFS($I$7:I121,$D$7:D121,D121))))))</f>
        <v/>
      </c>
      <c r="L121" s="19" t="n"/>
      <c r="M121" s="19" t="n"/>
      <c r="N121" s="19" t="n"/>
      <c r="O121" s="27">
        <f>IF(D121="","",IF(COUNTIF('01_자재목록'!$B$7:$B$106,D121)&lt;&gt;1,"자재코드 확인",IF(INDEX('01_자재목록'!$R$7:$R$106,MATCH(D121,'01_자재목록'!$B$7:$B$106,0))="","구분 미입력",INDEX('01_자재목록'!$R$7:$R$106,MATCH(D121,'01_자재목록'!$B$7:$B$106,0)))))</f>
        <v/>
      </c>
    </row>
    <row r="122" ht="24" customHeight="1">
      <c r="A122" s="18" t="n">
        <v>116</v>
      </c>
      <c r="B122" s="32" t="n"/>
      <c r="C122" s="19" t="n"/>
      <c r="D122" s="19" t="n"/>
      <c r="E122" s="23">
        <f>IF(D122="","",IFERROR(INDEX('01_자재목록'!$D$7:$D$106,MATCH(D122,'01_자재목록'!$B$7:$B$106,0))&amp;"","자재코드 확인"))</f>
        <v/>
      </c>
      <c r="F122" s="19" t="n"/>
      <c r="G122" s="19" t="n"/>
      <c r="H122" s="30" t="n"/>
      <c r="I122" s="30" t="n"/>
      <c r="J122" s="23">
        <f>IF(D122="","",IFERROR(INDEX('01_자재목록'!$I$7:$I$106,MATCH(D122,'01_자재목록'!$B$7:$B$106,0))&amp;"","자재코드 확인"))</f>
        <v/>
      </c>
      <c r="K122" s="31">
        <f>IF(D122="",IF(OR(B122&lt;&gt;"",C122&lt;&gt;"",H122&lt;&gt;"",I122&lt;&gt;""),"자재코드 입력 확인",""),IF(COUNTIF('01_자재목록'!$B$7:$B$106,D122)&lt;&gt;1,"자재코드 확인",IF(J122="","단위 입력 확인",IF(OR(NOT(ISNUMBER(B122)),B122&lt;1,AND(C122&lt;&gt;"입고",C122&lt;&gt;"출고",C122&lt;&gt;"조정")),"일자/구분 확인",IF(OR(AND(H122&lt;&gt;"",NOT(ISNUMBER(H122))),AND(I122&lt;&gt;"",NOT(ISNUMBER(I122))),H122&lt;0,I122&lt;0,AND(H122&lt;=0,I122&lt;=0),AND(H122&gt;0,I122&gt;0),AND(C122="입고",I122&gt;0),AND(C122="출고",H122&gt;0)),"수량/구분 확인",SUMIFS($H$7:H122,$D$7:D122,D122)-SUMIFS($I$7:I122,$D$7:D122,D122))))))</f>
        <v/>
      </c>
      <c r="L122" s="19" t="n"/>
      <c r="M122" s="19" t="n"/>
      <c r="N122" s="19" t="n"/>
      <c r="O122" s="27">
        <f>IF(D122="","",IF(COUNTIF('01_자재목록'!$B$7:$B$106,D122)&lt;&gt;1,"자재코드 확인",IF(INDEX('01_자재목록'!$R$7:$R$106,MATCH(D122,'01_자재목록'!$B$7:$B$106,0))="","구분 미입력",INDEX('01_자재목록'!$R$7:$R$106,MATCH(D122,'01_자재목록'!$B$7:$B$106,0)))))</f>
        <v/>
      </c>
    </row>
    <row r="123" ht="24" customHeight="1">
      <c r="A123" s="18" t="n">
        <v>117</v>
      </c>
      <c r="B123" s="32" t="n"/>
      <c r="C123" s="19" t="n"/>
      <c r="D123" s="19" t="n"/>
      <c r="E123" s="23">
        <f>IF(D123="","",IFERROR(INDEX('01_자재목록'!$D$7:$D$106,MATCH(D123,'01_자재목록'!$B$7:$B$106,0))&amp;"","자재코드 확인"))</f>
        <v/>
      </c>
      <c r="F123" s="19" t="n"/>
      <c r="G123" s="19" t="n"/>
      <c r="H123" s="30" t="n"/>
      <c r="I123" s="30" t="n"/>
      <c r="J123" s="23">
        <f>IF(D123="","",IFERROR(INDEX('01_자재목록'!$I$7:$I$106,MATCH(D123,'01_자재목록'!$B$7:$B$106,0))&amp;"","자재코드 확인"))</f>
        <v/>
      </c>
      <c r="K123" s="31">
        <f>IF(D123="",IF(OR(B123&lt;&gt;"",C123&lt;&gt;"",H123&lt;&gt;"",I123&lt;&gt;""),"자재코드 입력 확인",""),IF(COUNTIF('01_자재목록'!$B$7:$B$106,D123)&lt;&gt;1,"자재코드 확인",IF(J123="","단위 입력 확인",IF(OR(NOT(ISNUMBER(B123)),B123&lt;1,AND(C123&lt;&gt;"입고",C123&lt;&gt;"출고",C123&lt;&gt;"조정")),"일자/구분 확인",IF(OR(AND(H123&lt;&gt;"",NOT(ISNUMBER(H123))),AND(I123&lt;&gt;"",NOT(ISNUMBER(I123))),H123&lt;0,I123&lt;0,AND(H123&lt;=0,I123&lt;=0),AND(H123&gt;0,I123&gt;0),AND(C123="입고",I123&gt;0),AND(C123="출고",H123&gt;0)),"수량/구분 확인",SUMIFS($H$7:H123,$D$7:D123,D123)-SUMIFS($I$7:I123,$D$7:D123,D123))))))</f>
        <v/>
      </c>
      <c r="L123" s="19" t="n"/>
      <c r="M123" s="19" t="n"/>
      <c r="N123" s="19" t="n"/>
      <c r="O123" s="27">
        <f>IF(D123="","",IF(COUNTIF('01_자재목록'!$B$7:$B$106,D123)&lt;&gt;1,"자재코드 확인",IF(INDEX('01_자재목록'!$R$7:$R$106,MATCH(D123,'01_자재목록'!$B$7:$B$106,0))="","구분 미입력",INDEX('01_자재목록'!$R$7:$R$106,MATCH(D123,'01_자재목록'!$B$7:$B$106,0)))))</f>
        <v/>
      </c>
    </row>
    <row r="124" ht="24" customHeight="1">
      <c r="A124" s="18" t="n">
        <v>118</v>
      </c>
      <c r="B124" s="32" t="n"/>
      <c r="C124" s="19" t="n"/>
      <c r="D124" s="19" t="n"/>
      <c r="E124" s="23">
        <f>IF(D124="","",IFERROR(INDEX('01_자재목록'!$D$7:$D$106,MATCH(D124,'01_자재목록'!$B$7:$B$106,0))&amp;"","자재코드 확인"))</f>
        <v/>
      </c>
      <c r="F124" s="19" t="n"/>
      <c r="G124" s="19" t="n"/>
      <c r="H124" s="30" t="n"/>
      <c r="I124" s="30" t="n"/>
      <c r="J124" s="23">
        <f>IF(D124="","",IFERROR(INDEX('01_자재목록'!$I$7:$I$106,MATCH(D124,'01_자재목록'!$B$7:$B$106,0))&amp;"","자재코드 확인"))</f>
        <v/>
      </c>
      <c r="K124" s="31">
        <f>IF(D124="",IF(OR(B124&lt;&gt;"",C124&lt;&gt;"",H124&lt;&gt;"",I124&lt;&gt;""),"자재코드 입력 확인",""),IF(COUNTIF('01_자재목록'!$B$7:$B$106,D124)&lt;&gt;1,"자재코드 확인",IF(J124="","단위 입력 확인",IF(OR(NOT(ISNUMBER(B124)),B124&lt;1,AND(C124&lt;&gt;"입고",C124&lt;&gt;"출고",C124&lt;&gt;"조정")),"일자/구분 확인",IF(OR(AND(H124&lt;&gt;"",NOT(ISNUMBER(H124))),AND(I124&lt;&gt;"",NOT(ISNUMBER(I124))),H124&lt;0,I124&lt;0,AND(H124&lt;=0,I124&lt;=0),AND(H124&gt;0,I124&gt;0),AND(C124="입고",I124&gt;0),AND(C124="출고",H124&gt;0)),"수량/구분 확인",SUMIFS($H$7:H124,$D$7:D124,D124)-SUMIFS($I$7:I124,$D$7:D124,D124))))))</f>
        <v/>
      </c>
      <c r="L124" s="19" t="n"/>
      <c r="M124" s="19" t="n"/>
      <c r="N124" s="19" t="n"/>
      <c r="O124" s="27">
        <f>IF(D124="","",IF(COUNTIF('01_자재목록'!$B$7:$B$106,D124)&lt;&gt;1,"자재코드 확인",IF(INDEX('01_자재목록'!$R$7:$R$106,MATCH(D124,'01_자재목록'!$B$7:$B$106,0))="","구분 미입력",INDEX('01_자재목록'!$R$7:$R$106,MATCH(D124,'01_자재목록'!$B$7:$B$106,0)))))</f>
        <v/>
      </c>
    </row>
    <row r="125" ht="24" customHeight="1">
      <c r="A125" s="18" t="n">
        <v>119</v>
      </c>
      <c r="B125" s="32" t="n"/>
      <c r="C125" s="19" t="n"/>
      <c r="D125" s="19" t="n"/>
      <c r="E125" s="23">
        <f>IF(D125="","",IFERROR(INDEX('01_자재목록'!$D$7:$D$106,MATCH(D125,'01_자재목록'!$B$7:$B$106,0))&amp;"","자재코드 확인"))</f>
        <v/>
      </c>
      <c r="F125" s="19" t="n"/>
      <c r="G125" s="19" t="n"/>
      <c r="H125" s="30" t="n"/>
      <c r="I125" s="30" t="n"/>
      <c r="J125" s="23">
        <f>IF(D125="","",IFERROR(INDEX('01_자재목록'!$I$7:$I$106,MATCH(D125,'01_자재목록'!$B$7:$B$106,0))&amp;"","자재코드 확인"))</f>
        <v/>
      </c>
      <c r="K125" s="31">
        <f>IF(D125="",IF(OR(B125&lt;&gt;"",C125&lt;&gt;"",H125&lt;&gt;"",I125&lt;&gt;""),"자재코드 입력 확인",""),IF(COUNTIF('01_자재목록'!$B$7:$B$106,D125)&lt;&gt;1,"자재코드 확인",IF(J125="","단위 입력 확인",IF(OR(NOT(ISNUMBER(B125)),B125&lt;1,AND(C125&lt;&gt;"입고",C125&lt;&gt;"출고",C125&lt;&gt;"조정")),"일자/구분 확인",IF(OR(AND(H125&lt;&gt;"",NOT(ISNUMBER(H125))),AND(I125&lt;&gt;"",NOT(ISNUMBER(I125))),H125&lt;0,I125&lt;0,AND(H125&lt;=0,I125&lt;=0),AND(H125&gt;0,I125&gt;0),AND(C125="입고",I125&gt;0),AND(C125="출고",H125&gt;0)),"수량/구분 확인",SUMIFS($H$7:H125,$D$7:D125,D125)-SUMIFS($I$7:I125,$D$7:D125,D125))))))</f>
        <v/>
      </c>
      <c r="L125" s="19" t="n"/>
      <c r="M125" s="19" t="n"/>
      <c r="N125" s="19" t="n"/>
      <c r="O125" s="27">
        <f>IF(D125="","",IF(COUNTIF('01_자재목록'!$B$7:$B$106,D125)&lt;&gt;1,"자재코드 확인",IF(INDEX('01_자재목록'!$R$7:$R$106,MATCH(D125,'01_자재목록'!$B$7:$B$106,0))="","구분 미입력",INDEX('01_자재목록'!$R$7:$R$106,MATCH(D125,'01_자재목록'!$B$7:$B$106,0)))))</f>
        <v/>
      </c>
    </row>
    <row r="126" ht="24" customHeight="1">
      <c r="A126" s="18" t="n">
        <v>120</v>
      </c>
      <c r="B126" s="32" t="n"/>
      <c r="C126" s="19" t="n"/>
      <c r="D126" s="19" t="n"/>
      <c r="E126" s="23">
        <f>IF(D126="","",IFERROR(INDEX('01_자재목록'!$D$7:$D$106,MATCH(D126,'01_자재목록'!$B$7:$B$106,0))&amp;"","자재코드 확인"))</f>
        <v/>
      </c>
      <c r="F126" s="19" t="n"/>
      <c r="G126" s="19" t="n"/>
      <c r="H126" s="30" t="n"/>
      <c r="I126" s="30" t="n"/>
      <c r="J126" s="23">
        <f>IF(D126="","",IFERROR(INDEX('01_자재목록'!$I$7:$I$106,MATCH(D126,'01_자재목록'!$B$7:$B$106,0))&amp;"","자재코드 확인"))</f>
        <v/>
      </c>
      <c r="K126" s="31">
        <f>IF(D126="",IF(OR(B126&lt;&gt;"",C126&lt;&gt;"",H126&lt;&gt;"",I126&lt;&gt;""),"자재코드 입력 확인",""),IF(COUNTIF('01_자재목록'!$B$7:$B$106,D126)&lt;&gt;1,"자재코드 확인",IF(J126="","단위 입력 확인",IF(OR(NOT(ISNUMBER(B126)),B126&lt;1,AND(C126&lt;&gt;"입고",C126&lt;&gt;"출고",C126&lt;&gt;"조정")),"일자/구분 확인",IF(OR(AND(H126&lt;&gt;"",NOT(ISNUMBER(H126))),AND(I126&lt;&gt;"",NOT(ISNUMBER(I126))),H126&lt;0,I126&lt;0,AND(H126&lt;=0,I126&lt;=0),AND(H126&gt;0,I126&gt;0),AND(C126="입고",I126&gt;0),AND(C126="출고",H126&gt;0)),"수량/구분 확인",SUMIFS($H$7:H126,$D$7:D126,D126)-SUMIFS($I$7:I126,$D$7:D126,D126))))))</f>
        <v/>
      </c>
      <c r="L126" s="19" t="n"/>
      <c r="M126" s="19" t="n"/>
      <c r="N126" s="19" t="n"/>
      <c r="O126" s="27">
        <f>IF(D126="","",IF(COUNTIF('01_자재목록'!$B$7:$B$106,D126)&lt;&gt;1,"자재코드 확인",IF(INDEX('01_자재목록'!$R$7:$R$106,MATCH(D126,'01_자재목록'!$B$7:$B$106,0))="","구분 미입력",INDEX('01_자재목록'!$R$7:$R$106,MATCH(D126,'01_자재목록'!$B$7:$B$106,0)))))</f>
        <v/>
      </c>
    </row>
    <row r="127" ht="24" customHeight="1">
      <c r="A127" s="18" t="n">
        <v>121</v>
      </c>
      <c r="B127" s="32" t="n"/>
      <c r="C127" s="19" t="n"/>
      <c r="D127" s="19" t="n"/>
      <c r="E127" s="23">
        <f>IF(D127="","",IFERROR(INDEX('01_자재목록'!$D$7:$D$106,MATCH(D127,'01_자재목록'!$B$7:$B$106,0))&amp;"","자재코드 확인"))</f>
        <v/>
      </c>
      <c r="F127" s="19" t="n"/>
      <c r="G127" s="19" t="n"/>
      <c r="H127" s="30" t="n"/>
      <c r="I127" s="30" t="n"/>
      <c r="J127" s="23">
        <f>IF(D127="","",IFERROR(INDEX('01_자재목록'!$I$7:$I$106,MATCH(D127,'01_자재목록'!$B$7:$B$106,0))&amp;"","자재코드 확인"))</f>
        <v/>
      </c>
      <c r="K127" s="31">
        <f>IF(D127="",IF(OR(B127&lt;&gt;"",C127&lt;&gt;"",H127&lt;&gt;"",I127&lt;&gt;""),"자재코드 입력 확인",""),IF(COUNTIF('01_자재목록'!$B$7:$B$106,D127)&lt;&gt;1,"자재코드 확인",IF(J127="","단위 입력 확인",IF(OR(NOT(ISNUMBER(B127)),B127&lt;1,AND(C127&lt;&gt;"입고",C127&lt;&gt;"출고",C127&lt;&gt;"조정")),"일자/구분 확인",IF(OR(AND(H127&lt;&gt;"",NOT(ISNUMBER(H127))),AND(I127&lt;&gt;"",NOT(ISNUMBER(I127))),H127&lt;0,I127&lt;0,AND(H127&lt;=0,I127&lt;=0),AND(H127&gt;0,I127&gt;0),AND(C127="입고",I127&gt;0),AND(C127="출고",H127&gt;0)),"수량/구분 확인",SUMIFS($H$7:H127,$D$7:D127,D127)-SUMIFS($I$7:I127,$D$7:D127,D127))))))</f>
        <v/>
      </c>
      <c r="L127" s="19" t="n"/>
      <c r="M127" s="19" t="n"/>
      <c r="N127" s="19" t="n"/>
      <c r="O127" s="27">
        <f>IF(D127="","",IF(COUNTIF('01_자재목록'!$B$7:$B$106,D127)&lt;&gt;1,"자재코드 확인",IF(INDEX('01_자재목록'!$R$7:$R$106,MATCH(D127,'01_자재목록'!$B$7:$B$106,0))="","구분 미입력",INDEX('01_자재목록'!$R$7:$R$106,MATCH(D127,'01_자재목록'!$B$7:$B$106,0)))))</f>
        <v/>
      </c>
    </row>
    <row r="128" ht="24" customHeight="1">
      <c r="A128" s="18" t="n">
        <v>122</v>
      </c>
      <c r="B128" s="32" t="n"/>
      <c r="C128" s="19" t="n"/>
      <c r="D128" s="19" t="n"/>
      <c r="E128" s="23">
        <f>IF(D128="","",IFERROR(INDEX('01_자재목록'!$D$7:$D$106,MATCH(D128,'01_자재목록'!$B$7:$B$106,0))&amp;"","자재코드 확인"))</f>
        <v/>
      </c>
      <c r="F128" s="19" t="n"/>
      <c r="G128" s="19" t="n"/>
      <c r="H128" s="30" t="n"/>
      <c r="I128" s="30" t="n"/>
      <c r="J128" s="23">
        <f>IF(D128="","",IFERROR(INDEX('01_자재목록'!$I$7:$I$106,MATCH(D128,'01_자재목록'!$B$7:$B$106,0))&amp;"","자재코드 확인"))</f>
        <v/>
      </c>
      <c r="K128" s="31">
        <f>IF(D128="",IF(OR(B128&lt;&gt;"",C128&lt;&gt;"",H128&lt;&gt;"",I128&lt;&gt;""),"자재코드 입력 확인",""),IF(COUNTIF('01_자재목록'!$B$7:$B$106,D128)&lt;&gt;1,"자재코드 확인",IF(J128="","단위 입력 확인",IF(OR(NOT(ISNUMBER(B128)),B128&lt;1,AND(C128&lt;&gt;"입고",C128&lt;&gt;"출고",C128&lt;&gt;"조정")),"일자/구분 확인",IF(OR(AND(H128&lt;&gt;"",NOT(ISNUMBER(H128))),AND(I128&lt;&gt;"",NOT(ISNUMBER(I128))),H128&lt;0,I128&lt;0,AND(H128&lt;=0,I128&lt;=0),AND(H128&gt;0,I128&gt;0),AND(C128="입고",I128&gt;0),AND(C128="출고",H128&gt;0)),"수량/구분 확인",SUMIFS($H$7:H128,$D$7:D128,D128)-SUMIFS($I$7:I128,$D$7:D128,D128))))))</f>
        <v/>
      </c>
      <c r="L128" s="19" t="n"/>
      <c r="M128" s="19" t="n"/>
      <c r="N128" s="19" t="n"/>
      <c r="O128" s="27">
        <f>IF(D128="","",IF(COUNTIF('01_자재목록'!$B$7:$B$106,D128)&lt;&gt;1,"자재코드 확인",IF(INDEX('01_자재목록'!$R$7:$R$106,MATCH(D128,'01_자재목록'!$B$7:$B$106,0))="","구분 미입력",INDEX('01_자재목록'!$R$7:$R$106,MATCH(D128,'01_자재목록'!$B$7:$B$106,0)))))</f>
        <v/>
      </c>
    </row>
    <row r="129" ht="24" customHeight="1">
      <c r="A129" s="18" t="n">
        <v>123</v>
      </c>
      <c r="B129" s="32" t="n"/>
      <c r="C129" s="19" t="n"/>
      <c r="D129" s="19" t="n"/>
      <c r="E129" s="23">
        <f>IF(D129="","",IFERROR(INDEX('01_자재목록'!$D$7:$D$106,MATCH(D129,'01_자재목록'!$B$7:$B$106,0))&amp;"","자재코드 확인"))</f>
        <v/>
      </c>
      <c r="F129" s="19" t="n"/>
      <c r="G129" s="19" t="n"/>
      <c r="H129" s="30" t="n"/>
      <c r="I129" s="30" t="n"/>
      <c r="J129" s="23">
        <f>IF(D129="","",IFERROR(INDEX('01_자재목록'!$I$7:$I$106,MATCH(D129,'01_자재목록'!$B$7:$B$106,0))&amp;"","자재코드 확인"))</f>
        <v/>
      </c>
      <c r="K129" s="31">
        <f>IF(D129="",IF(OR(B129&lt;&gt;"",C129&lt;&gt;"",H129&lt;&gt;"",I129&lt;&gt;""),"자재코드 입력 확인",""),IF(COUNTIF('01_자재목록'!$B$7:$B$106,D129)&lt;&gt;1,"자재코드 확인",IF(J129="","단위 입력 확인",IF(OR(NOT(ISNUMBER(B129)),B129&lt;1,AND(C129&lt;&gt;"입고",C129&lt;&gt;"출고",C129&lt;&gt;"조정")),"일자/구분 확인",IF(OR(AND(H129&lt;&gt;"",NOT(ISNUMBER(H129))),AND(I129&lt;&gt;"",NOT(ISNUMBER(I129))),H129&lt;0,I129&lt;0,AND(H129&lt;=0,I129&lt;=0),AND(H129&gt;0,I129&gt;0),AND(C129="입고",I129&gt;0),AND(C129="출고",H129&gt;0)),"수량/구분 확인",SUMIFS($H$7:H129,$D$7:D129,D129)-SUMIFS($I$7:I129,$D$7:D129,D129))))))</f>
        <v/>
      </c>
      <c r="L129" s="19" t="n"/>
      <c r="M129" s="19" t="n"/>
      <c r="N129" s="19" t="n"/>
      <c r="O129" s="27">
        <f>IF(D129="","",IF(COUNTIF('01_자재목록'!$B$7:$B$106,D129)&lt;&gt;1,"자재코드 확인",IF(INDEX('01_자재목록'!$R$7:$R$106,MATCH(D129,'01_자재목록'!$B$7:$B$106,0))="","구분 미입력",INDEX('01_자재목록'!$R$7:$R$106,MATCH(D129,'01_자재목록'!$B$7:$B$106,0)))))</f>
        <v/>
      </c>
    </row>
    <row r="130" ht="24" customHeight="1">
      <c r="A130" s="18" t="n">
        <v>124</v>
      </c>
      <c r="B130" s="32" t="n"/>
      <c r="C130" s="19" t="n"/>
      <c r="D130" s="19" t="n"/>
      <c r="E130" s="23">
        <f>IF(D130="","",IFERROR(INDEX('01_자재목록'!$D$7:$D$106,MATCH(D130,'01_자재목록'!$B$7:$B$106,0))&amp;"","자재코드 확인"))</f>
        <v/>
      </c>
      <c r="F130" s="19" t="n"/>
      <c r="G130" s="19" t="n"/>
      <c r="H130" s="30" t="n"/>
      <c r="I130" s="30" t="n"/>
      <c r="J130" s="23">
        <f>IF(D130="","",IFERROR(INDEX('01_자재목록'!$I$7:$I$106,MATCH(D130,'01_자재목록'!$B$7:$B$106,0))&amp;"","자재코드 확인"))</f>
        <v/>
      </c>
      <c r="K130" s="31">
        <f>IF(D130="",IF(OR(B130&lt;&gt;"",C130&lt;&gt;"",H130&lt;&gt;"",I130&lt;&gt;""),"자재코드 입력 확인",""),IF(COUNTIF('01_자재목록'!$B$7:$B$106,D130)&lt;&gt;1,"자재코드 확인",IF(J130="","단위 입력 확인",IF(OR(NOT(ISNUMBER(B130)),B130&lt;1,AND(C130&lt;&gt;"입고",C130&lt;&gt;"출고",C130&lt;&gt;"조정")),"일자/구분 확인",IF(OR(AND(H130&lt;&gt;"",NOT(ISNUMBER(H130))),AND(I130&lt;&gt;"",NOT(ISNUMBER(I130))),H130&lt;0,I130&lt;0,AND(H130&lt;=0,I130&lt;=0),AND(H130&gt;0,I130&gt;0),AND(C130="입고",I130&gt;0),AND(C130="출고",H130&gt;0)),"수량/구분 확인",SUMIFS($H$7:H130,$D$7:D130,D130)-SUMIFS($I$7:I130,$D$7:D130,D130))))))</f>
        <v/>
      </c>
      <c r="L130" s="19" t="n"/>
      <c r="M130" s="19" t="n"/>
      <c r="N130" s="19" t="n"/>
      <c r="O130" s="27">
        <f>IF(D130="","",IF(COUNTIF('01_자재목록'!$B$7:$B$106,D130)&lt;&gt;1,"자재코드 확인",IF(INDEX('01_자재목록'!$R$7:$R$106,MATCH(D130,'01_자재목록'!$B$7:$B$106,0))="","구분 미입력",INDEX('01_자재목록'!$R$7:$R$106,MATCH(D130,'01_자재목록'!$B$7:$B$106,0)))))</f>
        <v/>
      </c>
    </row>
    <row r="131" ht="24" customHeight="1">
      <c r="A131" s="18" t="n">
        <v>125</v>
      </c>
      <c r="B131" s="32" t="n"/>
      <c r="C131" s="19" t="n"/>
      <c r="D131" s="19" t="n"/>
      <c r="E131" s="23">
        <f>IF(D131="","",IFERROR(INDEX('01_자재목록'!$D$7:$D$106,MATCH(D131,'01_자재목록'!$B$7:$B$106,0))&amp;"","자재코드 확인"))</f>
        <v/>
      </c>
      <c r="F131" s="19" t="n"/>
      <c r="G131" s="19" t="n"/>
      <c r="H131" s="30" t="n"/>
      <c r="I131" s="30" t="n"/>
      <c r="J131" s="23">
        <f>IF(D131="","",IFERROR(INDEX('01_자재목록'!$I$7:$I$106,MATCH(D131,'01_자재목록'!$B$7:$B$106,0))&amp;"","자재코드 확인"))</f>
        <v/>
      </c>
      <c r="K131" s="31">
        <f>IF(D131="",IF(OR(B131&lt;&gt;"",C131&lt;&gt;"",H131&lt;&gt;"",I131&lt;&gt;""),"자재코드 입력 확인",""),IF(COUNTIF('01_자재목록'!$B$7:$B$106,D131)&lt;&gt;1,"자재코드 확인",IF(J131="","단위 입력 확인",IF(OR(NOT(ISNUMBER(B131)),B131&lt;1,AND(C131&lt;&gt;"입고",C131&lt;&gt;"출고",C131&lt;&gt;"조정")),"일자/구분 확인",IF(OR(AND(H131&lt;&gt;"",NOT(ISNUMBER(H131))),AND(I131&lt;&gt;"",NOT(ISNUMBER(I131))),H131&lt;0,I131&lt;0,AND(H131&lt;=0,I131&lt;=0),AND(H131&gt;0,I131&gt;0),AND(C131="입고",I131&gt;0),AND(C131="출고",H131&gt;0)),"수량/구분 확인",SUMIFS($H$7:H131,$D$7:D131,D131)-SUMIFS($I$7:I131,$D$7:D131,D131))))))</f>
        <v/>
      </c>
      <c r="L131" s="19" t="n"/>
      <c r="M131" s="19" t="n"/>
      <c r="N131" s="19" t="n"/>
      <c r="O131" s="27">
        <f>IF(D131="","",IF(COUNTIF('01_자재목록'!$B$7:$B$106,D131)&lt;&gt;1,"자재코드 확인",IF(INDEX('01_자재목록'!$R$7:$R$106,MATCH(D131,'01_자재목록'!$B$7:$B$106,0))="","구분 미입력",INDEX('01_자재목록'!$R$7:$R$106,MATCH(D131,'01_자재목록'!$B$7:$B$106,0)))))</f>
        <v/>
      </c>
    </row>
    <row r="132" ht="24" customHeight="1">
      <c r="A132" s="18" t="n">
        <v>126</v>
      </c>
      <c r="B132" s="32" t="n"/>
      <c r="C132" s="19" t="n"/>
      <c r="D132" s="19" t="n"/>
      <c r="E132" s="23">
        <f>IF(D132="","",IFERROR(INDEX('01_자재목록'!$D$7:$D$106,MATCH(D132,'01_자재목록'!$B$7:$B$106,0))&amp;"","자재코드 확인"))</f>
        <v/>
      </c>
      <c r="F132" s="19" t="n"/>
      <c r="G132" s="19" t="n"/>
      <c r="H132" s="30" t="n"/>
      <c r="I132" s="30" t="n"/>
      <c r="J132" s="23">
        <f>IF(D132="","",IFERROR(INDEX('01_자재목록'!$I$7:$I$106,MATCH(D132,'01_자재목록'!$B$7:$B$106,0))&amp;"","자재코드 확인"))</f>
        <v/>
      </c>
      <c r="K132" s="31">
        <f>IF(D132="",IF(OR(B132&lt;&gt;"",C132&lt;&gt;"",H132&lt;&gt;"",I132&lt;&gt;""),"자재코드 입력 확인",""),IF(COUNTIF('01_자재목록'!$B$7:$B$106,D132)&lt;&gt;1,"자재코드 확인",IF(J132="","단위 입력 확인",IF(OR(NOT(ISNUMBER(B132)),B132&lt;1,AND(C132&lt;&gt;"입고",C132&lt;&gt;"출고",C132&lt;&gt;"조정")),"일자/구분 확인",IF(OR(AND(H132&lt;&gt;"",NOT(ISNUMBER(H132))),AND(I132&lt;&gt;"",NOT(ISNUMBER(I132))),H132&lt;0,I132&lt;0,AND(H132&lt;=0,I132&lt;=0),AND(H132&gt;0,I132&gt;0),AND(C132="입고",I132&gt;0),AND(C132="출고",H132&gt;0)),"수량/구분 확인",SUMIFS($H$7:H132,$D$7:D132,D132)-SUMIFS($I$7:I132,$D$7:D132,D132))))))</f>
        <v/>
      </c>
      <c r="L132" s="19" t="n"/>
      <c r="M132" s="19" t="n"/>
      <c r="N132" s="19" t="n"/>
      <c r="O132" s="27">
        <f>IF(D132="","",IF(COUNTIF('01_자재목록'!$B$7:$B$106,D132)&lt;&gt;1,"자재코드 확인",IF(INDEX('01_자재목록'!$R$7:$R$106,MATCH(D132,'01_자재목록'!$B$7:$B$106,0))="","구분 미입력",INDEX('01_자재목록'!$R$7:$R$106,MATCH(D132,'01_자재목록'!$B$7:$B$106,0)))))</f>
        <v/>
      </c>
    </row>
    <row r="133" ht="24" customHeight="1">
      <c r="A133" s="18" t="n">
        <v>127</v>
      </c>
      <c r="B133" s="32" t="n"/>
      <c r="C133" s="19" t="n"/>
      <c r="D133" s="19" t="n"/>
      <c r="E133" s="23">
        <f>IF(D133="","",IFERROR(INDEX('01_자재목록'!$D$7:$D$106,MATCH(D133,'01_자재목록'!$B$7:$B$106,0))&amp;"","자재코드 확인"))</f>
        <v/>
      </c>
      <c r="F133" s="19" t="n"/>
      <c r="G133" s="19" t="n"/>
      <c r="H133" s="30" t="n"/>
      <c r="I133" s="30" t="n"/>
      <c r="J133" s="23">
        <f>IF(D133="","",IFERROR(INDEX('01_자재목록'!$I$7:$I$106,MATCH(D133,'01_자재목록'!$B$7:$B$106,0))&amp;"","자재코드 확인"))</f>
        <v/>
      </c>
      <c r="K133" s="31">
        <f>IF(D133="",IF(OR(B133&lt;&gt;"",C133&lt;&gt;"",H133&lt;&gt;"",I133&lt;&gt;""),"자재코드 입력 확인",""),IF(COUNTIF('01_자재목록'!$B$7:$B$106,D133)&lt;&gt;1,"자재코드 확인",IF(J133="","단위 입력 확인",IF(OR(NOT(ISNUMBER(B133)),B133&lt;1,AND(C133&lt;&gt;"입고",C133&lt;&gt;"출고",C133&lt;&gt;"조정")),"일자/구분 확인",IF(OR(AND(H133&lt;&gt;"",NOT(ISNUMBER(H133))),AND(I133&lt;&gt;"",NOT(ISNUMBER(I133))),H133&lt;0,I133&lt;0,AND(H133&lt;=0,I133&lt;=0),AND(H133&gt;0,I133&gt;0),AND(C133="입고",I133&gt;0),AND(C133="출고",H133&gt;0)),"수량/구분 확인",SUMIFS($H$7:H133,$D$7:D133,D133)-SUMIFS($I$7:I133,$D$7:D133,D133))))))</f>
        <v/>
      </c>
      <c r="L133" s="19" t="n"/>
      <c r="M133" s="19" t="n"/>
      <c r="N133" s="19" t="n"/>
      <c r="O133" s="27">
        <f>IF(D133="","",IF(COUNTIF('01_자재목록'!$B$7:$B$106,D133)&lt;&gt;1,"자재코드 확인",IF(INDEX('01_자재목록'!$R$7:$R$106,MATCH(D133,'01_자재목록'!$B$7:$B$106,0))="","구분 미입력",INDEX('01_자재목록'!$R$7:$R$106,MATCH(D133,'01_자재목록'!$B$7:$B$106,0)))))</f>
        <v/>
      </c>
    </row>
    <row r="134" ht="24" customHeight="1">
      <c r="A134" s="18" t="n">
        <v>128</v>
      </c>
      <c r="B134" s="32" t="n"/>
      <c r="C134" s="19" t="n"/>
      <c r="D134" s="19" t="n"/>
      <c r="E134" s="23">
        <f>IF(D134="","",IFERROR(INDEX('01_자재목록'!$D$7:$D$106,MATCH(D134,'01_자재목록'!$B$7:$B$106,0))&amp;"","자재코드 확인"))</f>
        <v/>
      </c>
      <c r="F134" s="19" t="n"/>
      <c r="G134" s="19" t="n"/>
      <c r="H134" s="30" t="n"/>
      <c r="I134" s="30" t="n"/>
      <c r="J134" s="23">
        <f>IF(D134="","",IFERROR(INDEX('01_자재목록'!$I$7:$I$106,MATCH(D134,'01_자재목록'!$B$7:$B$106,0))&amp;"","자재코드 확인"))</f>
        <v/>
      </c>
      <c r="K134" s="31">
        <f>IF(D134="",IF(OR(B134&lt;&gt;"",C134&lt;&gt;"",H134&lt;&gt;"",I134&lt;&gt;""),"자재코드 입력 확인",""),IF(COUNTIF('01_자재목록'!$B$7:$B$106,D134)&lt;&gt;1,"자재코드 확인",IF(J134="","단위 입력 확인",IF(OR(NOT(ISNUMBER(B134)),B134&lt;1,AND(C134&lt;&gt;"입고",C134&lt;&gt;"출고",C134&lt;&gt;"조정")),"일자/구분 확인",IF(OR(AND(H134&lt;&gt;"",NOT(ISNUMBER(H134))),AND(I134&lt;&gt;"",NOT(ISNUMBER(I134))),H134&lt;0,I134&lt;0,AND(H134&lt;=0,I134&lt;=0),AND(H134&gt;0,I134&gt;0),AND(C134="입고",I134&gt;0),AND(C134="출고",H134&gt;0)),"수량/구분 확인",SUMIFS($H$7:H134,$D$7:D134,D134)-SUMIFS($I$7:I134,$D$7:D134,D134))))))</f>
        <v/>
      </c>
      <c r="L134" s="19" t="n"/>
      <c r="M134" s="19" t="n"/>
      <c r="N134" s="19" t="n"/>
      <c r="O134" s="27">
        <f>IF(D134="","",IF(COUNTIF('01_자재목록'!$B$7:$B$106,D134)&lt;&gt;1,"자재코드 확인",IF(INDEX('01_자재목록'!$R$7:$R$106,MATCH(D134,'01_자재목록'!$B$7:$B$106,0))="","구분 미입력",INDEX('01_자재목록'!$R$7:$R$106,MATCH(D134,'01_자재목록'!$B$7:$B$106,0)))))</f>
        <v/>
      </c>
    </row>
    <row r="135" ht="24" customHeight="1">
      <c r="A135" s="18" t="n">
        <v>129</v>
      </c>
      <c r="B135" s="32" t="n"/>
      <c r="C135" s="19" t="n"/>
      <c r="D135" s="19" t="n"/>
      <c r="E135" s="23">
        <f>IF(D135="","",IFERROR(INDEX('01_자재목록'!$D$7:$D$106,MATCH(D135,'01_자재목록'!$B$7:$B$106,0))&amp;"","자재코드 확인"))</f>
        <v/>
      </c>
      <c r="F135" s="19" t="n"/>
      <c r="G135" s="19" t="n"/>
      <c r="H135" s="30" t="n"/>
      <c r="I135" s="30" t="n"/>
      <c r="J135" s="23">
        <f>IF(D135="","",IFERROR(INDEX('01_자재목록'!$I$7:$I$106,MATCH(D135,'01_자재목록'!$B$7:$B$106,0))&amp;"","자재코드 확인"))</f>
        <v/>
      </c>
      <c r="K135" s="31">
        <f>IF(D135="",IF(OR(B135&lt;&gt;"",C135&lt;&gt;"",H135&lt;&gt;"",I135&lt;&gt;""),"자재코드 입력 확인",""),IF(COUNTIF('01_자재목록'!$B$7:$B$106,D135)&lt;&gt;1,"자재코드 확인",IF(J135="","단위 입력 확인",IF(OR(NOT(ISNUMBER(B135)),B135&lt;1,AND(C135&lt;&gt;"입고",C135&lt;&gt;"출고",C135&lt;&gt;"조정")),"일자/구분 확인",IF(OR(AND(H135&lt;&gt;"",NOT(ISNUMBER(H135))),AND(I135&lt;&gt;"",NOT(ISNUMBER(I135))),H135&lt;0,I135&lt;0,AND(H135&lt;=0,I135&lt;=0),AND(H135&gt;0,I135&gt;0),AND(C135="입고",I135&gt;0),AND(C135="출고",H135&gt;0)),"수량/구분 확인",SUMIFS($H$7:H135,$D$7:D135,D135)-SUMIFS($I$7:I135,$D$7:D135,D135))))))</f>
        <v/>
      </c>
      <c r="L135" s="19" t="n"/>
      <c r="M135" s="19" t="n"/>
      <c r="N135" s="19" t="n"/>
      <c r="O135" s="27">
        <f>IF(D135="","",IF(COUNTIF('01_자재목록'!$B$7:$B$106,D135)&lt;&gt;1,"자재코드 확인",IF(INDEX('01_자재목록'!$R$7:$R$106,MATCH(D135,'01_자재목록'!$B$7:$B$106,0))="","구분 미입력",INDEX('01_자재목록'!$R$7:$R$106,MATCH(D135,'01_자재목록'!$B$7:$B$106,0)))))</f>
        <v/>
      </c>
    </row>
    <row r="136" ht="24" customHeight="1">
      <c r="A136" s="18" t="n">
        <v>130</v>
      </c>
      <c r="B136" s="32" t="n"/>
      <c r="C136" s="19" t="n"/>
      <c r="D136" s="19" t="n"/>
      <c r="E136" s="23">
        <f>IF(D136="","",IFERROR(INDEX('01_자재목록'!$D$7:$D$106,MATCH(D136,'01_자재목록'!$B$7:$B$106,0))&amp;"","자재코드 확인"))</f>
        <v/>
      </c>
      <c r="F136" s="19" t="n"/>
      <c r="G136" s="19" t="n"/>
      <c r="H136" s="30" t="n"/>
      <c r="I136" s="30" t="n"/>
      <c r="J136" s="23">
        <f>IF(D136="","",IFERROR(INDEX('01_자재목록'!$I$7:$I$106,MATCH(D136,'01_자재목록'!$B$7:$B$106,0))&amp;"","자재코드 확인"))</f>
        <v/>
      </c>
      <c r="K136" s="31">
        <f>IF(D136="",IF(OR(B136&lt;&gt;"",C136&lt;&gt;"",H136&lt;&gt;"",I136&lt;&gt;""),"자재코드 입력 확인",""),IF(COUNTIF('01_자재목록'!$B$7:$B$106,D136)&lt;&gt;1,"자재코드 확인",IF(J136="","단위 입력 확인",IF(OR(NOT(ISNUMBER(B136)),B136&lt;1,AND(C136&lt;&gt;"입고",C136&lt;&gt;"출고",C136&lt;&gt;"조정")),"일자/구분 확인",IF(OR(AND(H136&lt;&gt;"",NOT(ISNUMBER(H136))),AND(I136&lt;&gt;"",NOT(ISNUMBER(I136))),H136&lt;0,I136&lt;0,AND(H136&lt;=0,I136&lt;=0),AND(H136&gt;0,I136&gt;0),AND(C136="입고",I136&gt;0),AND(C136="출고",H136&gt;0)),"수량/구분 확인",SUMIFS($H$7:H136,$D$7:D136,D136)-SUMIFS($I$7:I136,$D$7:D136,D136))))))</f>
        <v/>
      </c>
      <c r="L136" s="19" t="n"/>
      <c r="M136" s="19" t="n"/>
      <c r="N136" s="19" t="n"/>
      <c r="O136" s="27">
        <f>IF(D136="","",IF(COUNTIF('01_자재목록'!$B$7:$B$106,D136)&lt;&gt;1,"자재코드 확인",IF(INDEX('01_자재목록'!$R$7:$R$106,MATCH(D136,'01_자재목록'!$B$7:$B$106,0))="","구분 미입력",INDEX('01_자재목록'!$R$7:$R$106,MATCH(D136,'01_자재목록'!$B$7:$B$106,0)))))</f>
        <v/>
      </c>
    </row>
    <row r="137" ht="24" customHeight="1">
      <c r="A137" s="18" t="n">
        <v>131</v>
      </c>
      <c r="B137" s="32" t="n"/>
      <c r="C137" s="19" t="n"/>
      <c r="D137" s="19" t="n"/>
      <c r="E137" s="23">
        <f>IF(D137="","",IFERROR(INDEX('01_자재목록'!$D$7:$D$106,MATCH(D137,'01_자재목록'!$B$7:$B$106,0))&amp;"","자재코드 확인"))</f>
        <v/>
      </c>
      <c r="F137" s="19" t="n"/>
      <c r="G137" s="19" t="n"/>
      <c r="H137" s="30" t="n"/>
      <c r="I137" s="30" t="n"/>
      <c r="J137" s="23">
        <f>IF(D137="","",IFERROR(INDEX('01_자재목록'!$I$7:$I$106,MATCH(D137,'01_자재목록'!$B$7:$B$106,0))&amp;"","자재코드 확인"))</f>
        <v/>
      </c>
      <c r="K137" s="31">
        <f>IF(D137="",IF(OR(B137&lt;&gt;"",C137&lt;&gt;"",H137&lt;&gt;"",I137&lt;&gt;""),"자재코드 입력 확인",""),IF(COUNTIF('01_자재목록'!$B$7:$B$106,D137)&lt;&gt;1,"자재코드 확인",IF(J137="","단위 입력 확인",IF(OR(NOT(ISNUMBER(B137)),B137&lt;1,AND(C137&lt;&gt;"입고",C137&lt;&gt;"출고",C137&lt;&gt;"조정")),"일자/구분 확인",IF(OR(AND(H137&lt;&gt;"",NOT(ISNUMBER(H137))),AND(I137&lt;&gt;"",NOT(ISNUMBER(I137))),H137&lt;0,I137&lt;0,AND(H137&lt;=0,I137&lt;=0),AND(H137&gt;0,I137&gt;0),AND(C137="입고",I137&gt;0),AND(C137="출고",H137&gt;0)),"수량/구분 확인",SUMIFS($H$7:H137,$D$7:D137,D137)-SUMIFS($I$7:I137,$D$7:D137,D137))))))</f>
        <v/>
      </c>
      <c r="L137" s="19" t="n"/>
      <c r="M137" s="19" t="n"/>
      <c r="N137" s="19" t="n"/>
      <c r="O137" s="27">
        <f>IF(D137="","",IF(COUNTIF('01_자재목록'!$B$7:$B$106,D137)&lt;&gt;1,"자재코드 확인",IF(INDEX('01_자재목록'!$R$7:$R$106,MATCH(D137,'01_자재목록'!$B$7:$B$106,0))="","구분 미입력",INDEX('01_자재목록'!$R$7:$R$106,MATCH(D137,'01_자재목록'!$B$7:$B$106,0)))))</f>
        <v/>
      </c>
    </row>
    <row r="138" ht="24" customHeight="1">
      <c r="A138" s="18" t="n">
        <v>132</v>
      </c>
      <c r="B138" s="32" t="n"/>
      <c r="C138" s="19" t="n"/>
      <c r="D138" s="19" t="n"/>
      <c r="E138" s="23">
        <f>IF(D138="","",IFERROR(INDEX('01_자재목록'!$D$7:$D$106,MATCH(D138,'01_자재목록'!$B$7:$B$106,0))&amp;"","자재코드 확인"))</f>
        <v/>
      </c>
      <c r="F138" s="19" t="n"/>
      <c r="G138" s="19" t="n"/>
      <c r="H138" s="30" t="n"/>
      <c r="I138" s="30" t="n"/>
      <c r="J138" s="23">
        <f>IF(D138="","",IFERROR(INDEX('01_자재목록'!$I$7:$I$106,MATCH(D138,'01_자재목록'!$B$7:$B$106,0))&amp;"","자재코드 확인"))</f>
        <v/>
      </c>
      <c r="K138" s="31">
        <f>IF(D138="",IF(OR(B138&lt;&gt;"",C138&lt;&gt;"",H138&lt;&gt;"",I138&lt;&gt;""),"자재코드 입력 확인",""),IF(COUNTIF('01_자재목록'!$B$7:$B$106,D138)&lt;&gt;1,"자재코드 확인",IF(J138="","단위 입력 확인",IF(OR(NOT(ISNUMBER(B138)),B138&lt;1,AND(C138&lt;&gt;"입고",C138&lt;&gt;"출고",C138&lt;&gt;"조정")),"일자/구분 확인",IF(OR(AND(H138&lt;&gt;"",NOT(ISNUMBER(H138))),AND(I138&lt;&gt;"",NOT(ISNUMBER(I138))),H138&lt;0,I138&lt;0,AND(H138&lt;=0,I138&lt;=0),AND(H138&gt;0,I138&gt;0),AND(C138="입고",I138&gt;0),AND(C138="출고",H138&gt;0)),"수량/구분 확인",SUMIFS($H$7:H138,$D$7:D138,D138)-SUMIFS($I$7:I138,$D$7:D138,D138))))))</f>
        <v/>
      </c>
      <c r="L138" s="19" t="n"/>
      <c r="M138" s="19" t="n"/>
      <c r="N138" s="19" t="n"/>
      <c r="O138" s="27">
        <f>IF(D138="","",IF(COUNTIF('01_자재목록'!$B$7:$B$106,D138)&lt;&gt;1,"자재코드 확인",IF(INDEX('01_자재목록'!$R$7:$R$106,MATCH(D138,'01_자재목록'!$B$7:$B$106,0))="","구분 미입력",INDEX('01_자재목록'!$R$7:$R$106,MATCH(D138,'01_자재목록'!$B$7:$B$106,0)))))</f>
        <v/>
      </c>
    </row>
    <row r="139" ht="24" customHeight="1">
      <c r="A139" s="18" t="n">
        <v>133</v>
      </c>
      <c r="B139" s="32" t="n"/>
      <c r="C139" s="19" t="n"/>
      <c r="D139" s="19" t="n"/>
      <c r="E139" s="23">
        <f>IF(D139="","",IFERROR(INDEX('01_자재목록'!$D$7:$D$106,MATCH(D139,'01_자재목록'!$B$7:$B$106,0))&amp;"","자재코드 확인"))</f>
        <v/>
      </c>
      <c r="F139" s="19" t="n"/>
      <c r="G139" s="19" t="n"/>
      <c r="H139" s="30" t="n"/>
      <c r="I139" s="30" t="n"/>
      <c r="J139" s="23">
        <f>IF(D139="","",IFERROR(INDEX('01_자재목록'!$I$7:$I$106,MATCH(D139,'01_자재목록'!$B$7:$B$106,0))&amp;"","자재코드 확인"))</f>
        <v/>
      </c>
      <c r="K139" s="31">
        <f>IF(D139="",IF(OR(B139&lt;&gt;"",C139&lt;&gt;"",H139&lt;&gt;"",I139&lt;&gt;""),"자재코드 입력 확인",""),IF(COUNTIF('01_자재목록'!$B$7:$B$106,D139)&lt;&gt;1,"자재코드 확인",IF(J139="","단위 입력 확인",IF(OR(NOT(ISNUMBER(B139)),B139&lt;1,AND(C139&lt;&gt;"입고",C139&lt;&gt;"출고",C139&lt;&gt;"조정")),"일자/구분 확인",IF(OR(AND(H139&lt;&gt;"",NOT(ISNUMBER(H139))),AND(I139&lt;&gt;"",NOT(ISNUMBER(I139))),H139&lt;0,I139&lt;0,AND(H139&lt;=0,I139&lt;=0),AND(H139&gt;0,I139&gt;0),AND(C139="입고",I139&gt;0),AND(C139="출고",H139&gt;0)),"수량/구분 확인",SUMIFS($H$7:H139,$D$7:D139,D139)-SUMIFS($I$7:I139,$D$7:D139,D139))))))</f>
        <v/>
      </c>
      <c r="L139" s="19" t="n"/>
      <c r="M139" s="19" t="n"/>
      <c r="N139" s="19" t="n"/>
      <c r="O139" s="27">
        <f>IF(D139="","",IF(COUNTIF('01_자재목록'!$B$7:$B$106,D139)&lt;&gt;1,"자재코드 확인",IF(INDEX('01_자재목록'!$R$7:$R$106,MATCH(D139,'01_자재목록'!$B$7:$B$106,0))="","구분 미입력",INDEX('01_자재목록'!$R$7:$R$106,MATCH(D139,'01_자재목록'!$B$7:$B$106,0)))))</f>
        <v/>
      </c>
    </row>
    <row r="140" ht="24" customHeight="1">
      <c r="A140" s="18" t="n">
        <v>134</v>
      </c>
      <c r="B140" s="32" t="n"/>
      <c r="C140" s="19" t="n"/>
      <c r="D140" s="19" t="n"/>
      <c r="E140" s="23">
        <f>IF(D140="","",IFERROR(INDEX('01_자재목록'!$D$7:$D$106,MATCH(D140,'01_자재목록'!$B$7:$B$106,0))&amp;"","자재코드 확인"))</f>
        <v/>
      </c>
      <c r="F140" s="19" t="n"/>
      <c r="G140" s="19" t="n"/>
      <c r="H140" s="30" t="n"/>
      <c r="I140" s="30" t="n"/>
      <c r="J140" s="23">
        <f>IF(D140="","",IFERROR(INDEX('01_자재목록'!$I$7:$I$106,MATCH(D140,'01_자재목록'!$B$7:$B$106,0))&amp;"","자재코드 확인"))</f>
        <v/>
      </c>
      <c r="K140" s="31">
        <f>IF(D140="",IF(OR(B140&lt;&gt;"",C140&lt;&gt;"",H140&lt;&gt;"",I140&lt;&gt;""),"자재코드 입력 확인",""),IF(COUNTIF('01_자재목록'!$B$7:$B$106,D140)&lt;&gt;1,"자재코드 확인",IF(J140="","단위 입력 확인",IF(OR(NOT(ISNUMBER(B140)),B140&lt;1,AND(C140&lt;&gt;"입고",C140&lt;&gt;"출고",C140&lt;&gt;"조정")),"일자/구분 확인",IF(OR(AND(H140&lt;&gt;"",NOT(ISNUMBER(H140))),AND(I140&lt;&gt;"",NOT(ISNUMBER(I140))),H140&lt;0,I140&lt;0,AND(H140&lt;=0,I140&lt;=0),AND(H140&gt;0,I140&gt;0),AND(C140="입고",I140&gt;0),AND(C140="출고",H140&gt;0)),"수량/구분 확인",SUMIFS($H$7:H140,$D$7:D140,D140)-SUMIFS($I$7:I140,$D$7:D140,D140))))))</f>
        <v/>
      </c>
      <c r="L140" s="19" t="n"/>
      <c r="M140" s="19" t="n"/>
      <c r="N140" s="19" t="n"/>
      <c r="O140" s="27">
        <f>IF(D140="","",IF(COUNTIF('01_자재목록'!$B$7:$B$106,D140)&lt;&gt;1,"자재코드 확인",IF(INDEX('01_자재목록'!$R$7:$R$106,MATCH(D140,'01_자재목록'!$B$7:$B$106,0))="","구분 미입력",INDEX('01_자재목록'!$R$7:$R$106,MATCH(D140,'01_자재목록'!$B$7:$B$106,0)))))</f>
        <v/>
      </c>
    </row>
    <row r="141" ht="24" customHeight="1">
      <c r="A141" s="18" t="n">
        <v>135</v>
      </c>
      <c r="B141" s="32" t="n"/>
      <c r="C141" s="19" t="n"/>
      <c r="D141" s="19" t="n"/>
      <c r="E141" s="23">
        <f>IF(D141="","",IFERROR(INDEX('01_자재목록'!$D$7:$D$106,MATCH(D141,'01_자재목록'!$B$7:$B$106,0))&amp;"","자재코드 확인"))</f>
        <v/>
      </c>
      <c r="F141" s="19" t="n"/>
      <c r="G141" s="19" t="n"/>
      <c r="H141" s="30" t="n"/>
      <c r="I141" s="30" t="n"/>
      <c r="J141" s="23">
        <f>IF(D141="","",IFERROR(INDEX('01_자재목록'!$I$7:$I$106,MATCH(D141,'01_자재목록'!$B$7:$B$106,0))&amp;"","자재코드 확인"))</f>
        <v/>
      </c>
      <c r="K141" s="31">
        <f>IF(D141="",IF(OR(B141&lt;&gt;"",C141&lt;&gt;"",H141&lt;&gt;"",I141&lt;&gt;""),"자재코드 입력 확인",""),IF(COUNTIF('01_자재목록'!$B$7:$B$106,D141)&lt;&gt;1,"자재코드 확인",IF(J141="","단위 입력 확인",IF(OR(NOT(ISNUMBER(B141)),B141&lt;1,AND(C141&lt;&gt;"입고",C141&lt;&gt;"출고",C141&lt;&gt;"조정")),"일자/구분 확인",IF(OR(AND(H141&lt;&gt;"",NOT(ISNUMBER(H141))),AND(I141&lt;&gt;"",NOT(ISNUMBER(I141))),H141&lt;0,I141&lt;0,AND(H141&lt;=0,I141&lt;=0),AND(H141&gt;0,I141&gt;0),AND(C141="입고",I141&gt;0),AND(C141="출고",H141&gt;0)),"수량/구분 확인",SUMIFS($H$7:H141,$D$7:D141,D141)-SUMIFS($I$7:I141,$D$7:D141,D141))))))</f>
        <v/>
      </c>
      <c r="L141" s="19" t="n"/>
      <c r="M141" s="19" t="n"/>
      <c r="N141" s="19" t="n"/>
      <c r="O141" s="27">
        <f>IF(D141="","",IF(COUNTIF('01_자재목록'!$B$7:$B$106,D141)&lt;&gt;1,"자재코드 확인",IF(INDEX('01_자재목록'!$R$7:$R$106,MATCH(D141,'01_자재목록'!$B$7:$B$106,0))="","구분 미입력",INDEX('01_자재목록'!$R$7:$R$106,MATCH(D141,'01_자재목록'!$B$7:$B$106,0)))))</f>
        <v/>
      </c>
    </row>
    <row r="142" ht="24" customHeight="1">
      <c r="A142" s="18" t="n">
        <v>136</v>
      </c>
      <c r="B142" s="32" t="n"/>
      <c r="C142" s="19" t="n"/>
      <c r="D142" s="19" t="n"/>
      <c r="E142" s="23">
        <f>IF(D142="","",IFERROR(INDEX('01_자재목록'!$D$7:$D$106,MATCH(D142,'01_자재목록'!$B$7:$B$106,0))&amp;"","자재코드 확인"))</f>
        <v/>
      </c>
      <c r="F142" s="19" t="n"/>
      <c r="G142" s="19" t="n"/>
      <c r="H142" s="30" t="n"/>
      <c r="I142" s="30" t="n"/>
      <c r="J142" s="23">
        <f>IF(D142="","",IFERROR(INDEX('01_자재목록'!$I$7:$I$106,MATCH(D142,'01_자재목록'!$B$7:$B$106,0))&amp;"","자재코드 확인"))</f>
        <v/>
      </c>
      <c r="K142" s="31">
        <f>IF(D142="",IF(OR(B142&lt;&gt;"",C142&lt;&gt;"",H142&lt;&gt;"",I142&lt;&gt;""),"자재코드 입력 확인",""),IF(COUNTIF('01_자재목록'!$B$7:$B$106,D142)&lt;&gt;1,"자재코드 확인",IF(J142="","단위 입력 확인",IF(OR(NOT(ISNUMBER(B142)),B142&lt;1,AND(C142&lt;&gt;"입고",C142&lt;&gt;"출고",C142&lt;&gt;"조정")),"일자/구분 확인",IF(OR(AND(H142&lt;&gt;"",NOT(ISNUMBER(H142))),AND(I142&lt;&gt;"",NOT(ISNUMBER(I142))),H142&lt;0,I142&lt;0,AND(H142&lt;=0,I142&lt;=0),AND(H142&gt;0,I142&gt;0),AND(C142="입고",I142&gt;0),AND(C142="출고",H142&gt;0)),"수량/구분 확인",SUMIFS($H$7:H142,$D$7:D142,D142)-SUMIFS($I$7:I142,$D$7:D142,D142))))))</f>
        <v/>
      </c>
      <c r="L142" s="19" t="n"/>
      <c r="M142" s="19" t="n"/>
      <c r="N142" s="19" t="n"/>
      <c r="O142" s="27">
        <f>IF(D142="","",IF(COUNTIF('01_자재목록'!$B$7:$B$106,D142)&lt;&gt;1,"자재코드 확인",IF(INDEX('01_자재목록'!$R$7:$R$106,MATCH(D142,'01_자재목록'!$B$7:$B$106,0))="","구분 미입력",INDEX('01_자재목록'!$R$7:$R$106,MATCH(D142,'01_자재목록'!$B$7:$B$106,0)))))</f>
        <v/>
      </c>
    </row>
    <row r="143" ht="24" customHeight="1">
      <c r="A143" s="18" t="n">
        <v>137</v>
      </c>
      <c r="B143" s="32" t="n"/>
      <c r="C143" s="19" t="n"/>
      <c r="D143" s="19" t="n"/>
      <c r="E143" s="23">
        <f>IF(D143="","",IFERROR(INDEX('01_자재목록'!$D$7:$D$106,MATCH(D143,'01_자재목록'!$B$7:$B$106,0))&amp;"","자재코드 확인"))</f>
        <v/>
      </c>
      <c r="F143" s="19" t="n"/>
      <c r="G143" s="19" t="n"/>
      <c r="H143" s="30" t="n"/>
      <c r="I143" s="30" t="n"/>
      <c r="J143" s="23">
        <f>IF(D143="","",IFERROR(INDEX('01_자재목록'!$I$7:$I$106,MATCH(D143,'01_자재목록'!$B$7:$B$106,0))&amp;"","자재코드 확인"))</f>
        <v/>
      </c>
      <c r="K143" s="31">
        <f>IF(D143="",IF(OR(B143&lt;&gt;"",C143&lt;&gt;"",H143&lt;&gt;"",I143&lt;&gt;""),"자재코드 입력 확인",""),IF(COUNTIF('01_자재목록'!$B$7:$B$106,D143)&lt;&gt;1,"자재코드 확인",IF(J143="","단위 입력 확인",IF(OR(NOT(ISNUMBER(B143)),B143&lt;1,AND(C143&lt;&gt;"입고",C143&lt;&gt;"출고",C143&lt;&gt;"조정")),"일자/구분 확인",IF(OR(AND(H143&lt;&gt;"",NOT(ISNUMBER(H143))),AND(I143&lt;&gt;"",NOT(ISNUMBER(I143))),H143&lt;0,I143&lt;0,AND(H143&lt;=0,I143&lt;=0),AND(H143&gt;0,I143&gt;0),AND(C143="입고",I143&gt;0),AND(C143="출고",H143&gt;0)),"수량/구분 확인",SUMIFS($H$7:H143,$D$7:D143,D143)-SUMIFS($I$7:I143,$D$7:D143,D143))))))</f>
        <v/>
      </c>
      <c r="L143" s="19" t="n"/>
      <c r="M143" s="19" t="n"/>
      <c r="N143" s="19" t="n"/>
      <c r="O143" s="27">
        <f>IF(D143="","",IF(COUNTIF('01_자재목록'!$B$7:$B$106,D143)&lt;&gt;1,"자재코드 확인",IF(INDEX('01_자재목록'!$R$7:$R$106,MATCH(D143,'01_자재목록'!$B$7:$B$106,0))="","구분 미입력",INDEX('01_자재목록'!$R$7:$R$106,MATCH(D143,'01_자재목록'!$B$7:$B$106,0)))))</f>
        <v/>
      </c>
    </row>
    <row r="144" ht="24" customHeight="1">
      <c r="A144" s="18" t="n">
        <v>138</v>
      </c>
      <c r="B144" s="32" t="n"/>
      <c r="C144" s="19" t="n"/>
      <c r="D144" s="19" t="n"/>
      <c r="E144" s="23">
        <f>IF(D144="","",IFERROR(INDEX('01_자재목록'!$D$7:$D$106,MATCH(D144,'01_자재목록'!$B$7:$B$106,0))&amp;"","자재코드 확인"))</f>
        <v/>
      </c>
      <c r="F144" s="19" t="n"/>
      <c r="G144" s="19" t="n"/>
      <c r="H144" s="30" t="n"/>
      <c r="I144" s="30" t="n"/>
      <c r="J144" s="23">
        <f>IF(D144="","",IFERROR(INDEX('01_자재목록'!$I$7:$I$106,MATCH(D144,'01_자재목록'!$B$7:$B$106,0))&amp;"","자재코드 확인"))</f>
        <v/>
      </c>
      <c r="K144" s="31">
        <f>IF(D144="",IF(OR(B144&lt;&gt;"",C144&lt;&gt;"",H144&lt;&gt;"",I144&lt;&gt;""),"자재코드 입력 확인",""),IF(COUNTIF('01_자재목록'!$B$7:$B$106,D144)&lt;&gt;1,"자재코드 확인",IF(J144="","단위 입력 확인",IF(OR(NOT(ISNUMBER(B144)),B144&lt;1,AND(C144&lt;&gt;"입고",C144&lt;&gt;"출고",C144&lt;&gt;"조정")),"일자/구분 확인",IF(OR(AND(H144&lt;&gt;"",NOT(ISNUMBER(H144))),AND(I144&lt;&gt;"",NOT(ISNUMBER(I144))),H144&lt;0,I144&lt;0,AND(H144&lt;=0,I144&lt;=0),AND(H144&gt;0,I144&gt;0),AND(C144="입고",I144&gt;0),AND(C144="출고",H144&gt;0)),"수량/구분 확인",SUMIFS($H$7:H144,$D$7:D144,D144)-SUMIFS($I$7:I144,$D$7:D144,D144))))))</f>
        <v/>
      </c>
      <c r="L144" s="19" t="n"/>
      <c r="M144" s="19" t="n"/>
      <c r="N144" s="19" t="n"/>
      <c r="O144" s="27">
        <f>IF(D144="","",IF(COUNTIF('01_자재목록'!$B$7:$B$106,D144)&lt;&gt;1,"자재코드 확인",IF(INDEX('01_자재목록'!$R$7:$R$106,MATCH(D144,'01_자재목록'!$B$7:$B$106,0))="","구분 미입력",INDEX('01_자재목록'!$R$7:$R$106,MATCH(D144,'01_자재목록'!$B$7:$B$106,0)))))</f>
        <v/>
      </c>
    </row>
    <row r="145" ht="24" customHeight="1">
      <c r="A145" s="18" t="n">
        <v>139</v>
      </c>
      <c r="B145" s="32" t="n"/>
      <c r="C145" s="19" t="n"/>
      <c r="D145" s="19" t="n"/>
      <c r="E145" s="23">
        <f>IF(D145="","",IFERROR(INDEX('01_자재목록'!$D$7:$D$106,MATCH(D145,'01_자재목록'!$B$7:$B$106,0))&amp;"","자재코드 확인"))</f>
        <v/>
      </c>
      <c r="F145" s="19" t="n"/>
      <c r="G145" s="19" t="n"/>
      <c r="H145" s="30" t="n"/>
      <c r="I145" s="30" t="n"/>
      <c r="J145" s="23">
        <f>IF(D145="","",IFERROR(INDEX('01_자재목록'!$I$7:$I$106,MATCH(D145,'01_자재목록'!$B$7:$B$106,0))&amp;"","자재코드 확인"))</f>
        <v/>
      </c>
      <c r="K145" s="31">
        <f>IF(D145="",IF(OR(B145&lt;&gt;"",C145&lt;&gt;"",H145&lt;&gt;"",I145&lt;&gt;""),"자재코드 입력 확인",""),IF(COUNTIF('01_자재목록'!$B$7:$B$106,D145)&lt;&gt;1,"자재코드 확인",IF(J145="","단위 입력 확인",IF(OR(NOT(ISNUMBER(B145)),B145&lt;1,AND(C145&lt;&gt;"입고",C145&lt;&gt;"출고",C145&lt;&gt;"조정")),"일자/구분 확인",IF(OR(AND(H145&lt;&gt;"",NOT(ISNUMBER(H145))),AND(I145&lt;&gt;"",NOT(ISNUMBER(I145))),H145&lt;0,I145&lt;0,AND(H145&lt;=0,I145&lt;=0),AND(H145&gt;0,I145&gt;0),AND(C145="입고",I145&gt;0),AND(C145="출고",H145&gt;0)),"수량/구분 확인",SUMIFS($H$7:H145,$D$7:D145,D145)-SUMIFS($I$7:I145,$D$7:D145,D145))))))</f>
        <v/>
      </c>
      <c r="L145" s="19" t="n"/>
      <c r="M145" s="19" t="n"/>
      <c r="N145" s="19" t="n"/>
      <c r="O145" s="27">
        <f>IF(D145="","",IF(COUNTIF('01_자재목록'!$B$7:$B$106,D145)&lt;&gt;1,"자재코드 확인",IF(INDEX('01_자재목록'!$R$7:$R$106,MATCH(D145,'01_자재목록'!$B$7:$B$106,0))="","구분 미입력",INDEX('01_자재목록'!$R$7:$R$106,MATCH(D145,'01_자재목록'!$B$7:$B$106,0)))))</f>
        <v/>
      </c>
    </row>
    <row r="146" ht="24" customHeight="1">
      <c r="A146" s="18" t="n">
        <v>140</v>
      </c>
      <c r="B146" s="32" t="n"/>
      <c r="C146" s="19" t="n"/>
      <c r="D146" s="19" t="n"/>
      <c r="E146" s="23">
        <f>IF(D146="","",IFERROR(INDEX('01_자재목록'!$D$7:$D$106,MATCH(D146,'01_자재목록'!$B$7:$B$106,0))&amp;"","자재코드 확인"))</f>
        <v/>
      </c>
      <c r="F146" s="19" t="n"/>
      <c r="G146" s="19" t="n"/>
      <c r="H146" s="30" t="n"/>
      <c r="I146" s="30" t="n"/>
      <c r="J146" s="23">
        <f>IF(D146="","",IFERROR(INDEX('01_자재목록'!$I$7:$I$106,MATCH(D146,'01_자재목록'!$B$7:$B$106,0))&amp;"","자재코드 확인"))</f>
        <v/>
      </c>
      <c r="K146" s="31">
        <f>IF(D146="",IF(OR(B146&lt;&gt;"",C146&lt;&gt;"",H146&lt;&gt;"",I146&lt;&gt;""),"자재코드 입력 확인",""),IF(COUNTIF('01_자재목록'!$B$7:$B$106,D146)&lt;&gt;1,"자재코드 확인",IF(J146="","단위 입력 확인",IF(OR(NOT(ISNUMBER(B146)),B146&lt;1,AND(C146&lt;&gt;"입고",C146&lt;&gt;"출고",C146&lt;&gt;"조정")),"일자/구분 확인",IF(OR(AND(H146&lt;&gt;"",NOT(ISNUMBER(H146))),AND(I146&lt;&gt;"",NOT(ISNUMBER(I146))),H146&lt;0,I146&lt;0,AND(H146&lt;=0,I146&lt;=0),AND(H146&gt;0,I146&gt;0),AND(C146="입고",I146&gt;0),AND(C146="출고",H146&gt;0)),"수량/구분 확인",SUMIFS($H$7:H146,$D$7:D146,D146)-SUMIFS($I$7:I146,$D$7:D146,D146))))))</f>
        <v/>
      </c>
      <c r="L146" s="19" t="n"/>
      <c r="M146" s="19" t="n"/>
      <c r="N146" s="19" t="n"/>
      <c r="O146" s="27">
        <f>IF(D146="","",IF(COUNTIF('01_자재목록'!$B$7:$B$106,D146)&lt;&gt;1,"자재코드 확인",IF(INDEX('01_자재목록'!$R$7:$R$106,MATCH(D146,'01_자재목록'!$B$7:$B$106,0))="","구분 미입력",INDEX('01_자재목록'!$R$7:$R$106,MATCH(D146,'01_자재목록'!$B$7:$B$106,0)))))</f>
        <v/>
      </c>
    </row>
    <row r="147" ht="24" customHeight="1">
      <c r="A147" s="18" t="n">
        <v>141</v>
      </c>
      <c r="B147" s="32" t="n"/>
      <c r="C147" s="19" t="n"/>
      <c r="D147" s="19" t="n"/>
      <c r="E147" s="23">
        <f>IF(D147="","",IFERROR(INDEX('01_자재목록'!$D$7:$D$106,MATCH(D147,'01_자재목록'!$B$7:$B$106,0))&amp;"","자재코드 확인"))</f>
        <v/>
      </c>
      <c r="F147" s="19" t="n"/>
      <c r="G147" s="19" t="n"/>
      <c r="H147" s="30" t="n"/>
      <c r="I147" s="30" t="n"/>
      <c r="J147" s="23">
        <f>IF(D147="","",IFERROR(INDEX('01_자재목록'!$I$7:$I$106,MATCH(D147,'01_자재목록'!$B$7:$B$106,0))&amp;"","자재코드 확인"))</f>
        <v/>
      </c>
      <c r="K147" s="31">
        <f>IF(D147="",IF(OR(B147&lt;&gt;"",C147&lt;&gt;"",H147&lt;&gt;"",I147&lt;&gt;""),"자재코드 입력 확인",""),IF(COUNTIF('01_자재목록'!$B$7:$B$106,D147)&lt;&gt;1,"자재코드 확인",IF(J147="","단위 입력 확인",IF(OR(NOT(ISNUMBER(B147)),B147&lt;1,AND(C147&lt;&gt;"입고",C147&lt;&gt;"출고",C147&lt;&gt;"조정")),"일자/구분 확인",IF(OR(AND(H147&lt;&gt;"",NOT(ISNUMBER(H147))),AND(I147&lt;&gt;"",NOT(ISNUMBER(I147))),H147&lt;0,I147&lt;0,AND(H147&lt;=0,I147&lt;=0),AND(H147&gt;0,I147&gt;0),AND(C147="입고",I147&gt;0),AND(C147="출고",H147&gt;0)),"수량/구분 확인",SUMIFS($H$7:H147,$D$7:D147,D147)-SUMIFS($I$7:I147,$D$7:D147,D147))))))</f>
        <v/>
      </c>
      <c r="L147" s="19" t="n"/>
      <c r="M147" s="19" t="n"/>
      <c r="N147" s="19" t="n"/>
      <c r="O147" s="27">
        <f>IF(D147="","",IF(COUNTIF('01_자재목록'!$B$7:$B$106,D147)&lt;&gt;1,"자재코드 확인",IF(INDEX('01_자재목록'!$R$7:$R$106,MATCH(D147,'01_자재목록'!$B$7:$B$106,0))="","구분 미입력",INDEX('01_자재목록'!$R$7:$R$106,MATCH(D147,'01_자재목록'!$B$7:$B$106,0)))))</f>
        <v/>
      </c>
    </row>
    <row r="148" ht="24" customHeight="1">
      <c r="A148" s="18" t="n">
        <v>142</v>
      </c>
      <c r="B148" s="32" t="n"/>
      <c r="C148" s="19" t="n"/>
      <c r="D148" s="19" t="n"/>
      <c r="E148" s="23">
        <f>IF(D148="","",IFERROR(INDEX('01_자재목록'!$D$7:$D$106,MATCH(D148,'01_자재목록'!$B$7:$B$106,0))&amp;"","자재코드 확인"))</f>
        <v/>
      </c>
      <c r="F148" s="19" t="n"/>
      <c r="G148" s="19" t="n"/>
      <c r="H148" s="30" t="n"/>
      <c r="I148" s="30" t="n"/>
      <c r="J148" s="23">
        <f>IF(D148="","",IFERROR(INDEX('01_자재목록'!$I$7:$I$106,MATCH(D148,'01_자재목록'!$B$7:$B$106,0))&amp;"","자재코드 확인"))</f>
        <v/>
      </c>
      <c r="K148" s="31">
        <f>IF(D148="",IF(OR(B148&lt;&gt;"",C148&lt;&gt;"",H148&lt;&gt;"",I148&lt;&gt;""),"자재코드 입력 확인",""),IF(COUNTIF('01_자재목록'!$B$7:$B$106,D148)&lt;&gt;1,"자재코드 확인",IF(J148="","단위 입력 확인",IF(OR(NOT(ISNUMBER(B148)),B148&lt;1,AND(C148&lt;&gt;"입고",C148&lt;&gt;"출고",C148&lt;&gt;"조정")),"일자/구분 확인",IF(OR(AND(H148&lt;&gt;"",NOT(ISNUMBER(H148))),AND(I148&lt;&gt;"",NOT(ISNUMBER(I148))),H148&lt;0,I148&lt;0,AND(H148&lt;=0,I148&lt;=0),AND(H148&gt;0,I148&gt;0),AND(C148="입고",I148&gt;0),AND(C148="출고",H148&gt;0)),"수량/구분 확인",SUMIFS($H$7:H148,$D$7:D148,D148)-SUMIFS($I$7:I148,$D$7:D148,D148))))))</f>
        <v/>
      </c>
      <c r="L148" s="19" t="n"/>
      <c r="M148" s="19" t="n"/>
      <c r="N148" s="19" t="n"/>
      <c r="O148" s="27">
        <f>IF(D148="","",IF(COUNTIF('01_자재목록'!$B$7:$B$106,D148)&lt;&gt;1,"자재코드 확인",IF(INDEX('01_자재목록'!$R$7:$R$106,MATCH(D148,'01_자재목록'!$B$7:$B$106,0))="","구분 미입력",INDEX('01_자재목록'!$R$7:$R$106,MATCH(D148,'01_자재목록'!$B$7:$B$106,0)))))</f>
        <v/>
      </c>
    </row>
    <row r="149" ht="24" customHeight="1">
      <c r="A149" s="18" t="n">
        <v>143</v>
      </c>
      <c r="B149" s="32" t="n"/>
      <c r="C149" s="19" t="n"/>
      <c r="D149" s="19" t="n"/>
      <c r="E149" s="23">
        <f>IF(D149="","",IFERROR(INDEX('01_자재목록'!$D$7:$D$106,MATCH(D149,'01_자재목록'!$B$7:$B$106,0))&amp;"","자재코드 확인"))</f>
        <v/>
      </c>
      <c r="F149" s="19" t="n"/>
      <c r="G149" s="19" t="n"/>
      <c r="H149" s="30" t="n"/>
      <c r="I149" s="30" t="n"/>
      <c r="J149" s="23">
        <f>IF(D149="","",IFERROR(INDEX('01_자재목록'!$I$7:$I$106,MATCH(D149,'01_자재목록'!$B$7:$B$106,0))&amp;"","자재코드 확인"))</f>
        <v/>
      </c>
      <c r="K149" s="31">
        <f>IF(D149="",IF(OR(B149&lt;&gt;"",C149&lt;&gt;"",H149&lt;&gt;"",I149&lt;&gt;""),"자재코드 입력 확인",""),IF(COUNTIF('01_자재목록'!$B$7:$B$106,D149)&lt;&gt;1,"자재코드 확인",IF(J149="","단위 입력 확인",IF(OR(NOT(ISNUMBER(B149)),B149&lt;1,AND(C149&lt;&gt;"입고",C149&lt;&gt;"출고",C149&lt;&gt;"조정")),"일자/구분 확인",IF(OR(AND(H149&lt;&gt;"",NOT(ISNUMBER(H149))),AND(I149&lt;&gt;"",NOT(ISNUMBER(I149))),H149&lt;0,I149&lt;0,AND(H149&lt;=0,I149&lt;=0),AND(H149&gt;0,I149&gt;0),AND(C149="입고",I149&gt;0),AND(C149="출고",H149&gt;0)),"수량/구분 확인",SUMIFS($H$7:H149,$D$7:D149,D149)-SUMIFS($I$7:I149,$D$7:D149,D149))))))</f>
        <v/>
      </c>
      <c r="L149" s="19" t="n"/>
      <c r="M149" s="19" t="n"/>
      <c r="N149" s="19" t="n"/>
      <c r="O149" s="27">
        <f>IF(D149="","",IF(COUNTIF('01_자재목록'!$B$7:$B$106,D149)&lt;&gt;1,"자재코드 확인",IF(INDEX('01_자재목록'!$R$7:$R$106,MATCH(D149,'01_자재목록'!$B$7:$B$106,0))="","구분 미입력",INDEX('01_자재목록'!$R$7:$R$106,MATCH(D149,'01_자재목록'!$B$7:$B$106,0)))))</f>
        <v/>
      </c>
    </row>
    <row r="150" ht="24" customHeight="1">
      <c r="A150" s="18" t="n">
        <v>144</v>
      </c>
      <c r="B150" s="32" t="n"/>
      <c r="C150" s="19" t="n"/>
      <c r="D150" s="19" t="n"/>
      <c r="E150" s="23">
        <f>IF(D150="","",IFERROR(INDEX('01_자재목록'!$D$7:$D$106,MATCH(D150,'01_자재목록'!$B$7:$B$106,0))&amp;"","자재코드 확인"))</f>
        <v/>
      </c>
      <c r="F150" s="19" t="n"/>
      <c r="G150" s="19" t="n"/>
      <c r="H150" s="30" t="n"/>
      <c r="I150" s="30" t="n"/>
      <c r="J150" s="23">
        <f>IF(D150="","",IFERROR(INDEX('01_자재목록'!$I$7:$I$106,MATCH(D150,'01_자재목록'!$B$7:$B$106,0))&amp;"","자재코드 확인"))</f>
        <v/>
      </c>
      <c r="K150" s="31">
        <f>IF(D150="",IF(OR(B150&lt;&gt;"",C150&lt;&gt;"",H150&lt;&gt;"",I150&lt;&gt;""),"자재코드 입력 확인",""),IF(COUNTIF('01_자재목록'!$B$7:$B$106,D150)&lt;&gt;1,"자재코드 확인",IF(J150="","단위 입력 확인",IF(OR(NOT(ISNUMBER(B150)),B150&lt;1,AND(C150&lt;&gt;"입고",C150&lt;&gt;"출고",C150&lt;&gt;"조정")),"일자/구분 확인",IF(OR(AND(H150&lt;&gt;"",NOT(ISNUMBER(H150))),AND(I150&lt;&gt;"",NOT(ISNUMBER(I150))),H150&lt;0,I150&lt;0,AND(H150&lt;=0,I150&lt;=0),AND(H150&gt;0,I150&gt;0),AND(C150="입고",I150&gt;0),AND(C150="출고",H150&gt;0)),"수량/구분 확인",SUMIFS($H$7:H150,$D$7:D150,D150)-SUMIFS($I$7:I150,$D$7:D150,D150))))))</f>
        <v/>
      </c>
      <c r="L150" s="19" t="n"/>
      <c r="M150" s="19" t="n"/>
      <c r="N150" s="19" t="n"/>
      <c r="O150" s="27">
        <f>IF(D150="","",IF(COUNTIF('01_자재목록'!$B$7:$B$106,D150)&lt;&gt;1,"자재코드 확인",IF(INDEX('01_자재목록'!$R$7:$R$106,MATCH(D150,'01_자재목록'!$B$7:$B$106,0))="","구분 미입력",INDEX('01_자재목록'!$R$7:$R$106,MATCH(D150,'01_자재목록'!$B$7:$B$106,0)))))</f>
        <v/>
      </c>
    </row>
    <row r="151" ht="24" customHeight="1">
      <c r="A151" s="18" t="n">
        <v>145</v>
      </c>
      <c r="B151" s="32" t="n"/>
      <c r="C151" s="19" t="n"/>
      <c r="D151" s="19" t="n"/>
      <c r="E151" s="23">
        <f>IF(D151="","",IFERROR(INDEX('01_자재목록'!$D$7:$D$106,MATCH(D151,'01_자재목록'!$B$7:$B$106,0))&amp;"","자재코드 확인"))</f>
        <v/>
      </c>
      <c r="F151" s="19" t="n"/>
      <c r="G151" s="19" t="n"/>
      <c r="H151" s="30" t="n"/>
      <c r="I151" s="30" t="n"/>
      <c r="J151" s="23">
        <f>IF(D151="","",IFERROR(INDEX('01_자재목록'!$I$7:$I$106,MATCH(D151,'01_자재목록'!$B$7:$B$106,0))&amp;"","자재코드 확인"))</f>
        <v/>
      </c>
      <c r="K151" s="31">
        <f>IF(D151="",IF(OR(B151&lt;&gt;"",C151&lt;&gt;"",H151&lt;&gt;"",I151&lt;&gt;""),"자재코드 입력 확인",""),IF(COUNTIF('01_자재목록'!$B$7:$B$106,D151)&lt;&gt;1,"자재코드 확인",IF(J151="","단위 입력 확인",IF(OR(NOT(ISNUMBER(B151)),B151&lt;1,AND(C151&lt;&gt;"입고",C151&lt;&gt;"출고",C151&lt;&gt;"조정")),"일자/구분 확인",IF(OR(AND(H151&lt;&gt;"",NOT(ISNUMBER(H151))),AND(I151&lt;&gt;"",NOT(ISNUMBER(I151))),H151&lt;0,I151&lt;0,AND(H151&lt;=0,I151&lt;=0),AND(H151&gt;0,I151&gt;0),AND(C151="입고",I151&gt;0),AND(C151="출고",H151&gt;0)),"수량/구분 확인",SUMIFS($H$7:H151,$D$7:D151,D151)-SUMIFS($I$7:I151,$D$7:D151,D151))))))</f>
        <v/>
      </c>
      <c r="L151" s="19" t="n"/>
      <c r="M151" s="19" t="n"/>
      <c r="N151" s="19" t="n"/>
      <c r="O151" s="27">
        <f>IF(D151="","",IF(COUNTIF('01_자재목록'!$B$7:$B$106,D151)&lt;&gt;1,"자재코드 확인",IF(INDEX('01_자재목록'!$R$7:$R$106,MATCH(D151,'01_자재목록'!$B$7:$B$106,0))="","구분 미입력",INDEX('01_자재목록'!$R$7:$R$106,MATCH(D151,'01_자재목록'!$B$7:$B$106,0)))))</f>
        <v/>
      </c>
    </row>
    <row r="152" ht="24" customHeight="1">
      <c r="A152" s="18" t="n">
        <v>146</v>
      </c>
      <c r="B152" s="32" t="n"/>
      <c r="C152" s="19" t="n"/>
      <c r="D152" s="19" t="n"/>
      <c r="E152" s="23">
        <f>IF(D152="","",IFERROR(INDEX('01_자재목록'!$D$7:$D$106,MATCH(D152,'01_자재목록'!$B$7:$B$106,0))&amp;"","자재코드 확인"))</f>
        <v/>
      </c>
      <c r="F152" s="19" t="n"/>
      <c r="G152" s="19" t="n"/>
      <c r="H152" s="30" t="n"/>
      <c r="I152" s="30" t="n"/>
      <c r="J152" s="23">
        <f>IF(D152="","",IFERROR(INDEX('01_자재목록'!$I$7:$I$106,MATCH(D152,'01_자재목록'!$B$7:$B$106,0))&amp;"","자재코드 확인"))</f>
        <v/>
      </c>
      <c r="K152" s="31">
        <f>IF(D152="",IF(OR(B152&lt;&gt;"",C152&lt;&gt;"",H152&lt;&gt;"",I152&lt;&gt;""),"자재코드 입력 확인",""),IF(COUNTIF('01_자재목록'!$B$7:$B$106,D152)&lt;&gt;1,"자재코드 확인",IF(J152="","단위 입력 확인",IF(OR(NOT(ISNUMBER(B152)),B152&lt;1,AND(C152&lt;&gt;"입고",C152&lt;&gt;"출고",C152&lt;&gt;"조정")),"일자/구분 확인",IF(OR(AND(H152&lt;&gt;"",NOT(ISNUMBER(H152))),AND(I152&lt;&gt;"",NOT(ISNUMBER(I152))),H152&lt;0,I152&lt;0,AND(H152&lt;=0,I152&lt;=0),AND(H152&gt;0,I152&gt;0),AND(C152="입고",I152&gt;0),AND(C152="출고",H152&gt;0)),"수량/구분 확인",SUMIFS($H$7:H152,$D$7:D152,D152)-SUMIFS($I$7:I152,$D$7:D152,D152))))))</f>
        <v/>
      </c>
      <c r="L152" s="19" t="n"/>
      <c r="M152" s="19" t="n"/>
      <c r="N152" s="19" t="n"/>
      <c r="O152" s="27">
        <f>IF(D152="","",IF(COUNTIF('01_자재목록'!$B$7:$B$106,D152)&lt;&gt;1,"자재코드 확인",IF(INDEX('01_자재목록'!$R$7:$R$106,MATCH(D152,'01_자재목록'!$B$7:$B$106,0))="","구분 미입력",INDEX('01_자재목록'!$R$7:$R$106,MATCH(D152,'01_자재목록'!$B$7:$B$106,0)))))</f>
        <v/>
      </c>
    </row>
    <row r="153" ht="24" customHeight="1">
      <c r="A153" s="18" t="n">
        <v>147</v>
      </c>
      <c r="B153" s="32" t="n"/>
      <c r="C153" s="19" t="n"/>
      <c r="D153" s="19" t="n"/>
      <c r="E153" s="23">
        <f>IF(D153="","",IFERROR(INDEX('01_자재목록'!$D$7:$D$106,MATCH(D153,'01_자재목록'!$B$7:$B$106,0))&amp;"","자재코드 확인"))</f>
        <v/>
      </c>
      <c r="F153" s="19" t="n"/>
      <c r="G153" s="19" t="n"/>
      <c r="H153" s="30" t="n"/>
      <c r="I153" s="30" t="n"/>
      <c r="J153" s="23">
        <f>IF(D153="","",IFERROR(INDEX('01_자재목록'!$I$7:$I$106,MATCH(D153,'01_자재목록'!$B$7:$B$106,0))&amp;"","자재코드 확인"))</f>
        <v/>
      </c>
      <c r="K153" s="31">
        <f>IF(D153="",IF(OR(B153&lt;&gt;"",C153&lt;&gt;"",H153&lt;&gt;"",I153&lt;&gt;""),"자재코드 입력 확인",""),IF(COUNTIF('01_자재목록'!$B$7:$B$106,D153)&lt;&gt;1,"자재코드 확인",IF(J153="","단위 입력 확인",IF(OR(NOT(ISNUMBER(B153)),B153&lt;1,AND(C153&lt;&gt;"입고",C153&lt;&gt;"출고",C153&lt;&gt;"조정")),"일자/구분 확인",IF(OR(AND(H153&lt;&gt;"",NOT(ISNUMBER(H153))),AND(I153&lt;&gt;"",NOT(ISNUMBER(I153))),H153&lt;0,I153&lt;0,AND(H153&lt;=0,I153&lt;=0),AND(H153&gt;0,I153&gt;0),AND(C153="입고",I153&gt;0),AND(C153="출고",H153&gt;0)),"수량/구분 확인",SUMIFS($H$7:H153,$D$7:D153,D153)-SUMIFS($I$7:I153,$D$7:D153,D153))))))</f>
        <v/>
      </c>
      <c r="L153" s="19" t="n"/>
      <c r="M153" s="19" t="n"/>
      <c r="N153" s="19" t="n"/>
      <c r="O153" s="27">
        <f>IF(D153="","",IF(COUNTIF('01_자재목록'!$B$7:$B$106,D153)&lt;&gt;1,"자재코드 확인",IF(INDEX('01_자재목록'!$R$7:$R$106,MATCH(D153,'01_자재목록'!$B$7:$B$106,0))="","구분 미입력",INDEX('01_자재목록'!$R$7:$R$106,MATCH(D153,'01_자재목록'!$B$7:$B$106,0)))))</f>
        <v/>
      </c>
    </row>
    <row r="154" ht="24" customHeight="1">
      <c r="A154" s="18" t="n">
        <v>148</v>
      </c>
      <c r="B154" s="32" t="n"/>
      <c r="C154" s="19" t="n"/>
      <c r="D154" s="19" t="n"/>
      <c r="E154" s="23">
        <f>IF(D154="","",IFERROR(INDEX('01_자재목록'!$D$7:$D$106,MATCH(D154,'01_자재목록'!$B$7:$B$106,0))&amp;"","자재코드 확인"))</f>
        <v/>
      </c>
      <c r="F154" s="19" t="n"/>
      <c r="G154" s="19" t="n"/>
      <c r="H154" s="30" t="n"/>
      <c r="I154" s="30" t="n"/>
      <c r="J154" s="23">
        <f>IF(D154="","",IFERROR(INDEX('01_자재목록'!$I$7:$I$106,MATCH(D154,'01_자재목록'!$B$7:$B$106,0))&amp;"","자재코드 확인"))</f>
        <v/>
      </c>
      <c r="K154" s="31">
        <f>IF(D154="",IF(OR(B154&lt;&gt;"",C154&lt;&gt;"",H154&lt;&gt;"",I154&lt;&gt;""),"자재코드 입력 확인",""),IF(COUNTIF('01_자재목록'!$B$7:$B$106,D154)&lt;&gt;1,"자재코드 확인",IF(J154="","단위 입력 확인",IF(OR(NOT(ISNUMBER(B154)),B154&lt;1,AND(C154&lt;&gt;"입고",C154&lt;&gt;"출고",C154&lt;&gt;"조정")),"일자/구분 확인",IF(OR(AND(H154&lt;&gt;"",NOT(ISNUMBER(H154))),AND(I154&lt;&gt;"",NOT(ISNUMBER(I154))),H154&lt;0,I154&lt;0,AND(H154&lt;=0,I154&lt;=0),AND(H154&gt;0,I154&gt;0),AND(C154="입고",I154&gt;0),AND(C154="출고",H154&gt;0)),"수량/구분 확인",SUMIFS($H$7:H154,$D$7:D154,D154)-SUMIFS($I$7:I154,$D$7:D154,D154))))))</f>
        <v/>
      </c>
      <c r="L154" s="19" t="n"/>
      <c r="M154" s="19" t="n"/>
      <c r="N154" s="19" t="n"/>
      <c r="O154" s="27">
        <f>IF(D154="","",IF(COUNTIF('01_자재목록'!$B$7:$B$106,D154)&lt;&gt;1,"자재코드 확인",IF(INDEX('01_자재목록'!$R$7:$R$106,MATCH(D154,'01_자재목록'!$B$7:$B$106,0))="","구분 미입력",INDEX('01_자재목록'!$R$7:$R$106,MATCH(D154,'01_자재목록'!$B$7:$B$106,0)))))</f>
        <v/>
      </c>
    </row>
    <row r="155" ht="24" customHeight="1">
      <c r="A155" s="18" t="n">
        <v>149</v>
      </c>
      <c r="B155" s="32" t="n"/>
      <c r="C155" s="19" t="n"/>
      <c r="D155" s="19" t="n"/>
      <c r="E155" s="23">
        <f>IF(D155="","",IFERROR(INDEX('01_자재목록'!$D$7:$D$106,MATCH(D155,'01_자재목록'!$B$7:$B$106,0))&amp;"","자재코드 확인"))</f>
        <v/>
      </c>
      <c r="F155" s="19" t="n"/>
      <c r="G155" s="19" t="n"/>
      <c r="H155" s="30" t="n"/>
      <c r="I155" s="30" t="n"/>
      <c r="J155" s="23">
        <f>IF(D155="","",IFERROR(INDEX('01_자재목록'!$I$7:$I$106,MATCH(D155,'01_자재목록'!$B$7:$B$106,0))&amp;"","자재코드 확인"))</f>
        <v/>
      </c>
      <c r="K155" s="31">
        <f>IF(D155="",IF(OR(B155&lt;&gt;"",C155&lt;&gt;"",H155&lt;&gt;"",I155&lt;&gt;""),"자재코드 입력 확인",""),IF(COUNTIF('01_자재목록'!$B$7:$B$106,D155)&lt;&gt;1,"자재코드 확인",IF(J155="","단위 입력 확인",IF(OR(NOT(ISNUMBER(B155)),B155&lt;1,AND(C155&lt;&gt;"입고",C155&lt;&gt;"출고",C155&lt;&gt;"조정")),"일자/구분 확인",IF(OR(AND(H155&lt;&gt;"",NOT(ISNUMBER(H155))),AND(I155&lt;&gt;"",NOT(ISNUMBER(I155))),H155&lt;0,I155&lt;0,AND(H155&lt;=0,I155&lt;=0),AND(H155&gt;0,I155&gt;0),AND(C155="입고",I155&gt;0),AND(C155="출고",H155&gt;0)),"수량/구분 확인",SUMIFS($H$7:H155,$D$7:D155,D155)-SUMIFS($I$7:I155,$D$7:D155,D155))))))</f>
        <v/>
      </c>
      <c r="L155" s="19" t="n"/>
      <c r="M155" s="19" t="n"/>
      <c r="N155" s="19" t="n"/>
      <c r="O155" s="27">
        <f>IF(D155="","",IF(COUNTIF('01_자재목록'!$B$7:$B$106,D155)&lt;&gt;1,"자재코드 확인",IF(INDEX('01_자재목록'!$R$7:$R$106,MATCH(D155,'01_자재목록'!$B$7:$B$106,0))="","구분 미입력",INDEX('01_자재목록'!$R$7:$R$106,MATCH(D155,'01_자재목록'!$B$7:$B$106,0)))))</f>
        <v/>
      </c>
    </row>
    <row r="156" ht="24" customHeight="1">
      <c r="A156" s="18" t="n">
        <v>150</v>
      </c>
      <c r="B156" s="32" t="n"/>
      <c r="C156" s="19" t="n"/>
      <c r="D156" s="19" t="n"/>
      <c r="E156" s="23">
        <f>IF(D156="","",IFERROR(INDEX('01_자재목록'!$D$7:$D$106,MATCH(D156,'01_자재목록'!$B$7:$B$106,0))&amp;"","자재코드 확인"))</f>
        <v/>
      </c>
      <c r="F156" s="19" t="n"/>
      <c r="G156" s="19" t="n"/>
      <c r="H156" s="30" t="n"/>
      <c r="I156" s="30" t="n"/>
      <c r="J156" s="23">
        <f>IF(D156="","",IFERROR(INDEX('01_자재목록'!$I$7:$I$106,MATCH(D156,'01_자재목록'!$B$7:$B$106,0))&amp;"","자재코드 확인"))</f>
        <v/>
      </c>
      <c r="K156" s="31">
        <f>IF(D156="",IF(OR(B156&lt;&gt;"",C156&lt;&gt;"",H156&lt;&gt;"",I156&lt;&gt;""),"자재코드 입력 확인",""),IF(COUNTIF('01_자재목록'!$B$7:$B$106,D156)&lt;&gt;1,"자재코드 확인",IF(J156="","단위 입력 확인",IF(OR(NOT(ISNUMBER(B156)),B156&lt;1,AND(C156&lt;&gt;"입고",C156&lt;&gt;"출고",C156&lt;&gt;"조정")),"일자/구분 확인",IF(OR(AND(H156&lt;&gt;"",NOT(ISNUMBER(H156))),AND(I156&lt;&gt;"",NOT(ISNUMBER(I156))),H156&lt;0,I156&lt;0,AND(H156&lt;=0,I156&lt;=0),AND(H156&gt;0,I156&gt;0),AND(C156="입고",I156&gt;0),AND(C156="출고",H156&gt;0)),"수량/구분 확인",SUMIFS($H$7:H156,$D$7:D156,D156)-SUMIFS($I$7:I156,$D$7:D156,D156))))))</f>
        <v/>
      </c>
      <c r="L156" s="19" t="n"/>
      <c r="M156" s="19" t="n"/>
      <c r="N156" s="19" t="n"/>
      <c r="O156" s="27">
        <f>IF(D156="","",IF(COUNTIF('01_자재목록'!$B$7:$B$106,D156)&lt;&gt;1,"자재코드 확인",IF(INDEX('01_자재목록'!$R$7:$R$106,MATCH(D156,'01_자재목록'!$B$7:$B$106,0))="","구분 미입력",INDEX('01_자재목록'!$R$7:$R$106,MATCH(D156,'01_자재목록'!$B$7:$B$106,0)))))</f>
        <v/>
      </c>
    </row>
    <row r="157" ht="24" customHeight="1">
      <c r="A157" s="18" t="n">
        <v>151</v>
      </c>
      <c r="B157" s="32" t="n"/>
      <c r="C157" s="19" t="n"/>
      <c r="D157" s="19" t="n"/>
      <c r="E157" s="23">
        <f>IF(D157="","",IFERROR(INDEX('01_자재목록'!$D$7:$D$106,MATCH(D157,'01_자재목록'!$B$7:$B$106,0))&amp;"","자재코드 확인"))</f>
        <v/>
      </c>
      <c r="F157" s="19" t="n"/>
      <c r="G157" s="19" t="n"/>
      <c r="H157" s="30" t="n"/>
      <c r="I157" s="30" t="n"/>
      <c r="J157" s="23">
        <f>IF(D157="","",IFERROR(INDEX('01_자재목록'!$I$7:$I$106,MATCH(D157,'01_자재목록'!$B$7:$B$106,0))&amp;"","자재코드 확인"))</f>
        <v/>
      </c>
      <c r="K157" s="31">
        <f>IF(D157="",IF(OR(B157&lt;&gt;"",C157&lt;&gt;"",H157&lt;&gt;"",I157&lt;&gt;""),"자재코드 입력 확인",""),IF(COUNTIF('01_자재목록'!$B$7:$B$106,D157)&lt;&gt;1,"자재코드 확인",IF(J157="","단위 입력 확인",IF(OR(NOT(ISNUMBER(B157)),B157&lt;1,AND(C157&lt;&gt;"입고",C157&lt;&gt;"출고",C157&lt;&gt;"조정")),"일자/구분 확인",IF(OR(AND(H157&lt;&gt;"",NOT(ISNUMBER(H157))),AND(I157&lt;&gt;"",NOT(ISNUMBER(I157))),H157&lt;0,I157&lt;0,AND(H157&lt;=0,I157&lt;=0),AND(H157&gt;0,I157&gt;0),AND(C157="입고",I157&gt;0),AND(C157="출고",H157&gt;0)),"수량/구분 확인",SUMIFS($H$7:H157,$D$7:D157,D157)-SUMIFS($I$7:I157,$D$7:D157,D157))))))</f>
        <v/>
      </c>
      <c r="L157" s="19" t="n"/>
      <c r="M157" s="19" t="n"/>
      <c r="N157" s="19" t="n"/>
      <c r="O157" s="27">
        <f>IF(D157="","",IF(COUNTIF('01_자재목록'!$B$7:$B$106,D157)&lt;&gt;1,"자재코드 확인",IF(INDEX('01_자재목록'!$R$7:$R$106,MATCH(D157,'01_자재목록'!$B$7:$B$106,0))="","구분 미입력",INDEX('01_자재목록'!$R$7:$R$106,MATCH(D157,'01_자재목록'!$B$7:$B$106,0)))))</f>
        <v/>
      </c>
    </row>
    <row r="158" ht="24" customHeight="1">
      <c r="A158" s="18" t="n">
        <v>152</v>
      </c>
      <c r="B158" s="32" t="n"/>
      <c r="C158" s="19" t="n"/>
      <c r="D158" s="19" t="n"/>
      <c r="E158" s="23">
        <f>IF(D158="","",IFERROR(INDEX('01_자재목록'!$D$7:$D$106,MATCH(D158,'01_자재목록'!$B$7:$B$106,0))&amp;"","자재코드 확인"))</f>
        <v/>
      </c>
      <c r="F158" s="19" t="n"/>
      <c r="G158" s="19" t="n"/>
      <c r="H158" s="30" t="n"/>
      <c r="I158" s="30" t="n"/>
      <c r="J158" s="23">
        <f>IF(D158="","",IFERROR(INDEX('01_자재목록'!$I$7:$I$106,MATCH(D158,'01_자재목록'!$B$7:$B$106,0))&amp;"","자재코드 확인"))</f>
        <v/>
      </c>
      <c r="K158" s="31">
        <f>IF(D158="",IF(OR(B158&lt;&gt;"",C158&lt;&gt;"",H158&lt;&gt;"",I158&lt;&gt;""),"자재코드 입력 확인",""),IF(COUNTIF('01_자재목록'!$B$7:$B$106,D158)&lt;&gt;1,"자재코드 확인",IF(J158="","단위 입력 확인",IF(OR(NOT(ISNUMBER(B158)),B158&lt;1,AND(C158&lt;&gt;"입고",C158&lt;&gt;"출고",C158&lt;&gt;"조정")),"일자/구분 확인",IF(OR(AND(H158&lt;&gt;"",NOT(ISNUMBER(H158))),AND(I158&lt;&gt;"",NOT(ISNUMBER(I158))),H158&lt;0,I158&lt;0,AND(H158&lt;=0,I158&lt;=0),AND(H158&gt;0,I158&gt;0),AND(C158="입고",I158&gt;0),AND(C158="출고",H158&gt;0)),"수량/구분 확인",SUMIFS($H$7:H158,$D$7:D158,D158)-SUMIFS($I$7:I158,$D$7:D158,D158))))))</f>
        <v/>
      </c>
      <c r="L158" s="19" t="n"/>
      <c r="M158" s="19" t="n"/>
      <c r="N158" s="19" t="n"/>
      <c r="O158" s="27">
        <f>IF(D158="","",IF(COUNTIF('01_자재목록'!$B$7:$B$106,D158)&lt;&gt;1,"자재코드 확인",IF(INDEX('01_자재목록'!$R$7:$R$106,MATCH(D158,'01_자재목록'!$B$7:$B$106,0))="","구분 미입력",INDEX('01_자재목록'!$R$7:$R$106,MATCH(D158,'01_자재목록'!$B$7:$B$106,0)))))</f>
        <v/>
      </c>
    </row>
    <row r="159" ht="24" customHeight="1">
      <c r="A159" s="18" t="n">
        <v>153</v>
      </c>
      <c r="B159" s="32" t="n"/>
      <c r="C159" s="19" t="n"/>
      <c r="D159" s="19" t="n"/>
      <c r="E159" s="23">
        <f>IF(D159="","",IFERROR(INDEX('01_자재목록'!$D$7:$D$106,MATCH(D159,'01_자재목록'!$B$7:$B$106,0))&amp;"","자재코드 확인"))</f>
        <v/>
      </c>
      <c r="F159" s="19" t="n"/>
      <c r="G159" s="19" t="n"/>
      <c r="H159" s="30" t="n"/>
      <c r="I159" s="30" t="n"/>
      <c r="J159" s="23">
        <f>IF(D159="","",IFERROR(INDEX('01_자재목록'!$I$7:$I$106,MATCH(D159,'01_자재목록'!$B$7:$B$106,0))&amp;"","자재코드 확인"))</f>
        <v/>
      </c>
      <c r="K159" s="31">
        <f>IF(D159="",IF(OR(B159&lt;&gt;"",C159&lt;&gt;"",H159&lt;&gt;"",I159&lt;&gt;""),"자재코드 입력 확인",""),IF(COUNTIF('01_자재목록'!$B$7:$B$106,D159)&lt;&gt;1,"자재코드 확인",IF(J159="","단위 입력 확인",IF(OR(NOT(ISNUMBER(B159)),B159&lt;1,AND(C159&lt;&gt;"입고",C159&lt;&gt;"출고",C159&lt;&gt;"조정")),"일자/구분 확인",IF(OR(AND(H159&lt;&gt;"",NOT(ISNUMBER(H159))),AND(I159&lt;&gt;"",NOT(ISNUMBER(I159))),H159&lt;0,I159&lt;0,AND(H159&lt;=0,I159&lt;=0),AND(H159&gt;0,I159&gt;0),AND(C159="입고",I159&gt;0),AND(C159="출고",H159&gt;0)),"수량/구분 확인",SUMIFS($H$7:H159,$D$7:D159,D159)-SUMIFS($I$7:I159,$D$7:D159,D159))))))</f>
        <v/>
      </c>
      <c r="L159" s="19" t="n"/>
      <c r="M159" s="19" t="n"/>
      <c r="N159" s="19" t="n"/>
      <c r="O159" s="27">
        <f>IF(D159="","",IF(COUNTIF('01_자재목록'!$B$7:$B$106,D159)&lt;&gt;1,"자재코드 확인",IF(INDEX('01_자재목록'!$R$7:$R$106,MATCH(D159,'01_자재목록'!$B$7:$B$106,0))="","구분 미입력",INDEX('01_자재목록'!$R$7:$R$106,MATCH(D159,'01_자재목록'!$B$7:$B$106,0)))))</f>
        <v/>
      </c>
    </row>
    <row r="160" ht="24" customHeight="1">
      <c r="A160" s="18" t="n">
        <v>154</v>
      </c>
      <c r="B160" s="32" t="n"/>
      <c r="C160" s="19" t="n"/>
      <c r="D160" s="19" t="n"/>
      <c r="E160" s="23">
        <f>IF(D160="","",IFERROR(INDEX('01_자재목록'!$D$7:$D$106,MATCH(D160,'01_자재목록'!$B$7:$B$106,0))&amp;"","자재코드 확인"))</f>
        <v/>
      </c>
      <c r="F160" s="19" t="n"/>
      <c r="G160" s="19" t="n"/>
      <c r="H160" s="30" t="n"/>
      <c r="I160" s="30" t="n"/>
      <c r="J160" s="23">
        <f>IF(D160="","",IFERROR(INDEX('01_자재목록'!$I$7:$I$106,MATCH(D160,'01_자재목록'!$B$7:$B$106,0))&amp;"","자재코드 확인"))</f>
        <v/>
      </c>
      <c r="K160" s="31">
        <f>IF(D160="",IF(OR(B160&lt;&gt;"",C160&lt;&gt;"",H160&lt;&gt;"",I160&lt;&gt;""),"자재코드 입력 확인",""),IF(COUNTIF('01_자재목록'!$B$7:$B$106,D160)&lt;&gt;1,"자재코드 확인",IF(J160="","단위 입력 확인",IF(OR(NOT(ISNUMBER(B160)),B160&lt;1,AND(C160&lt;&gt;"입고",C160&lt;&gt;"출고",C160&lt;&gt;"조정")),"일자/구분 확인",IF(OR(AND(H160&lt;&gt;"",NOT(ISNUMBER(H160))),AND(I160&lt;&gt;"",NOT(ISNUMBER(I160))),H160&lt;0,I160&lt;0,AND(H160&lt;=0,I160&lt;=0),AND(H160&gt;0,I160&gt;0),AND(C160="입고",I160&gt;0),AND(C160="출고",H160&gt;0)),"수량/구분 확인",SUMIFS($H$7:H160,$D$7:D160,D160)-SUMIFS($I$7:I160,$D$7:D160,D160))))))</f>
        <v/>
      </c>
      <c r="L160" s="19" t="n"/>
      <c r="M160" s="19" t="n"/>
      <c r="N160" s="19" t="n"/>
      <c r="O160" s="27">
        <f>IF(D160="","",IF(COUNTIF('01_자재목록'!$B$7:$B$106,D160)&lt;&gt;1,"자재코드 확인",IF(INDEX('01_자재목록'!$R$7:$R$106,MATCH(D160,'01_자재목록'!$B$7:$B$106,0))="","구분 미입력",INDEX('01_자재목록'!$R$7:$R$106,MATCH(D160,'01_자재목록'!$B$7:$B$106,0)))))</f>
        <v/>
      </c>
    </row>
    <row r="161" ht="24" customHeight="1">
      <c r="A161" s="18" t="n">
        <v>155</v>
      </c>
      <c r="B161" s="32" t="n"/>
      <c r="C161" s="19" t="n"/>
      <c r="D161" s="19" t="n"/>
      <c r="E161" s="23">
        <f>IF(D161="","",IFERROR(INDEX('01_자재목록'!$D$7:$D$106,MATCH(D161,'01_자재목록'!$B$7:$B$106,0))&amp;"","자재코드 확인"))</f>
        <v/>
      </c>
      <c r="F161" s="19" t="n"/>
      <c r="G161" s="19" t="n"/>
      <c r="H161" s="30" t="n"/>
      <c r="I161" s="30" t="n"/>
      <c r="J161" s="23">
        <f>IF(D161="","",IFERROR(INDEX('01_자재목록'!$I$7:$I$106,MATCH(D161,'01_자재목록'!$B$7:$B$106,0))&amp;"","자재코드 확인"))</f>
        <v/>
      </c>
      <c r="K161" s="31">
        <f>IF(D161="",IF(OR(B161&lt;&gt;"",C161&lt;&gt;"",H161&lt;&gt;"",I161&lt;&gt;""),"자재코드 입력 확인",""),IF(COUNTIF('01_자재목록'!$B$7:$B$106,D161)&lt;&gt;1,"자재코드 확인",IF(J161="","단위 입력 확인",IF(OR(NOT(ISNUMBER(B161)),B161&lt;1,AND(C161&lt;&gt;"입고",C161&lt;&gt;"출고",C161&lt;&gt;"조정")),"일자/구분 확인",IF(OR(AND(H161&lt;&gt;"",NOT(ISNUMBER(H161))),AND(I161&lt;&gt;"",NOT(ISNUMBER(I161))),H161&lt;0,I161&lt;0,AND(H161&lt;=0,I161&lt;=0),AND(H161&gt;0,I161&gt;0),AND(C161="입고",I161&gt;0),AND(C161="출고",H161&gt;0)),"수량/구분 확인",SUMIFS($H$7:H161,$D$7:D161,D161)-SUMIFS($I$7:I161,$D$7:D161,D161))))))</f>
        <v/>
      </c>
      <c r="L161" s="19" t="n"/>
      <c r="M161" s="19" t="n"/>
      <c r="N161" s="19" t="n"/>
      <c r="O161" s="27">
        <f>IF(D161="","",IF(COUNTIF('01_자재목록'!$B$7:$B$106,D161)&lt;&gt;1,"자재코드 확인",IF(INDEX('01_자재목록'!$R$7:$R$106,MATCH(D161,'01_자재목록'!$B$7:$B$106,0))="","구분 미입력",INDEX('01_자재목록'!$R$7:$R$106,MATCH(D161,'01_자재목록'!$B$7:$B$106,0)))))</f>
        <v/>
      </c>
    </row>
    <row r="162" ht="24" customHeight="1">
      <c r="A162" s="18" t="n">
        <v>156</v>
      </c>
      <c r="B162" s="32" t="n"/>
      <c r="C162" s="19" t="n"/>
      <c r="D162" s="19" t="n"/>
      <c r="E162" s="23">
        <f>IF(D162="","",IFERROR(INDEX('01_자재목록'!$D$7:$D$106,MATCH(D162,'01_자재목록'!$B$7:$B$106,0))&amp;"","자재코드 확인"))</f>
        <v/>
      </c>
      <c r="F162" s="19" t="n"/>
      <c r="G162" s="19" t="n"/>
      <c r="H162" s="30" t="n"/>
      <c r="I162" s="30" t="n"/>
      <c r="J162" s="23">
        <f>IF(D162="","",IFERROR(INDEX('01_자재목록'!$I$7:$I$106,MATCH(D162,'01_자재목록'!$B$7:$B$106,0))&amp;"","자재코드 확인"))</f>
        <v/>
      </c>
      <c r="K162" s="31">
        <f>IF(D162="",IF(OR(B162&lt;&gt;"",C162&lt;&gt;"",H162&lt;&gt;"",I162&lt;&gt;""),"자재코드 입력 확인",""),IF(COUNTIF('01_자재목록'!$B$7:$B$106,D162)&lt;&gt;1,"자재코드 확인",IF(J162="","단위 입력 확인",IF(OR(NOT(ISNUMBER(B162)),B162&lt;1,AND(C162&lt;&gt;"입고",C162&lt;&gt;"출고",C162&lt;&gt;"조정")),"일자/구분 확인",IF(OR(AND(H162&lt;&gt;"",NOT(ISNUMBER(H162))),AND(I162&lt;&gt;"",NOT(ISNUMBER(I162))),H162&lt;0,I162&lt;0,AND(H162&lt;=0,I162&lt;=0),AND(H162&gt;0,I162&gt;0),AND(C162="입고",I162&gt;0),AND(C162="출고",H162&gt;0)),"수량/구분 확인",SUMIFS($H$7:H162,$D$7:D162,D162)-SUMIFS($I$7:I162,$D$7:D162,D162))))))</f>
        <v/>
      </c>
      <c r="L162" s="19" t="n"/>
      <c r="M162" s="19" t="n"/>
      <c r="N162" s="19" t="n"/>
      <c r="O162" s="27">
        <f>IF(D162="","",IF(COUNTIF('01_자재목록'!$B$7:$B$106,D162)&lt;&gt;1,"자재코드 확인",IF(INDEX('01_자재목록'!$R$7:$R$106,MATCH(D162,'01_자재목록'!$B$7:$B$106,0))="","구분 미입력",INDEX('01_자재목록'!$R$7:$R$106,MATCH(D162,'01_자재목록'!$B$7:$B$106,0)))))</f>
        <v/>
      </c>
    </row>
    <row r="163" ht="24" customHeight="1">
      <c r="A163" s="18" t="n">
        <v>157</v>
      </c>
      <c r="B163" s="32" t="n"/>
      <c r="C163" s="19" t="n"/>
      <c r="D163" s="19" t="n"/>
      <c r="E163" s="23">
        <f>IF(D163="","",IFERROR(INDEX('01_자재목록'!$D$7:$D$106,MATCH(D163,'01_자재목록'!$B$7:$B$106,0))&amp;"","자재코드 확인"))</f>
        <v/>
      </c>
      <c r="F163" s="19" t="n"/>
      <c r="G163" s="19" t="n"/>
      <c r="H163" s="30" t="n"/>
      <c r="I163" s="30" t="n"/>
      <c r="J163" s="23">
        <f>IF(D163="","",IFERROR(INDEX('01_자재목록'!$I$7:$I$106,MATCH(D163,'01_자재목록'!$B$7:$B$106,0))&amp;"","자재코드 확인"))</f>
        <v/>
      </c>
      <c r="K163" s="31">
        <f>IF(D163="",IF(OR(B163&lt;&gt;"",C163&lt;&gt;"",H163&lt;&gt;"",I163&lt;&gt;""),"자재코드 입력 확인",""),IF(COUNTIF('01_자재목록'!$B$7:$B$106,D163)&lt;&gt;1,"자재코드 확인",IF(J163="","단위 입력 확인",IF(OR(NOT(ISNUMBER(B163)),B163&lt;1,AND(C163&lt;&gt;"입고",C163&lt;&gt;"출고",C163&lt;&gt;"조정")),"일자/구분 확인",IF(OR(AND(H163&lt;&gt;"",NOT(ISNUMBER(H163))),AND(I163&lt;&gt;"",NOT(ISNUMBER(I163))),H163&lt;0,I163&lt;0,AND(H163&lt;=0,I163&lt;=0),AND(H163&gt;0,I163&gt;0),AND(C163="입고",I163&gt;0),AND(C163="출고",H163&gt;0)),"수량/구분 확인",SUMIFS($H$7:H163,$D$7:D163,D163)-SUMIFS($I$7:I163,$D$7:D163,D163))))))</f>
        <v/>
      </c>
      <c r="L163" s="19" t="n"/>
      <c r="M163" s="19" t="n"/>
      <c r="N163" s="19" t="n"/>
      <c r="O163" s="27">
        <f>IF(D163="","",IF(COUNTIF('01_자재목록'!$B$7:$B$106,D163)&lt;&gt;1,"자재코드 확인",IF(INDEX('01_자재목록'!$R$7:$R$106,MATCH(D163,'01_자재목록'!$B$7:$B$106,0))="","구분 미입력",INDEX('01_자재목록'!$R$7:$R$106,MATCH(D163,'01_자재목록'!$B$7:$B$106,0)))))</f>
        <v/>
      </c>
    </row>
    <row r="164" ht="24" customHeight="1">
      <c r="A164" s="18" t="n">
        <v>158</v>
      </c>
      <c r="B164" s="32" t="n"/>
      <c r="C164" s="19" t="n"/>
      <c r="D164" s="19" t="n"/>
      <c r="E164" s="23">
        <f>IF(D164="","",IFERROR(INDEX('01_자재목록'!$D$7:$D$106,MATCH(D164,'01_자재목록'!$B$7:$B$106,0))&amp;"","자재코드 확인"))</f>
        <v/>
      </c>
      <c r="F164" s="19" t="n"/>
      <c r="G164" s="19" t="n"/>
      <c r="H164" s="30" t="n"/>
      <c r="I164" s="30" t="n"/>
      <c r="J164" s="23">
        <f>IF(D164="","",IFERROR(INDEX('01_자재목록'!$I$7:$I$106,MATCH(D164,'01_자재목록'!$B$7:$B$106,0))&amp;"","자재코드 확인"))</f>
        <v/>
      </c>
      <c r="K164" s="31">
        <f>IF(D164="",IF(OR(B164&lt;&gt;"",C164&lt;&gt;"",H164&lt;&gt;"",I164&lt;&gt;""),"자재코드 입력 확인",""),IF(COUNTIF('01_자재목록'!$B$7:$B$106,D164)&lt;&gt;1,"자재코드 확인",IF(J164="","단위 입력 확인",IF(OR(NOT(ISNUMBER(B164)),B164&lt;1,AND(C164&lt;&gt;"입고",C164&lt;&gt;"출고",C164&lt;&gt;"조정")),"일자/구분 확인",IF(OR(AND(H164&lt;&gt;"",NOT(ISNUMBER(H164))),AND(I164&lt;&gt;"",NOT(ISNUMBER(I164))),H164&lt;0,I164&lt;0,AND(H164&lt;=0,I164&lt;=0),AND(H164&gt;0,I164&gt;0),AND(C164="입고",I164&gt;0),AND(C164="출고",H164&gt;0)),"수량/구분 확인",SUMIFS($H$7:H164,$D$7:D164,D164)-SUMIFS($I$7:I164,$D$7:D164,D164))))))</f>
        <v/>
      </c>
      <c r="L164" s="19" t="n"/>
      <c r="M164" s="19" t="n"/>
      <c r="N164" s="19" t="n"/>
      <c r="O164" s="27">
        <f>IF(D164="","",IF(COUNTIF('01_자재목록'!$B$7:$B$106,D164)&lt;&gt;1,"자재코드 확인",IF(INDEX('01_자재목록'!$R$7:$R$106,MATCH(D164,'01_자재목록'!$B$7:$B$106,0))="","구분 미입력",INDEX('01_자재목록'!$R$7:$R$106,MATCH(D164,'01_자재목록'!$B$7:$B$106,0)))))</f>
        <v/>
      </c>
    </row>
    <row r="165" ht="24" customHeight="1">
      <c r="A165" s="18" t="n">
        <v>159</v>
      </c>
      <c r="B165" s="32" t="n"/>
      <c r="C165" s="19" t="n"/>
      <c r="D165" s="19" t="n"/>
      <c r="E165" s="23">
        <f>IF(D165="","",IFERROR(INDEX('01_자재목록'!$D$7:$D$106,MATCH(D165,'01_자재목록'!$B$7:$B$106,0))&amp;"","자재코드 확인"))</f>
        <v/>
      </c>
      <c r="F165" s="19" t="n"/>
      <c r="G165" s="19" t="n"/>
      <c r="H165" s="30" t="n"/>
      <c r="I165" s="30" t="n"/>
      <c r="J165" s="23">
        <f>IF(D165="","",IFERROR(INDEX('01_자재목록'!$I$7:$I$106,MATCH(D165,'01_자재목록'!$B$7:$B$106,0))&amp;"","자재코드 확인"))</f>
        <v/>
      </c>
      <c r="K165" s="31">
        <f>IF(D165="",IF(OR(B165&lt;&gt;"",C165&lt;&gt;"",H165&lt;&gt;"",I165&lt;&gt;""),"자재코드 입력 확인",""),IF(COUNTIF('01_자재목록'!$B$7:$B$106,D165)&lt;&gt;1,"자재코드 확인",IF(J165="","단위 입력 확인",IF(OR(NOT(ISNUMBER(B165)),B165&lt;1,AND(C165&lt;&gt;"입고",C165&lt;&gt;"출고",C165&lt;&gt;"조정")),"일자/구분 확인",IF(OR(AND(H165&lt;&gt;"",NOT(ISNUMBER(H165))),AND(I165&lt;&gt;"",NOT(ISNUMBER(I165))),H165&lt;0,I165&lt;0,AND(H165&lt;=0,I165&lt;=0),AND(H165&gt;0,I165&gt;0),AND(C165="입고",I165&gt;0),AND(C165="출고",H165&gt;0)),"수량/구분 확인",SUMIFS($H$7:H165,$D$7:D165,D165)-SUMIFS($I$7:I165,$D$7:D165,D165))))))</f>
        <v/>
      </c>
      <c r="L165" s="19" t="n"/>
      <c r="M165" s="19" t="n"/>
      <c r="N165" s="19" t="n"/>
      <c r="O165" s="27">
        <f>IF(D165="","",IF(COUNTIF('01_자재목록'!$B$7:$B$106,D165)&lt;&gt;1,"자재코드 확인",IF(INDEX('01_자재목록'!$R$7:$R$106,MATCH(D165,'01_자재목록'!$B$7:$B$106,0))="","구분 미입력",INDEX('01_자재목록'!$R$7:$R$106,MATCH(D165,'01_자재목록'!$B$7:$B$106,0)))))</f>
        <v/>
      </c>
    </row>
    <row r="166" ht="24" customHeight="1">
      <c r="A166" s="18" t="n">
        <v>160</v>
      </c>
      <c r="B166" s="32" t="n"/>
      <c r="C166" s="19" t="n"/>
      <c r="D166" s="19" t="n"/>
      <c r="E166" s="23">
        <f>IF(D166="","",IFERROR(INDEX('01_자재목록'!$D$7:$D$106,MATCH(D166,'01_자재목록'!$B$7:$B$106,0))&amp;"","자재코드 확인"))</f>
        <v/>
      </c>
      <c r="F166" s="19" t="n"/>
      <c r="G166" s="19" t="n"/>
      <c r="H166" s="30" t="n"/>
      <c r="I166" s="30" t="n"/>
      <c r="J166" s="23">
        <f>IF(D166="","",IFERROR(INDEX('01_자재목록'!$I$7:$I$106,MATCH(D166,'01_자재목록'!$B$7:$B$106,0))&amp;"","자재코드 확인"))</f>
        <v/>
      </c>
      <c r="K166" s="31">
        <f>IF(D166="",IF(OR(B166&lt;&gt;"",C166&lt;&gt;"",H166&lt;&gt;"",I166&lt;&gt;""),"자재코드 입력 확인",""),IF(COUNTIF('01_자재목록'!$B$7:$B$106,D166)&lt;&gt;1,"자재코드 확인",IF(J166="","단위 입력 확인",IF(OR(NOT(ISNUMBER(B166)),B166&lt;1,AND(C166&lt;&gt;"입고",C166&lt;&gt;"출고",C166&lt;&gt;"조정")),"일자/구분 확인",IF(OR(AND(H166&lt;&gt;"",NOT(ISNUMBER(H166))),AND(I166&lt;&gt;"",NOT(ISNUMBER(I166))),H166&lt;0,I166&lt;0,AND(H166&lt;=0,I166&lt;=0),AND(H166&gt;0,I166&gt;0),AND(C166="입고",I166&gt;0),AND(C166="출고",H166&gt;0)),"수량/구분 확인",SUMIFS($H$7:H166,$D$7:D166,D166)-SUMIFS($I$7:I166,$D$7:D166,D166))))))</f>
        <v/>
      </c>
      <c r="L166" s="19" t="n"/>
      <c r="M166" s="19" t="n"/>
      <c r="N166" s="19" t="n"/>
      <c r="O166" s="27">
        <f>IF(D166="","",IF(COUNTIF('01_자재목록'!$B$7:$B$106,D166)&lt;&gt;1,"자재코드 확인",IF(INDEX('01_자재목록'!$R$7:$R$106,MATCH(D166,'01_자재목록'!$B$7:$B$106,0))="","구분 미입력",INDEX('01_자재목록'!$R$7:$R$106,MATCH(D166,'01_자재목록'!$B$7:$B$106,0)))))</f>
        <v/>
      </c>
    </row>
    <row r="167" ht="24" customHeight="1">
      <c r="A167" s="18" t="n">
        <v>161</v>
      </c>
      <c r="B167" s="32" t="n"/>
      <c r="C167" s="19" t="n"/>
      <c r="D167" s="19" t="n"/>
      <c r="E167" s="23">
        <f>IF(D167="","",IFERROR(INDEX('01_자재목록'!$D$7:$D$106,MATCH(D167,'01_자재목록'!$B$7:$B$106,0))&amp;"","자재코드 확인"))</f>
        <v/>
      </c>
      <c r="F167" s="19" t="n"/>
      <c r="G167" s="19" t="n"/>
      <c r="H167" s="30" t="n"/>
      <c r="I167" s="30" t="n"/>
      <c r="J167" s="23">
        <f>IF(D167="","",IFERROR(INDEX('01_자재목록'!$I$7:$I$106,MATCH(D167,'01_자재목록'!$B$7:$B$106,0))&amp;"","자재코드 확인"))</f>
        <v/>
      </c>
      <c r="K167" s="31">
        <f>IF(D167="",IF(OR(B167&lt;&gt;"",C167&lt;&gt;"",H167&lt;&gt;"",I167&lt;&gt;""),"자재코드 입력 확인",""),IF(COUNTIF('01_자재목록'!$B$7:$B$106,D167)&lt;&gt;1,"자재코드 확인",IF(J167="","단위 입력 확인",IF(OR(NOT(ISNUMBER(B167)),B167&lt;1,AND(C167&lt;&gt;"입고",C167&lt;&gt;"출고",C167&lt;&gt;"조정")),"일자/구분 확인",IF(OR(AND(H167&lt;&gt;"",NOT(ISNUMBER(H167))),AND(I167&lt;&gt;"",NOT(ISNUMBER(I167))),H167&lt;0,I167&lt;0,AND(H167&lt;=0,I167&lt;=0),AND(H167&gt;0,I167&gt;0),AND(C167="입고",I167&gt;0),AND(C167="출고",H167&gt;0)),"수량/구분 확인",SUMIFS($H$7:H167,$D$7:D167,D167)-SUMIFS($I$7:I167,$D$7:D167,D167))))))</f>
        <v/>
      </c>
      <c r="L167" s="19" t="n"/>
      <c r="M167" s="19" t="n"/>
      <c r="N167" s="19" t="n"/>
      <c r="O167" s="27">
        <f>IF(D167="","",IF(COUNTIF('01_자재목록'!$B$7:$B$106,D167)&lt;&gt;1,"자재코드 확인",IF(INDEX('01_자재목록'!$R$7:$R$106,MATCH(D167,'01_자재목록'!$B$7:$B$106,0))="","구분 미입력",INDEX('01_자재목록'!$R$7:$R$106,MATCH(D167,'01_자재목록'!$B$7:$B$106,0)))))</f>
        <v/>
      </c>
    </row>
    <row r="168" ht="24" customHeight="1">
      <c r="A168" s="18" t="n">
        <v>162</v>
      </c>
      <c r="B168" s="32" t="n"/>
      <c r="C168" s="19" t="n"/>
      <c r="D168" s="19" t="n"/>
      <c r="E168" s="23">
        <f>IF(D168="","",IFERROR(INDEX('01_자재목록'!$D$7:$D$106,MATCH(D168,'01_자재목록'!$B$7:$B$106,0))&amp;"","자재코드 확인"))</f>
        <v/>
      </c>
      <c r="F168" s="19" t="n"/>
      <c r="G168" s="19" t="n"/>
      <c r="H168" s="30" t="n"/>
      <c r="I168" s="30" t="n"/>
      <c r="J168" s="23">
        <f>IF(D168="","",IFERROR(INDEX('01_자재목록'!$I$7:$I$106,MATCH(D168,'01_자재목록'!$B$7:$B$106,0))&amp;"","자재코드 확인"))</f>
        <v/>
      </c>
      <c r="K168" s="31">
        <f>IF(D168="",IF(OR(B168&lt;&gt;"",C168&lt;&gt;"",H168&lt;&gt;"",I168&lt;&gt;""),"자재코드 입력 확인",""),IF(COUNTIF('01_자재목록'!$B$7:$B$106,D168)&lt;&gt;1,"자재코드 확인",IF(J168="","단위 입력 확인",IF(OR(NOT(ISNUMBER(B168)),B168&lt;1,AND(C168&lt;&gt;"입고",C168&lt;&gt;"출고",C168&lt;&gt;"조정")),"일자/구분 확인",IF(OR(AND(H168&lt;&gt;"",NOT(ISNUMBER(H168))),AND(I168&lt;&gt;"",NOT(ISNUMBER(I168))),H168&lt;0,I168&lt;0,AND(H168&lt;=0,I168&lt;=0),AND(H168&gt;0,I168&gt;0),AND(C168="입고",I168&gt;0),AND(C168="출고",H168&gt;0)),"수량/구분 확인",SUMIFS($H$7:H168,$D$7:D168,D168)-SUMIFS($I$7:I168,$D$7:D168,D168))))))</f>
        <v/>
      </c>
      <c r="L168" s="19" t="n"/>
      <c r="M168" s="19" t="n"/>
      <c r="N168" s="19" t="n"/>
      <c r="O168" s="27">
        <f>IF(D168="","",IF(COUNTIF('01_자재목록'!$B$7:$B$106,D168)&lt;&gt;1,"자재코드 확인",IF(INDEX('01_자재목록'!$R$7:$R$106,MATCH(D168,'01_자재목록'!$B$7:$B$106,0))="","구분 미입력",INDEX('01_자재목록'!$R$7:$R$106,MATCH(D168,'01_자재목록'!$B$7:$B$106,0)))))</f>
        <v/>
      </c>
    </row>
    <row r="169" ht="24" customHeight="1">
      <c r="A169" s="18" t="n">
        <v>163</v>
      </c>
      <c r="B169" s="32" t="n"/>
      <c r="C169" s="19" t="n"/>
      <c r="D169" s="19" t="n"/>
      <c r="E169" s="23">
        <f>IF(D169="","",IFERROR(INDEX('01_자재목록'!$D$7:$D$106,MATCH(D169,'01_자재목록'!$B$7:$B$106,0))&amp;"","자재코드 확인"))</f>
        <v/>
      </c>
      <c r="F169" s="19" t="n"/>
      <c r="G169" s="19" t="n"/>
      <c r="H169" s="30" t="n"/>
      <c r="I169" s="30" t="n"/>
      <c r="J169" s="23">
        <f>IF(D169="","",IFERROR(INDEX('01_자재목록'!$I$7:$I$106,MATCH(D169,'01_자재목록'!$B$7:$B$106,0))&amp;"","자재코드 확인"))</f>
        <v/>
      </c>
      <c r="K169" s="31">
        <f>IF(D169="",IF(OR(B169&lt;&gt;"",C169&lt;&gt;"",H169&lt;&gt;"",I169&lt;&gt;""),"자재코드 입력 확인",""),IF(COUNTIF('01_자재목록'!$B$7:$B$106,D169)&lt;&gt;1,"자재코드 확인",IF(J169="","단위 입력 확인",IF(OR(NOT(ISNUMBER(B169)),B169&lt;1,AND(C169&lt;&gt;"입고",C169&lt;&gt;"출고",C169&lt;&gt;"조정")),"일자/구분 확인",IF(OR(AND(H169&lt;&gt;"",NOT(ISNUMBER(H169))),AND(I169&lt;&gt;"",NOT(ISNUMBER(I169))),H169&lt;0,I169&lt;0,AND(H169&lt;=0,I169&lt;=0),AND(H169&gt;0,I169&gt;0),AND(C169="입고",I169&gt;0),AND(C169="출고",H169&gt;0)),"수량/구분 확인",SUMIFS($H$7:H169,$D$7:D169,D169)-SUMIFS($I$7:I169,$D$7:D169,D169))))))</f>
        <v/>
      </c>
      <c r="L169" s="19" t="n"/>
      <c r="M169" s="19" t="n"/>
      <c r="N169" s="19" t="n"/>
      <c r="O169" s="27">
        <f>IF(D169="","",IF(COUNTIF('01_자재목록'!$B$7:$B$106,D169)&lt;&gt;1,"자재코드 확인",IF(INDEX('01_자재목록'!$R$7:$R$106,MATCH(D169,'01_자재목록'!$B$7:$B$106,0))="","구분 미입력",INDEX('01_자재목록'!$R$7:$R$106,MATCH(D169,'01_자재목록'!$B$7:$B$106,0)))))</f>
        <v/>
      </c>
    </row>
    <row r="170" ht="24" customHeight="1">
      <c r="A170" s="18" t="n">
        <v>164</v>
      </c>
      <c r="B170" s="32" t="n"/>
      <c r="C170" s="19" t="n"/>
      <c r="D170" s="19" t="n"/>
      <c r="E170" s="23">
        <f>IF(D170="","",IFERROR(INDEX('01_자재목록'!$D$7:$D$106,MATCH(D170,'01_자재목록'!$B$7:$B$106,0))&amp;"","자재코드 확인"))</f>
        <v/>
      </c>
      <c r="F170" s="19" t="n"/>
      <c r="G170" s="19" t="n"/>
      <c r="H170" s="30" t="n"/>
      <c r="I170" s="30" t="n"/>
      <c r="J170" s="23">
        <f>IF(D170="","",IFERROR(INDEX('01_자재목록'!$I$7:$I$106,MATCH(D170,'01_자재목록'!$B$7:$B$106,0))&amp;"","자재코드 확인"))</f>
        <v/>
      </c>
      <c r="K170" s="31">
        <f>IF(D170="",IF(OR(B170&lt;&gt;"",C170&lt;&gt;"",H170&lt;&gt;"",I170&lt;&gt;""),"자재코드 입력 확인",""),IF(COUNTIF('01_자재목록'!$B$7:$B$106,D170)&lt;&gt;1,"자재코드 확인",IF(J170="","단위 입력 확인",IF(OR(NOT(ISNUMBER(B170)),B170&lt;1,AND(C170&lt;&gt;"입고",C170&lt;&gt;"출고",C170&lt;&gt;"조정")),"일자/구분 확인",IF(OR(AND(H170&lt;&gt;"",NOT(ISNUMBER(H170))),AND(I170&lt;&gt;"",NOT(ISNUMBER(I170))),H170&lt;0,I170&lt;0,AND(H170&lt;=0,I170&lt;=0),AND(H170&gt;0,I170&gt;0),AND(C170="입고",I170&gt;0),AND(C170="출고",H170&gt;0)),"수량/구분 확인",SUMIFS($H$7:H170,$D$7:D170,D170)-SUMIFS($I$7:I170,$D$7:D170,D170))))))</f>
        <v/>
      </c>
      <c r="L170" s="19" t="n"/>
      <c r="M170" s="19" t="n"/>
      <c r="N170" s="19" t="n"/>
      <c r="O170" s="27">
        <f>IF(D170="","",IF(COUNTIF('01_자재목록'!$B$7:$B$106,D170)&lt;&gt;1,"자재코드 확인",IF(INDEX('01_자재목록'!$R$7:$R$106,MATCH(D170,'01_자재목록'!$B$7:$B$106,0))="","구분 미입력",INDEX('01_자재목록'!$R$7:$R$106,MATCH(D170,'01_자재목록'!$B$7:$B$106,0)))))</f>
        <v/>
      </c>
    </row>
    <row r="171" ht="24" customHeight="1">
      <c r="A171" s="18" t="n">
        <v>165</v>
      </c>
      <c r="B171" s="32" t="n"/>
      <c r="C171" s="19" t="n"/>
      <c r="D171" s="19" t="n"/>
      <c r="E171" s="23">
        <f>IF(D171="","",IFERROR(INDEX('01_자재목록'!$D$7:$D$106,MATCH(D171,'01_자재목록'!$B$7:$B$106,0))&amp;"","자재코드 확인"))</f>
        <v/>
      </c>
      <c r="F171" s="19" t="n"/>
      <c r="G171" s="19" t="n"/>
      <c r="H171" s="30" t="n"/>
      <c r="I171" s="30" t="n"/>
      <c r="J171" s="23">
        <f>IF(D171="","",IFERROR(INDEX('01_자재목록'!$I$7:$I$106,MATCH(D171,'01_자재목록'!$B$7:$B$106,0))&amp;"","자재코드 확인"))</f>
        <v/>
      </c>
      <c r="K171" s="31">
        <f>IF(D171="",IF(OR(B171&lt;&gt;"",C171&lt;&gt;"",H171&lt;&gt;"",I171&lt;&gt;""),"자재코드 입력 확인",""),IF(COUNTIF('01_자재목록'!$B$7:$B$106,D171)&lt;&gt;1,"자재코드 확인",IF(J171="","단위 입력 확인",IF(OR(NOT(ISNUMBER(B171)),B171&lt;1,AND(C171&lt;&gt;"입고",C171&lt;&gt;"출고",C171&lt;&gt;"조정")),"일자/구분 확인",IF(OR(AND(H171&lt;&gt;"",NOT(ISNUMBER(H171))),AND(I171&lt;&gt;"",NOT(ISNUMBER(I171))),H171&lt;0,I171&lt;0,AND(H171&lt;=0,I171&lt;=0),AND(H171&gt;0,I171&gt;0),AND(C171="입고",I171&gt;0),AND(C171="출고",H171&gt;0)),"수량/구분 확인",SUMIFS($H$7:H171,$D$7:D171,D171)-SUMIFS($I$7:I171,$D$7:D171,D171))))))</f>
        <v/>
      </c>
      <c r="L171" s="19" t="n"/>
      <c r="M171" s="19" t="n"/>
      <c r="N171" s="19" t="n"/>
      <c r="O171" s="27">
        <f>IF(D171="","",IF(COUNTIF('01_자재목록'!$B$7:$B$106,D171)&lt;&gt;1,"자재코드 확인",IF(INDEX('01_자재목록'!$R$7:$R$106,MATCH(D171,'01_자재목록'!$B$7:$B$106,0))="","구분 미입력",INDEX('01_자재목록'!$R$7:$R$106,MATCH(D171,'01_자재목록'!$B$7:$B$106,0)))))</f>
        <v/>
      </c>
    </row>
    <row r="172" ht="24" customHeight="1">
      <c r="A172" s="18" t="n">
        <v>166</v>
      </c>
      <c r="B172" s="32" t="n"/>
      <c r="C172" s="19" t="n"/>
      <c r="D172" s="19" t="n"/>
      <c r="E172" s="23">
        <f>IF(D172="","",IFERROR(INDEX('01_자재목록'!$D$7:$D$106,MATCH(D172,'01_자재목록'!$B$7:$B$106,0))&amp;"","자재코드 확인"))</f>
        <v/>
      </c>
      <c r="F172" s="19" t="n"/>
      <c r="G172" s="19" t="n"/>
      <c r="H172" s="30" t="n"/>
      <c r="I172" s="30" t="n"/>
      <c r="J172" s="23">
        <f>IF(D172="","",IFERROR(INDEX('01_자재목록'!$I$7:$I$106,MATCH(D172,'01_자재목록'!$B$7:$B$106,0))&amp;"","자재코드 확인"))</f>
        <v/>
      </c>
      <c r="K172" s="31">
        <f>IF(D172="",IF(OR(B172&lt;&gt;"",C172&lt;&gt;"",H172&lt;&gt;"",I172&lt;&gt;""),"자재코드 입력 확인",""),IF(COUNTIF('01_자재목록'!$B$7:$B$106,D172)&lt;&gt;1,"자재코드 확인",IF(J172="","단위 입력 확인",IF(OR(NOT(ISNUMBER(B172)),B172&lt;1,AND(C172&lt;&gt;"입고",C172&lt;&gt;"출고",C172&lt;&gt;"조정")),"일자/구분 확인",IF(OR(AND(H172&lt;&gt;"",NOT(ISNUMBER(H172))),AND(I172&lt;&gt;"",NOT(ISNUMBER(I172))),H172&lt;0,I172&lt;0,AND(H172&lt;=0,I172&lt;=0),AND(H172&gt;0,I172&gt;0),AND(C172="입고",I172&gt;0),AND(C172="출고",H172&gt;0)),"수량/구분 확인",SUMIFS($H$7:H172,$D$7:D172,D172)-SUMIFS($I$7:I172,$D$7:D172,D172))))))</f>
        <v/>
      </c>
      <c r="L172" s="19" t="n"/>
      <c r="M172" s="19" t="n"/>
      <c r="N172" s="19" t="n"/>
      <c r="O172" s="27">
        <f>IF(D172="","",IF(COUNTIF('01_자재목록'!$B$7:$B$106,D172)&lt;&gt;1,"자재코드 확인",IF(INDEX('01_자재목록'!$R$7:$R$106,MATCH(D172,'01_자재목록'!$B$7:$B$106,0))="","구분 미입력",INDEX('01_자재목록'!$R$7:$R$106,MATCH(D172,'01_자재목록'!$B$7:$B$106,0)))))</f>
        <v/>
      </c>
    </row>
    <row r="173" ht="24" customHeight="1">
      <c r="A173" s="18" t="n">
        <v>167</v>
      </c>
      <c r="B173" s="32" t="n"/>
      <c r="C173" s="19" t="n"/>
      <c r="D173" s="19" t="n"/>
      <c r="E173" s="23">
        <f>IF(D173="","",IFERROR(INDEX('01_자재목록'!$D$7:$D$106,MATCH(D173,'01_자재목록'!$B$7:$B$106,0))&amp;"","자재코드 확인"))</f>
        <v/>
      </c>
      <c r="F173" s="19" t="n"/>
      <c r="G173" s="19" t="n"/>
      <c r="H173" s="30" t="n"/>
      <c r="I173" s="30" t="n"/>
      <c r="J173" s="23">
        <f>IF(D173="","",IFERROR(INDEX('01_자재목록'!$I$7:$I$106,MATCH(D173,'01_자재목록'!$B$7:$B$106,0))&amp;"","자재코드 확인"))</f>
        <v/>
      </c>
      <c r="K173" s="31">
        <f>IF(D173="",IF(OR(B173&lt;&gt;"",C173&lt;&gt;"",H173&lt;&gt;"",I173&lt;&gt;""),"자재코드 입력 확인",""),IF(COUNTIF('01_자재목록'!$B$7:$B$106,D173)&lt;&gt;1,"자재코드 확인",IF(J173="","단위 입력 확인",IF(OR(NOT(ISNUMBER(B173)),B173&lt;1,AND(C173&lt;&gt;"입고",C173&lt;&gt;"출고",C173&lt;&gt;"조정")),"일자/구분 확인",IF(OR(AND(H173&lt;&gt;"",NOT(ISNUMBER(H173))),AND(I173&lt;&gt;"",NOT(ISNUMBER(I173))),H173&lt;0,I173&lt;0,AND(H173&lt;=0,I173&lt;=0),AND(H173&gt;0,I173&gt;0),AND(C173="입고",I173&gt;0),AND(C173="출고",H173&gt;0)),"수량/구분 확인",SUMIFS($H$7:H173,$D$7:D173,D173)-SUMIFS($I$7:I173,$D$7:D173,D173))))))</f>
        <v/>
      </c>
      <c r="L173" s="19" t="n"/>
      <c r="M173" s="19" t="n"/>
      <c r="N173" s="19" t="n"/>
      <c r="O173" s="27">
        <f>IF(D173="","",IF(COUNTIF('01_자재목록'!$B$7:$B$106,D173)&lt;&gt;1,"자재코드 확인",IF(INDEX('01_자재목록'!$R$7:$R$106,MATCH(D173,'01_자재목록'!$B$7:$B$106,0))="","구분 미입력",INDEX('01_자재목록'!$R$7:$R$106,MATCH(D173,'01_자재목록'!$B$7:$B$106,0)))))</f>
        <v/>
      </c>
    </row>
    <row r="174" ht="24" customHeight="1">
      <c r="A174" s="18" t="n">
        <v>168</v>
      </c>
      <c r="B174" s="32" t="n"/>
      <c r="C174" s="19" t="n"/>
      <c r="D174" s="19" t="n"/>
      <c r="E174" s="23">
        <f>IF(D174="","",IFERROR(INDEX('01_자재목록'!$D$7:$D$106,MATCH(D174,'01_자재목록'!$B$7:$B$106,0))&amp;"","자재코드 확인"))</f>
        <v/>
      </c>
      <c r="F174" s="19" t="n"/>
      <c r="G174" s="19" t="n"/>
      <c r="H174" s="30" t="n"/>
      <c r="I174" s="30" t="n"/>
      <c r="J174" s="23">
        <f>IF(D174="","",IFERROR(INDEX('01_자재목록'!$I$7:$I$106,MATCH(D174,'01_자재목록'!$B$7:$B$106,0))&amp;"","자재코드 확인"))</f>
        <v/>
      </c>
      <c r="K174" s="31">
        <f>IF(D174="",IF(OR(B174&lt;&gt;"",C174&lt;&gt;"",H174&lt;&gt;"",I174&lt;&gt;""),"자재코드 입력 확인",""),IF(COUNTIF('01_자재목록'!$B$7:$B$106,D174)&lt;&gt;1,"자재코드 확인",IF(J174="","단위 입력 확인",IF(OR(NOT(ISNUMBER(B174)),B174&lt;1,AND(C174&lt;&gt;"입고",C174&lt;&gt;"출고",C174&lt;&gt;"조정")),"일자/구분 확인",IF(OR(AND(H174&lt;&gt;"",NOT(ISNUMBER(H174))),AND(I174&lt;&gt;"",NOT(ISNUMBER(I174))),H174&lt;0,I174&lt;0,AND(H174&lt;=0,I174&lt;=0),AND(H174&gt;0,I174&gt;0),AND(C174="입고",I174&gt;0),AND(C174="출고",H174&gt;0)),"수량/구분 확인",SUMIFS($H$7:H174,$D$7:D174,D174)-SUMIFS($I$7:I174,$D$7:D174,D174))))))</f>
        <v/>
      </c>
      <c r="L174" s="19" t="n"/>
      <c r="M174" s="19" t="n"/>
      <c r="N174" s="19" t="n"/>
      <c r="O174" s="27">
        <f>IF(D174="","",IF(COUNTIF('01_자재목록'!$B$7:$B$106,D174)&lt;&gt;1,"자재코드 확인",IF(INDEX('01_자재목록'!$R$7:$R$106,MATCH(D174,'01_자재목록'!$B$7:$B$106,0))="","구분 미입력",INDEX('01_자재목록'!$R$7:$R$106,MATCH(D174,'01_자재목록'!$B$7:$B$106,0)))))</f>
        <v/>
      </c>
    </row>
    <row r="175" ht="24" customHeight="1">
      <c r="A175" s="18" t="n">
        <v>169</v>
      </c>
      <c r="B175" s="32" t="n"/>
      <c r="C175" s="19" t="n"/>
      <c r="D175" s="19" t="n"/>
      <c r="E175" s="23">
        <f>IF(D175="","",IFERROR(INDEX('01_자재목록'!$D$7:$D$106,MATCH(D175,'01_자재목록'!$B$7:$B$106,0))&amp;"","자재코드 확인"))</f>
        <v/>
      </c>
      <c r="F175" s="19" t="n"/>
      <c r="G175" s="19" t="n"/>
      <c r="H175" s="30" t="n"/>
      <c r="I175" s="30" t="n"/>
      <c r="J175" s="23">
        <f>IF(D175="","",IFERROR(INDEX('01_자재목록'!$I$7:$I$106,MATCH(D175,'01_자재목록'!$B$7:$B$106,0))&amp;"","자재코드 확인"))</f>
        <v/>
      </c>
      <c r="K175" s="31">
        <f>IF(D175="",IF(OR(B175&lt;&gt;"",C175&lt;&gt;"",H175&lt;&gt;"",I175&lt;&gt;""),"자재코드 입력 확인",""),IF(COUNTIF('01_자재목록'!$B$7:$B$106,D175)&lt;&gt;1,"자재코드 확인",IF(J175="","단위 입력 확인",IF(OR(NOT(ISNUMBER(B175)),B175&lt;1,AND(C175&lt;&gt;"입고",C175&lt;&gt;"출고",C175&lt;&gt;"조정")),"일자/구분 확인",IF(OR(AND(H175&lt;&gt;"",NOT(ISNUMBER(H175))),AND(I175&lt;&gt;"",NOT(ISNUMBER(I175))),H175&lt;0,I175&lt;0,AND(H175&lt;=0,I175&lt;=0),AND(H175&gt;0,I175&gt;0),AND(C175="입고",I175&gt;0),AND(C175="출고",H175&gt;0)),"수량/구분 확인",SUMIFS($H$7:H175,$D$7:D175,D175)-SUMIFS($I$7:I175,$D$7:D175,D175))))))</f>
        <v/>
      </c>
      <c r="L175" s="19" t="n"/>
      <c r="M175" s="19" t="n"/>
      <c r="N175" s="19" t="n"/>
      <c r="O175" s="27">
        <f>IF(D175="","",IF(COUNTIF('01_자재목록'!$B$7:$B$106,D175)&lt;&gt;1,"자재코드 확인",IF(INDEX('01_자재목록'!$R$7:$R$106,MATCH(D175,'01_자재목록'!$B$7:$B$106,0))="","구분 미입력",INDEX('01_자재목록'!$R$7:$R$106,MATCH(D175,'01_자재목록'!$B$7:$B$106,0)))))</f>
        <v/>
      </c>
    </row>
    <row r="176" ht="24" customHeight="1">
      <c r="A176" s="18" t="n">
        <v>170</v>
      </c>
      <c r="B176" s="32" t="n"/>
      <c r="C176" s="19" t="n"/>
      <c r="D176" s="19" t="n"/>
      <c r="E176" s="23">
        <f>IF(D176="","",IFERROR(INDEX('01_자재목록'!$D$7:$D$106,MATCH(D176,'01_자재목록'!$B$7:$B$106,0))&amp;"","자재코드 확인"))</f>
        <v/>
      </c>
      <c r="F176" s="19" t="n"/>
      <c r="G176" s="19" t="n"/>
      <c r="H176" s="30" t="n"/>
      <c r="I176" s="30" t="n"/>
      <c r="J176" s="23">
        <f>IF(D176="","",IFERROR(INDEX('01_자재목록'!$I$7:$I$106,MATCH(D176,'01_자재목록'!$B$7:$B$106,0))&amp;"","자재코드 확인"))</f>
        <v/>
      </c>
      <c r="K176" s="31">
        <f>IF(D176="",IF(OR(B176&lt;&gt;"",C176&lt;&gt;"",H176&lt;&gt;"",I176&lt;&gt;""),"자재코드 입력 확인",""),IF(COUNTIF('01_자재목록'!$B$7:$B$106,D176)&lt;&gt;1,"자재코드 확인",IF(J176="","단위 입력 확인",IF(OR(NOT(ISNUMBER(B176)),B176&lt;1,AND(C176&lt;&gt;"입고",C176&lt;&gt;"출고",C176&lt;&gt;"조정")),"일자/구분 확인",IF(OR(AND(H176&lt;&gt;"",NOT(ISNUMBER(H176))),AND(I176&lt;&gt;"",NOT(ISNUMBER(I176))),H176&lt;0,I176&lt;0,AND(H176&lt;=0,I176&lt;=0),AND(H176&gt;0,I176&gt;0),AND(C176="입고",I176&gt;0),AND(C176="출고",H176&gt;0)),"수량/구분 확인",SUMIFS($H$7:H176,$D$7:D176,D176)-SUMIFS($I$7:I176,$D$7:D176,D176))))))</f>
        <v/>
      </c>
      <c r="L176" s="19" t="n"/>
      <c r="M176" s="19" t="n"/>
      <c r="N176" s="19" t="n"/>
      <c r="O176" s="27">
        <f>IF(D176="","",IF(COUNTIF('01_자재목록'!$B$7:$B$106,D176)&lt;&gt;1,"자재코드 확인",IF(INDEX('01_자재목록'!$R$7:$R$106,MATCH(D176,'01_자재목록'!$B$7:$B$106,0))="","구분 미입력",INDEX('01_자재목록'!$R$7:$R$106,MATCH(D176,'01_자재목록'!$B$7:$B$106,0)))))</f>
        <v/>
      </c>
    </row>
    <row r="177" ht="24" customHeight="1">
      <c r="A177" s="18" t="n">
        <v>171</v>
      </c>
      <c r="B177" s="32" t="n"/>
      <c r="C177" s="19" t="n"/>
      <c r="D177" s="19" t="n"/>
      <c r="E177" s="23">
        <f>IF(D177="","",IFERROR(INDEX('01_자재목록'!$D$7:$D$106,MATCH(D177,'01_자재목록'!$B$7:$B$106,0))&amp;"","자재코드 확인"))</f>
        <v/>
      </c>
      <c r="F177" s="19" t="n"/>
      <c r="G177" s="19" t="n"/>
      <c r="H177" s="30" t="n"/>
      <c r="I177" s="30" t="n"/>
      <c r="J177" s="23">
        <f>IF(D177="","",IFERROR(INDEX('01_자재목록'!$I$7:$I$106,MATCH(D177,'01_자재목록'!$B$7:$B$106,0))&amp;"","자재코드 확인"))</f>
        <v/>
      </c>
      <c r="K177" s="31">
        <f>IF(D177="",IF(OR(B177&lt;&gt;"",C177&lt;&gt;"",H177&lt;&gt;"",I177&lt;&gt;""),"자재코드 입력 확인",""),IF(COUNTIF('01_자재목록'!$B$7:$B$106,D177)&lt;&gt;1,"자재코드 확인",IF(J177="","단위 입력 확인",IF(OR(NOT(ISNUMBER(B177)),B177&lt;1,AND(C177&lt;&gt;"입고",C177&lt;&gt;"출고",C177&lt;&gt;"조정")),"일자/구분 확인",IF(OR(AND(H177&lt;&gt;"",NOT(ISNUMBER(H177))),AND(I177&lt;&gt;"",NOT(ISNUMBER(I177))),H177&lt;0,I177&lt;0,AND(H177&lt;=0,I177&lt;=0),AND(H177&gt;0,I177&gt;0),AND(C177="입고",I177&gt;0),AND(C177="출고",H177&gt;0)),"수량/구분 확인",SUMIFS($H$7:H177,$D$7:D177,D177)-SUMIFS($I$7:I177,$D$7:D177,D177))))))</f>
        <v/>
      </c>
      <c r="L177" s="19" t="n"/>
      <c r="M177" s="19" t="n"/>
      <c r="N177" s="19" t="n"/>
      <c r="O177" s="27">
        <f>IF(D177="","",IF(COUNTIF('01_자재목록'!$B$7:$B$106,D177)&lt;&gt;1,"자재코드 확인",IF(INDEX('01_자재목록'!$R$7:$R$106,MATCH(D177,'01_자재목록'!$B$7:$B$106,0))="","구분 미입력",INDEX('01_자재목록'!$R$7:$R$106,MATCH(D177,'01_자재목록'!$B$7:$B$106,0)))))</f>
        <v/>
      </c>
    </row>
    <row r="178" ht="24" customHeight="1">
      <c r="A178" s="18" t="n">
        <v>172</v>
      </c>
      <c r="B178" s="32" t="n"/>
      <c r="C178" s="19" t="n"/>
      <c r="D178" s="19" t="n"/>
      <c r="E178" s="23">
        <f>IF(D178="","",IFERROR(INDEX('01_자재목록'!$D$7:$D$106,MATCH(D178,'01_자재목록'!$B$7:$B$106,0))&amp;"","자재코드 확인"))</f>
        <v/>
      </c>
      <c r="F178" s="19" t="n"/>
      <c r="G178" s="19" t="n"/>
      <c r="H178" s="30" t="n"/>
      <c r="I178" s="30" t="n"/>
      <c r="J178" s="23">
        <f>IF(D178="","",IFERROR(INDEX('01_자재목록'!$I$7:$I$106,MATCH(D178,'01_자재목록'!$B$7:$B$106,0))&amp;"","자재코드 확인"))</f>
        <v/>
      </c>
      <c r="K178" s="31">
        <f>IF(D178="",IF(OR(B178&lt;&gt;"",C178&lt;&gt;"",H178&lt;&gt;"",I178&lt;&gt;""),"자재코드 입력 확인",""),IF(COUNTIF('01_자재목록'!$B$7:$B$106,D178)&lt;&gt;1,"자재코드 확인",IF(J178="","단위 입력 확인",IF(OR(NOT(ISNUMBER(B178)),B178&lt;1,AND(C178&lt;&gt;"입고",C178&lt;&gt;"출고",C178&lt;&gt;"조정")),"일자/구분 확인",IF(OR(AND(H178&lt;&gt;"",NOT(ISNUMBER(H178))),AND(I178&lt;&gt;"",NOT(ISNUMBER(I178))),H178&lt;0,I178&lt;0,AND(H178&lt;=0,I178&lt;=0),AND(H178&gt;0,I178&gt;0),AND(C178="입고",I178&gt;0),AND(C178="출고",H178&gt;0)),"수량/구분 확인",SUMIFS($H$7:H178,$D$7:D178,D178)-SUMIFS($I$7:I178,$D$7:D178,D178))))))</f>
        <v/>
      </c>
      <c r="L178" s="19" t="n"/>
      <c r="M178" s="19" t="n"/>
      <c r="N178" s="19" t="n"/>
      <c r="O178" s="27">
        <f>IF(D178="","",IF(COUNTIF('01_자재목록'!$B$7:$B$106,D178)&lt;&gt;1,"자재코드 확인",IF(INDEX('01_자재목록'!$R$7:$R$106,MATCH(D178,'01_자재목록'!$B$7:$B$106,0))="","구분 미입력",INDEX('01_자재목록'!$R$7:$R$106,MATCH(D178,'01_자재목록'!$B$7:$B$106,0)))))</f>
        <v/>
      </c>
    </row>
    <row r="179" ht="24" customHeight="1">
      <c r="A179" s="18" t="n">
        <v>173</v>
      </c>
      <c r="B179" s="32" t="n"/>
      <c r="C179" s="19" t="n"/>
      <c r="D179" s="19" t="n"/>
      <c r="E179" s="23">
        <f>IF(D179="","",IFERROR(INDEX('01_자재목록'!$D$7:$D$106,MATCH(D179,'01_자재목록'!$B$7:$B$106,0))&amp;"","자재코드 확인"))</f>
        <v/>
      </c>
      <c r="F179" s="19" t="n"/>
      <c r="G179" s="19" t="n"/>
      <c r="H179" s="30" t="n"/>
      <c r="I179" s="30" t="n"/>
      <c r="J179" s="23">
        <f>IF(D179="","",IFERROR(INDEX('01_자재목록'!$I$7:$I$106,MATCH(D179,'01_자재목록'!$B$7:$B$106,0))&amp;"","자재코드 확인"))</f>
        <v/>
      </c>
      <c r="K179" s="31">
        <f>IF(D179="",IF(OR(B179&lt;&gt;"",C179&lt;&gt;"",H179&lt;&gt;"",I179&lt;&gt;""),"자재코드 입력 확인",""),IF(COUNTIF('01_자재목록'!$B$7:$B$106,D179)&lt;&gt;1,"자재코드 확인",IF(J179="","단위 입력 확인",IF(OR(NOT(ISNUMBER(B179)),B179&lt;1,AND(C179&lt;&gt;"입고",C179&lt;&gt;"출고",C179&lt;&gt;"조정")),"일자/구분 확인",IF(OR(AND(H179&lt;&gt;"",NOT(ISNUMBER(H179))),AND(I179&lt;&gt;"",NOT(ISNUMBER(I179))),H179&lt;0,I179&lt;0,AND(H179&lt;=0,I179&lt;=0),AND(H179&gt;0,I179&gt;0),AND(C179="입고",I179&gt;0),AND(C179="출고",H179&gt;0)),"수량/구분 확인",SUMIFS($H$7:H179,$D$7:D179,D179)-SUMIFS($I$7:I179,$D$7:D179,D179))))))</f>
        <v/>
      </c>
      <c r="L179" s="19" t="n"/>
      <c r="M179" s="19" t="n"/>
      <c r="N179" s="19" t="n"/>
      <c r="O179" s="27">
        <f>IF(D179="","",IF(COUNTIF('01_자재목록'!$B$7:$B$106,D179)&lt;&gt;1,"자재코드 확인",IF(INDEX('01_자재목록'!$R$7:$R$106,MATCH(D179,'01_자재목록'!$B$7:$B$106,0))="","구분 미입력",INDEX('01_자재목록'!$R$7:$R$106,MATCH(D179,'01_자재목록'!$B$7:$B$106,0)))))</f>
        <v/>
      </c>
    </row>
    <row r="180" ht="24" customHeight="1">
      <c r="A180" s="18" t="n">
        <v>174</v>
      </c>
      <c r="B180" s="32" t="n"/>
      <c r="C180" s="19" t="n"/>
      <c r="D180" s="19" t="n"/>
      <c r="E180" s="23">
        <f>IF(D180="","",IFERROR(INDEX('01_자재목록'!$D$7:$D$106,MATCH(D180,'01_자재목록'!$B$7:$B$106,0))&amp;"","자재코드 확인"))</f>
        <v/>
      </c>
      <c r="F180" s="19" t="n"/>
      <c r="G180" s="19" t="n"/>
      <c r="H180" s="30" t="n"/>
      <c r="I180" s="30" t="n"/>
      <c r="J180" s="23">
        <f>IF(D180="","",IFERROR(INDEX('01_자재목록'!$I$7:$I$106,MATCH(D180,'01_자재목록'!$B$7:$B$106,0))&amp;"","자재코드 확인"))</f>
        <v/>
      </c>
      <c r="K180" s="31">
        <f>IF(D180="",IF(OR(B180&lt;&gt;"",C180&lt;&gt;"",H180&lt;&gt;"",I180&lt;&gt;""),"자재코드 입력 확인",""),IF(COUNTIF('01_자재목록'!$B$7:$B$106,D180)&lt;&gt;1,"자재코드 확인",IF(J180="","단위 입력 확인",IF(OR(NOT(ISNUMBER(B180)),B180&lt;1,AND(C180&lt;&gt;"입고",C180&lt;&gt;"출고",C180&lt;&gt;"조정")),"일자/구분 확인",IF(OR(AND(H180&lt;&gt;"",NOT(ISNUMBER(H180))),AND(I180&lt;&gt;"",NOT(ISNUMBER(I180))),H180&lt;0,I180&lt;0,AND(H180&lt;=0,I180&lt;=0),AND(H180&gt;0,I180&gt;0),AND(C180="입고",I180&gt;0),AND(C180="출고",H180&gt;0)),"수량/구분 확인",SUMIFS($H$7:H180,$D$7:D180,D180)-SUMIFS($I$7:I180,$D$7:D180,D180))))))</f>
        <v/>
      </c>
      <c r="L180" s="19" t="n"/>
      <c r="M180" s="19" t="n"/>
      <c r="N180" s="19" t="n"/>
      <c r="O180" s="27">
        <f>IF(D180="","",IF(COUNTIF('01_자재목록'!$B$7:$B$106,D180)&lt;&gt;1,"자재코드 확인",IF(INDEX('01_자재목록'!$R$7:$R$106,MATCH(D180,'01_자재목록'!$B$7:$B$106,0))="","구분 미입력",INDEX('01_자재목록'!$R$7:$R$106,MATCH(D180,'01_자재목록'!$B$7:$B$106,0)))))</f>
        <v/>
      </c>
    </row>
    <row r="181" ht="24" customHeight="1">
      <c r="A181" s="18" t="n">
        <v>175</v>
      </c>
      <c r="B181" s="32" t="n"/>
      <c r="C181" s="19" t="n"/>
      <c r="D181" s="19" t="n"/>
      <c r="E181" s="23">
        <f>IF(D181="","",IFERROR(INDEX('01_자재목록'!$D$7:$D$106,MATCH(D181,'01_자재목록'!$B$7:$B$106,0))&amp;"","자재코드 확인"))</f>
        <v/>
      </c>
      <c r="F181" s="19" t="n"/>
      <c r="G181" s="19" t="n"/>
      <c r="H181" s="30" t="n"/>
      <c r="I181" s="30" t="n"/>
      <c r="J181" s="23">
        <f>IF(D181="","",IFERROR(INDEX('01_자재목록'!$I$7:$I$106,MATCH(D181,'01_자재목록'!$B$7:$B$106,0))&amp;"","자재코드 확인"))</f>
        <v/>
      </c>
      <c r="K181" s="31">
        <f>IF(D181="",IF(OR(B181&lt;&gt;"",C181&lt;&gt;"",H181&lt;&gt;"",I181&lt;&gt;""),"자재코드 입력 확인",""),IF(COUNTIF('01_자재목록'!$B$7:$B$106,D181)&lt;&gt;1,"자재코드 확인",IF(J181="","단위 입력 확인",IF(OR(NOT(ISNUMBER(B181)),B181&lt;1,AND(C181&lt;&gt;"입고",C181&lt;&gt;"출고",C181&lt;&gt;"조정")),"일자/구분 확인",IF(OR(AND(H181&lt;&gt;"",NOT(ISNUMBER(H181))),AND(I181&lt;&gt;"",NOT(ISNUMBER(I181))),H181&lt;0,I181&lt;0,AND(H181&lt;=0,I181&lt;=0),AND(H181&gt;0,I181&gt;0),AND(C181="입고",I181&gt;0),AND(C181="출고",H181&gt;0)),"수량/구분 확인",SUMIFS($H$7:H181,$D$7:D181,D181)-SUMIFS($I$7:I181,$D$7:D181,D181))))))</f>
        <v/>
      </c>
      <c r="L181" s="19" t="n"/>
      <c r="M181" s="19" t="n"/>
      <c r="N181" s="19" t="n"/>
      <c r="O181" s="27">
        <f>IF(D181="","",IF(COUNTIF('01_자재목록'!$B$7:$B$106,D181)&lt;&gt;1,"자재코드 확인",IF(INDEX('01_자재목록'!$R$7:$R$106,MATCH(D181,'01_자재목록'!$B$7:$B$106,0))="","구분 미입력",INDEX('01_자재목록'!$R$7:$R$106,MATCH(D181,'01_자재목록'!$B$7:$B$106,0)))))</f>
        <v/>
      </c>
    </row>
    <row r="182" ht="24" customHeight="1">
      <c r="A182" s="18" t="n">
        <v>176</v>
      </c>
      <c r="B182" s="32" t="n"/>
      <c r="C182" s="19" t="n"/>
      <c r="D182" s="19" t="n"/>
      <c r="E182" s="23">
        <f>IF(D182="","",IFERROR(INDEX('01_자재목록'!$D$7:$D$106,MATCH(D182,'01_자재목록'!$B$7:$B$106,0))&amp;"","자재코드 확인"))</f>
        <v/>
      </c>
      <c r="F182" s="19" t="n"/>
      <c r="G182" s="19" t="n"/>
      <c r="H182" s="30" t="n"/>
      <c r="I182" s="30" t="n"/>
      <c r="J182" s="23">
        <f>IF(D182="","",IFERROR(INDEX('01_자재목록'!$I$7:$I$106,MATCH(D182,'01_자재목록'!$B$7:$B$106,0))&amp;"","자재코드 확인"))</f>
        <v/>
      </c>
      <c r="K182" s="31">
        <f>IF(D182="",IF(OR(B182&lt;&gt;"",C182&lt;&gt;"",H182&lt;&gt;"",I182&lt;&gt;""),"자재코드 입력 확인",""),IF(COUNTIF('01_자재목록'!$B$7:$B$106,D182)&lt;&gt;1,"자재코드 확인",IF(J182="","단위 입력 확인",IF(OR(NOT(ISNUMBER(B182)),B182&lt;1,AND(C182&lt;&gt;"입고",C182&lt;&gt;"출고",C182&lt;&gt;"조정")),"일자/구분 확인",IF(OR(AND(H182&lt;&gt;"",NOT(ISNUMBER(H182))),AND(I182&lt;&gt;"",NOT(ISNUMBER(I182))),H182&lt;0,I182&lt;0,AND(H182&lt;=0,I182&lt;=0),AND(H182&gt;0,I182&gt;0),AND(C182="입고",I182&gt;0),AND(C182="출고",H182&gt;0)),"수량/구분 확인",SUMIFS($H$7:H182,$D$7:D182,D182)-SUMIFS($I$7:I182,$D$7:D182,D182))))))</f>
        <v/>
      </c>
      <c r="L182" s="19" t="n"/>
      <c r="M182" s="19" t="n"/>
      <c r="N182" s="19" t="n"/>
      <c r="O182" s="27">
        <f>IF(D182="","",IF(COUNTIF('01_자재목록'!$B$7:$B$106,D182)&lt;&gt;1,"자재코드 확인",IF(INDEX('01_자재목록'!$R$7:$R$106,MATCH(D182,'01_자재목록'!$B$7:$B$106,0))="","구분 미입력",INDEX('01_자재목록'!$R$7:$R$106,MATCH(D182,'01_자재목록'!$B$7:$B$106,0)))))</f>
        <v/>
      </c>
    </row>
    <row r="183" ht="24" customHeight="1">
      <c r="A183" s="18" t="n">
        <v>177</v>
      </c>
      <c r="B183" s="32" t="n"/>
      <c r="C183" s="19" t="n"/>
      <c r="D183" s="19" t="n"/>
      <c r="E183" s="23">
        <f>IF(D183="","",IFERROR(INDEX('01_자재목록'!$D$7:$D$106,MATCH(D183,'01_자재목록'!$B$7:$B$106,0))&amp;"","자재코드 확인"))</f>
        <v/>
      </c>
      <c r="F183" s="19" t="n"/>
      <c r="G183" s="19" t="n"/>
      <c r="H183" s="30" t="n"/>
      <c r="I183" s="30" t="n"/>
      <c r="J183" s="23">
        <f>IF(D183="","",IFERROR(INDEX('01_자재목록'!$I$7:$I$106,MATCH(D183,'01_자재목록'!$B$7:$B$106,0))&amp;"","자재코드 확인"))</f>
        <v/>
      </c>
      <c r="K183" s="31">
        <f>IF(D183="",IF(OR(B183&lt;&gt;"",C183&lt;&gt;"",H183&lt;&gt;"",I183&lt;&gt;""),"자재코드 입력 확인",""),IF(COUNTIF('01_자재목록'!$B$7:$B$106,D183)&lt;&gt;1,"자재코드 확인",IF(J183="","단위 입력 확인",IF(OR(NOT(ISNUMBER(B183)),B183&lt;1,AND(C183&lt;&gt;"입고",C183&lt;&gt;"출고",C183&lt;&gt;"조정")),"일자/구분 확인",IF(OR(AND(H183&lt;&gt;"",NOT(ISNUMBER(H183))),AND(I183&lt;&gt;"",NOT(ISNUMBER(I183))),H183&lt;0,I183&lt;0,AND(H183&lt;=0,I183&lt;=0),AND(H183&gt;0,I183&gt;0),AND(C183="입고",I183&gt;0),AND(C183="출고",H183&gt;0)),"수량/구분 확인",SUMIFS($H$7:H183,$D$7:D183,D183)-SUMIFS($I$7:I183,$D$7:D183,D183))))))</f>
        <v/>
      </c>
      <c r="L183" s="19" t="n"/>
      <c r="M183" s="19" t="n"/>
      <c r="N183" s="19" t="n"/>
      <c r="O183" s="27">
        <f>IF(D183="","",IF(COUNTIF('01_자재목록'!$B$7:$B$106,D183)&lt;&gt;1,"자재코드 확인",IF(INDEX('01_자재목록'!$R$7:$R$106,MATCH(D183,'01_자재목록'!$B$7:$B$106,0))="","구분 미입력",INDEX('01_자재목록'!$R$7:$R$106,MATCH(D183,'01_자재목록'!$B$7:$B$106,0)))))</f>
        <v/>
      </c>
    </row>
    <row r="184" ht="24" customHeight="1">
      <c r="A184" s="18" t="n">
        <v>178</v>
      </c>
      <c r="B184" s="32" t="n"/>
      <c r="C184" s="19" t="n"/>
      <c r="D184" s="19" t="n"/>
      <c r="E184" s="23">
        <f>IF(D184="","",IFERROR(INDEX('01_자재목록'!$D$7:$D$106,MATCH(D184,'01_자재목록'!$B$7:$B$106,0))&amp;"","자재코드 확인"))</f>
        <v/>
      </c>
      <c r="F184" s="19" t="n"/>
      <c r="G184" s="19" t="n"/>
      <c r="H184" s="30" t="n"/>
      <c r="I184" s="30" t="n"/>
      <c r="J184" s="23">
        <f>IF(D184="","",IFERROR(INDEX('01_자재목록'!$I$7:$I$106,MATCH(D184,'01_자재목록'!$B$7:$B$106,0))&amp;"","자재코드 확인"))</f>
        <v/>
      </c>
      <c r="K184" s="31">
        <f>IF(D184="",IF(OR(B184&lt;&gt;"",C184&lt;&gt;"",H184&lt;&gt;"",I184&lt;&gt;""),"자재코드 입력 확인",""),IF(COUNTIF('01_자재목록'!$B$7:$B$106,D184)&lt;&gt;1,"자재코드 확인",IF(J184="","단위 입력 확인",IF(OR(NOT(ISNUMBER(B184)),B184&lt;1,AND(C184&lt;&gt;"입고",C184&lt;&gt;"출고",C184&lt;&gt;"조정")),"일자/구분 확인",IF(OR(AND(H184&lt;&gt;"",NOT(ISNUMBER(H184))),AND(I184&lt;&gt;"",NOT(ISNUMBER(I184))),H184&lt;0,I184&lt;0,AND(H184&lt;=0,I184&lt;=0),AND(H184&gt;0,I184&gt;0),AND(C184="입고",I184&gt;0),AND(C184="출고",H184&gt;0)),"수량/구분 확인",SUMIFS($H$7:H184,$D$7:D184,D184)-SUMIFS($I$7:I184,$D$7:D184,D184))))))</f>
        <v/>
      </c>
      <c r="L184" s="19" t="n"/>
      <c r="M184" s="19" t="n"/>
      <c r="N184" s="19" t="n"/>
      <c r="O184" s="27">
        <f>IF(D184="","",IF(COUNTIF('01_자재목록'!$B$7:$B$106,D184)&lt;&gt;1,"자재코드 확인",IF(INDEX('01_자재목록'!$R$7:$R$106,MATCH(D184,'01_자재목록'!$B$7:$B$106,0))="","구분 미입력",INDEX('01_자재목록'!$R$7:$R$106,MATCH(D184,'01_자재목록'!$B$7:$B$106,0)))))</f>
        <v/>
      </c>
    </row>
    <row r="185" ht="24" customHeight="1">
      <c r="A185" s="18" t="n">
        <v>179</v>
      </c>
      <c r="B185" s="32" t="n"/>
      <c r="C185" s="19" t="n"/>
      <c r="D185" s="19" t="n"/>
      <c r="E185" s="23">
        <f>IF(D185="","",IFERROR(INDEX('01_자재목록'!$D$7:$D$106,MATCH(D185,'01_자재목록'!$B$7:$B$106,0))&amp;"","자재코드 확인"))</f>
        <v/>
      </c>
      <c r="F185" s="19" t="n"/>
      <c r="G185" s="19" t="n"/>
      <c r="H185" s="30" t="n"/>
      <c r="I185" s="30" t="n"/>
      <c r="J185" s="23">
        <f>IF(D185="","",IFERROR(INDEX('01_자재목록'!$I$7:$I$106,MATCH(D185,'01_자재목록'!$B$7:$B$106,0))&amp;"","자재코드 확인"))</f>
        <v/>
      </c>
      <c r="K185" s="31">
        <f>IF(D185="",IF(OR(B185&lt;&gt;"",C185&lt;&gt;"",H185&lt;&gt;"",I185&lt;&gt;""),"자재코드 입력 확인",""),IF(COUNTIF('01_자재목록'!$B$7:$B$106,D185)&lt;&gt;1,"자재코드 확인",IF(J185="","단위 입력 확인",IF(OR(NOT(ISNUMBER(B185)),B185&lt;1,AND(C185&lt;&gt;"입고",C185&lt;&gt;"출고",C185&lt;&gt;"조정")),"일자/구분 확인",IF(OR(AND(H185&lt;&gt;"",NOT(ISNUMBER(H185))),AND(I185&lt;&gt;"",NOT(ISNUMBER(I185))),H185&lt;0,I185&lt;0,AND(H185&lt;=0,I185&lt;=0),AND(H185&gt;0,I185&gt;0),AND(C185="입고",I185&gt;0),AND(C185="출고",H185&gt;0)),"수량/구분 확인",SUMIFS($H$7:H185,$D$7:D185,D185)-SUMIFS($I$7:I185,$D$7:D185,D185))))))</f>
        <v/>
      </c>
      <c r="L185" s="19" t="n"/>
      <c r="M185" s="19" t="n"/>
      <c r="N185" s="19" t="n"/>
      <c r="O185" s="27">
        <f>IF(D185="","",IF(COUNTIF('01_자재목록'!$B$7:$B$106,D185)&lt;&gt;1,"자재코드 확인",IF(INDEX('01_자재목록'!$R$7:$R$106,MATCH(D185,'01_자재목록'!$B$7:$B$106,0))="","구분 미입력",INDEX('01_자재목록'!$R$7:$R$106,MATCH(D185,'01_자재목록'!$B$7:$B$106,0)))))</f>
        <v/>
      </c>
    </row>
    <row r="186" ht="24" customHeight="1">
      <c r="A186" s="18" t="n">
        <v>180</v>
      </c>
      <c r="B186" s="32" t="n"/>
      <c r="C186" s="19" t="n"/>
      <c r="D186" s="19" t="n"/>
      <c r="E186" s="23">
        <f>IF(D186="","",IFERROR(INDEX('01_자재목록'!$D$7:$D$106,MATCH(D186,'01_자재목록'!$B$7:$B$106,0))&amp;"","자재코드 확인"))</f>
        <v/>
      </c>
      <c r="F186" s="19" t="n"/>
      <c r="G186" s="19" t="n"/>
      <c r="H186" s="30" t="n"/>
      <c r="I186" s="30" t="n"/>
      <c r="J186" s="23">
        <f>IF(D186="","",IFERROR(INDEX('01_자재목록'!$I$7:$I$106,MATCH(D186,'01_자재목록'!$B$7:$B$106,0))&amp;"","자재코드 확인"))</f>
        <v/>
      </c>
      <c r="K186" s="31">
        <f>IF(D186="",IF(OR(B186&lt;&gt;"",C186&lt;&gt;"",H186&lt;&gt;"",I186&lt;&gt;""),"자재코드 입력 확인",""),IF(COUNTIF('01_자재목록'!$B$7:$B$106,D186)&lt;&gt;1,"자재코드 확인",IF(J186="","단위 입력 확인",IF(OR(NOT(ISNUMBER(B186)),B186&lt;1,AND(C186&lt;&gt;"입고",C186&lt;&gt;"출고",C186&lt;&gt;"조정")),"일자/구분 확인",IF(OR(AND(H186&lt;&gt;"",NOT(ISNUMBER(H186))),AND(I186&lt;&gt;"",NOT(ISNUMBER(I186))),H186&lt;0,I186&lt;0,AND(H186&lt;=0,I186&lt;=0),AND(H186&gt;0,I186&gt;0),AND(C186="입고",I186&gt;0),AND(C186="출고",H186&gt;0)),"수량/구분 확인",SUMIFS($H$7:H186,$D$7:D186,D186)-SUMIFS($I$7:I186,$D$7:D186,D186))))))</f>
        <v/>
      </c>
      <c r="L186" s="19" t="n"/>
      <c r="M186" s="19" t="n"/>
      <c r="N186" s="19" t="n"/>
      <c r="O186" s="27">
        <f>IF(D186="","",IF(COUNTIF('01_자재목록'!$B$7:$B$106,D186)&lt;&gt;1,"자재코드 확인",IF(INDEX('01_자재목록'!$R$7:$R$106,MATCH(D186,'01_자재목록'!$B$7:$B$106,0))="","구분 미입력",INDEX('01_자재목록'!$R$7:$R$106,MATCH(D186,'01_자재목록'!$B$7:$B$106,0)))))</f>
        <v/>
      </c>
    </row>
    <row r="187" ht="24" customHeight="1">
      <c r="A187" s="18" t="n">
        <v>181</v>
      </c>
      <c r="B187" s="32" t="n"/>
      <c r="C187" s="19" t="n"/>
      <c r="D187" s="19" t="n"/>
      <c r="E187" s="23">
        <f>IF(D187="","",IFERROR(INDEX('01_자재목록'!$D$7:$D$106,MATCH(D187,'01_자재목록'!$B$7:$B$106,0))&amp;"","자재코드 확인"))</f>
        <v/>
      </c>
      <c r="F187" s="19" t="n"/>
      <c r="G187" s="19" t="n"/>
      <c r="H187" s="30" t="n"/>
      <c r="I187" s="30" t="n"/>
      <c r="J187" s="23">
        <f>IF(D187="","",IFERROR(INDEX('01_자재목록'!$I$7:$I$106,MATCH(D187,'01_자재목록'!$B$7:$B$106,0))&amp;"","자재코드 확인"))</f>
        <v/>
      </c>
      <c r="K187" s="31">
        <f>IF(D187="",IF(OR(B187&lt;&gt;"",C187&lt;&gt;"",H187&lt;&gt;"",I187&lt;&gt;""),"자재코드 입력 확인",""),IF(COUNTIF('01_자재목록'!$B$7:$B$106,D187)&lt;&gt;1,"자재코드 확인",IF(J187="","단위 입력 확인",IF(OR(NOT(ISNUMBER(B187)),B187&lt;1,AND(C187&lt;&gt;"입고",C187&lt;&gt;"출고",C187&lt;&gt;"조정")),"일자/구분 확인",IF(OR(AND(H187&lt;&gt;"",NOT(ISNUMBER(H187))),AND(I187&lt;&gt;"",NOT(ISNUMBER(I187))),H187&lt;0,I187&lt;0,AND(H187&lt;=0,I187&lt;=0),AND(H187&gt;0,I187&gt;0),AND(C187="입고",I187&gt;0),AND(C187="출고",H187&gt;0)),"수량/구분 확인",SUMIFS($H$7:H187,$D$7:D187,D187)-SUMIFS($I$7:I187,$D$7:D187,D187))))))</f>
        <v/>
      </c>
      <c r="L187" s="19" t="n"/>
      <c r="M187" s="19" t="n"/>
      <c r="N187" s="19" t="n"/>
      <c r="O187" s="27">
        <f>IF(D187="","",IF(COUNTIF('01_자재목록'!$B$7:$B$106,D187)&lt;&gt;1,"자재코드 확인",IF(INDEX('01_자재목록'!$R$7:$R$106,MATCH(D187,'01_자재목록'!$B$7:$B$106,0))="","구분 미입력",INDEX('01_자재목록'!$R$7:$R$106,MATCH(D187,'01_자재목록'!$B$7:$B$106,0)))))</f>
        <v/>
      </c>
    </row>
    <row r="188" ht="24" customHeight="1">
      <c r="A188" s="18" t="n">
        <v>182</v>
      </c>
      <c r="B188" s="32" t="n"/>
      <c r="C188" s="19" t="n"/>
      <c r="D188" s="19" t="n"/>
      <c r="E188" s="23">
        <f>IF(D188="","",IFERROR(INDEX('01_자재목록'!$D$7:$D$106,MATCH(D188,'01_자재목록'!$B$7:$B$106,0))&amp;"","자재코드 확인"))</f>
        <v/>
      </c>
      <c r="F188" s="19" t="n"/>
      <c r="G188" s="19" t="n"/>
      <c r="H188" s="30" t="n"/>
      <c r="I188" s="30" t="n"/>
      <c r="J188" s="23">
        <f>IF(D188="","",IFERROR(INDEX('01_자재목록'!$I$7:$I$106,MATCH(D188,'01_자재목록'!$B$7:$B$106,0))&amp;"","자재코드 확인"))</f>
        <v/>
      </c>
      <c r="K188" s="31">
        <f>IF(D188="",IF(OR(B188&lt;&gt;"",C188&lt;&gt;"",H188&lt;&gt;"",I188&lt;&gt;""),"자재코드 입력 확인",""),IF(COUNTIF('01_자재목록'!$B$7:$B$106,D188)&lt;&gt;1,"자재코드 확인",IF(J188="","단위 입력 확인",IF(OR(NOT(ISNUMBER(B188)),B188&lt;1,AND(C188&lt;&gt;"입고",C188&lt;&gt;"출고",C188&lt;&gt;"조정")),"일자/구분 확인",IF(OR(AND(H188&lt;&gt;"",NOT(ISNUMBER(H188))),AND(I188&lt;&gt;"",NOT(ISNUMBER(I188))),H188&lt;0,I188&lt;0,AND(H188&lt;=0,I188&lt;=0),AND(H188&gt;0,I188&gt;0),AND(C188="입고",I188&gt;0),AND(C188="출고",H188&gt;0)),"수량/구분 확인",SUMIFS($H$7:H188,$D$7:D188,D188)-SUMIFS($I$7:I188,$D$7:D188,D188))))))</f>
        <v/>
      </c>
      <c r="L188" s="19" t="n"/>
      <c r="M188" s="19" t="n"/>
      <c r="N188" s="19" t="n"/>
      <c r="O188" s="27">
        <f>IF(D188="","",IF(COUNTIF('01_자재목록'!$B$7:$B$106,D188)&lt;&gt;1,"자재코드 확인",IF(INDEX('01_자재목록'!$R$7:$R$106,MATCH(D188,'01_자재목록'!$B$7:$B$106,0))="","구분 미입력",INDEX('01_자재목록'!$R$7:$R$106,MATCH(D188,'01_자재목록'!$B$7:$B$106,0)))))</f>
        <v/>
      </c>
    </row>
    <row r="189" ht="24" customHeight="1">
      <c r="A189" s="18" t="n">
        <v>183</v>
      </c>
      <c r="B189" s="32" t="n"/>
      <c r="C189" s="19" t="n"/>
      <c r="D189" s="19" t="n"/>
      <c r="E189" s="23">
        <f>IF(D189="","",IFERROR(INDEX('01_자재목록'!$D$7:$D$106,MATCH(D189,'01_자재목록'!$B$7:$B$106,0))&amp;"","자재코드 확인"))</f>
        <v/>
      </c>
      <c r="F189" s="19" t="n"/>
      <c r="G189" s="19" t="n"/>
      <c r="H189" s="30" t="n"/>
      <c r="I189" s="30" t="n"/>
      <c r="J189" s="23">
        <f>IF(D189="","",IFERROR(INDEX('01_자재목록'!$I$7:$I$106,MATCH(D189,'01_자재목록'!$B$7:$B$106,0))&amp;"","자재코드 확인"))</f>
        <v/>
      </c>
      <c r="K189" s="31">
        <f>IF(D189="",IF(OR(B189&lt;&gt;"",C189&lt;&gt;"",H189&lt;&gt;"",I189&lt;&gt;""),"자재코드 입력 확인",""),IF(COUNTIF('01_자재목록'!$B$7:$B$106,D189)&lt;&gt;1,"자재코드 확인",IF(J189="","단위 입력 확인",IF(OR(NOT(ISNUMBER(B189)),B189&lt;1,AND(C189&lt;&gt;"입고",C189&lt;&gt;"출고",C189&lt;&gt;"조정")),"일자/구분 확인",IF(OR(AND(H189&lt;&gt;"",NOT(ISNUMBER(H189))),AND(I189&lt;&gt;"",NOT(ISNUMBER(I189))),H189&lt;0,I189&lt;0,AND(H189&lt;=0,I189&lt;=0),AND(H189&gt;0,I189&gt;0),AND(C189="입고",I189&gt;0),AND(C189="출고",H189&gt;0)),"수량/구분 확인",SUMIFS($H$7:H189,$D$7:D189,D189)-SUMIFS($I$7:I189,$D$7:D189,D189))))))</f>
        <v/>
      </c>
      <c r="L189" s="19" t="n"/>
      <c r="M189" s="19" t="n"/>
      <c r="N189" s="19" t="n"/>
      <c r="O189" s="27">
        <f>IF(D189="","",IF(COUNTIF('01_자재목록'!$B$7:$B$106,D189)&lt;&gt;1,"자재코드 확인",IF(INDEX('01_자재목록'!$R$7:$R$106,MATCH(D189,'01_자재목록'!$B$7:$B$106,0))="","구분 미입력",INDEX('01_자재목록'!$R$7:$R$106,MATCH(D189,'01_자재목록'!$B$7:$B$106,0)))))</f>
        <v/>
      </c>
    </row>
    <row r="190" ht="24" customHeight="1">
      <c r="A190" s="18" t="n">
        <v>184</v>
      </c>
      <c r="B190" s="32" t="n"/>
      <c r="C190" s="19" t="n"/>
      <c r="D190" s="19" t="n"/>
      <c r="E190" s="23">
        <f>IF(D190="","",IFERROR(INDEX('01_자재목록'!$D$7:$D$106,MATCH(D190,'01_자재목록'!$B$7:$B$106,0))&amp;"","자재코드 확인"))</f>
        <v/>
      </c>
      <c r="F190" s="19" t="n"/>
      <c r="G190" s="19" t="n"/>
      <c r="H190" s="30" t="n"/>
      <c r="I190" s="30" t="n"/>
      <c r="J190" s="23">
        <f>IF(D190="","",IFERROR(INDEX('01_자재목록'!$I$7:$I$106,MATCH(D190,'01_자재목록'!$B$7:$B$106,0))&amp;"","자재코드 확인"))</f>
        <v/>
      </c>
      <c r="K190" s="31">
        <f>IF(D190="",IF(OR(B190&lt;&gt;"",C190&lt;&gt;"",H190&lt;&gt;"",I190&lt;&gt;""),"자재코드 입력 확인",""),IF(COUNTIF('01_자재목록'!$B$7:$B$106,D190)&lt;&gt;1,"자재코드 확인",IF(J190="","단위 입력 확인",IF(OR(NOT(ISNUMBER(B190)),B190&lt;1,AND(C190&lt;&gt;"입고",C190&lt;&gt;"출고",C190&lt;&gt;"조정")),"일자/구분 확인",IF(OR(AND(H190&lt;&gt;"",NOT(ISNUMBER(H190))),AND(I190&lt;&gt;"",NOT(ISNUMBER(I190))),H190&lt;0,I190&lt;0,AND(H190&lt;=0,I190&lt;=0),AND(H190&gt;0,I190&gt;0),AND(C190="입고",I190&gt;0),AND(C190="출고",H190&gt;0)),"수량/구분 확인",SUMIFS($H$7:H190,$D$7:D190,D190)-SUMIFS($I$7:I190,$D$7:D190,D190))))))</f>
        <v/>
      </c>
      <c r="L190" s="19" t="n"/>
      <c r="M190" s="19" t="n"/>
      <c r="N190" s="19" t="n"/>
      <c r="O190" s="27">
        <f>IF(D190="","",IF(COUNTIF('01_자재목록'!$B$7:$B$106,D190)&lt;&gt;1,"자재코드 확인",IF(INDEX('01_자재목록'!$R$7:$R$106,MATCH(D190,'01_자재목록'!$B$7:$B$106,0))="","구분 미입력",INDEX('01_자재목록'!$R$7:$R$106,MATCH(D190,'01_자재목록'!$B$7:$B$106,0)))))</f>
        <v/>
      </c>
    </row>
    <row r="191" ht="24" customHeight="1">
      <c r="A191" s="18" t="n">
        <v>185</v>
      </c>
      <c r="B191" s="32" t="n"/>
      <c r="C191" s="19" t="n"/>
      <c r="D191" s="19" t="n"/>
      <c r="E191" s="23">
        <f>IF(D191="","",IFERROR(INDEX('01_자재목록'!$D$7:$D$106,MATCH(D191,'01_자재목록'!$B$7:$B$106,0))&amp;"","자재코드 확인"))</f>
        <v/>
      </c>
      <c r="F191" s="19" t="n"/>
      <c r="G191" s="19" t="n"/>
      <c r="H191" s="30" t="n"/>
      <c r="I191" s="30" t="n"/>
      <c r="J191" s="23">
        <f>IF(D191="","",IFERROR(INDEX('01_자재목록'!$I$7:$I$106,MATCH(D191,'01_자재목록'!$B$7:$B$106,0))&amp;"","자재코드 확인"))</f>
        <v/>
      </c>
      <c r="K191" s="31">
        <f>IF(D191="",IF(OR(B191&lt;&gt;"",C191&lt;&gt;"",H191&lt;&gt;"",I191&lt;&gt;""),"자재코드 입력 확인",""),IF(COUNTIF('01_자재목록'!$B$7:$B$106,D191)&lt;&gt;1,"자재코드 확인",IF(J191="","단위 입력 확인",IF(OR(NOT(ISNUMBER(B191)),B191&lt;1,AND(C191&lt;&gt;"입고",C191&lt;&gt;"출고",C191&lt;&gt;"조정")),"일자/구분 확인",IF(OR(AND(H191&lt;&gt;"",NOT(ISNUMBER(H191))),AND(I191&lt;&gt;"",NOT(ISNUMBER(I191))),H191&lt;0,I191&lt;0,AND(H191&lt;=0,I191&lt;=0),AND(H191&gt;0,I191&gt;0),AND(C191="입고",I191&gt;0),AND(C191="출고",H191&gt;0)),"수량/구분 확인",SUMIFS($H$7:H191,$D$7:D191,D191)-SUMIFS($I$7:I191,$D$7:D191,D191))))))</f>
        <v/>
      </c>
      <c r="L191" s="19" t="n"/>
      <c r="M191" s="19" t="n"/>
      <c r="N191" s="19" t="n"/>
      <c r="O191" s="27">
        <f>IF(D191="","",IF(COUNTIF('01_자재목록'!$B$7:$B$106,D191)&lt;&gt;1,"자재코드 확인",IF(INDEX('01_자재목록'!$R$7:$R$106,MATCH(D191,'01_자재목록'!$B$7:$B$106,0))="","구분 미입력",INDEX('01_자재목록'!$R$7:$R$106,MATCH(D191,'01_자재목록'!$B$7:$B$106,0)))))</f>
        <v/>
      </c>
    </row>
    <row r="192" ht="24" customHeight="1">
      <c r="A192" s="18" t="n">
        <v>186</v>
      </c>
      <c r="B192" s="32" t="n"/>
      <c r="C192" s="19" t="n"/>
      <c r="D192" s="19" t="n"/>
      <c r="E192" s="23">
        <f>IF(D192="","",IFERROR(INDEX('01_자재목록'!$D$7:$D$106,MATCH(D192,'01_자재목록'!$B$7:$B$106,0))&amp;"","자재코드 확인"))</f>
        <v/>
      </c>
      <c r="F192" s="19" t="n"/>
      <c r="G192" s="19" t="n"/>
      <c r="H192" s="30" t="n"/>
      <c r="I192" s="30" t="n"/>
      <c r="J192" s="23">
        <f>IF(D192="","",IFERROR(INDEX('01_자재목록'!$I$7:$I$106,MATCH(D192,'01_자재목록'!$B$7:$B$106,0))&amp;"","자재코드 확인"))</f>
        <v/>
      </c>
      <c r="K192" s="31">
        <f>IF(D192="",IF(OR(B192&lt;&gt;"",C192&lt;&gt;"",H192&lt;&gt;"",I192&lt;&gt;""),"자재코드 입력 확인",""),IF(COUNTIF('01_자재목록'!$B$7:$B$106,D192)&lt;&gt;1,"자재코드 확인",IF(J192="","단위 입력 확인",IF(OR(NOT(ISNUMBER(B192)),B192&lt;1,AND(C192&lt;&gt;"입고",C192&lt;&gt;"출고",C192&lt;&gt;"조정")),"일자/구분 확인",IF(OR(AND(H192&lt;&gt;"",NOT(ISNUMBER(H192))),AND(I192&lt;&gt;"",NOT(ISNUMBER(I192))),H192&lt;0,I192&lt;0,AND(H192&lt;=0,I192&lt;=0),AND(H192&gt;0,I192&gt;0),AND(C192="입고",I192&gt;0),AND(C192="출고",H192&gt;0)),"수량/구분 확인",SUMIFS($H$7:H192,$D$7:D192,D192)-SUMIFS($I$7:I192,$D$7:D192,D192))))))</f>
        <v/>
      </c>
      <c r="L192" s="19" t="n"/>
      <c r="M192" s="19" t="n"/>
      <c r="N192" s="19" t="n"/>
      <c r="O192" s="27">
        <f>IF(D192="","",IF(COUNTIF('01_자재목록'!$B$7:$B$106,D192)&lt;&gt;1,"자재코드 확인",IF(INDEX('01_자재목록'!$R$7:$R$106,MATCH(D192,'01_자재목록'!$B$7:$B$106,0))="","구분 미입력",INDEX('01_자재목록'!$R$7:$R$106,MATCH(D192,'01_자재목록'!$B$7:$B$106,0)))))</f>
        <v/>
      </c>
    </row>
    <row r="193" ht="24" customHeight="1">
      <c r="A193" s="18" t="n">
        <v>187</v>
      </c>
      <c r="B193" s="32" t="n"/>
      <c r="C193" s="19" t="n"/>
      <c r="D193" s="19" t="n"/>
      <c r="E193" s="23">
        <f>IF(D193="","",IFERROR(INDEX('01_자재목록'!$D$7:$D$106,MATCH(D193,'01_자재목록'!$B$7:$B$106,0))&amp;"","자재코드 확인"))</f>
        <v/>
      </c>
      <c r="F193" s="19" t="n"/>
      <c r="G193" s="19" t="n"/>
      <c r="H193" s="30" t="n"/>
      <c r="I193" s="30" t="n"/>
      <c r="J193" s="23">
        <f>IF(D193="","",IFERROR(INDEX('01_자재목록'!$I$7:$I$106,MATCH(D193,'01_자재목록'!$B$7:$B$106,0))&amp;"","자재코드 확인"))</f>
        <v/>
      </c>
      <c r="K193" s="31">
        <f>IF(D193="",IF(OR(B193&lt;&gt;"",C193&lt;&gt;"",H193&lt;&gt;"",I193&lt;&gt;""),"자재코드 입력 확인",""),IF(COUNTIF('01_자재목록'!$B$7:$B$106,D193)&lt;&gt;1,"자재코드 확인",IF(J193="","단위 입력 확인",IF(OR(NOT(ISNUMBER(B193)),B193&lt;1,AND(C193&lt;&gt;"입고",C193&lt;&gt;"출고",C193&lt;&gt;"조정")),"일자/구분 확인",IF(OR(AND(H193&lt;&gt;"",NOT(ISNUMBER(H193))),AND(I193&lt;&gt;"",NOT(ISNUMBER(I193))),H193&lt;0,I193&lt;0,AND(H193&lt;=0,I193&lt;=0),AND(H193&gt;0,I193&gt;0),AND(C193="입고",I193&gt;0),AND(C193="출고",H193&gt;0)),"수량/구분 확인",SUMIFS($H$7:H193,$D$7:D193,D193)-SUMIFS($I$7:I193,$D$7:D193,D193))))))</f>
        <v/>
      </c>
      <c r="L193" s="19" t="n"/>
      <c r="M193" s="19" t="n"/>
      <c r="N193" s="19" t="n"/>
      <c r="O193" s="27">
        <f>IF(D193="","",IF(COUNTIF('01_자재목록'!$B$7:$B$106,D193)&lt;&gt;1,"자재코드 확인",IF(INDEX('01_자재목록'!$R$7:$R$106,MATCH(D193,'01_자재목록'!$B$7:$B$106,0))="","구분 미입력",INDEX('01_자재목록'!$R$7:$R$106,MATCH(D193,'01_자재목록'!$B$7:$B$106,0)))))</f>
        <v/>
      </c>
    </row>
    <row r="194" ht="24" customHeight="1">
      <c r="A194" s="18" t="n">
        <v>188</v>
      </c>
      <c r="B194" s="32" t="n"/>
      <c r="C194" s="19" t="n"/>
      <c r="D194" s="19" t="n"/>
      <c r="E194" s="23">
        <f>IF(D194="","",IFERROR(INDEX('01_자재목록'!$D$7:$D$106,MATCH(D194,'01_자재목록'!$B$7:$B$106,0))&amp;"","자재코드 확인"))</f>
        <v/>
      </c>
      <c r="F194" s="19" t="n"/>
      <c r="G194" s="19" t="n"/>
      <c r="H194" s="30" t="n"/>
      <c r="I194" s="30" t="n"/>
      <c r="J194" s="23">
        <f>IF(D194="","",IFERROR(INDEX('01_자재목록'!$I$7:$I$106,MATCH(D194,'01_자재목록'!$B$7:$B$106,0))&amp;"","자재코드 확인"))</f>
        <v/>
      </c>
      <c r="K194" s="31">
        <f>IF(D194="",IF(OR(B194&lt;&gt;"",C194&lt;&gt;"",H194&lt;&gt;"",I194&lt;&gt;""),"자재코드 입력 확인",""),IF(COUNTIF('01_자재목록'!$B$7:$B$106,D194)&lt;&gt;1,"자재코드 확인",IF(J194="","단위 입력 확인",IF(OR(NOT(ISNUMBER(B194)),B194&lt;1,AND(C194&lt;&gt;"입고",C194&lt;&gt;"출고",C194&lt;&gt;"조정")),"일자/구분 확인",IF(OR(AND(H194&lt;&gt;"",NOT(ISNUMBER(H194))),AND(I194&lt;&gt;"",NOT(ISNUMBER(I194))),H194&lt;0,I194&lt;0,AND(H194&lt;=0,I194&lt;=0),AND(H194&gt;0,I194&gt;0),AND(C194="입고",I194&gt;0),AND(C194="출고",H194&gt;0)),"수량/구분 확인",SUMIFS($H$7:H194,$D$7:D194,D194)-SUMIFS($I$7:I194,$D$7:D194,D194))))))</f>
        <v/>
      </c>
      <c r="L194" s="19" t="n"/>
      <c r="M194" s="19" t="n"/>
      <c r="N194" s="19" t="n"/>
      <c r="O194" s="27">
        <f>IF(D194="","",IF(COUNTIF('01_자재목록'!$B$7:$B$106,D194)&lt;&gt;1,"자재코드 확인",IF(INDEX('01_자재목록'!$R$7:$R$106,MATCH(D194,'01_자재목록'!$B$7:$B$106,0))="","구분 미입력",INDEX('01_자재목록'!$R$7:$R$106,MATCH(D194,'01_자재목록'!$B$7:$B$106,0)))))</f>
        <v/>
      </c>
    </row>
    <row r="195" ht="24" customHeight="1">
      <c r="A195" s="18" t="n">
        <v>189</v>
      </c>
      <c r="B195" s="32" t="n"/>
      <c r="C195" s="19" t="n"/>
      <c r="D195" s="19" t="n"/>
      <c r="E195" s="23">
        <f>IF(D195="","",IFERROR(INDEX('01_자재목록'!$D$7:$D$106,MATCH(D195,'01_자재목록'!$B$7:$B$106,0))&amp;"","자재코드 확인"))</f>
        <v/>
      </c>
      <c r="F195" s="19" t="n"/>
      <c r="G195" s="19" t="n"/>
      <c r="H195" s="30" t="n"/>
      <c r="I195" s="30" t="n"/>
      <c r="J195" s="23">
        <f>IF(D195="","",IFERROR(INDEX('01_자재목록'!$I$7:$I$106,MATCH(D195,'01_자재목록'!$B$7:$B$106,0))&amp;"","자재코드 확인"))</f>
        <v/>
      </c>
      <c r="K195" s="31">
        <f>IF(D195="",IF(OR(B195&lt;&gt;"",C195&lt;&gt;"",H195&lt;&gt;"",I195&lt;&gt;""),"자재코드 입력 확인",""),IF(COUNTIF('01_자재목록'!$B$7:$B$106,D195)&lt;&gt;1,"자재코드 확인",IF(J195="","단위 입력 확인",IF(OR(NOT(ISNUMBER(B195)),B195&lt;1,AND(C195&lt;&gt;"입고",C195&lt;&gt;"출고",C195&lt;&gt;"조정")),"일자/구분 확인",IF(OR(AND(H195&lt;&gt;"",NOT(ISNUMBER(H195))),AND(I195&lt;&gt;"",NOT(ISNUMBER(I195))),H195&lt;0,I195&lt;0,AND(H195&lt;=0,I195&lt;=0),AND(H195&gt;0,I195&gt;0),AND(C195="입고",I195&gt;0),AND(C195="출고",H195&gt;0)),"수량/구분 확인",SUMIFS($H$7:H195,$D$7:D195,D195)-SUMIFS($I$7:I195,$D$7:D195,D195))))))</f>
        <v/>
      </c>
      <c r="L195" s="19" t="n"/>
      <c r="M195" s="19" t="n"/>
      <c r="N195" s="19" t="n"/>
      <c r="O195" s="27">
        <f>IF(D195="","",IF(COUNTIF('01_자재목록'!$B$7:$B$106,D195)&lt;&gt;1,"자재코드 확인",IF(INDEX('01_자재목록'!$R$7:$R$106,MATCH(D195,'01_자재목록'!$B$7:$B$106,0))="","구분 미입력",INDEX('01_자재목록'!$R$7:$R$106,MATCH(D195,'01_자재목록'!$B$7:$B$106,0)))))</f>
        <v/>
      </c>
    </row>
    <row r="196" ht="24" customHeight="1">
      <c r="A196" s="18" t="n">
        <v>190</v>
      </c>
      <c r="B196" s="32" t="n"/>
      <c r="C196" s="19" t="n"/>
      <c r="D196" s="19" t="n"/>
      <c r="E196" s="23">
        <f>IF(D196="","",IFERROR(INDEX('01_자재목록'!$D$7:$D$106,MATCH(D196,'01_자재목록'!$B$7:$B$106,0))&amp;"","자재코드 확인"))</f>
        <v/>
      </c>
      <c r="F196" s="19" t="n"/>
      <c r="G196" s="19" t="n"/>
      <c r="H196" s="30" t="n"/>
      <c r="I196" s="30" t="n"/>
      <c r="J196" s="23">
        <f>IF(D196="","",IFERROR(INDEX('01_자재목록'!$I$7:$I$106,MATCH(D196,'01_자재목록'!$B$7:$B$106,0))&amp;"","자재코드 확인"))</f>
        <v/>
      </c>
      <c r="K196" s="31">
        <f>IF(D196="",IF(OR(B196&lt;&gt;"",C196&lt;&gt;"",H196&lt;&gt;"",I196&lt;&gt;""),"자재코드 입력 확인",""),IF(COUNTIF('01_자재목록'!$B$7:$B$106,D196)&lt;&gt;1,"자재코드 확인",IF(J196="","단위 입력 확인",IF(OR(NOT(ISNUMBER(B196)),B196&lt;1,AND(C196&lt;&gt;"입고",C196&lt;&gt;"출고",C196&lt;&gt;"조정")),"일자/구분 확인",IF(OR(AND(H196&lt;&gt;"",NOT(ISNUMBER(H196))),AND(I196&lt;&gt;"",NOT(ISNUMBER(I196))),H196&lt;0,I196&lt;0,AND(H196&lt;=0,I196&lt;=0),AND(H196&gt;0,I196&gt;0),AND(C196="입고",I196&gt;0),AND(C196="출고",H196&gt;0)),"수량/구분 확인",SUMIFS($H$7:H196,$D$7:D196,D196)-SUMIFS($I$7:I196,$D$7:D196,D196))))))</f>
        <v/>
      </c>
      <c r="L196" s="19" t="n"/>
      <c r="M196" s="19" t="n"/>
      <c r="N196" s="19" t="n"/>
      <c r="O196" s="27">
        <f>IF(D196="","",IF(COUNTIF('01_자재목록'!$B$7:$B$106,D196)&lt;&gt;1,"자재코드 확인",IF(INDEX('01_자재목록'!$R$7:$R$106,MATCH(D196,'01_자재목록'!$B$7:$B$106,0))="","구분 미입력",INDEX('01_자재목록'!$R$7:$R$106,MATCH(D196,'01_자재목록'!$B$7:$B$106,0)))))</f>
        <v/>
      </c>
    </row>
    <row r="197" ht="24" customHeight="1">
      <c r="A197" s="18" t="n">
        <v>191</v>
      </c>
      <c r="B197" s="32" t="n"/>
      <c r="C197" s="19" t="n"/>
      <c r="D197" s="19" t="n"/>
      <c r="E197" s="23">
        <f>IF(D197="","",IFERROR(INDEX('01_자재목록'!$D$7:$D$106,MATCH(D197,'01_자재목록'!$B$7:$B$106,0))&amp;"","자재코드 확인"))</f>
        <v/>
      </c>
      <c r="F197" s="19" t="n"/>
      <c r="G197" s="19" t="n"/>
      <c r="H197" s="30" t="n"/>
      <c r="I197" s="30" t="n"/>
      <c r="J197" s="23">
        <f>IF(D197="","",IFERROR(INDEX('01_자재목록'!$I$7:$I$106,MATCH(D197,'01_자재목록'!$B$7:$B$106,0))&amp;"","자재코드 확인"))</f>
        <v/>
      </c>
      <c r="K197" s="31">
        <f>IF(D197="",IF(OR(B197&lt;&gt;"",C197&lt;&gt;"",H197&lt;&gt;"",I197&lt;&gt;""),"자재코드 입력 확인",""),IF(COUNTIF('01_자재목록'!$B$7:$B$106,D197)&lt;&gt;1,"자재코드 확인",IF(J197="","단위 입력 확인",IF(OR(NOT(ISNUMBER(B197)),B197&lt;1,AND(C197&lt;&gt;"입고",C197&lt;&gt;"출고",C197&lt;&gt;"조정")),"일자/구분 확인",IF(OR(AND(H197&lt;&gt;"",NOT(ISNUMBER(H197))),AND(I197&lt;&gt;"",NOT(ISNUMBER(I197))),H197&lt;0,I197&lt;0,AND(H197&lt;=0,I197&lt;=0),AND(H197&gt;0,I197&gt;0),AND(C197="입고",I197&gt;0),AND(C197="출고",H197&gt;0)),"수량/구분 확인",SUMIFS($H$7:H197,$D$7:D197,D197)-SUMIFS($I$7:I197,$D$7:D197,D197))))))</f>
        <v/>
      </c>
      <c r="L197" s="19" t="n"/>
      <c r="M197" s="19" t="n"/>
      <c r="N197" s="19" t="n"/>
      <c r="O197" s="27">
        <f>IF(D197="","",IF(COUNTIF('01_자재목록'!$B$7:$B$106,D197)&lt;&gt;1,"자재코드 확인",IF(INDEX('01_자재목록'!$R$7:$R$106,MATCH(D197,'01_자재목록'!$B$7:$B$106,0))="","구분 미입력",INDEX('01_자재목록'!$R$7:$R$106,MATCH(D197,'01_자재목록'!$B$7:$B$106,0)))))</f>
        <v/>
      </c>
    </row>
    <row r="198" ht="24" customHeight="1">
      <c r="A198" s="18" t="n">
        <v>192</v>
      </c>
      <c r="B198" s="32" t="n"/>
      <c r="C198" s="19" t="n"/>
      <c r="D198" s="19" t="n"/>
      <c r="E198" s="23">
        <f>IF(D198="","",IFERROR(INDEX('01_자재목록'!$D$7:$D$106,MATCH(D198,'01_자재목록'!$B$7:$B$106,0))&amp;"","자재코드 확인"))</f>
        <v/>
      </c>
      <c r="F198" s="19" t="n"/>
      <c r="G198" s="19" t="n"/>
      <c r="H198" s="30" t="n"/>
      <c r="I198" s="30" t="n"/>
      <c r="J198" s="23">
        <f>IF(D198="","",IFERROR(INDEX('01_자재목록'!$I$7:$I$106,MATCH(D198,'01_자재목록'!$B$7:$B$106,0))&amp;"","자재코드 확인"))</f>
        <v/>
      </c>
      <c r="K198" s="31">
        <f>IF(D198="",IF(OR(B198&lt;&gt;"",C198&lt;&gt;"",H198&lt;&gt;"",I198&lt;&gt;""),"자재코드 입력 확인",""),IF(COUNTIF('01_자재목록'!$B$7:$B$106,D198)&lt;&gt;1,"자재코드 확인",IF(J198="","단위 입력 확인",IF(OR(NOT(ISNUMBER(B198)),B198&lt;1,AND(C198&lt;&gt;"입고",C198&lt;&gt;"출고",C198&lt;&gt;"조정")),"일자/구분 확인",IF(OR(AND(H198&lt;&gt;"",NOT(ISNUMBER(H198))),AND(I198&lt;&gt;"",NOT(ISNUMBER(I198))),H198&lt;0,I198&lt;0,AND(H198&lt;=0,I198&lt;=0),AND(H198&gt;0,I198&gt;0),AND(C198="입고",I198&gt;0),AND(C198="출고",H198&gt;0)),"수량/구분 확인",SUMIFS($H$7:H198,$D$7:D198,D198)-SUMIFS($I$7:I198,$D$7:D198,D198))))))</f>
        <v/>
      </c>
      <c r="L198" s="19" t="n"/>
      <c r="M198" s="19" t="n"/>
      <c r="N198" s="19" t="n"/>
      <c r="O198" s="27">
        <f>IF(D198="","",IF(COUNTIF('01_자재목록'!$B$7:$B$106,D198)&lt;&gt;1,"자재코드 확인",IF(INDEX('01_자재목록'!$R$7:$R$106,MATCH(D198,'01_자재목록'!$B$7:$B$106,0))="","구분 미입력",INDEX('01_자재목록'!$R$7:$R$106,MATCH(D198,'01_자재목록'!$B$7:$B$106,0)))))</f>
        <v/>
      </c>
    </row>
    <row r="199" ht="24" customHeight="1">
      <c r="A199" s="18" t="n">
        <v>193</v>
      </c>
      <c r="B199" s="32" t="n"/>
      <c r="C199" s="19" t="n"/>
      <c r="D199" s="19" t="n"/>
      <c r="E199" s="23">
        <f>IF(D199="","",IFERROR(INDEX('01_자재목록'!$D$7:$D$106,MATCH(D199,'01_자재목록'!$B$7:$B$106,0))&amp;"","자재코드 확인"))</f>
        <v/>
      </c>
      <c r="F199" s="19" t="n"/>
      <c r="G199" s="19" t="n"/>
      <c r="H199" s="30" t="n"/>
      <c r="I199" s="30" t="n"/>
      <c r="J199" s="23">
        <f>IF(D199="","",IFERROR(INDEX('01_자재목록'!$I$7:$I$106,MATCH(D199,'01_자재목록'!$B$7:$B$106,0))&amp;"","자재코드 확인"))</f>
        <v/>
      </c>
      <c r="K199" s="31">
        <f>IF(D199="",IF(OR(B199&lt;&gt;"",C199&lt;&gt;"",H199&lt;&gt;"",I199&lt;&gt;""),"자재코드 입력 확인",""),IF(COUNTIF('01_자재목록'!$B$7:$B$106,D199)&lt;&gt;1,"자재코드 확인",IF(J199="","단위 입력 확인",IF(OR(NOT(ISNUMBER(B199)),B199&lt;1,AND(C199&lt;&gt;"입고",C199&lt;&gt;"출고",C199&lt;&gt;"조정")),"일자/구분 확인",IF(OR(AND(H199&lt;&gt;"",NOT(ISNUMBER(H199))),AND(I199&lt;&gt;"",NOT(ISNUMBER(I199))),H199&lt;0,I199&lt;0,AND(H199&lt;=0,I199&lt;=0),AND(H199&gt;0,I199&gt;0),AND(C199="입고",I199&gt;0),AND(C199="출고",H199&gt;0)),"수량/구분 확인",SUMIFS($H$7:H199,$D$7:D199,D199)-SUMIFS($I$7:I199,$D$7:D199,D199))))))</f>
        <v/>
      </c>
      <c r="L199" s="19" t="n"/>
      <c r="M199" s="19" t="n"/>
      <c r="N199" s="19" t="n"/>
      <c r="O199" s="27">
        <f>IF(D199="","",IF(COUNTIF('01_자재목록'!$B$7:$B$106,D199)&lt;&gt;1,"자재코드 확인",IF(INDEX('01_자재목록'!$R$7:$R$106,MATCH(D199,'01_자재목록'!$B$7:$B$106,0))="","구분 미입력",INDEX('01_자재목록'!$R$7:$R$106,MATCH(D199,'01_자재목록'!$B$7:$B$106,0)))))</f>
        <v/>
      </c>
    </row>
    <row r="200" ht="24" customHeight="1">
      <c r="A200" s="18" t="n">
        <v>194</v>
      </c>
      <c r="B200" s="32" t="n"/>
      <c r="C200" s="19" t="n"/>
      <c r="D200" s="19" t="n"/>
      <c r="E200" s="23">
        <f>IF(D200="","",IFERROR(INDEX('01_자재목록'!$D$7:$D$106,MATCH(D200,'01_자재목록'!$B$7:$B$106,0))&amp;"","자재코드 확인"))</f>
        <v/>
      </c>
      <c r="F200" s="19" t="n"/>
      <c r="G200" s="19" t="n"/>
      <c r="H200" s="30" t="n"/>
      <c r="I200" s="30" t="n"/>
      <c r="J200" s="23">
        <f>IF(D200="","",IFERROR(INDEX('01_자재목록'!$I$7:$I$106,MATCH(D200,'01_자재목록'!$B$7:$B$106,0))&amp;"","자재코드 확인"))</f>
        <v/>
      </c>
      <c r="K200" s="31">
        <f>IF(D200="",IF(OR(B200&lt;&gt;"",C200&lt;&gt;"",H200&lt;&gt;"",I200&lt;&gt;""),"자재코드 입력 확인",""),IF(COUNTIF('01_자재목록'!$B$7:$B$106,D200)&lt;&gt;1,"자재코드 확인",IF(J200="","단위 입력 확인",IF(OR(NOT(ISNUMBER(B200)),B200&lt;1,AND(C200&lt;&gt;"입고",C200&lt;&gt;"출고",C200&lt;&gt;"조정")),"일자/구분 확인",IF(OR(AND(H200&lt;&gt;"",NOT(ISNUMBER(H200))),AND(I200&lt;&gt;"",NOT(ISNUMBER(I200))),H200&lt;0,I200&lt;0,AND(H200&lt;=0,I200&lt;=0),AND(H200&gt;0,I200&gt;0),AND(C200="입고",I200&gt;0),AND(C200="출고",H200&gt;0)),"수량/구분 확인",SUMIFS($H$7:H200,$D$7:D200,D200)-SUMIFS($I$7:I200,$D$7:D200,D200))))))</f>
        <v/>
      </c>
      <c r="L200" s="19" t="n"/>
      <c r="M200" s="19" t="n"/>
      <c r="N200" s="19" t="n"/>
      <c r="O200" s="27">
        <f>IF(D200="","",IF(COUNTIF('01_자재목록'!$B$7:$B$106,D200)&lt;&gt;1,"자재코드 확인",IF(INDEX('01_자재목록'!$R$7:$R$106,MATCH(D200,'01_자재목록'!$B$7:$B$106,0))="","구분 미입력",INDEX('01_자재목록'!$R$7:$R$106,MATCH(D200,'01_자재목록'!$B$7:$B$106,0)))))</f>
        <v/>
      </c>
    </row>
    <row r="201" ht="24" customHeight="1">
      <c r="A201" s="18" t="n">
        <v>195</v>
      </c>
      <c r="B201" s="32" t="n"/>
      <c r="C201" s="19" t="n"/>
      <c r="D201" s="19" t="n"/>
      <c r="E201" s="23">
        <f>IF(D201="","",IFERROR(INDEX('01_자재목록'!$D$7:$D$106,MATCH(D201,'01_자재목록'!$B$7:$B$106,0))&amp;"","자재코드 확인"))</f>
        <v/>
      </c>
      <c r="F201" s="19" t="n"/>
      <c r="G201" s="19" t="n"/>
      <c r="H201" s="30" t="n"/>
      <c r="I201" s="30" t="n"/>
      <c r="J201" s="23">
        <f>IF(D201="","",IFERROR(INDEX('01_자재목록'!$I$7:$I$106,MATCH(D201,'01_자재목록'!$B$7:$B$106,0))&amp;"","자재코드 확인"))</f>
        <v/>
      </c>
      <c r="K201" s="31">
        <f>IF(D201="",IF(OR(B201&lt;&gt;"",C201&lt;&gt;"",H201&lt;&gt;"",I201&lt;&gt;""),"자재코드 입력 확인",""),IF(COUNTIF('01_자재목록'!$B$7:$B$106,D201)&lt;&gt;1,"자재코드 확인",IF(J201="","단위 입력 확인",IF(OR(NOT(ISNUMBER(B201)),B201&lt;1,AND(C201&lt;&gt;"입고",C201&lt;&gt;"출고",C201&lt;&gt;"조정")),"일자/구분 확인",IF(OR(AND(H201&lt;&gt;"",NOT(ISNUMBER(H201))),AND(I201&lt;&gt;"",NOT(ISNUMBER(I201))),H201&lt;0,I201&lt;0,AND(H201&lt;=0,I201&lt;=0),AND(H201&gt;0,I201&gt;0),AND(C201="입고",I201&gt;0),AND(C201="출고",H201&gt;0)),"수량/구분 확인",SUMIFS($H$7:H201,$D$7:D201,D201)-SUMIFS($I$7:I201,$D$7:D201,D201))))))</f>
        <v/>
      </c>
      <c r="L201" s="19" t="n"/>
      <c r="M201" s="19" t="n"/>
      <c r="N201" s="19" t="n"/>
      <c r="O201" s="27">
        <f>IF(D201="","",IF(COUNTIF('01_자재목록'!$B$7:$B$106,D201)&lt;&gt;1,"자재코드 확인",IF(INDEX('01_자재목록'!$R$7:$R$106,MATCH(D201,'01_자재목록'!$B$7:$B$106,0))="","구분 미입력",INDEX('01_자재목록'!$R$7:$R$106,MATCH(D201,'01_자재목록'!$B$7:$B$106,0)))))</f>
        <v/>
      </c>
    </row>
    <row r="202" ht="24" customHeight="1">
      <c r="A202" s="18" t="n">
        <v>196</v>
      </c>
      <c r="B202" s="32" t="n"/>
      <c r="C202" s="19" t="n"/>
      <c r="D202" s="19" t="n"/>
      <c r="E202" s="23">
        <f>IF(D202="","",IFERROR(INDEX('01_자재목록'!$D$7:$D$106,MATCH(D202,'01_자재목록'!$B$7:$B$106,0))&amp;"","자재코드 확인"))</f>
        <v/>
      </c>
      <c r="F202" s="19" t="n"/>
      <c r="G202" s="19" t="n"/>
      <c r="H202" s="30" t="n"/>
      <c r="I202" s="30" t="n"/>
      <c r="J202" s="23">
        <f>IF(D202="","",IFERROR(INDEX('01_자재목록'!$I$7:$I$106,MATCH(D202,'01_자재목록'!$B$7:$B$106,0))&amp;"","자재코드 확인"))</f>
        <v/>
      </c>
      <c r="K202" s="31">
        <f>IF(D202="",IF(OR(B202&lt;&gt;"",C202&lt;&gt;"",H202&lt;&gt;"",I202&lt;&gt;""),"자재코드 입력 확인",""),IF(COUNTIF('01_자재목록'!$B$7:$B$106,D202)&lt;&gt;1,"자재코드 확인",IF(J202="","단위 입력 확인",IF(OR(NOT(ISNUMBER(B202)),B202&lt;1,AND(C202&lt;&gt;"입고",C202&lt;&gt;"출고",C202&lt;&gt;"조정")),"일자/구분 확인",IF(OR(AND(H202&lt;&gt;"",NOT(ISNUMBER(H202))),AND(I202&lt;&gt;"",NOT(ISNUMBER(I202))),H202&lt;0,I202&lt;0,AND(H202&lt;=0,I202&lt;=0),AND(H202&gt;0,I202&gt;0),AND(C202="입고",I202&gt;0),AND(C202="출고",H202&gt;0)),"수량/구분 확인",SUMIFS($H$7:H202,$D$7:D202,D202)-SUMIFS($I$7:I202,$D$7:D202,D202))))))</f>
        <v/>
      </c>
      <c r="L202" s="19" t="n"/>
      <c r="M202" s="19" t="n"/>
      <c r="N202" s="19" t="n"/>
      <c r="O202" s="27">
        <f>IF(D202="","",IF(COUNTIF('01_자재목록'!$B$7:$B$106,D202)&lt;&gt;1,"자재코드 확인",IF(INDEX('01_자재목록'!$R$7:$R$106,MATCH(D202,'01_자재목록'!$B$7:$B$106,0))="","구분 미입력",INDEX('01_자재목록'!$R$7:$R$106,MATCH(D202,'01_자재목록'!$B$7:$B$106,0)))))</f>
        <v/>
      </c>
    </row>
    <row r="203" ht="24" customHeight="1">
      <c r="A203" s="18" t="n">
        <v>197</v>
      </c>
      <c r="B203" s="32" t="n"/>
      <c r="C203" s="19" t="n"/>
      <c r="D203" s="19" t="n"/>
      <c r="E203" s="23">
        <f>IF(D203="","",IFERROR(INDEX('01_자재목록'!$D$7:$D$106,MATCH(D203,'01_자재목록'!$B$7:$B$106,0))&amp;"","자재코드 확인"))</f>
        <v/>
      </c>
      <c r="F203" s="19" t="n"/>
      <c r="G203" s="19" t="n"/>
      <c r="H203" s="30" t="n"/>
      <c r="I203" s="30" t="n"/>
      <c r="J203" s="23">
        <f>IF(D203="","",IFERROR(INDEX('01_자재목록'!$I$7:$I$106,MATCH(D203,'01_자재목록'!$B$7:$B$106,0))&amp;"","자재코드 확인"))</f>
        <v/>
      </c>
      <c r="K203" s="31">
        <f>IF(D203="",IF(OR(B203&lt;&gt;"",C203&lt;&gt;"",H203&lt;&gt;"",I203&lt;&gt;""),"자재코드 입력 확인",""),IF(COUNTIF('01_자재목록'!$B$7:$B$106,D203)&lt;&gt;1,"자재코드 확인",IF(J203="","단위 입력 확인",IF(OR(NOT(ISNUMBER(B203)),B203&lt;1,AND(C203&lt;&gt;"입고",C203&lt;&gt;"출고",C203&lt;&gt;"조정")),"일자/구분 확인",IF(OR(AND(H203&lt;&gt;"",NOT(ISNUMBER(H203))),AND(I203&lt;&gt;"",NOT(ISNUMBER(I203))),H203&lt;0,I203&lt;0,AND(H203&lt;=0,I203&lt;=0),AND(H203&gt;0,I203&gt;0),AND(C203="입고",I203&gt;0),AND(C203="출고",H203&gt;0)),"수량/구분 확인",SUMIFS($H$7:H203,$D$7:D203,D203)-SUMIFS($I$7:I203,$D$7:D203,D203))))))</f>
        <v/>
      </c>
      <c r="L203" s="19" t="n"/>
      <c r="M203" s="19" t="n"/>
      <c r="N203" s="19" t="n"/>
      <c r="O203" s="27">
        <f>IF(D203="","",IF(COUNTIF('01_자재목록'!$B$7:$B$106,D203)&lt;&gt;1,"자재코드 확인",IF(INDEX('01_자재목록'!$R$7:$R$106,MATCH(D203,'01_자재목록'!$B$7:$B$106,0))="","구분 미입력",INDEX('01_자재목록'!$R$7:$R$106,MATCH(D203,'01_자재목록'!$B$7:$B$106,0)))))</f>
        <v/>
      </c>
    </row>
    <row r="204" ht="24" customHeight="1">
      <c r="A204" s="18" t="n">
        <v>198</v>
      </c>
      <c r="B204" s="32" t="n"/>
      <c r="C204" s="19" t="n"/>
      <c r="D204" s="19" t="n"/>
      <c r="E204" s="23">
        <f>IF(D204="","",IFERROR(INDEX('01_자재목록'!$D$7:$D$106,MATCH(D204,'01_자재목록'!$B$7:$B$106,0))&amp;"","자재코드 확인"))</f>
        <v/>
      </c>
      <c r="F204" s="19" t="n"/>
      <c r="G204" s="19" t="n"/>
      <c r="H204" s="30" t="n"/>
      <c r="I204" s="30" t="n"/>
      <c r="J204" s="23">
        <f>IF(D204="","",IFERROR(INDEX('01_자재목록'!$I$7:$I$106,MATCH(D204,'01_자재목록'!$B$7:$B$106,0))&amp;"","자재코드 확인"))</f>
        <v/>
      </c>
      <c r="K204" s="31">
        <f>IF(D204="",IF(OR(B204&lt;&gt;"",C204&lt;&gt;"",H204&lt;&gt;"",I204&lt;&gt;""),"자재코드 입력 확인",""),IF(COUNTIF('01_자재목록'!$B$7:$B$106,D204)&lt;&gt;1,"자재코드 확인",IF(J204="","단위 입력 확인",IF(OR(NOT(ISNUMBER(B204)),B204&lt;1,AND(C204&lt;&gt;"입고",C204&lt;&gt;"출고",C204&lt;&gt;"조정")),"일자/구분 확인",IF(OR(AND(H204&lt;&gt;"",NOT(ISNUMBER(H204))),AND(I204&lt;&gt;"",NOT(ISNUMBER(I204))),H204&lt;0,I204&lt;0,AND(H204&lt;=0,I204&lt;=0),AND(H204&gt;0,I204&gt;0),AND(C204="입고",I204&gt;0),AND(C204="출고",H204&gt;0)),"수량/구분 확인",SUMIFS($H$7:H204,$D$7:D204,D204)-SUMIFS($I$7:I204,$D$7:D204,D204))))))</f>
        <v/>
      </c>
      <c r="L204" s="19" t="n"/>
      <c r="M204" s="19" t="n"/>
      <c r="N204" s="19" t="n"/>
      <c r="O204" s="27">
        <f>IF(D204="","",IF(COUNTIF('01_자재목록'!$B$7:$B$106,D204)&lt;&gt;1,"자재코드 확인",IF(INDEX('01_자재목록'!$R$7:$R$106,MATCH(D204,'01_자재목록'!$B$7:$B$106,0))="","구분 미입력",INDEX('01_자재목록'!$R$7:$R$106,MATCH(D204,'01_자재목록'!$B$7:$B$106,0)))))</f>
        <v/>
      </c>
    </row>
    <row r="205" ht="24" customHeight="1">
      <c r="A205" s="18" t="n">
        <v>199</v>
      </c>
      <c r="B205" s="32" t="n"/>
      <c r="C205" s="19" t="n"/>
      <c r="D205" s="19" t="n"/>
      <c r="E205" s="23">
        <f>IF(D205="","",IFERROR(INDEX('01_자재목록'!$D$7:$D$106,MATCH(D205,'01_자재목록'!$B$7:$B$106,0))&amp;"","자재코드 확인"))</f>
        <v/>
      </c>
      <c r="F205" s="19" t="n"/>
      <c r="G205" s="19" t="n"/>
      <c r="H205" s="30" t="n"/>
      <c r="I205" s="30" t="n"/>
      <c r="J205" s="23">
        <f>IF(D205="","",IFERROR(INDEX('01_자재목록'!$I$7:$I$106,MATCH(D205,'01_자재목록'!$B$7:$B$106,0))&amp;"","자재코드 확인"))</f>
        <v/>
      </c>
      <c r="K205" s="31">
        <f>IF(D205="",IF(OR(B205&lt;&gt;"",C205&lt;&gt;"",H205&lt;&gt;"",I205&lt;&gt;""),"자재코드 입력 확인",""),IF(COUNTIF('01_자재목록'!$B$7:$B$106,D205)&lt;&gt;1,"자재코드 확인",IF(J205="","단위 입력 확인",IF(OR(NOT(ISNUMBER(B205)),B205&lt;1,AND(C205&lt;&gt;"입고",C205&lt;&gt;"출고",C205&lt;&gt;"조정")),"일자/구분 확인",IF(OR(AND(H205&lt;&gt;"",NOT(ISNUMBER(H205))),AND(I205&lt;&gt;"",NOT(ISNUMBER(I205))),H205&lt;0,I205&lt;0,AND(H205&lt;=0,I205&lt;=0),AND(H205&gt;0,I205&gt;0),AND(C205="입고",I205&gt;0),AND(C205="출고",H205&gt;0)),"수량/구분 확인",SUMIFS($H$7:H205,$D$7:D205,D205)-SUMIFS($I$7:I205,$D$7:D205,D205))))))</f>
        <v/>
      </c>
      <c r="L205" s="19" t="n"/>
      <c r="M205" s="19" t="n"/>
      <c r="N205" s="19" t="n"/>
      <c r="O205" s="27">
        <f>IF(D205="","",IF(COUNTIF('01_자재목록'!$B$7:$B$106,D205)&lt;&gt;1,"자재코드 확인",IF(INDEX('01_자재목록'!$R$7:$R$106,MATCH(D205,'01_자재목록'!$B$7:$B$106,0))="","구분 미입력",INDEX('01_자재목록'!$R$7:$R$106,MATCH(D205,'01_자재목록'!$B$7:$B$106,0)))))</f>
        <v/>
      </c>
    </row>
    <row r="206" ht="24" customHeight="1">
      <c r="A206" s="18" t="n">
        <v>200</v>
      </c>
      <c r="B206" s="32" t="n"/>
      <c r="C206" s="19" t="n"/>
      <c r="D206" s="19" t="n"/>
      <c r="E206" s="23">
        <f>IF(D206="","",IFERROR(INDEX('01_자재목록'!$D$7:$D$106,MATCH(D206,'01_자재목록'!$B$7:$B$106,0))&amp;"","자재코드 확인"))</f>
        <v/>
      </c>
      <c r="F206" s="19" t="n"/>
      <c r="G206" s="19" t="n"/>
      <c r="H206" s="30" t="n"/>
      <c r="I206" s="30" t="n"/>
      <c r="J206" s="23">
        <f>IF(D206="","",IFERROR(INDEX('01_자재목록'!$I$7:$I$106,MATCH(D206,'01_자재목록'!$B$7:$B$106,0))&amp;"","자재코드 확인"))</f>
        <v/>
      </c>
      <c r="K206" s="31">
        <f>IF(D206="",IF(OR(B206&lt;&gt;"",C206&lt;&gt;"",H206&lt;&gt;"",I206&lt;&gt;""),"자재코드 입력 확인",""),IF(COUNTIF('01_자재목록'!$B$7:$B$106,D206)&lt;&gt;1,"자재코드 확인",IF(J206="","단위 입력 확인",IF(OR(NOT(ISNUMBER(B206)),B206&lt;1,AND(C206&lt;&gt;"입고",C206&lt;&gt;"출고",C206&lt;&gt;"조정")),"일자/구분 확인",IF(OR(AND(H206&lt;&gt;"",NOT(ISNUMBER(H206))),AND(I206&lt;&gt;"",NOT(ISNUMBER(I206))),H206&lt;0,I206&lt;0,AND(H206&lt;=0,I206&lt;=0),AND(H206&gt;0,I206&gt;0),AND(C206="입고",I206&gt;0),AND(C206="출고",H206&gt;0)),"수량/구분 확인",SUMIFS($H$7:H206,$D$7:D206,D206)-SUMIFS($I$7:I206,$D$7:D206,D206))))))</f>
        <v/>
      </c>
      <c r="L206" s="19" t="n"/>
      <c r="M206" s="19" t="n"/>
      <c r="N206" s="19" t="n"/>
      <c r="O206" s="27">
        <f>IF(D206="","",IF(COUNTIF('01_자재목록'!$B$7:$B$106,D206)&lt;&gt;1,"자재코드 확인",IF(INDEX('01_자재목록'!$R$7:$R$106,MATCH(D206,'01_자재목록'!$B$7:$B$106,0))="","구분 미입력",INDEX('01_자재목록'!$R$7:$R$106,MATCH(D206,'01_자재목록'!$B$7:$B$106,0)))))</f>
        <v/>
      </c>
    </row>
  </sheetData>
  <mergeCells count="5">
    <mergeCell ref="A2:O2"/>
    <mergeCell ref="A1:O1"/>
    <mergeCell ref="A5:O5"/>
    <mergeCell ref="A4:O4"/>
    <mergeCell ref="A3:O3"/>
  </mergeCells>
  <conditionalFormatting sqref="K7:K206">
    <cfRule type="cellIs" priority="1" operator="lessThan" dxfId="0">
      <formula>0</formula>
    </cfRule>
    <cfRule type="containsText" priority="2" operator="containsText" dxfId="0" text="확인"/>
  </conditionalFormatting>
  <dataValidations count="4">
    <dataValidation sqref="C7:C206" showDropDown="0" showInputMessage="0" showErrorMessage="0" allowBlank="0" type="list">
      <formula1>"입고,출고,조정"</formula1>
    </dataValidation>
    <dataValidation sqref="D7:D206" showDropDown="0" showInputMessage="0" showErrorMessage="0" allowBlank="0" type="list">
      <formula1>INDIRECT("'01_자재목록'!$B$7:$B$106")</formula1>
    </dataValidation>
    <dataValidation sqref="H7:H206" showDropDown="0" showInputMessage="0" showErrorMessage="0" allowBlank="0" type="decimal" operator="greaterThanOrEqual">
      <formula1>0</formula1>
    </dataValidation>
    <dataValidation sqref="I7:I206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17" customWidth="1" min="6" max="6"/>
    <col width="24" customWidth="1" min="7" max="7"/>
    <col width="24" customWidth="1" min="8" max="8"/>
    <col width="24" customWidth="1" min="9" max="9"/>
    <col width="24" customWidth="1" min="10" max="10"/>
    <col width="17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</cols>
  <sheetData>
    <row r="1" ht="32" customHeight="1">
      <c r="A1" s="2" t="inlineStr">
        <is>
          <t>용접 부자재 관리대장 — 유효기간 | Rev.00</t>
        </is>
      </c>
    </row>
    <row r="2" ht="44" customHeight="1">
      <c r="A2" s="3" t="inlineStr">
        <is>
          <t>유효기간 대상 LOT만 등록. 제조 LOT 또는 사내 입고 LOT 입력. 개봉 후 기한이 있으면 실제 마감일로 유효기한을 입력하세요. 소진·폐기는 운영상태 변경(재고 차감은 입출고 시트에 별도 입력).</t>
        </is>
      </c>
    </row>
    <row r="3" ht="24" customHeight="1">
      <c r="A3" s="4" t="inlineStr">
        <is>
          <t>노란색: 입력 · 회색: 자동 계산 | SH-WEL 코드는 MES 미등록 부자재의 관리코드로 유지(SH-FM-368 확인 2026-10-30). MES 등록 시 대응표를 갱신하세요.</t>
        </is>
      </c>
    </row>
    <row r="4" ht="20" customHeight="1">
      <c r="A4" s="28" t="inlineStr">
        <is>
          <t>(주)신화에이치앤티 | 문서번호 SH-FM-367 | Rev.00 | 문서상태: 개정초안(미승인)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자재명(자동)</t>
        </is>
      </c>
      <c r="D6" s="9" t="inlineStr">
        <is>
          <t>제조 LOT</t>
        </is>
      </c>
      <c r="E6" s="9" t="inlineStr">
        <is>
          <t>사내 입고 LOT</t>
        </is>
      </c>
      <c r="F6" s="9" t="inlineStr">
        <is>
          <t>유효기한</t>
        </is>
      </c>
      <c r="G6" s="9" t="inlineStr">
        <is>
          <t>개봉일자(해당 시)</t>
        </is>
      </c>
      <c r="H6" s="9" t="inlineStr">
        <is>
          <t>보관위치</t>
        </is>
      </c>
      <c r="I6" s="9" t="inlineStr">
        <is>
          <t>보관상태</t>
        </is>
      </c>
      <c r="J6" s="9" t="inlineStr">
        <is>
          <t>LOT 운영상태</t>
        </is>
      </c>
      <c r="K6" s="9" t="inlineStr">
        <is>
          <t>잔여일수(자동)</t>
        </is>
      </c>
      <c r="L6" s="9" t="inlineStr">
        <is>
          <t>유효기간 상태(자동)</t>
        </is>
      </c>
      <c r="M6" s="9" t="inlineStr">
        <is>
          <t>조치내용</t>
        </is>
      </c>
      <c r="N6" s="9" t="inlineStr">
        <is>
          <t>담당자</t>
        </is>
      </c>
      <c r="O6" s="9" t="inlineStr">
        <is>
          <t>비고(선택)</t>
        </is>
      </c>
      <c r="P6" s="9" t="inlineStr">
        <is>
          <t>관리구분(자동)</t>
        </is>
      </c>
    </row>
    <row r="7" ht="24" customHeight="1">
      <c r="A7" s="18" t="n">
        <v>1</v>
      </c>
      <c r="B7" s="19" t="n"/>
      <c r="C7" s="23">
        <f>IF(B7="","",IFERROR(INDEX('01_자재목록'!$D$7:$D$106,MATCH(B7,'01_자재목록'!$B$7:$B$106,0))&amp;"","자재코드 확인"))</f>
        <v/>
      </c>
      <c r="D7" s="19" t="n"/>
      <c r="E7" s="19" t="n"/>
      <c r="F7" s="32" t="n"/>
      <c r="G7" s="32" t="n"/>
      <c r="H7" s="19" t="n"/>
      <c r="I7" s="19" t="n"/>
      <c r="J7" s="19" t="n"/>
      <c r="K7" s="33">
        <f>IF(OR(B7="",F7=""),"",IF(ISNUMBER(F7),F7-TODAY(),"날짜 확인"))</f>
        <v/>
      </c>
      <c r="L7" s="23">
        <f>IF(B7="",IF(OR(D7&lt;&gt;"",E7&lt;&gt;"",F7&lt;&gt;""),"자재코드 확인",""),IF(COUNTIF('01_자재목록'!$B$7:$B$106,B7)&lt;&gt;1,"자재코드 확인",IF(OR(J7="소진",J7="폐기"),J7,IF(AND(D7="",E7=""),"LOT 미입력",IF(F7="","미입력",IF(OR(NOT(ISNUMBER(F7)),F7&lt;1),"날짜 확인",IF(K7&lt;0,"만료",IF(K7&lt;=$I$4,"유효기간 임박","정상"))))))))</f>
        <v/>
      </c>
      <c r="M7" s="19" t="n"/>
      <c r="N7" s="19" t="n"/>
      <c r="O7" s="19" t="n"/>
      <c r="P7" s="27">
        <f>IF(B7="","",IF(COUNTIF('01_자재목록'!$B$7:$B$106,B7)&lt;&gt;1,"자재코드 확인",IF(INDEX('01_자재목록'!$R$7:$R$106,MATCH(B7,'01_자재목록'!$B$7:$B$106,0))="","구분 미입력",INDEX('01_자재목록'!$R$7:$R$106,MATCH(B7,'01_자재목록'!$B$7:$B$106,0)))))</f>
        <v/>
      </c>
    </row>
    <row r="8" ht="24" customHeight="1">
      <c r="A8" s="18" t="n">
        <v>2</v>
      </c>
      <c r="B8" s="19" t="n"/>
      <c r="C8" s="23">
        <f>IF(B8="","",IFERROR(INDEX('01_자재목록'!$D$7:$D$106,MATCH(B8,'01_자재목록'!$B$7:$B$106,0))&amp;"","자재코드 확인"))</f>
        <v/>
      </c>
      <c r="D8" s="19" t="n"/>
      <c r="E8" s="19" t="n"/>
      <c r="F8" s="32" t="n"/>
      <c r="G8" s="32" t="n"/>
      <c r="H8" s="19" t="n"/>
      <c r="I8" s="19" t="n"/>
      <c r="J8" s="19" t="n"/>
      <c r="K8" s="33">
        <f>IF(OR(B8="",F8=""),"",IF(ISNUMBER(F8),F8-TODAY(),"날짜 확인"))</f>
        <v/>
      </c>
      <c r="L8" s="23">
        <f>IF(B8="",IF(OR(D8&lt;&gt;"",E8&lt;&gt;"",F8&lt;&gt;""),"자재코드 확인",""),IF(COUNTIF('01_자재목록'!$B$7:$B$106,B8)&lt;&gt;1,"자재코드 확인",IF(OR(J8="소진",J8="폐기"),J8,IF(AND(D8="",E8=""),"LOT 미입력",IF(F8="","미입력",IF(OR(NOT(ISNUMBER(F8)),F8&lt;1),"날짜 확인",IF(K8&lt;0,"만료",IF(K8&lt;=$I$4,"유효기간 임박","정상"))))))))</f>
        <v/>
      </c>
      <c r="M8" s="19" t="n"/>
      <c r="N8" s="19" t="n"/>
      <c r="O8" s="19" t="n"/>
      <c r="P8" s="27">
        <f>IF(B8="","",IF(COUNTIF('01_자재목록'!$B$7:$B$106,B8)&lt;&gt;1,"자재코드 확인",IF(INDEX('01_자재목록'!$R$7:$R$106,MATCH(B8,'01_자재목록'!$B$7:$B$106,0))="","구분 미입력",INDEX('01_자재목록'!$R$7:$R$106,MATCH(B8,'01_자재목록'!$B$7:$B$106,0)))))</f>
        <v/>
      </c>
    </row>
    <row r="9" ht="24" customHeight="1">
      <c r="A9" s="18" t="n">
        <v>3</v>
      </c>
      <c r="B9" s="19" t="n"/>
      <c r="C9" s="23">
        <f>IF(B9="","",IFERROR(INDEX('01_자재목록'!$D$7:$D$106,MATCH(B9,'01_자재목록'!$B$7:$B$106,0))&amp;"","자재코드 확인"))</f>
        <v/>
      </c>
      <c r="D9" s="19" t="n"/>
      <c r="E9" s="19" t="n"/>
      <c r="F9" s="32" t="n"/>
      <c r="G9" s="32" t="n"/>
      <c r="H9" s="19" t="n"/>
      <c r="I9" s="19" t="n"/>
      <c r="J9" s="19" t="n"/>
      <c r="K9" s="33">
        <f>IF(OR(B9="",F9=""),"",IF(ISNUMBER(F9),F9-TODAY(),"날짜 확인"))</f>
        <v/>
      </c>
      <c r="L9" s="23">
        <f>IF(B9="",IF(OR(D9&lt;&gt;"",E9&lt;&gt;"",F9&lt;&gt;""),"자재코드 확인",""),IF(COUNTIF('01_자재목록'!$B$7:$B$106,B9)&lt;&gt;1,"자재코드 확인",IF(OR(J9="소진",J9="폐기"),J9,IF(AND(D9="",E9=""),"LOT 미입력",IF(F9="","미입력",IF(OR(NOT(ISNUMBER(F9)),F9&lt;1),"날짜 확인",IF(K9&lt;0,"만료",IF(K9&lt;=$I$4,"유효기간 임박","정상"))))))))</f>
        <v/>
      </c>
      <c r="M9" s="19" t="n"/>
      <c r="N9" s="19" t="n"/>
      <c r="O9" s="19" t="n"/>
      <c r="P9" s="27">
        <f>IF(B9="","",IF(COUNTIF('01_자재목록'!$B$7:$B$106,B9)&lt;&gt;1,"자재코드 확인",IF(INDEX('01_자재목록'!$R$7:$R$106,MATCH(B9,'01_자재목록'!$B$7:$B$106,0))="","구분 미입력",INDEX('01_자재목록'!$R$7:$R$106,MATCH(B9,'01_자재목록'!$B$7:$B$106,0)))))</f>
        <v/>
      </c>
    </row>
    <row r="10" ht="24" customHeight="1">
      <c r="A10" s="18" t="n">
        <v>4</v>
      </c>
      <c r="B10" s="19" t="n"/>
      <c r="C10" s="23">
        <f>IF(B10="","",IFERROR(INDEX('01_자재목록'!$D$7:$D$106,MATCH(B10,'01_자재목록'!$B$7:$B$106,0))&amp;"","자재코드 확인"))</f>
        <v/>
      </c>
      <c r="D10" s="19" t="n"/>
      <c r="E10" s="19" t="n"/>
      <c r="F10" s="32" t="n"/>
      <c r="G10" s="32" t="n"/>
      <c r="H10" s="19" t="n"/>
      <c r="I10" s="19" t="n"/>
      <c r="J10" s="19" t="n"/>
      <c r="K10" s="33">
        <f>IF(OR(B10="",F10=""),"",IF(ISNUMBER(F10),F10-TODAY(),"날짜 확인"))</f>
        <v/>
      </c>
      <c r="L10" s="23">
        <f>IF(B10="",IF(OR(D10&lt;&gt;"",E10&lt;&gt;"",F10&lt;&gt;""),"자재코드 확인",""),IF(COUNTIF('01_자재목록'!$B$7:$B$106,B10)&lt;&gt;1,"자재코드 확인",IF(OR(J10="소진",J10="폐기"),J10,IF(AND(D10="",E10=""),"LOT 미입력",IF(F10="","미입력",IF(OR(NOT(ISNUMBER(F10)),F10&lt;1),"날짜 확인",IF(K10&lt;0,"만료",IF(K10&lt;=$I$4,"유효기간 임박","정상"))))))))</f>
        <v/>
      </c>
      <c r="M10" s="19" t="n"/>
      <c r="N10" s="19" t="n"/>
      <c r="O10" s="19" t="n"/>
      <c r="P10" s="27">
        <f>IF(B10="","",IF(COUNTIF('01_자재목록'!$B$7:$B$106,B10)&lt;&gt;1,"자재코드 확인",IF(INDEX('01_자재목록'!$R$7:$R$106,MATCH(B10,'01_자재목록'!$B$7:$B$106,0))="","구분 미입력",INDEX('01_자재목록'!$R$7:$R$106,MATCH(B10,'01_자재목록'!$B$7:$B$106,0)))))</f>
        <v/>
      </c>
    </row>
    <row r="11" ht="24" customHeight="1">
      <c r="A11" s="18" t="n">
        <v>5</v>
      </c>
      <c r="B11" s="19" t="n"/>
      <c r="C11" s="23">
        <f>IF(B11="","",IFERROR(INDEX('01_자재목록'!$D$7:$D$106,MATCH(B11,'01_자재목록'!$B$7:$B$106,0))&amp;"","자재코드 확인"))</f>
        <v/>
      </c>
      <c r="D11" s="19" t="n"/>
      <c r="E11" s="19" t="n"/>
      <c r="F11" s="32" t="n"/>
      <c r="G11" s="32" t="n"/>
      <c r="H11" s="19" t="n"/>
      <c r="I11" s="19" t="n"/>
      <c r="J11" s="19" t="n"/>
      <c r="K11" s="33">
        <f>IF(OR(B11="",F11=""),"",IF(ISNUMBER(F11),F11-TODAY(),"날짜 확인"))</f>
        <v/>
      </c>
      <c r="L11" s="23">
        <f>IF(B11="",IF(OR(D11&lt;&gt;"",E11&lt;&gt;"",F11&lt;&gt;""),"자재코드 확인",""),IF(COUNTIF('01_자재목록'!$B$7:$B$106,B11)&lt;&gt;1,"자재코드 확인",IF(OR(J11="소진",J11="폐기"),J11,IF(AND(D11="",E11=""),"LOT 미입력",IF(F11="","미입력",IF(OR(NOT(ISNUMBER(F11)),F11&lt;1),"날짜 확인",IF(K11&lt;0,"만료",IF(K11&lt;=$I$4,"유효기간 임박","정상"))))))))</f>
        <v/>
      </c>
      <c r="M11" s="19" t="n"/>
      <c r="N11" s="19" t="n"/>
      <c r="O11" s="19" t="n"/>
      <c r="P11" s="27">
        <f>IF(B11="","",IF(COUNTIF('01_자재목록'!$B$7:$B$106,B11)&lt;&gt;1,"자재코드 확인",IF(INDEX('01_자재목록'!$R$7:$R$106,MATCH(B11,'01_자재목록'!$B$7:$B$106,0))="","구분 미입력",INDEX('01_자재목록'!$R$7:$R$106,MATCH(B11,'01_자재목록'!$B$7:$B$106,0)))))</f>
        <v/>
      </c>
    </row>
    <row r="12" ht="24" customHeight="1">
      <c r="A12" s="18" t="n">
        <v>6</v>
      </c>
      <c r="B12" s="19" t="n"/>
      <c r="C12" s="23">
        <f>IF(B12="","",IFERROR(INDEX('01_자재목록'!$D$7:$D$106,MATCH(B12,'01_자재목록'!$B$7:$B$106,0))&amp;"","자재코드 확인"))</f>
        <v/>
      </c>
      <c r="D12" s="19" t="n"/>
      <c r="E12" s="19" t="n"/>
      <c r="F12" s="32" t="n"/>
      <c r="G12" s="32" t="n"/>
      <c r="H12" s="19" t="n"/>
      <c r="I12" s="19" t="n"/>
      <c r="J12" s="19" t="n"/>
      <c r="K12" s="33">
        <f>IF(OR(B12="",F12=""),"",IF(ISNUMBER(F12),F12-TODAY(),"날짜 확인"))</f>
        <v/>
      </c>
      <c r="L12" s="23">
        <f>IF(B12="",IF(OR(D12&lt;&gt;"",E12&lt;&gt;"",F12&lt;&gt;""),"자재코드 확인",""),IF(COUNTIF('01_자재목록'!$B$7:$B$106,B12)&lt;&gt;1,"자재코드 확인",IF(OR(J12="소진",J12="폐기"),J12,IF(AND(D12="",E12=""),"LOT 미입력",IF(F12="","미입력",IF(OR(NOT(ISNUMBER(F12)),F12&lt;1),"날짜 확인",IF(K12&lt;0,"만료",IF(K12&lt;=$I$4,"유효기간 임박","정상"))))))))</f>
        <v/>
      </c>
      <c r="M12" s="19" t="n"/>
      <c r="N12" s="19" t="n"/>
      <c r="O12" s="19" t="n"/>
      <c r="P12" s="27">
        <f>IF(B12="","",IF(COUNTIF('01_자재목록'!$B$7:$B$106,B12)&lt;&gt;1,"자재코드 확인",IF(INDEX('01_자재목록'!$R$7:$R$106,MATCH(B12,'01_자재목록'!$B$7:$B$106,0))="","구분 미입력",INDEX('01_자재목록'!$R$7:$R$106,MATCH(B12,'01_자재목록'!$B$7:$B$106,0)))))</f>
        <v/>
      </c>
    </row>
    <row r="13" ht="24" customHeight="1">
      <c r="A13" s="18" t="n">
        <v>7</v>
      </c>
      <c r="B13" s="19" t="n"/>
      <c r="C13" s="23">
        <f>IF(B13="","",IFERROR(INDEX('01_자재목록'!$D$7:$D$106,MATCH(B13,'01_자재목록'!$B$7:$B$106,0))&amp;"","자재코드 확인"))</f>
        <v/>
      </c>
      <c r="D13" s="19" t="n"/>
      <c r="E13" s="19" t="n"/>
      <c r="F13" s="32" t="n"/>
      <c r="G13" s="32" t="n"/>
      <c r="H13" s="19" t="n"/>
      <c r="I13" s="19" t="n"/>
      <c r="J13" s="19" t="n"/>
      <c r="K13" s="33">
        <f>IF(OR(B13="",F13=""),"",IF(ISNUMBER(F13),F13-TODAY(),"날짜 확인"))</f>
        <v/>
      </c>
      <c r="L13" s="23">
        <f>IF(B13="",IF(OR(D13&lt;&gt;"",E13&lt;&gt;"",F13&lt;&gt;""),"자재코드 확인",""),IF(COUNTIF('01_자재목록'!$B$7:$B$106,B13)&lt;&gt;1,"자재코드 확인",IF(OR(J13="소진",J13="폐기"),J13,IF(AND(D13="",E13=""),"LOT 미입력",IF(F13="","미입력",IF(OR(NOT(ISNUMBER(F13)),F13&lt;1),"날짜 확인",IF(K13&lt;0,"만료",IF(K13&lt;=$I$4,"유효기간 임박","정상"))))))))</f>
        <v/>
      </c>
      <c r="M13" s="19" t="n"/>
      <c r="N13" s="19" t="n"/>
      <c r="O13" s="19" t="n"/>
      <c r="P13" s="27">
        <f>IF(B13="","",IF(COUNTIF('01_자재목록'!$B$7:$B$106,B13)&lt;&gt;1,"자재코드 확인",IF(INDEX('01_자재목록'!$R$7:$R$106,MATCH(B13,'01_자재목록'!$B$7:$B$106,0))="","구분 미입력",INDEX('01_자재목록'!$R$7:$R$106,MATCH(B13,'01_자재목록'!$B$7:$B$106,0)))))</f>
        <v/>
      </c>
    </row>
    <row r="14" ht="24" customHeight="1">
      <c r="A14" s="18" t="n">
        <v>8</v>
      </c>
      <c r="B14" s="19" t="n"/>
      <c r="C14" s="23">
        <f>IF(B14="","",IFERROR(INDEX('01_자재목록'!$D$7:$D$106,MATCH(B14,'01_자재목록'!$B$7:$B$106,0))&amp;"","자재코드 확인"))</f>
        <v/>
      </c>
      <c r="D14" s="19" t="n"/>
      <c r="E14" s="19" t="n"/>
      <c r="F14" s="32" t="n"/>
      <c r="G14" s="32" t="n"/>
      <c r="H14" s="19" t="n"/>
      <c r="I14" s="19" t="n"/>
      <c r="J14" s="19" t="n"/>
      <c r="K14" s="33">
        <f>IF(OR(B14="",F14=""),"",IF(ISNUMBER(F14),F14-TODAY(),"날짜 확인"))</f>
        <v/>
      </c>
      <c r="L14" s="23">
        <f>IF(B14="",IF(OR(D14&lt;&gt;"",E14&lt;&gt;"",F14&lt;&gt;""),"자재코드 확인",""),IF(COUNTIF('01_자재목록'!$B$7:$B$106,B14)&lt;&gt;1,"자재코드 확인",IF(OR(J14="소진",J14="폐기"),J14,IF(AND(D14="",E14=""),"LOT 미입력",IF(F14="","미입력",IF(OR(NOT(ISNUMBER(F14)),F14&lt;1),"날짜 확인",IF(K14&lt;0,"만료",IF(K14&lt;=$I$4,"유효기간 임박","정상"))))))))</f>
        <v/>
      </c>
      <c r="M14" s="19" t="n"/>
      <c r="N14" s="19" t="n"/>
      <c r="O14" s="19" t="n"/>
      <c r="P14" s="27">
        <f>IF(B14="","",IF(COUNTIF('01_자재목록'!$B$7:$B$106,B14)&lt;&gt;1,"자재코드 확인",IF(INDEX('01_자재목록'!$R$7:$R$106,MATCH(B14,'01_자재목록'!$B$7:$B$106,0))="","구분 미입력",INDEX('01_자재목록'!$R$7:$R$106,MATCH(B14,'01_자재목록'!$B$7:$B$106,0)))))</f>
        <v/>
      </c>
    </row>
    <row r="15" ht="24" customHeight="1">
      <c r="A15" s="18" t="n">
        <v>9</v>
      </c>
      <c r="B15" s="19" t="n"/>
      <c r="C15" s="23">
        <f>IF(B15="","",IFERROR(INDEX('01_자재목록'!$D$7:$D$106,MATCH(B15,'01_자재목록'!$B$7:$B$106,0))&amp;"","자재코드 확인"))</f>
        <v/>
      </c>
      <c r="D15" s="19" t="n"/>
      <c r="E15" s="19" t="n"/>
      <c r="F15" s="32" t="n"/>
      <c r="G15" s="32" t="n"/>
      <c r="H15" s="19" t="n"/>
      <c r="I15" s="19" t="n"/>
      <c r="J15" s="19" t="n"/>
      <c r="K15" s="33">
        <f>IF(OR(B15="",F15=""),"",IF(ISNUMBER(F15),F15-TODAY(),"날짜 확인"))</f>
        <v/>
      </c>
      <c r="L15" s="23">
        <f>IF(B15="",IF(OR(D15&lt;&gt;"",E15&lt;&gt;"",F15&lt;&gt;""),"자재코드 확인",""),IF(COUNTIF('01_자재목록'!$B$7:$B$106,B15)&lt;&gt;1,"자재코드 확인",IF(OR(J15="소진",J15="폐기"),J15,IF(AND(D15="",E15=""),"LOT 미입력",IF(F15="","미입력",IF(OR(NOT(ISNUMBER(F15)),F15&lt;1),"날짜 확인",IF(K15&lt;0,"만료",IF(K15&lt;=$I$4,"유효기간 임박","정상"))))))))</f>
        <v/>
      </c>
      <c r="M15" s="19" t="n"/>
      <c r="N15" s="19" t="n"/>
      <c r="O15" s="19" t="n"/>
      <c r="P15" s="27">
        <f>IF(B15="","",IF(COUNTIF('01_자재목록'!$B$7:$B$106,B15)&lt;&gt;1,"자재코드 확인",IF(INDEX('01_자재목록'!$R$7:$R$106,MATCH(B15,'01_자재목록'!$B$7:$B$106,0))="","구분 미입력",INDEX('01_자재목록'!$R$7:$R$106,MATCH(B15,'01_자재목록'!$B$7:$B$106,0)))))</f>
        <v/>
      </c>
    </row>
    <row r="16" ht="24" customHeight="1">
      <c r="A16" s="18" t="n">
        <v>10</v>
      </c>
      <c r="B16" s="19" t="n"/>
      <c r="C16" s="23">
        <f>IF(B16="","",IFERROR(INDEX('01_자재목록'!$D$7:$D$106,MATCH(B16,'01_자재목록'!$B$7:$B$106,0))&amp;"","자재코드 확인"))</f>
        <v/>
      </c>
      <c r="D16" s="19" t="n"/>
      <c r="E16" s="19" t="n"/>
      <c r="F16" s="32" t="n"/>
      <c r="G16" s="32" t="n"/>
      <c r="H16" s="19" t="n"/>
      <c r="I16" s="19" t="n"/>
      <c r="J16" s="19" t="n"/>
      <c r="K16" s="33">
        <f>IF(OR(B16="",F16=""),"",IF(ISNUMBER(F16),F16-TODAY(),"날짜 확인"))</f>
        <v/>
      </c>
      <c r="L16" s="23">
        <f>IF(B16="",IF(OR(D16&lt;&gt;"",E16&lt;&gt;"",F16&lt;&gt;""),"자재코드 확인",""),IF(COUNTIF('01_자재목록'!$B$7:$B$106,B16)&lt;&gt;1,"자재코드 확인",IF(OR(J16="소진",J16="폐기"),J16,IF(AND(D16="",E16=""),"LOT 미입력",IF(F16="","미입력",IF(OR(NOT(ISNUMBER(F16)),F16&lt;1),"날짜 확인",IF(K16&lt;0,"만료",IF(K16&lt;=$I$4,"유효기간 임박","정상"))))))))</f>
        <v/>
      </c>
      <c r="M16" s="19" t="n"/>
      <c r="N16" s="19" t="n"/>
      <c r="O16" s="19" t="n"/>
      <c r="P16" s="27">
        <f>IF(B16="","",IF(COUNTIF('01_자재목록'!$B$7:$B$106,B16)&lt;&gt;1,"자재코드 확인",IF(INDEX('01_자재목록'!$R$7:$R$106,MATCH(B16,'01_자재목록'!$B$7:$B$106,0))="","구분 미입력",INDEX('01_자재목록'!$R$7:$R$106,MATCH(B16,'01_자재목록'!$B$7:$B$106,0)))))</f>
        <v/>
      </c>
    </row>
    <row r="17" ht="24" customHeight="1">
      <c r="A17" s="18" t="n">
        <v>11</v>
      </c>
      <c r="B17" s="19" t="n"/>
      <c r="C17" s="23">
        <f>IF(B17="","",IFERROR(INDEX('01_자재목록'!$D$7:$D$106,MATCH(B17,'01_자재목록'!$B$7:$B$106,0))&amp;"","자재코드 확인"))</f>
        <v/>
      </c>
      <c r="D17" s="19" t="n"/>
      <c r="E17" s="19" t="n"/>
      <c r="F17" s="32" t="n"/>
      <c r="G17" s="32" t="n"/>
      <c r="H17" s="19" t="n"/>
      <c r="I17" s="19" t="n"/>
      <c r="J17" s="19" t="n"/>
      <c r="K17" s="33">
        <f>IF(OR(B17="",F17=""),"",IF(ISNUMBER(F17),F17-TODAY(),"날짜 확인"))</f>
        <v/>
      </c>
      <c r="L17" s="23">
        <f>IF(B17="",IF(OR(D17&lt;&gt;"",E17&lt;&gt;"",F17&lt;&gt;""),"자재코드 확인",""),IF(COUNTIF('01_자재목록'!$B$7:$B$106,B17)&lt;&gt;1,"자재코드 확인",IF(OR(J17="소진",J17="폐기"),J17,IF(AND(D17="",E17=""),"LOT 미입력",IF(F17="","미입력",IF(OR(NOT(ISNUMBER(F17)),F17&lt;1),"날짜 확인",IF(K17&lt;0,"만료",IF(K17&lt;=$I$4,"유효기간 임박","정상"))))))))</f>
        <v/>
      </c>
      <c r="M17" s="19" t="n"/>
      <c r="N17" s="19" t="n"/>
      <c r="O17" s="19" t="n"/>
      <c r="P17" s="27">
        <f>IF(B17="","",IF(COUNTIF('01_자재목록'!$B$7:$B$106,B17)&lt;&gt;1,"자재코드 확인",IF(INDEX('01_자재목록'!$R$7:$R$106,MATCH(B17,'01_자재목록'!$B$7:$B$106,0))="","구분 미입력",INDEX('01_자재목록'!$R$7:$R$106,MATCH(B17,'01_자재목록'!$B$7:$B$106,0)))))</f>
        <v/>
      </c>
    </row>
    <row r="18" ht="24" customHeight="1">
      <c r="A18" s="18" t="n">
        <v>12</v>
      </c>
      <c r="B18" s="19" t="n"/>
      <c r="C18" s="23">
        <f>IF(B18="","",IFERROR(INDEX('01_자재목록'!$D$7:$D$106,MATCH(B18,'01_자재목록'!$B$7:$B$106,0))&amp;"","자재코드 확인"))</f>
        <v/>
      </c>
      <c r="D18" s="19" t="n"/>
      <c r="E18" s="19" t="n"/>
      <c r="F18" s="32" t="n"/>
      <c r="G18" s="32" t="n"/>
      <c r="H18" s="19" t="n"/>
      <c r="I18" s="19" t="n"/>
      <c r="J18" s="19" t="n"/>
      <c r="K18" s="33">
        <f>IF(OR(B18="",F18=""),"",IF(ISNUMBER(F18),F18-TODAY(),"날짜 확인"))</f>
        <v/>
      </c>
      <c r="L18" s="23">
        <f>IF(B18="",IF(OR(D18&lt;&gt;"",E18&lt;&gt;"",F18&lt;&gt;""),"자재코드 확인",""),IF(COUNTIF('01_자재목록'!$B$7:$B$106,B18)&lt;&gt;1,"자재코드 확인",IF(OR(J18="소진",J18="폐기"),J18,IF(AND(D18="",E18=""),"LOT 미입력",IF(F18="","미입력",IF(OR(NOT(ISNUMBER(F18)),F18&lt;1),"날짜 확인",IF(K18&lt;0,"만료",IF(K18&lt;=$I$4,"유효기간 임박","정상"))))))))</f>
        <v/>
      </c>
      <c r="M18" s="19" t="n"/>
      <c r="N18" s="19" t="n"/>
      <c r="O18" s="19" t="n"/>
      <c r="P18" s="27">
        <f>IF(B18="","",IF(COUNTIF('01_자재목록'!$B$7:$B$106,B18)&lt;&gt;1,"자재코드 확인",IF(INDEX('01_자재목록'!$R$7:$R$106,MATCH(B18,'01_자재목록'!$B$7:$B$106,0))="","구분 미입력",INDEX('01_자재목록'!$R$7:$R$106,MATCH(B18,'01_자재목록'!$B$7:$B$106,0)))))</f>
        <v/>
      </c>
    </row>
    <row r="19" ht="24" customHeight="1">
      <c r="A19" s="18" t="n">
        <v>13</v>
      </c>
      <c r="B19" s="19" t="n"/>
      <c r="C19" s="23">
        <f>IF(B19="","",IFERROR(INDEX('01_자재목록'!$D$7:$D$106,MATCH(B19,'01_자재목록'!$B$7:$B$106,0))&amp;"","자재코드 확인"))</f>
        <v/>
      </c>
      <c r="D19" s="19" t="n"/>
      <c r="E19" s="19" t="n"/>
      <c r="F19" s="32" t="n"/>
      <c r="G19" s="32" t="n"/>
      <c r="H19" s="19" t="n"/>
      <c r="I19" s="19" t="n"/>
      <c r="J19" s="19" t="n"/>
      <c r="K19" s="33">
        <f>IF(OR(B19="",F19=""),"",IF(ISNUMBER(F19),F19-TODAY(),"날짜 확인"))</f>
        <v/>
      </c>
      <c r="L19" s="23">
        <f>IF(B19="",IF(OR(D19&lt;&gt;"",E19&lt;&gt;"",F19&lt;&gt;""),"자재코드 확인",""),IF(COUNTIF('01_자재목록'!$B$7:$B$106,B19)&lt;&gt;1,"자재코드 확인",IF(OR(J19="소진",J19="폐기"),J19,IF(AND(D19="",E19=""),"LOT 미입력",IF(F19="","미입력",IF(OR(NOT(ISNUMBER(F19)),F19&lt;1),"날짜 확인",IF(K19&lt;0,"만료",IF(K19&lt;=$I$4,"유효기간 임박","정상"))))))))</f>
        <v/>
      </c>
      <c r="M19" s="19" t="n"/>
      <c r="N19" s="19" t="n"/>
      <c r="O19" s="19" t="n"/>
      <c r="P19" s="27">
        <f>IF(B19="","",IF(COUNTIF('01_자재목록'!$B$7:$B$106,B19)&lt;&gt;1,"자재코드 확인",IF(INDEX('01_자재목록'!$R$7:$R$106,MATCH(B19,'01_자재목록'!$B$7:$B$106,0))="","구분 미입력",INDEX('01_자재목록'!$R$7:$R$106,MATCH(B19,'01_자재목록'!$B$7:$B$106,0)))))</f>
        <v/>
      </c>
    </row>
    <row r="20" ht="24" customHeight="1">
      <c r="A20" s="18" t="n">
        <v>14</v>
      </c>
      <c r="B20" s="19" t="n"/>
      <c r="C20" s="23">
        <f>IF(B20="","",IFERROR(INDEX('01_자재목록'!$D$7:$D$106,MATCH(B20,'01_자재목록'!$B$7:$B$106,0))&amp;"","자재코드 확인"))</f>
        <v/>
      </c>
      <c r="D20" s="19" t="n"/>
      <c r="E20" s="19" t="n"/>
      <c r="F20" s="32" t="n"/>
      <c r="G20" s="32" t="n"/>
      <c r="H20" s="19" t="n"/>
      <c r="I20" s="19" t="n"/>
      <c r="J20" s="19" t="n"/>
      <c r="K20" s="33">
        <f>IF(OR(B20="",F20=""),"",IF(ISNUMBER(F20),F20-TODAY(),"날짜 확인"))</f>
        <v/>
      </c>
      <c r="L20" s="23">
        <f>IF(B20="",IF(OR(D20&lt;&gt;"",E20&lt;&gt;"",F20&lt;&gt;""),"자재코드 확인",""),IF(COUNTIF('01_자재목록'!$B$7:$B$106,B20)&lt;&gt;1,"자재코드 확인",IF(OR(J20="소진",J20="폐기"),J20,IF(AND(D20="",E20=""),"LOT 미입력",IF(F20="","미입력",IF(OR(NOT(ISNUMBER(F20)),F20&lt;1),"날짜 확인",IF(K20&lt;0,"만료",IF(K20&lt;=$I$4,"유효기간 임박","정상"))))))))</f>
        <v/>
      </c>
      <c r="M20" s="19" t="n"/>
      <c r="N20" s="19" t="n"/>
      <c r="O20" s="19" t="n"/>
      <c r="P20" s="27">
        <f>IF(B20="","",IF(COUNTIF('01_자재목록'!$B$7:$B$106,B20)&lt;&gt;1,"자재코드 확인",IF(INDEX('01_자재목록'!$R$7:$R$106,MATCH(B20,'01_자재목록'!$B$7:$B$106,0))="","구분 미입력",INDEX('01_자재목록'!$R$7:$R$106,MATCH(B20,'01_자재목록'!$B$7:$B$106,0)))))</f>
        <v/>
      </c>
    </row>
    <row r="21" ht="24" customHeight="1">
      <c r="A21" s="18" t="n">
        <v>15</v>
      </c>
      <c r="B21" s="19" t="n"/>
      <c r="C21" s="23">
        <f>IF(B21="","",IFERROR(INDEX('01_자재목록'!$D$7:$D$106,MATCH(B21,'01_자재목록'!$B$7:$B$106,0))&amp;"","자재코드 확인"))</f>
        <v/>
      </c>
      <c r="D21" s="19" t="n"/>
      <c r="E21" s="19" t="n"/>
      <c r="F21" s="32" t="n"/>
      <c r="G21" s="32" t="n"/>
      <c r="H21" s="19" t="n"/>
      <c r="I21" s="19" t="n"/>
      <c r="J21" s="19" t="n"/>
      <c r="K21" s="33">
        <f>IF(OR(B21="",F21=""),"",IF(ISNUMBER(F21),F21-TODAY(),"날짜 확인"))</f>
        <v/>
      </c>
      <c r="L21" s="23">
        <f>IF(B21="",IF(OR(D21&lt;&gt;"",E21&lt;&gt;"",F21&lt;&gt;""),"자재코드 확인",""),IF(COUNTIF('01_자재목록'!$B$7:$B$106,B21)&lt;&gt;1,"자재코드 확인",IF(OR(J21="소진",J21="폐기"),J21,IF(AND(D21="",E21=""),"LOT 미입력",IF(F21="","미입력",IF(OR(NOT(ISNUMBER(F21)),F21&lt;1),"날짜 확인",IF(K21&lt;0,"만료",IF(K21&lt;=$I$4,"유효기간 임박","정상"))))))))</f>
        <v/>
      </c>
      <c r="M21" s="19" t="n"/>
      <c r="N21" s="19" t="n"/>
      <c r="O21" s="19" t="n"/>
      <c r="P21" s="27">
        <f>IF(B21="","",IF(COUNTIF('01_자재목록'!$B$7:$B$106,B21)&lt;&gt;1,"자재코드 확인",IF(INDEX('01_자재목록'!$R$7:$R$106,MATCH(B21,'01_자재목록'!$B$7:$B$106,0))="","구분 미입력",INDEX('01_자재목록'!$R$7:$R$106,MATCH(B21,'01_자재목록'!$B$7:$B$106,0)))))</f>
        <v/>
      </c>
    </row>
    <row r="22" ht="24" customHeight="1">
      <c r="A22" s="18" t="n">
        <v>16</v>
      </c>
      <c r="B22" s="19" t="n"/>
      <c r="C22" s="23">
        <f>IF(B22="","",IFERROR(INDEX('01_자재목록'!$D$7:$D$106,MATCH(B22,'01_자재목록'!$B$7:$B$106,0))&amp;"","자재코드 확인"))</f>
        <v/>
      </c>
      <c r="D22" s="19" t="n"/>
      <c r="E22" s="19" t="n"/>
      <c r="F22" s="32" t="n"/>
      <c r="G22" s="32" t="n"/>
      <c r="H22" s="19" t="n"/>
      <c r="I22" s="19" t="n"/>
      <c r="J22" s="19" t="n"/>
      <c r="K22" s="33">
        <f>IF(OR(B22="",F22=""),"",IF(ISNUMBER(F22),F22-TODAY(),"날짜 확인"))</f>
        <v/>
      </c>
      <c r="L22" s="23">
        <f>IF(B22="",IF(OR(D22&lt;&gt;"",E22&lt;&gt;"",F22&lt;&gt;""),"자재코드 확인",""),IF(COUNTIF('01_자재목록'!$B$7:$B$106,B22)&lt;&gt;1,"자재코드 확인",IF(OR(J22="소진",J22="폐기"),J22,IF(AND(D22="",E22=""),"LOT 미입력",IF(F22="","미입력",IF(OR(NOT(ISNUMBER(F22)),F22&lt;1),"날짜 확인",IF(K22&lt;0,"만료",IF(K22&lt;=$I$4,"유효기간 임박","정상"))))))))</f>
        <v/>
      </c>
      <c r="M22" s="19" t="n"/>
      <c r="N22" s="19" t="n"/>
      <c r="O22" s="19" t="n"/>
      <c r="P22" s="27">
        <f>IF(B22="","",IF(COUNTIF('01_자재목록'!$B$7:$B$106,B22)&lt;&gt;1,"자재코드 확인",IF(INDEX('01_자재목록'!$R$7:$R$106,MATCH(B22,'01_자재목록'!$B$7:$B$106,0))="","구분 미입력",INDEX('01_자재목록'!$R$7:$R$106,MATCH(B22,'01_자재목록'!$B$7:$B$106,0)))))</f>
        <v/>
      </c>
    </row>
    <row r="23" ht="24" customHeight="1">
      <c r="A23" s="18" t="n">
        <v>17</v>
      </c>
      <c r="B23" s="19" t="n"/>
      <c r="C23" s="23">
        <f>IF(B23="","",IFERROR(INDEX('01_자재목록'!$D$7:$D$106,MATCH(B23,'01_자재목록'!$B$7:$B$106,0))&amp;"","자재코드 확인"))</f>
        <v/>
      </c>
      <c r="D23" s="19" t="n"/>
      <c r="E23" s="19" t="n"/>
      <c r="F23" s="32" t="n"/>
      <c r="G23" s="32" t="n"/>
      <c r="H23" s="19" t="n"/>
      <c r="I23" s="19" t="n"/>
      <c r="J23" s="19" t="n"/>
      <c r="K23" s="33">
        <f>IF(OR(B23="",F23=""),"",IF(ISNUMBER(F23),F23-TODAY(),"날짜 확인"))</f>
        <v/>
      </c>
      <c r="L23" s="23">
        <f>IF(B23="",IF(OR(D23&lt;&gt;"",E23&lt;&gt;"",F23&lt;&gt;""),"자재코드 확인",""),IF(COUNTIF('01_자재목록'!$B$7:$B$106,B23)&lt;&gt;1,"자재코드 확인",IF(OR(J23="소진",J23="폐기"),J23,IF(AND(D23="",E23=""),"LOT 미입력",IF(F23="","미입력",IF(OR(NOT(ISNUMBER(F23)),F23&lt;1),"날짜 확인",IF(K23&lt;0,"만료",IF(K23&lt;=$I$4,"유효기간 임박","정상"))))))))</f>
        <v/>
      </c>
      <c r="M23" s="19" t="n"/>
      <c r="N23" s="19" t="n"/>
      <c r="O23" s="19" t="n"/>
      <c r="P23" s="27">
        <f>IF(B23="","",IF(COUNTIF('01_자재목록'!$B$7:$B$106,B23)&lt;&gt;1,"자재코드 확인",IF(INDEX('01_자재목록'!$R$7:$R$106,MATCH(B23,'01_자재목록'!$B$7:$B$106,0))="","구분 미입력",INDEX('01_자재목록'!$R$7:$R$106,MATCH(B23,'01_자재목록'!$B$7:$B$106,0)))))</f>
        <v/>
      </c>
    </row>
    <row r="24" ht="24" customHeight="1">
      <c r="A24" s="18" t="n">
        <v>18</v>
      </c>
      <c r="B24" s="19" t="n"/>
      <c r="C24" s="23">
        <f>IF(B24="","",IFERROR(INDEX('01_자재목록'!$D$7:$D$106,MATCH(B24,'01_자재목록'!$B$7:$B$106,0))&amp;"","자재코드 확인"))</f>
        <v/>
      </c>
      <c r="D24" s="19" t="n"/>
      <c r="E24" s="19" t="n"/>
      <c r="F24" s="32" t="n"/>
      <c r="G24" s="32" t="n"/>
      <c r="H24" s="19" t="n"/>
      <c r="I24" s="19" t="n"/>
      <c r="J24" s="19" t="n"/>
      <c r="K24" s="33">
        <f>IF(OR(B24="",F24=""),"",IF(ISNUMBER(F24),F24-TODAY(),"날짜 확인"))</f>
        <v/>
      </c>
      <c r="L24" s="23">
        <f>IF(B24="",IF(OR(D24&lt;&gt;"",E24&lt;&gt;"",F24&lt;&gt;""),"자재코드 확인",""),IF(COUNTIF('01_자재목록'!$B$7:$B$106,B24)&lt;&gt;1,"자재코드 확인",IF(OR(J24="소진",J24="폐기"),J24,IF(AND(D24="",E24=""),"LOT 미입력",IF(F24="","미입력",IF(OR(NOT(ISNUMBER(F24)),F24&lt;1),"날짜 확인",IF(K24&lt;0,"만료",IF(K24&lt;=$I$4,"유효기간 임박","정상"))))))))</f>
        <v/>
      </c>
      <c r="M24" s="19" t="n"/>
      <c r="N24" s="19" t="n"/>
      <c r="O24" s="19" t="n"/>
      <c r="P24" s="27">
        <f>IF(B24="","",IF(COUNTIF('01_자재목록'!$B$7:$B$106,B24)&lt;&gt;1,"자재코드 확인",IF(INDEX('01_자재목록'!$R$7:$R$106,MATCH(B24,'01_자재목록'!$B$7:$B$106,0))="","구분 미입력",INDEX('01_자재목록'!$R$7:$R$106,MATCH(B24,'01_자재목록'!$B$7:$B$106,0)))))</f>
        <v/>
      </c>
    </row>
    <row r="25" ht="24" customHeight="1">
      <c r="A25" s="18" t="n">
        <v>19</v>
      </c>
      <c r="B25" s="19" t="n"/>
      <c r="C25" s="23">
        <f>IF(B25="","",IFERROR(INDEX('01_자재목록'!$D$7:$D$106,MATCH(B25,'01_자재목록'!$B$7:$B$106,0))&amp;"","자재코드 확인"))</f>
        <v/>
      </c>
      <c r="D25" s="19" t="n"/>
      <c r="E25" s="19" t="n"/>
      <c r="F25" s="32" t="n"/>
      <c r="G25" s="32" t="n"/>
      <c r="H25" s="19" t="n"/>
      <c r="I25" s="19" t="n"/>
      <c r="J25" s="19" t="n"/>
      <c r="K25" s="33">
        <f>IF(OR(B25="",F25=""),"",IF(ISNUMBER(F25),F25-TODAY(),"날짜 확인"))</f>
        <v/>
      </c>
      <c r="L25" s="23">
        <f>IF(B25="",IF(OR(D25&lt;&gt;"",E25&lt;&gt;"",F25&lt;&gt;""),"자재코드 확인",""),IF(COUNTIF('01_자재목록'!$B$7:$B$106,B25)&lt;&gt;1,"자재코드 확인",IF(OR(J25="소진",J25="폐기"),J25,IF(AND(D25="",E25=""),"LOT 미입력",IF(F25="","미입력",IF(OR(NOT(ISNUMBER(F25)),F25&lt;1),"날짜 확인",IF(K25&lt;0,"만료",IF(K25&lt;=$I$4,"유효기간 임박","정상"))))))))</f>
        <v/>
      </c>
      <c r="M25" s="19" t="n"/>
      <c r="N25" s="19" t="n"/>
      <c r="O25" s="19" t="n"/>
      <c r="P25" s="27">
        <f>IF(B25="","",IF(COUNTIF('01_자재목록'!$B$7:$B$106,B25)&lt;&gt;1,"자재코드 확인",IF(INDEX('01_자재목록'!$R$7:$R$106,MATCH(B25,'01_자재목록'!$B$7:$B$106,0))="","구분 미입력",INDEX('01_자재목록'!$R$7:$R$106,MATCH(B25,'01_자재목록'!$B$7:$B$106,0)))))</f>
        <v/>
      </c>
    </row>
    <row r="26" ht="24" customHeight="1">
      <c r="A26" s="18" t="n">
        <v>20</v>
      </c>
      <c r="B26" s="19" t="n"/>
      <c r="C26" s="23">
        <f>IF(B26="","",IFERROR(INDEX('01_자재목록'!$D$7:$D$106,MATCH(B26,'01_자재목록'!$B$7:$B$106,0))&amp;"","자재코드 확인"))</f>
        <v/>
      </c>
      <c r="D26" s="19" t="n"/>
      <c r="E26" s="19" t="n"/>
      <c r="F26" s="32" t="n"/>
      <c r="G26" s="32" t="n"/>
      <c r="H26" s="19" t="n"/>
      <c r="I26" s="19" t="n"/>
      <c r="J26" s="19" t="n"/>
      <c r="K26" s="33">
        <f>IF(OR(B26="",F26=""),"",IF(ISNUMBER(F26),F26-TODAY(),"날짜 확인"))</f>
        <v/>
      </c>
      <c r="L26" s="23">
        <f>IF(B26="",IF(OR(D26&lt;&gt;"",E26&lt;&gt;"",F26&lt;&gt;""),"자재코드 확인",""),IF(COUNTIF('01_자재목록'!$B$7:$B$106,B26)&lt;&gt;1,"자재코드 확인",IF(OR(J26="소진",J26="폐기"),J26,IF(AND(D26="",E26=""),"LOT 미입력",IF(F26="","미입력",IF(OR(NOT(ISNUMBER(F26)),F26&lt;1),"날짜 확인",IF(K26&lt;0,"만료",IF(K26&lt;=$I$4,"유효기간 임박","정상"))))))))</f>
        <v/>
      </c>
      <c r="M26" s="19" t="n"/>
      <c r="N26" s="19" t="n"/>
      <c r="O26" s="19" t="n"/>
      <c r="P26" s="27">
        <f>IF(B26="","",IF(COUNTIF('01_자재목록'!$B$7:$B$106,B26)&lt;&gt;1,"자재코드 확인",IF(INDEX('01_자재목록'!$R$7:$R$106,MATCH(B26,'01_자재목록'!$B$7:$B$106,0))="","구분 미입력",INDEX('01_자재목록'!$R$7:$R$106,MATCH(B26,'01_자재목록'!$B$7:$B$106,0)))))</f>
        <v/>
      </c>
    </row>
    <row r="27" ht="24" customHeight="1">
      <c r="A27" s="18" t="n">
        <v>21</v>
      </c>
      <c r="B27" s="19" t="n"/>
      <c r="C27" s="23">
        <f>IF(B27="","",IFERROR(INDEX('01_자재목록'!$D$7:$D$106,MATCH(B27,'01_자재목록'!$B$7:$B$106,0))&amp;"","자재코드 확인"))</f>
        <v/>
      </c>
      <c r="D27" s="19" t="n"/>
      <c r="E27" s="19" t="n"/>
      <c r="F27" s="32" t="n"/>
      <c r="G27" s="32" t="n"/>
      <c r="H27" s="19" t="n"/>
      <c r="I27" s="19" t="n"/>
      <c r="J27" s="19" t="n"/>
      <c r="K27" s="33">
        <f>IF(OR(B27="",F27=""),"",IF(ISNUMBER(F27),F27-TODAY(),"날짜 확인"))</f>
        <v/>
      </c>
      <c r="L27" s="23">
        <f>IF(B27="",IF(OR(D27&lt;&gt;"",E27&lt;&gt;"",F27&lt;&gt;""),"자재코드 확인",""),IF(COUNTIF('01_자재목록'!$B$7:$B$106,B27)&lt;&gt;1,"자재코드 확인",IF(OR(J27="소진",J27="폐기"),J27,IF(AND(D27="",E27=""),"LOT 미입력",IF(F27="","미입력",IF(OR(NOT(ISNUMBER(F27)),F27&lt;1),"날짜 확인",IF(K27&lt;0,"만료",IF(K27&lt;=$I$4,"유효기간 임박","정상"))))))))</f>
        <v/>
      </c>
      <c r="M27" s="19" t="n"/>
      <c r="N27" s="19" t="n"/>
      <c r="O27" s="19" t="n"/>
      <c r="P27" s="27">
        <f>IF(B27="","",IF(COUNTIF('01_자재목록'!$B$7:$B$106,B27)&lt;&gt;1,"자재코드 확인",IF(INDEX('01_자재목록'!$R$7:$R$106,MATCH(B27,'01_자재목록'!$B$7:$B$106,0))="","구분 미입력",INDEX('01_자재목록'!$R$7:$R$106,MATCH(B27,'01_자재목록'!$B$7:$B$106,0)))))</f>
        <v/>
      </c>
    </row>
    <row r="28" ht="24" customHeight="1">
      <c r="A28" s="18" t="n">
        <v>22</v>
      </c>
      <c r="B28" s="19" t="n"/>
      <c r="C28" s="23">
        <f>IF(B28="","",IFERROR(INDEX('01_자재목록'!$D$7:$D$106,MATCH(B28,'01_자재목록'!$B$7:$B$106,0))&amp;"","자재코드 확인"))</f>
        <v/>
      </c>
      <c r="D28" s="19" t="n"/>
      <c r="E28" s="19" t="n"/>
      <c r="F28" s="32" t="n"/>
      <c r="G28" s="32" t="n"/>
      <c r="H28" s="19" t="n"/>
      <c r="I28" s="19" t="n"/>
      <c r="J28" s="19" t="n"/>
      <c r="K28" s="33">
        <f>IF(OR(B28="",F28=""),"",IF(ISNUMBER(F28),F28-TODAY(),"날짜 확인"))</f>
        <v/>
      </c>
      <c r="L28" s="23">
        <f>IF(B28="",IF(OR(D28&lt;&gt;"",E28&lt;&gt;"",F28&lt;&gt;""),"자재코드 확인",""),IF(COUNTIF('01_자재목록'!$B$7:$B$106,B28)&lt;&gt;1,"자재코드 확인",IF(OR(J28="소진",J28="폐기"),J28,IF(AND(D28="",E28=""),"LOT 미입력",IF(F28="","미입력",IF(OR(NOT(ISNUMBER(F28)),F28&lt;1),"날짜 확인",IF(K28&lt;0,"만료",IF(K28&lt;=$I$4,"유효기간 임박","정상"))))))))</f>
        <v/>
      </c>
      <c r="M28" s="19" t="n"/>
      <c r="N28" s="19" t="n"/>
      <c r="O28" s="19" t="n"/>
      <c r="P28" s="27">
        <f>IF(B28="","",IF(COUNTIF('01_자재목록'!$B$7:$B$106,B28)&lt;&gt;1,"자재코드 확인",IF(INDEX('01_자재목록'!$R$7:$R$106,MATCH(B28,'01_자재목록'!$B$7:$B$106,0))="","구분 미입력",INDEX('01_자재목록'!$R$7:$R$106,MATCH(B28,'01_자재목록'!$B$7:$B$106,0)))))</f>
        <v/>
      </c>
    </row>
    <row r="29" ht="24" customHeight="1">
      <c r="A29" s="18" t="n">
        <v>23</v>
      </c>
      <c r="B29" s="19" t="n"/>
      <c r="C29" s="23">
        <f>IF(B29="","",IFERROR(INDEX('01_자재목록'!$D$7:$D$106,MATCH(B29,'01_자재목록'!$B$7:$B$106,0))&amp;"","자재코드 확인"))</f>
        <v/>
      </c>
      <c r="D29" s="19" t="n"/>
      <c r="E29" s="19" t="n"/>
      <c r="F29" s="32" t="n"/>
      <c r="G29" s="32" t="n"/>
      <c r="H29" s="19" t="n"/>
      <c r="I29" s="19" t="n"/>
      <c r="J29" s="19" t="n"/>
      <c r="K29" s="33">
        <f>IF(OR(B29="",F29=""),"",IF(ISNUMBER(F29),F29-TODAY(),"날짜 확인"))</f>
        <v/>
      </c>
      <c r="L29" s="23">
        <f>IF(B29="",IF(OR(D29&lt;&gt;"",E29&lt;&gt;"",F29&lt;&gt;""),"자재코드 확인",""),IF(COUNTIF('01_자재목록'!$B$7:$B$106,B29)&lt;&gt;1,"자재코드 확인",IF(OR(J29="소진",J29="폐기"),J29,IF(AND(D29="",E29=""),"LOT 미입력",IF(F29="","미입력",IF(OR(NOT(ISNUMBER(F29)),F29&lt;1),"날짜 확인",IF(K29&lt;0,"만료",IF(K29&lt;=$I$4,"유효기간 임박","정상"))))))))</f>
        <v/>
      </c>
      <c r="M29" s="19" t="n"/>
      <c r="N29" s="19" t="n"/>
      <c r="O29" s="19" t="n"/>
      <c r="P29" s="27">
        <f>IF(B29="","",IF(COUNTIF('01_자재목록'!$B$7:$B$106,B29)&lt;&gt;1,"자재코드 확인",IF(INDEX('01_자재목록'!$R$7:$R$106,MATCH(B29,'01_자재목록'!$B$7:$B$106,0))="","구분 미입력",INDEX('01_자재목록'!$R$7:$R$106,MATCH(B29,'01_자재목록'!$B$7:$B$106,0)))))</f>
        <v/>
      </c>
    </row>
    <row r="30" ht="24" customHeight="1">
      <c r="A30" s="18" t="n">
        <v>24</v>
      </c>
      <c r="B30" s="19" t="n"/>
      <c r="C30" s="23">
        <f>IF(B30="","",IFERROR(INDEX('01_자재목록'!$D$7:$D$106,MATCH(B30,'01_자재목록'!$B$7:$B$106,0))&amp;"","자재코드 확인"))</f>
        <v/>
      </c>
      <c r="D30" s="19" t="n"/>
      <c r="E30" s="19" t="n"/>
      <c r="F30" s="32" t="n"/>
      <c r="G30" s="32" t="n"/>
      <c r="H30" s="19" t="n"/>
      <c r="I30" s="19" t="n"/>
      <c r="J30" s="19" t="n"/>
      <c r="K30" s="33">
        <f>IF(OR(B30="",F30=""),"",IF(ISNUMBER(F30),F30-TODAY(),"날짜 확인"))</f>
        <v/>
      </c>
      <c r="L30" s="23">
        <f>IF(B30="",IF(OR(D30&lt;&gt;"",E30&lt;&gt;"",F30&lt;&gt;""),"자재코드 확인",""),IF(COUNTIF('01_자재목록'!$B$7:$B$106,B30)&lt;&gt;1,"자재코드 확인",IF(OR(J30="소진",J30="폐기"),J30,IF(AND(D30="",E30=""),"LOT 미입력",IF(F30="","미입력",IF(OR(NOT(ISNUMBER(F30)),F30&lt;1),"날짜 확인",IF(K30&lt;0,"만료",IF(K30&lt;=$I$4,"유효기간 임박","정상"))))))))</f>
        <v/>
      </c>
      <c r="M30" s="19" t="n"/>
      <c r="N30" s="19" t="n"/>
      <c r="O30" s="19" t="n"/>
      <c r="P30" s="27">
        <f>IF(B30="","",IF(COUNTIF('01_자재목록'!$B$7:$B$106,B30)&lt;&gt;1,"자재코드 확인",IF(INDEX('01_자재목록'!$R$7:$R$106,MATCH(B30,'01_자재목록'!$B$7:$B$106,0))="","구분 미입력",INDEX('01_자재목록'!$R$7:$R$106,MATCH(B30,'01_자재목록'!$B$7:$B$106,0)))))</f>
        <v/>
      </c>
    </row>
    <row r="31" ht="24" customHeight="1">
      <c r="A31" s="18" t="n">
        <v>25</v>
      </c>
      <c r="B31" s="19" t="n"/>
      <c r="C31" s="23">
        <f>IF(B31="","",IFERROR(INDEX('01_자재목록'!$D$7:$D$106,MATCH(B31,'01_자재목록'!$B$7:$B$106,0))&amp;"","자재코드 확인"))</f>
        <v/>
      </c>
      <c r="D31" s="19" t="n"/>
      <c r="E31" s="19" t="n"/>
      <c r="F31" s="32" t="n"/>
      <c r="G31" s="32" t="n"/>
      <c r="H31" s="19" t="n"/>
      <c r="I31" s="19" t="n"/>
      <c r="J31" s="19" t="n"/>
      <c r="K31" s="33">
        <f>IF(OR(B31="",F31=""),"",IF(ISNUMBER(F31),F31-TODAY(),"날짜 확인"))</f>
        <v/>
      </c>
      <c r="L31" s="23">
        <f>IF(B31="",IF(OR(D31&lt;&gt;"",E31&lt;&gt;"",F31&lt;&gt;""),"자재코드 확인",""),IF(COUNTIF('01_자재목록'!$B$7:$B$106,B31)&lt;&gt;1,"자재코드 확인",IF(OR(J31="소진",J31="폐기"),J31,IF(AND(D31="",E31=""),"LOT 미입력",IF(F31="","미입력",IF(OR(NOT(ISNUMBER(F31)),F31&lt;1),"날짜 확인",IF(K31&lt;0,"만료",IF(K31&lt;=$I$4,"유효기간 임박","정상"))))))))</f>
        <v/>
      </c>
      <c r="M31" s="19" t="n"/>
      <c r="N31" s="19" t="n"/>
      <c r="O31" s="19" t="n"/>
      <c r="P31" s="27">
        <f>IF(B31="","",IF(COUNTIF('01_자재목록'!$B$7:$B$106,B31)&lt;&gt;1,"자재코드 확인",IF(INDEX('01_자재목록'!$R$7:$R$106,MATCH(B31,'01_자재목록'!$B$7:$B$106,0))="","구분 미입력",INDEX('01_자재목록'!$R$7:$R$106,MATCH(B31,'01_자재목록'!$B$7:$B$106,0)))))</f>
        <v/>
      </c>
    </row>
    <row r="32" ht="24" customHeight="1">
      <c r="A32" s="18" t="n">
        <v>26</v>
      </c>
      <c r="B32" s="19" t="n"/>
      <c r="C32" s="23">
        <f>IF(B32="","",IFERROR(INDEX('01_자재목록'!$D$7:$D$106,MATCH(B32,'01_자재목록'!$B$7:$B$106,0))&amp;"","자재코드 확인"))</f>
        <v/>
      </c>
      <c r="D32" s="19" t="n"/>
      <c r="E32" s="19" t="n"/>
      <c r="F32" s="32" t="n"/>
      <c r="G32" s="32" t="n"/>
      <c r="H32" s="19" t="n"/>
      <c r="I32" s="19" t="n"/>
      <c r="J32" s="19" t="n"/>
      <c r="K32" s="33">
        <f>IF(OR(B32="",F32=""),"",IF(ISNUMBER(F32),F32-TODAY(),"날짜 확인"))</f>
        <v/>
      </c>
      <c r="L32" s="23">
        <f>IF(B32="",IF(OR(D32&lt;&gt;"",E32&lt;&gt;"",F32&lt;&gt;""),"자재코드 확인",""),IF(COUNTIF('01_자재목록'!$B$7:$B$106,B32)&lt;&gt;1,"자재코드 확인",IF(OR(J32="소진",J32="폐기"),J32,IF(AND(D32="",E32=""),"LOT 미입력",IF(F32="","미입력",IF(OR(NOT(ISNUMBER(F32)),F32&lt;1),"날짜 확인",IF(K32&lt;0,"만료",IF(K32&lt;=$I$4,"유효기간 임박","정상"))))))))</f>
        <v/>
      </c>
      <c r="M32" s="19" t="n"/>
      <c r="N32" s="19" t="n"/>
      <c r="O32" s="19" t="n"/>
      <c r="P32" s="27">
        <f>IF(B32="","",IF(COUNTIF('01_자재목록'!$B$7:$B$106,B32)&lt;&gt;1,"자재코드 확인",IF(INDEX('01_자재목록'!$R$7:$R$106,MATCH(B32,'01_자재목록'!$B$7:$B$106,0))="","구분 미입력",INDEX('01_자재목록'!$R$7:$R$106,MATCH(B32,'01_자재목록'!$B$7:$B$106,0)))))</f>
        <v/>
      </c>
    </row>
    <row r="33" ht="24" customHeight="1">
      <c r="A33" s="18" t="n">
        <v>27</v>
      </c>
      <c r="B33" s="19" t="n"/>
      <c r="C33" s="23">
        <f>IF(B33="","",IFERROR(INDEX('01_자재목록'!$D$7:$D$106,MATCH(B33,'01_자재목록'!$B$7:$B$106,0))&amp;"","자재코드 확인"))</f>
        <v/>
      </c>
      <c r="D33" s="19" t="n"/>
      <c r="E33" s="19" t="n"/>
      <c r="F33" s="32" t="n"/>
      <c r="G33" s="32" t="n"/>
      <c r="H33" s="19" t="n"/>
      <c r="I33" s="19" t="n"/>
      <c r="J33" s="19" t="n"/>
      <c r="K33" s="33">
        <f>IF(OR(B33="",F33=""),"",IF(ISNUMBER(F33),F33-TODAY(),"날짜 확인"))</f>
        <v/>
      </c>
      <c r="L33" s="23">
        <f>IF(B33="",IF(OR(D33&lt;&gt;"",E33&lt;&gt;"",F33&lt;&gt;""),"자재코드 확인",""),IF(COUNTIF('01_자재목록'!$B$7:$B$106,B33)&lt;&gt;1,"자재코드 확인",IF(OR(J33="소진",J33="폐기"),J33,IF(AND(D33="",E33=""),"LOT 미입력",IF(F33="","미입력",IF(OR(NOT(ISNUMBER(F33)),F33&lt;1),"날짜 확인",IF(K33&lt;0,"만료",IF(K33&lt;=$I$4,"유효기간 임박","정상"))))))))</f>
        <v/>
      </c>
      <c r="M33" s="19" t="n"/>
      <c r="N33" s="19" t="n"/>
      <c r="O33" s="19" t="n"/>
      <c r="P33" s="27">
        <f>IF(B33="","",IF(COUNTIF('01_자재목록'!$B$7:$B$106,B33)&lt;&gt;1,"자재코드 확인",IF(INDEX('01_자재목록'!$R$7:$R$106,MATCH(B33,'01_자재목록'!$B$7:$B$106,0))="","구분 미입력",INDEX('01_자재목록'!$R$7:$R$106,MATCH(B33,'01_자재목록'!$B$7:$B$106,0)))))</f>
        <v/>
      </c>
    </row>
    <row r="34" ht="24" customHeight="1">
      <c r="A34" s="18" t="n">
        <v>28</v>
      </c>
      <c r="B34" s="19" t="n"/>
      <c r="C34" s="23">
        <f>IF(B34="","",IFERROR(INDEX('01_자재목록'!$D$7:$D$106,MATCH(B34,'01_자재목록'!$B$7:$B$106,0))&amp;"","자재코드 확인"))</f>
        <v/>
      </c>
      <c r="D34" s="19" t="n"/>
      <c r="E34" s="19" t="n"/>
      <c r="F34" s="32" t="n"/>
      <c r="G34" s="32" t="n"/>
      <c r="H34" s="19" t="n"/>
      <c r="I34" s="19" t="n"/>
      <c r="J34" s="19" t="n"/>
      <c r="K34" s="33">
        <f>IF(OR(B34="",F34=""),"",IF(ISNUMBER(F34),F34-TODAY(),"날짜 확인"))</f>
        <v/>
      </c>
      <c r="L34" s="23">
        <f>IF(B34="",IF(OR(D34&lt;&gt;"",E34&lt;&gt;"",F34&lt;&gt;""),"자재코드 확인",""),IF(COUNTIF('01_자재목록'!$B$7:$B$106,B34)&lt;&gt;1,"자재코드 확인",IF(OR(J34="소진",J34="폐기"),J34,IF(AND(D34="",E34=""),"LOT 미입력",IF(F34="","미입력",IF(OR(NOT(ISNUMBER(F34)),F34&lt;1),"날짜 확인",IF(K34&lt;0,"만료",IF(K34&lt;=$I$4,"유효기간 임박","정상"))))))))</f>
        <v/>
      </c>
      <c r="M34" s="19" t="n"/>
      <c r="N34" s="19" t="n"/>
      <c r="O34" s="19" t="n"/>
      <c r="P34" s="27">
        <f>IF(B34="","",IF(COUNTIF('01_자재목록'!$B$7:$B$106,B34)&lt;&gt;1,"자재코드 확인",IF(INDEX('01_자재목록'!$R$7:$R$106,MATCH(B34,'01_자재목록'!$B$7:$B$106,0))="","구분 미입력",INDEX('01_자재목록'!$R$7:$R$106,MATCH(B34,'01_자재목록'!$B$7:$B$106,0)))))</f>
        <v/>
      </c>
    </row>
    <row r="35" ht="24" customHeight="1">
      <c r="A35" s="18" t="n">
        <v>29</v>
      </c>
      <c r="B35" s="19" t="n"/>
      <c r="C35" s="23">
        <f>IF(B35="","",IFERROR(INDEX('01_자재목록'!$D$7:$D$106,MATCH(B35,'01_자재목록'!$B$7:$B$106,0))&amp;"","자재코드 확인"))</f>
        <v/>
      </c>
      <c r="D35" s="19" t="n"/>
      <c r="E35" s="19" t="n"/>
      <c r="F35" s="32" t="n"/>
      <c r="G35" s="32" t="n"/>
      <c r="H35" s="19" t="n"/>
      <c r="I35" s="19" t="n"/>
      <c r="J35" s="19" t="n"/>
      <c r="K35" s="33">
        <f>IF(OR(B35="",F35=""),"",IF(ISNUMBER(F35),F35-TODAY(),"날짜 확인"))</f>
        <v/>
      </c>
      <c r="L35" s="23">
        <f>IF(B35="",IF(OR(D35&lt;&gt;"",E35&lt;&gt;"",F35&lt;&gt;""),"자재코드 확인",""),IF(COUNTIF('01_자재목록'!$B$7:$B$106,B35)&lt;&gt;1,"자재코드 확인",IF(OR(J35="소진",J35="폐기"),J35,IF(AND(D35="",E35=""),"LOT 미입력",IF(F35="","미입력",IF(OR(NOT(ISNUMBER(F35)),F35&lt;1),"날짜 확인",IF(K35&lt;0,"만료",IF(K35&lt;=$I$4,"유효기간 임박","정상"))))))))</f>
        <v/>
      </c>
      <c r="M35" s="19" t="n"/>
      <c r="N35" s="19" t="n"/>
      <c r="O35" s="19" t="n"/>
      <c r="P35" s="27">
        <f>IF(B35="","",IF(COUNTIF('01_자재목록'!$B$7:$B$106,B35)&lt;&gt;1,"자재코드 확인",IF(INDEX('01_자재목록'!$R$7:$R$106,MATCH(B35,'01_자재목록'!$B$7:$B$106,0))="","구분 미입력",INDEX('01_자재목록'!$R$7:$R$106,MATCH(B35,'01_자재목록'!$B$7:$B$106,0)))))</f>
        <v/>
      </c>
    </row>
    <row r="36" ht="24" customHeight="1">
      <c r="A36" s="18" t="n">
        <v>30</v>
      </c>
      <c r="B36" s="19" t="n"/>
      <c r="C36" s="23">
        <f>IF(B36="","",IFERROR(INDEX('01_자재목록'!$D$7:$D$106,MATCH(B36,'01_자재목록'!$B$7:$B$106,0))&amp;"","자재코드 확인"))</f>
        <v/>
      </c>
      <c r="D36" s="19" t="n"/>
      <c r="E36" s="19" t="n"/>
      <c r="F36" s="32" t="n"/>
      <c r="G36" s="32" t="n"/>
      <c r="H36" s="19" t="n"/>
      <c r="I36" s="19" t="n"/>
      <c r="J36" s="19" t="n"/>
      <c r="K36" s="33">
        <f>IF(OR(B36="",F36=""),"",IF(ISNUMBER(F36),F36-TODAY(),"날짜 확인"))</f>
        <v/>
      </c>
      <c r="L36" s="23">
        <f>IF(B36="",IF(OR(D36&lt;&gt;"",E36&lt;&gt;"",F36&lt;&gt;""),"자재코드 확인",""),IF(COUNTIF('01_자재목록'!$B$7:$B$106,B36)&lt;&gt;1,"자재코드 확인",IF(OR(J36="소진",J36="폐기"),J36,IF(AND(D36="",E36=""),"LOT 미입력",IF(F36="","미입력",IF(OR(NOT(ISNUMBER(F36)),F36&lt;1),"날짜 확인",IF(K36&lt;0,"만료",IF(K36&lt;=$I$4,"유효기간 임박","정상"))))))))</f>
        <v/>
      </c>
      <c r="M36" s="19" t="n"/>
      <c r="N36" s="19" t="n"/>
      <c r="O36" s="19" t="n"/>
      <c r="P36" s="27">
        <f>IF(B36="","",IF(COUNTIF('01_자재목록'!$B$7:$B$106,B36)&lt;&gt;1,"자재코드 확인",IF(INDEX('01_자재목록'!$R$7:$R$106,MATCH(B36,'01_자재목록'!$B$7:$B$106,0))="","구분 미입력",INDEX('01_자재목록'!$R$7:$R$106,MATCH(B36,'01_자재목록'!$B$7:$B$106,0)))))</f>
        <v/>
      </c>
    </row>
    <row r="37" ht="24" customHeight="1">
      <c r="A37" s="18" t="n">
        <v>31</v>
      </c>
      <c r="B37" s="19" t="n"/>
      <c r="C37" s="23">
        <f>IF(B37="","",IFERROR(INDEX('01_자재목록'!$D$7:$D$106,MATCH(B37,'01_자재목록'!$B$7:$B$106,0))&amp;"","자재코드 확인"))</f>
        <v/>
      </c>
      <c r="D37" s="19" t="n"/>
      <c r="E37" s="19" t="n"/>
      <c r="F37" s="32" t="n"/>
      <c r="G37" s="32" t="n"/>
      <c r="H37" s="19" t="n"/>
      <c r="I37" s="19" t="n"/>
      <c r="J37" s="19" t="n"/>
      <c r="K37" s="33">
        <f>IF(OR(B37="",F37=""),"",IF(ISNUMBER(F37),F37-TODAY(),"날짜 확인"))</f>
        <v/>
      </c>
      <c r="L37" s="23">
        <f>IF(B37="",IF(OR(D37&lt;&gt;"",E37&lt;&gt;"",F37&lt;&gt;""),"자재코드 확인",""),IF(COUNTIF('01_자재목록'!$B$7:$B$106,B37)&lt;&gt;1,"자재코드 확인",IF(OR(J37="소진",J37="폐기"),J37,IF(AND(D37="",E37=""),"LOT 미입력",IF(F37="","미입력",IF(OR(NOT(ISNUMBER(F37)),F37&lt;1),"날짜 확인",IF(K37&lt;0,"만료",IF(K37&lt;=$I$4,"유효기간 임박","정상"))))))))</f>
        <v/>
      </c>
      <c r="M37" s="19" t="n"/>
      <c r="N37" s="19" t="n"/>
      <c r="O37" s="19" t="n"/>
      <c r="P37" s="27">
        <f>IF(B37="","",IF(COUNTIF('01_자재목록'!$B$7:$B$106,B37)&lt;&gt;1,"자재코드 확인",IF(INDEX('01_자재목록'!$R$7:$R$106,MATCH(B37,'01_자재목록'!$B$7:$B$106,0))="","구분 미입력",INDEX('01_자재목록'!$R$7:$R$106,MATCH(B37,'01_자재목록'!$B$7:$B$106,0)))))</f>
        <v/>
      </c>
    </row>
    <row r="38" ht="24" customHeight="1">
      <c r="A38" s="18" t="n">
        <v>32</v>
      </c>
      <c r="B38" s="19" t="n"/>
      <c r="C38" s="23">
        <f>IF(B38="","",IFERROR(INDEX('01_자재목록'!$D$7:$D$106,MATCH(B38,'01_자재목록'!$B$7:$B$106,0))&amp;"","자재코드 확인"))</f>
        <v/>
      </c>
      <c r="D38" s="19" t="n"/>
      <c r="E38" s="19" t="n"/>
      <c r="F38" s="32" t="n"/>
      <c r="G38" s="32" t="n"/>
      <c r="H38" s="19" t="n"/>
      <c r="I38" s="19" t="n"/>
      <c r="J38" s="19" t="n"/>
      <c r="K38" s="33">
        <f>IF(OR(B38="",F38=""),"",IF(ISNUMBER(F38),F38-TODAY(),"날짜 확인"))</f>
        <v/>
      </c>
      <c r="L38" s="23">
        <f>IF(B38="",IF(OR(D38&lt;&gt;"",E38&lt;&gt;"",F38&lt;&gt;""),"자재코드 확인",""),IF(COUNTIF('01_자재목록'!$B$7:$B$106,B38)&lt;&gt;1,"자재코드 확인",IF(OR(J38="소진",J38="폐기"),J38,IF(AND(D38="",E38=""),"LOT 미입력",IF(F38="","미입력",IF(OR(NOT(ISNUMBER(F38)),F38&lt;1),"날짜 확인",IF(K38&lt;0,"만료",IF(K38&lt;=$I$4,"유효기간 임박","정상"))))))))</f>
        <v/>
      </c>
      <c r="M38" s="19" t="n"/>
      <c r="N38" s="19" t="n"/>
      <c r="O38" s="19" t="n"/>
      <c r="P38" s="27">
        <f>IF(B38="","",IF(COUNTIF('01_자재목록'!$B$7:$B$106,B38)&lt;&gt;1,"자재코드 확인",IF(INDEX('01_자재목록'!$R$7:$R$106,MATCH(B38,'01_자재목록'!$B$7:$B$106,0))="","구분 미입력",INDEX('01_자재목록'!$R$7:$R$106,MATCH(B38,'01_자재목록'!$B$7:$B$106,0)))))</f>
        <v/>
      </c>
    </row>
    <row r="39" ht="24" customHeight="1">
      <c r="A39" s="18" t="n">
        <v>33</v>
      </c>
      <c r="B39" s="19" t="n"/>
      <c r="C39" s="23">
        <f>IF(B39="","",IFERROR(INDEX('01_자재목록'!$D$7:$D$106,MATCH(B39,'01_자재목록'!$B$7:$B$106,0))&amp;"","자재코드 확인"))</f>
        <v/>
      </c>
      <c r="D39" s="19" t="n"/>
      <c r="E39" s="19" t="n"/>
      <c r="F39" s="32" t="n"/>
      <c r="G39" s="32" t="n"/>
      <c r="H39" s="19" t="n"/>
      <c r="I39" s="19" t="n"/>
      <c r="J39" s="19" t="n"/>
      <c r="K39" s="33">
        <f>IF(OR(B39="",F39=""),"",IF(ISNUMBER(F39),F39-TODAY(),"날짜 확인"))</f>
        <v/>
      </c>
      <c r="L39" s="23">
        <f>IF(B39="",IF(OR(D39&lt;&gt;"",E39&lt;&gt;"",F39&lt;&gt;""),"자재코드 확인",""),IF(COUNTIF('01_자재목록'!$B$7:$B$106,B39)&lt;&gt;1,"자재코드 확인",IF(OR(J39="소진",J39="폐기"),J39,IF(AND(D39="",E39=""),"LOT 미입력",IF(F39="","미입력",IF(OR(NOT(ISNUMBER(F39)),F39&lt;1),"날짜 확인",IF(K39&lt;0,"만료",IF(K39&lt;=$I$4,"유효기간 임박","정상"))))))))</f>
        <v/>
      </c>
      <c r="M39" s="19" t="n"/>
      <c r="N39" s="19" t="n"/>
      <c r="O39" s="19" t="n"/>
      <c r="P39" s="27">
        <f>IF(B39="","",IF(COUNTIF('01_자재목록'!$B$7:$B$106,B39)&lt;&gt;1,"자재코드 확인",IF(INDEX('01_자재목록'!$R$7:$R$106,MATCH(B39,'01_자재목록'!$B$7:$B$106,0))="","구분 미입력",INDEX('01_자재목록'!$R$7:$R$106,MATCH(B39,'01_자재목록'!$B$7:$B$106,0)))))</f>
        <v/>
      </c>
    </row>
    <row r="40" ht="24" customHeight="1">
      <c r="A40" s="18" t="n">
        <v>34</v>
      </c>
      <c r="B40" s="19" t="n"/>
      <c r="C40" s="23">
        <f>IF(B40="","",IFERROR(INDEX('01_자재목록'!$D$7:$D$106,MATCH(B40,'01_자재목록'!$B$7:$B$106,0))&amp;"","자재코드 확인"))</f>
        <v/>
      </c>
      <c r="D40" s="19" t="n"/>
      <c r="E40" s="19" t="n"/>
      <c r="F40" s="32" t="n"/>
      <c r="G40" s="32" t="n"/>
      <c r="H40" s="19" t="n"/>
      <c r="I40" s="19" t="n"/>
      <c r="J40" s="19" t="n"/>
      <c r="K40" s="33">
        <f>IF(OR(B40="",F40=""),"",IF(ISNUMBER(F40),F40-TODAY(),"날짜 확인"))</f>
        <v/>
      </c>
      <c r="L40" s="23">
        <f>IF(B40="",IF(OR(D40&lt;&gt;"",E40&lt;&gt;"",F40&lt;&gt;""),"자재코드 확인",""),IF(COUNTIF('01_자재목록'!$B$7:$B$106,B40)&lt;&gt;1,"자재코드 확인",IF(OR(J40="소진",J40="폐기"),J40,IF(AND(D40="",E40=""),"LOT 미입력",IF(F40="","미입력",IF(OR(NOT(ISNUMBER(F40)),F40&lt;1),"날짜 확인",IF(K40&lt;0,"만료",IF(K40&lt;=$I$4,"유효기간 임박","정상"))))))))</f>
        <v/>
      </c>
      <c r="M40" s="19" t="n"/>
      <c r="N40" s="19" t="n"/>
      <c r="O40" s="19" t="n"/>
      <c r="P40" s="27">
        <f>IF(B40="","",IF(COUNTIF('01_자재목록'!$B$7:$B$106,B40)&lt;&gt;1,"자재코드 확인",IF(INDEX('01_자재목록'!$R$7:$R$106,MATCH(B40,'01_자재목록'!$B$7:$B$106,0))="","구분 미입력",INDEX('01_자재목록'!$R$7:$R$106,MATCH(B40,'01_자재목록'!$B$7:$B$106,0)))))</f>
        <v/>
      </c>
    </row>
    <row r="41" ht="24" customHeight="1">
      <c r="A41" s="18" t="n">
        <v>35</v>
      </c>
      <c r="B41" s="19" t="n"/>
      <c r="C41" s="23">
        <f>IF(B41="","",IFERROR(INDEX('01_자재목록'!$D$7:$D$106,MATCH(B41,'01_자재목록'!$B$7:$B$106,0))&amp;"","자재코드 확인"))</f>
        <v/>
      </c>
      <c r="D41" s="19" t="n"/>
      <c r="E41" s="19" t="n"/>
      <c r="F41" s="32" t="n"/>
      <c r="G41" s="32" t="n"/>
      <c r="H41" s="19" t="n"/>
      <c r="I41" s="19" t="n"/>
      <c r="J41" s="19" t="n"/>
      <c r="K41" s="33">
        <f>IF(OR(B41="",F41=""),"",IF(ISNUMBER(F41),F41-TODAY(),"날짜 확인"))</f>
        <v/>
      </c>
      <c r="L41" s="23">
        <f>IF(B41="",IF(OR(D41&lt;&gt;"",E41&lt;&gt;"",F41&lt;&gt;""),"자재코드 확인",""),IF(COUNTIF('01_자재목록'!$B$7:$B$106,B41)&lt;&gt;1,"자재코드 확인",IF(OR(J41="소진",J41="폐기"),J41,IF(AND(D41="",E41=""),"LOT 미입력",IF(F41="","미입력",IF(OR(NOT(ISNUMBER(F41)),F41&lt;1),"날짜 확인",IF(K41&lt;0,"만료",IF(K41&lt;=$I$4,"유효기간 임박","정상"))))))))</f>
        <v/>
      </c>
      <c r="M41" s="19" t="n"/>
      <c r="N41" s="19" t="n"/>
      <c r="O41" s="19" t="n"/>
      <c r="P41" s="27">
        <f>IF(B41="","",IF(COUNTIF('01_자재목록'!$B$7:$B$106,B41)&lt;&gt;1,"자재코드 확인",IF(INDEX('01_자재목록'!$R$7:$R$106,MATCH(B41,'01_자재목록'!$B$7:$B$106,0))="","구분 미입력",INDEX('01_자재목록'!$R$7:$R$106,MATCH(B41,'01_자재목록'!$B$7:$B$106,0)))))</f>
        <v/>
      </c>
    </row>
    <row r="42" ht="24" customHeight="1">
      <c r="A42" s="18" t="n">
        <v>36</v>
      </c>
      <c r="B42" s="19" t="n"/>
      <c r="C42" s="23">
        <f>IF(B42="","",IFERROR(INDEX('01_자재목록'!$D$7:$D$106,MATCH(B42,'01_자재목록'!$B$7:$B$106,0))&amp;"","자재코드 확인"))</f>
        <v/>
      </c>
      <c r="D42" s="19" t="n"/>
      <c r="E42" s="19" t="n"/>
      <c r="F42" s="32" t="n"/>
      <c r="G42" s="32" t="n"/>
      <c r="H42" s="19" t="n"/>
      <c r="I42" s="19" t="n"/>
      <c r="J42" s="19" t="n"/>
      <c r="K42" s="33">
        <f>IF(OR(B42="",F42=""),"",IF(ISNUMBER(F42),F42-TODAY(),"날짜 확인"))</f>
        <v/>
      </c>
      <c r="L42" s="23">
        <f>IF(B42="",IF(OR(D42&lt;&gt;"",E42&lt;&gt;"",F42&lt;&gt;""),"자재코드 확인",""),IF(COUNTIF('01_자재목록'!$B$7:$B$106,B42)&lt;&gt;1,"자재코드 확인",IF(OR(J42="소진",J42="폐기"),J42,IF(AND(D42="",E42=""),"LOT 미입력",IF(F42="","미입력",IF(OR(NOT(ISNUMBER(F42)),F42&lt;1),"날짜 확인",IF(K42&lt;0,"만료",IF(K42&lt;=$I$4,"유효기간 임박","정상"))))))))</f>
        <v/>
      </c>
      <c r="M42" s="19" t="n"/>
      <c r="N42" s="19" t="n"/>
      <c r="O42" s="19" t="n"/>
      <c r="P42" s="27">
        <f>IF(B42="","",IF(COUNTIF('01_자재목록'!$B$7:$B$106,B42)&lt;&gt;1,"자재코드 확인",IF(INDEX('01_자재목록'!$R$7:$R$106,MATCH(B42,'01_자재목록'!$B$7:$B$106,0))="","구분 미입력",INDEX('01_자재목록'!$R$7:$R$106,MATCH(B42,'01_자재목록'!$B$7:$B$106,0)))))</f>
        <v/>
      </c>
    </row>
    <row r="43" ht="24" customHeight="1">
      <c r="A43" s="18" t="n">
        <v>37</v>
      </c>
      <c r="B43" s="19" t="n"/>
      <c r="C43" s="23">
        <f>IF(B43="","",IFERROR(INDEX('01_자재목록'!$D$7:$D$106,MATCH(B43,'01_자재목록'!$B$7:$B$106,0))&amp;"","자재코드 확인"))</f>
        <v/>
      </c>
      <c r="D43" s="19" t="n"/>
      <c r="E43" s="19" t="n"/>
      <c r="F43" s="32" t="n"/>
      <c r="G43" s="32" t="n"/>
      <c r="H43" s="19" t="n"/>
      <c r="I43" s="19" t="n"/>
      <c r="J43" s="19" t="n"/>
      <c r="K43" s="33">
        <f>IF(OR(B43="",F43=""),"",IF(ISNUMBER(F43),F43-TODAY(),"날짜 확인"))</f>
        <v/>
      </c>
      <c r="L43" s="23">
        <f>IF(B43="",IF(OR(D43&lt;&gt;"",E43&lt;&gt;"",F43&lt;&gt;""),"자재코드 확인",""),IF(COUNTIF('01_자재목록'!$B$7:$B$106,B43)&lt;&gt;1,"자재코드 확인",IF(OR(J43="소진",J43="폐기"),J43,IF(AND(D43="",E43=""),"LOT 미입력",IF(F43="","미입력",IF(OR(NOT(ISNUMBER(F43)),F43&lt;1),"날짜 확인",IF(K43&lt;0,"만료",IF(K43&lt;=$I$4,"유효기간 임박","정상"))))))))</f>
        <v/>
      </c>
      <c r="M43" s="19" t="n"/>
      <c r="N43" s="19" t="n"/>
      <c r="O43" s="19" t="n"/>
      <c r="P43" s="27">
        <f>IF(B43="","",IF(COUNTIF('01_자재목록'!$B$7:$B$106,B43)&lt;&gt;1,"자재코드 확인",IF(INDEX('01_자재목록'!$R$7:$R$106,MATCH(B43,'01_자재목록'!$B$7:$B$106,0))="","구분 미입력",INDEX('01_자재목록'!$R$7:$R$106,MATCH(B43,'01_자재목록'!$B$7:$B$106,0)))))</f>
        <v/>
      </c>
    </row>
    <row r="44" ht="24" customHeight="1">
      <c r="A44" s="18" t="n">
        <v>38</v>
      </c>
      <c r="B44" s="19" t="n"/>
      <c r="C44" s="23">
        <f>IF(B44="","",IFERROR(INDEX('01_자재목록'!$D$7:$D$106,MATCH(B44,'01_자재목록'!$B$7:$B$106,0))&amp;"","자재코드 확인"))</f>
        <v/>
      </c>
      <c r="D44" s="19" t="n"/>
      <c r="E44" s="19" t="n"/>
      <c r="F44" s="32" t="n"/>
      <c r="G44" s="32" t="n"/>
      <c r="H44" s="19" t="n"/>
      <c r="I44" s="19" t="n"/>
      <c r="J44" s="19" t="n"/>
      <c r="K44" s="33">
        <f>IF(OR(B44="",F44=""),"",IF(ISNUMBER(F44),F44-TODAY(),"날짜 확인"))</f>
        <v/>
      </c>
      <c r="L44" s="23">
        <f>IF(B44="",IF(OR(D44&lt;&gt;"",E44&lt;&gt;"",F44&lt;&gt;""),"자재코드 확인",""),IF(COUNTIF('01_자재목록'!$B$7:$B$106,B44)&lt;&gt;1,"자재코드 확인",IF(OR(J44="소진",J44="폐기"),J44,IF(AND(D44="",E44=""),"LOT 미입력",IF(F44="","미입력",IF(OR(NOT(ISNUMBER(F44)),F44&lt;1),"날짜 확인",IF(K44&lt;0,"만료",IF(K44&lt;=$I$4,"유효기간 임박","정상"))))))))</f>
        <v/>
      </c>
      <c r="M44" s="19" t="n"/>
      <c r="N44" s="19" t="n"/>
      <c r="O44" s="19" t="n"/>
      <c r="P44" s="27">
        <f>IF(B44="","",IF(COUNTIF('01_자재목록'!$B$7:$B$106,B44)&lt;&gt;1,"자재코드 확인",IF(INDEX('01_자재목록'!$R$7:$R$106,MATCH(B44,'01_자재목록'!$B$7:$B$106,0))="","구분 미입력",INDEX('01_자재목록'!$R$7:$R$106,MATCH(B44,'01_자재목록'!$B$7:$B$106,0)))))</f>
        <v/>
      </c>
    </row>
    <row r="45" ht="24" customHeight="1">
      <c r="A45" s="18" t="n">
        <v>39</v>
      </c>
      <c r="B45" s="19" t="n"/>
      <c r="C45" s="23">
        <f>IF(B45="","",IFERROR(INDEX('01_자재목록'!$D$7:$D$106,MATCH(B45,'01_자재목록'!$B$7:$B$106,0))&amp;"","자재코드 확인"))</f>
        <v/>
      </c>
      <c r="D45" s="19" t="n"/>
      <c r="E45" s="19" t="n"/>
      <c r="F45" s="32" t="n"/>
      <c r="G45" s="32" t="n"/>
      <c r="H45" s="19" t="n"/>
      <c r="I45" s="19" t="n"/>
      <c r="J45" s="19" t="n"/>
      <c r="K45" s="33">
        <f>IF(OR(B45="",F45=""),"",IF(ISNUMBER(F45),F45-TODAY(),"날짜 확인"))</f>
        <v/>
      </c>
      <c r="L45" s="23">
        <f>IF(B45="",IF(OR(D45&lt;&gt;"",E45&lt;&gt;"",F45&lt;&gt;""),"자재코드 확인",""),IF(COUNTIF('01_자재목록'!$B$7:$B$106,B45)&lt;&gt;1,"자재코드 확인",IF(OR(J45="소진",J45="폐기"),J45,IF(AND(D45="",E45=""),"LOT 미입력",IF(F45="","미입력",IF(OR(NOT(ISNUMBER(F45)),F45&lt;1),"날짜 확인",IF(K45&lt;0,"만료",IF(K45&lt;=$I$4,"유효기간 임박","정상"))))))))</f>
        <v/>
      </c>
      <c r="M45" s="19" t="n"/>
      <c r="N45" s="19" t="n"/>
      <c r="O45" s="19" t="n"/>
      <c r="P45" s="27">
        <f>IF(B45="","",IF(COUNTIF('01_자재목록'!$B$7:$B$106,B45)&lt;&gt;1,"자재코드 확인",IF(INDEX('01_자재목록'!$R$7:$R$106,MATCH(B45,'01_자재목록'!$B$7:$B$106,0))="","구분 미입력",INDEX('01_자재목록'!$R$7:$R$106,MATCH(B45,'01_자재목록'!$B$7:$B$106,0)))))</f>
        <v/>
      </c>
    </row>
    <row r="46" ht="24" customHeight="1">
      <c r="A46" s="18" t="n">
        <v>40</v>
      </c>
      <c r="B46" s="19" t="n"/>
      <c r="C46" s="23">
        <f>IF(B46="","",IFERROR(INDEX('01_자재목록'!$D$7:$D$106,MATCH(B46,'01_자재목록'!$B$7:$B$106,0))&amp;"","자재코드 확인"))</f>
        <v/>
      </c>
      <c r="D46" s="19" t="n"/>
      <c r="E46" s="19" t="n"/>
      <c r="F46" s="32" t="n"/>
      <c r="G46" s="32" t="n"/>
      <c r="H46" s="19" t="n"/>
      <c r="I46" s="19" t="n"/>
      <c r="J46" s="19" t="n"/>
      <c r="K46" s="33">
        <f>IF(OR(B46="",F46=""),"",IF(ISNUMBER(F46),F46-TODAY(),"날짜 확인"))</f>
        <v/>
      </c>
      <c r="L46" s="23">
        <f>IF(B46="",IF(OR(D46&lt;&gt;"",E46&lt;&gt;"",F46&lt;&gt;""),"자재코드 확인",""),IF(COUNTIF('01_자재목록'!$B$7:$B$106,B46)&lt;&gt;1,"자재코드 확인",IF(OR(J46="소진",J46="폐기"),J46,IF(AND(D46="",E46=""),"LOT 미입력",IF(F46="","미입력",IF(OR(NOT(ISNUMBER(F46)),F46&lt;1),"날짜 확인",IF(K46&lt;0,"만료",IF(K46&lt;=$I$4,"유효기간 임박","정상"))))))))</f>
        <v/>
      </c>
      <c r="M46" s="19" t="n"/>
      <c r="N46" s="19" t="n"/>
      <c r="O46" s="19" t="n"/>
      <c r="P46" s="27">
        <f>IF(B46="","",IF(COUNTIF('01_자재목록'!$B$7:$B$106,B46)&lt;&gt;1,"자재코드 확인",IF(INDEX('01_자재목록'!$R$7:$R$106,MATCH(B46,'01_자재목록'!$B$7:$B$106,0))="","구분 미입력",INDEX('01_자재목록'!$R$7:$R$106,MATCH(B46,'01_자재목록'!$B$7:$B$106,0)))))</f>
        <v/>
      </c>
    </row>
    <row r="47" ht="24" customHeight="1">
      <c r="A47" s="18" t="n">
        <v>41</v>
      </c>
      <c r="B47" s="19" t="n"/>
      <c r="C47" s="23">
        <f>IF(B47="","",IFERROR(INDEX('01_자재목록'!$D$7:$D$106,MATCH(B47,'01_자재목록'!$B$7:$B$106,0))&amp;"","자재코드 확인"))</f>
        <v/>
      </c>
      <c r="D47" s="19" t="n"/>
      <c r="E47" s="19" t="n"/>
      <c r="F47" s="32" t="n"/>
      <c r="G47" s="32" t="n"/>
      <c r="H47" s="19" t="n"/>
      <c r="I47" s="19" t="n"/>
      <c r="J47" s="19" t="n"/>
      <c r="K47" s="33">
        <f>IF(OR(B47="",F47=""),"",IF(ISNUMBER(F47),F47-TODAY(),"날짜 확인"))</f>
        <v/>
      </c>
      <c r="L47" s="23">
        <f>IF(B47="",IF(OR(D47&lt;&gt;"",E47&lt;&gt;"",F47&lt;&gt;""),"자재코드 확인",""),IF(COUNTIF('01_자재목록'!$B$7:$B$106,B47)&lt;&gt;1,"자재코드 확인",IF(OR(J47="소진",J47="폐기"),J47,IF(AND(D47="",E47=""),"LOT 미입력",IF(F47="","미입력",IF(OR(NOT(ISNUMBER(F47)),F47&lt;1),"날짜 확인",IF(K47&lt;0,"만료",IF(K47&lt;=$I$4,"유효기간 임박","정상"))))))))</f>
        <v/>
      </c>
      <c r="M47" s="19" t="n"/>
      <c r="N47" s="19" t="n"/>
      <c r="O47" s="19" t="n"/>
      <c r="P47" s="27">
        <f>IF(B47="","",IF(COUNTIF('01_자재목록'!$B$7:$B$106,B47)&lt;&gt;1,"자재코드 확인",IF(INDEX('01_자재목록'!$R$7:$R$106,MATCH(B47,'01_자재목록'!$B$7:$B$106,0))="","구분 미입력",INDEX('01_자재목록'!$R$7:$R$106,MATCH(B47,'01_자재목록'!$B$7:$B$106,0)))))</f>
        <v/>
      </c>
    </row>
    <row r="48" ht="24" customHeight="1">
      <c r="A48" s="18" t="n">
        <v>42</v>
      </c>
      <c r="B48" s="19" t="n"/>
      <c r="C48" s="23">
        <f>IF(B48="","",IFERROR(INDEX('01_자재목록'!$D$7:$D$106,MATCH(B48,'01_자재목록'!$B$7:$B$106,0))&amp;"","자재코드 확인"))</f>
        <v/>
      </c>
      <c r="D48" s="19" t="n"/>
      <c r="E48" s="19" t="n"/>
      <c r="F48" s="32" t="n"/>
      <c r="G48" s="32" t="n"/>
      <c r="H48" s="19" t="n"/>
      <c r="I48" s="19" t="n"/>
      <c r="J48" s="19" t="n"/>
      <c r="K48" s="33">
        <f>IF(OR(B48="",F48=""),"",IF(ISNUMBER(F48),F48-TODAY(),"날짜 확인"))</f>
        <v/>
      </c>
      <c r="L48" s="23">
        <f>IF(B48="",IF(OR(D48&lt;&gt;"",E48&lt;&gt;"",F48&lt;&gt;""),"자재코드 확인",""),IF(COUNTIF('01_자재목록'!$B$7:$B$106,B48)&lt;&gt;1,"자재코드 확인",IF(OR(J48="소진",J48="폐기"),J48,IF(AND(D48="",E48=""),"LOT 미입력",IF(F48="","미입력",IF(OR(NOT(ISNUMBER(F48)),F48&lt;1),"날짜 확인",IF(K48&lt;0,"만료",IF(K48&lt;=$I$4,"유효기간 임박","정상"))))))))</f>
        <v/>
      </c>
      <c r="M48" s="19" t="n"/>
      <c r="N48" s="19" t="n"/>
      <c r="O48" s="19" t="n"/>
      <c r="P48" s="27">
        <f>IF(B48="","",IF(COUNTIF('01_자재목록'!$B$7:$B$106,B48)&lt;&gt;1,"자재코드 확인",IF(INDEX('01_자재목록'!$R$7:$R$106,MATCH(B48,'01_자재목록'!$B$7:$B$106,0))="","구분 미입력",INDEX('01_자재목록'!$R$7:$R$106,MATCH(B48,'01_자재목록'!$B$7:$B$106,0)))))</f>
        <v/>
      </c>
    </row>
    <row r="49" ht="24" customHeight="1">
      <c r="A49" s="18" t="n">
        <v>43</v>
      </c>
      <c r="B49" s="19" t="n"/>
      <c r="C49" s="23">
        <f>IF(B49="","",IFERROR(INDEX('01_자재목록'!$D$7:$D$106,MATCH(B49,'01_자재목록'!$B$7:$B$106,0))&amp;"","자재코드 확인"))</f>
        <v/>
      </c>
      <c r="D49" s="19" t="n"/>
      <c r="E49" s="19" t="n"/>
      <c r="F49" s="32" t="n"/>
      <c r="G49" s="32" t="n"/>
      <c r="H49" s="19" t="n"/>
      <c r="I49" s="19" t="n"/>
      <c r="J49" s="19" t="n"/>
      <c r="K49" s="33">
        <f>IF(OR(B49="",F49=""),"",IF(ISNUMBER(F49),F49-TODAY(),"날짜 확인"))</f>
        <v/>
      </c>
      <c r="L49" s="23">
        <f>IF(B49="",IF(OR(D49&lt;&gt;"",E49&lt;&gt;"",F49&lt;&gt;""),"자재코드 확인",""),IF(COUNTIF('01_자재목록'!$B$7:$B$106,B49)&lt;&gt;1,"자재코드 확인",IF(OR(J49="소진",J49="폐기"),J49,IF(AND(D49="",E49=""),"LOT 미입력",IF(F49="","미입력",IF(OR(NOT(ISNUMBER(F49)),F49&lt;1),"날짜 확인",IF(K49&lt;0,"만료",IF(K49&lt;=$I$4,"유효기간 임박","정상"))))))))</f>
        <v/>
      </c>
      <c r="M49" s="19" t="n"/>
      <c r="N49" s="19" t="n"/>
      <c r="O49" s="19" t="n"/>
      <c r="P49" s="27">
        <f>IF(B49="","",IF(COUNTIF('01_자재목록'!$B$7:$B$106,B49)&lt;&gt;1,"자재코드 확인",IF(INDEX('01_자재목록'!$R$7:$R$106,MATCH(B49,'01_자재목록'!$B$7:$B$106,0))="","구분 미입력",INDEX('01_자재목록'!$R$7:$R$106,MATCH(B49,'01_자재목록'!$B$7:$B$106,0)))))</f>
        <v/>
      </c>
    </row>
    <row r="50" ht="24" customHeight="1">
      <c r="A50" s="18" t="n">
        <v>44</v>
      </c>
      <c r="B50" s="19" t="n"/>
      <c r="C50" s="23">
        <f>IF(B50="","",IFERROR(INDEX('01_자재목록'!$D$7:$D$106,MATCH(B50,'01_자재목록'!$B$7:$B$106,0))&amp;"","자재코드 확인"))</f>
        <v/>
      </c>
      <c r="D50" s="19" t="n"/>
      <c r="E50" s="19" t="n"/>
      <c r="F50" s="32" t="n"/>
      <c r="G50" s="32" t="n"/>
      <c r="H50" s="19" t="n"/>
      <c r="I50" s="19" t="n"/>
      <c r="J50" s="19" t="n"/>
      <c r="K50" s="33">
        <f>IF(OR(B50="",F50=""),"",IF(ISNUMBER(F50),F50-TODAY(),"날짜 확인"))</f>
        <v/>
      </c>
      <c r="L50" s="23">
        <f>IF(B50="",IF(OR(D50&lt;&gt;"",E50&lt;&gt;"",F50&lt;&gt;""),"자재코드 확인",""),IF(COUNTIF('01_자재목록'!$B$7:$B$106,B50)&lt;&gt;1,"자재코드 확인",IF(OR(J50="소진",J50="폐기"),J50,IF(AND(D50="",E50=""),"LOT 미입력",IF(F50="","미입력",IF(OR(NOT(ISNUMBER(F50)),F50&lt;1),"날짜 확인",IF(K50&lt;0,"만료",IF(K50&lt;=$I$4,"유효기간 임박","정상"))))))))</f>
        <v/>
      </c>
      <c r="M50" s="19" t="n"/>
      <c r="N50" s="19" t="n"/>
      <c r="O50" s="19" t="n"/>
      <c r="P50" s="27">
        <f>IF(B50="","",IF(COUNTIF('01_자재목록'!$B$7:$B$106,B50)&lt;&gt;1,"자재코드 확인",IF(INDEX('01_자재목록'!$R$7:$R$106,MATCH(B50,'01_자재목록'!$B$7:$B$106,0))="","구분 미입력",INDEX('01_자재목록'!$R$7:$R$106,MATCH(B50,'01_자재목록'!$B$7:$B$106,0)))))</f>
        <v/>
      </c>
    </row>
    <row r="51" ht="24" customHeight="1">
      <c r="A51" s="18" t="n">
        <v>45</v>
      </c>
      <c r="B51" s="19" t="n"/>
      <c r="C51" s="23">
        <f>IF(B51="","",IFERROR(INDEX('01_자재목록'!$D$7:$D$106,MATCH(B51,'01_자재목록'!$B$7:$B$106,0))&amp;"","자재코드 확인"))</f>
        <v/>
      </c>
      <c r="D51" s="19" t="n"/>
      <c r="E51" s="19" t="n"/>
      <c r="F51" s="32" t="n"/>
      <c r="G51" s="32" t="n"/>
      <c r="H51" s="19" t="n"/>
      <c r="I51" s="19" t="n"/>
      <c r="J51" s="19" t="n"/>
      <c r="K51" s="33">
        <f>IF(OR(B51="",F51=""),"",IF(ISNUMBER(F51),F51-TODAY(),"날짜 확인"))</f>
        <v/>
      </c>
      <c r="L51" s="23">
        <f>IF(B51="",IF(OR(D51&lt;&gt;"",E51&lt;&gt;"",F51&lt;&gt;""),"자재코드 확인",""),IF(COUNTIF('01_자재목록'!$B$7:$B$106,B51)&lt;&gt;1,"자재코드 확인",IF(OR(J51="소진",J51="폐기"),J51,IF(AND(D51="",E51=""),"LOT 미입력",IF(F51="","미입력",IF(OR(NOT(ISNUMBER(F51)),F51&lt;1),"날짜 확인",IF(K51&lt;0,"만료",IF(K51&lt;=$I$4,"유효기간 임박","정상"))))))))</f>
        <v/>
      </c>
      <c r="M51" s="19" t="n"/>
      <c r="N51" s="19" t="n"/>
      <c r="O51" s="19" t="n"/>
      <c r="P51" s="27">
        <f>IF(B51="","",IF(COUNTIF('01_자재목록'!$B$7:$B$106,B51)&lt;&gt;1,"자재코드 확인",IF(INDEX('01_자재목록'!$R$7:$R$106,MATCH(B51,'01_자재목록'!$B$7:$B$106,0))="","구분 미입력",INDEX('01_자재목록'!$R$7:$R$106,MATCH(B51,'01_자재목록'!$B$7:$B$106,0)))))</f>
        <v/>
      </c>
    </row>
    <row r="52" ht="24" customHeight="1">
      <c r="A52" s="18" t="n">
        <v>46</v>
      </c>
      <c r="B52" s="19" t="n"/>
      <c r="C52" s="23">
        <f>IF(B52="","",IFERROR(INDEX('01_자재목록'!$D$7:$D$106,MATCH(B52,'01_자재목록'!$B$7:$B$106,0))&amp;"","자재코드 확인"))</f>
        <v/>
      </c>
      <c r="D52" s="19" t="n"/>
      <c r="E52" s="19" t="n"/>
      <c r="F52" s="32" t="n"/>
      <c r="G52" s="32" t="n"/>
      <c r="H52" s="19" t="n"/>
      <c r="I52" s="19" t="n"/>
      <c r="J52" s="19" t="n"/>
      <c r="K52" s="33">
        <f>IF(OR(B52="",F52=""),"",IF(ISNUMBER(F52),F52-TODAY(),"날짜 확인"))</f>
        <v/>
      </c>
      <c r="L52" s="23">
        <f>IF(B52="",IF(OR(D52&lt;&gt;"",E52&lt;&gt;"",F52&lt;&gt;""),"자재코드 확인",""),IF(COUNTIF('01_자재목록'!$B$7:$B$106,B52)&lt;&gt;1,"자재코드 확인",IF(OR(J52="소진",J52="폐기"),J52,IF(AND(D52="",E52=""),"LOT 미입력",IF(F52="","미입력",IF(OR(NOT(ISNUMBER(F52)),F52&lt;1),"날짜 확인",IF(K52&lt;0,"만료",IF(K52&lt;=$I$4,"유효기간 임박","정상"))))))))</f>
        <v/>
      </c>
      <c r="M52" s="19" t="n"/>
      <c r="N52" s="19" t="n"/>
      <c r="O52" s="19" t="n"/>
      <c r="P52" s="27">
        <f>IF(B52="","",IF(COUNTIF('01_자재목록'!$B$7:$B$106,B52)&lt;&gt;1,"자재코드 확인",IF(INDEX('01_자재목록'!$R$7:$R$106,MATCH(B52,'01_자재목록'!$B$7:$B$106,0))="","구분 미입력",INDEX('01_자재목록'!$R$7:$R$106,MATCH(B52,'01_자재목록'!$B$7:$B$106,0)))))</f>
        <v/>
      </c>
    </row>
    <row r="53" ht="24" customHeight="1">
      <c r="A53" s="18" t="n">
        <v>47</v>
      </c>
      <c r="B53" s="19" t="n"/>
      <c r="C53" s="23">
        <f>IF(B53="","",IFERROR(INDEX('01_자재목록'!$D$7:$D$106,MATCH(B53,'01_자재목록'!$B$7:$B$106,0))&amp;"","자재코드 확인"))</f>
        <v/>
      </c>
      <c r="D53" s="19" t="n"/>
      <c r="E53" s="19" t="n"/>
      <c r="F53" s="32" t="n"/>
      <c r="G53" s="32" t="n"/>
      <c r="H53" s="19" t="n"/>
      <c r="I53" s="19" t="n"/>
      <c r="J53" s="19" t="n"/>
      <c r="K53" s="33">
        <f>IF(OR(B53="",F53=""),"",IF(ISNUMBER(F53),F53-TODAY(),"날짜 확인"))</f>
        <v/>
      </c>
      <c r="L53" s="23">
        <f>IF(B53="",IF(OR(D53&lt;&gt;"",E53&lt;&gt;"",F53&lt;&gt;""),"자재코드 확인",""),IF(COUNTIF('01_자재목록'!$B$7:$B$106,B53)&lt;&gt;1,"자재코드 확인",IF(OR(J53="소진",J53="폐기"),J53,IF(AND(D53="",E53=""),"LOT 미입력",IF(F53="","미입력",IF(OR(NOT(ISNUMBER(F53)),F53&lt;1),"날짜 확인",IF(K53&lt;0,"만료",IF(K53&lt;=$I$4,"유효기간 임박","정상"))))))))</f>
        <v/>
      </c>
      <c r="M53" s="19" t="n"/>
      <c r="N53" s="19" t="n"/>
      <c r="O53" s="19" t="n"/>
      <c r="P53" s="27">
        <f>IF(B53="","",IF(COUNTIF('01_자재목록'!$B$7:$B$106,B53)&lt;&gt;1,"자재코드 확인",IF(INDEX('01_자재목록'!$R$7:$R$106,MATCH(B53,'01_자재목록'!$B$7:$B$106,0))="","구분 미입력",INDEX('01_자재목록'!$R$7:$R$106,MATCH(B53,'01_자재목록'!$B$7:$B$106,0)))))</f>
        <v/>
      </c>
    </row>
    <row r="54" ht="24" customHeight="1">
      <c r="A54" s="18" t="n">
        <v>48</v>
      </c>
      <c r="B54" s="19" t="n"/>
      <c r="C54" s="23">
        <f>IF(B54="","",IFERROR(INDEX('01_자재목록'!$D$7:$D$106,MATCH(B54,'01_자재목록'!$B$7:$B$106,0))&amp;"","자재코드 확인"))</f>
        <v/>
      </c>
      <c r="D54" s="19" t="n"/>
      <c r="E54" s="19" t="n"/>
      <c r="F54" s="32" t="n"/>
      <c r="G54" s="32" t="n"/>
      <c r="H54" s="19" t="n"/>
      <c r="I54" s="19" t="n"/>
      <c r="J54" s="19" t="n"/>
      <c r="K54" s="33">
        <f>IF(OR(B54="",F54=""),"",IF(ISNUMBER(F54),F54-TODAY(),"날짜 확인"))</f>
        <v/>
      </c>
      <c r="L54" s="23">
        <f>IF(B54="",IF(OR(D54&lt;&gt;"",E54&lt;&gt;"",F54&lt;&gt;""),"자재코드 확인",""),IF(COUNTIF('01_자재목록'!$B$7:$B$106,B54)&lt;&gt;1,"자재코드 확인",IF(OR(J54="소진",J54="폐기"),J54,IF(AND(D54="",E54=""),"LOT 미입력",IF(F54="","미입력",IF(OR(NOT(ISNUMBER(F54)),F54&lt;1),"날짜 확인",IF(K54&lt;0,"만료",IF(K54&lt;=$I$4,"유효기간 임박","정상"))))))))</f>
        <v/>
      </c>
      <c r="M54" s="19" t="n"/>
      <c r="N54" s="19" t="n"/>
      <c r="O54" s="19" t="n"/>
      <c r="P54" s="27">
        <f>IF(B54="","",IF(COUNTIF('01_자재목록'!$B$7:$B$106,B54)&lt;&gt;1,"자재코드 확인",IF(INDEX('01_자재목록'!$R$7:$R$106,MATCH(B54,'01_자재목록'!$B$7:$B$106,0))="","구분 미입력",INDEX('01_자재목록'!$R$7:$R$106,MATCH(B54,'01_자재목록'!$B$7:$B$106,0)))))</f>
        <v/>
      </c>
    </row>
    <row r="55" ht="24" customHeight="1">
      <c r="A55" s="18" t="n">
        <v>49</v>
      </c>
      <c r="B55" s="19" t="n"/>
      <c r="C55" s="23">
        <f>IF(B55="","",IFERROR(INDEX('01_자재목록'!$D$7:$D$106,MATCH(B55,'01_자재목록'!$B$7:$B$106,0))&amp;"","자재코드 확인"))</f>
        <v/>
      </c>
      <c r="D55" s="19" t="n"/>
      <c r="E55" s="19" t="n"/>
      <c r="F55" s="32" t="n"/>
      <c r="G55" s="32" t="n"/>
      <c r="H55" s="19" t="n"/>
      <c r="I55" s="19" t="n"/>
      <c r="J55" s="19" t="n"/>
      <c r="K55" s="33">
        <f>IF(OR(B55="",F55=""),"",IF(ISNUMBER(F55),F55-TODAY(),"날짜 확인"))</f>
        <v/>
      </c>
      <c r="L55" s="23">
        <f>IF(B55="",IF(OR(D55&lt;&gt;"",E55&lt;&gt;"",F55&lt;&gt;""),"자재코드 확인",""),IF(COUNTIF('01_자재목록'!$B$7:$B$106,B55)&lt;&gt;1,"자재코드 확인",IF(OR(J55="소진",J55="폐기"),J55,IF(AND(D55="",E55=""),"LOT 미입력",IF(F55="","미입력",IF(OR(NOT(ISNUMBER(F55)),F55&lt;1),"날짜 확인",IF(K55&lt;0,"만료",IF(K55&lt;=$I$4,"유효기간 임박","정상"))))))))</f>
        <v/>
      </c>
      <c r="M55" s="19" t="n"/>
      <c r="N55" s="19" t="n"/>
      <c r="O55" s="19" t="n"/>
      <c r="P55" s="27">
        <f>IF(B55="","",IF(COUNTIF('01_자재목록'!$B$7:$B$106,B55)&lt;&gt;1,"자재코드 확인",IF(INDEX('01_자재목록'!$R$7:$R$106,MATCH(B55,'01_자재목록'!$B$7:$B$106,0))="","구분 미입력",INDEX('01_자재목록'!$R$7:$R$106,MATCH(B55,'01_자재목록'!$B$7:$B$106,0)))))</f>
        <v/>
      </c>
    </row>
    <row r="56" ht="24" customHeight="1">
      <c r="A56" s="18" t="n">
        <v>50</v>
      </c>
      <c r="B56" s="19" t="n"/>
      <c r="C56" s="23">
        <f>IF(B56="","",IFERROR(INDEX('01_자재목록'!$D$7:$D$106,MATCH(B56,'01_자재목록'!$B$7:$B$106,0))&amp;"","자재코드 확인"))</f>
        <v/>
      </c>
      <c r="D56" s="19" t="n"/>
      <c r="E56" s="19" t="n"/>
      <c r="F56" s="32" t="n"/>
      <c r="G56" s="32" t="n"/>
      <c r="H56" s="19" t="n"/>
      <c r="I56" s="19" t="n"/>
      <c r="J56" s="19" t="n"/>
      <c r="K56" s="33">
        <f>IF(OR(B56="",F56=""),"",IF(ISNUMBER(F56),F56-TODAY(),"날짜 확인"))</f>
        <v/>
      </c>
      <c r="L56" s="23">
        <f>IF(B56="",IF(OR(D56&lt;&gt;"",E56&lt;&gt;"",F56&lt;&gt;""),"자재코드 확인",""),IF(COUNTIF('01_자재목록'!$B$7:$B$106,B56)&lt;&gt;1,"자재코드 확인",IF(OR(J56="소진",J56="폐기"),J56,IF(AND(D56="",E56=""),"LOT 미입력",IF(F56="","미입력",IF(OR(NOT(ISNUMBER(F56)),F56&lt;1),"날짜 확인",IF(K56&lt;0,"만료",IF(K56&lt;=$I$4,"유효기간 임박","정상"))))))))</f>
        <v/>
      </c>
      <c r="M56" s="19" t="n"/>
      <c r="N56" s="19" t="n"/>
      <c r="O56" s="19" t="n"/>
      <c r="P56" s="27">
        <f>IF(B56="","",IF(COUNTIF('01_자재목록'!$B$7:$B$106,B56)&lt;&gt;1,"자재코드 확인",IF(INDEX('01_자재목록'!$R$7:$R$106,MATCH(B56,'01_자재목록'!$B$7:$B$106,0))="","구분 미입력",INDEX('01_자재목록'!$R$7:$R$106,MATCH(B56,'01_자재목록'!$B$7:$B$106,0)))))</f>
        <v/>
      </c>
    </row>
    <row r="57" ht="24" customHeight="1">
      <c r="A57" s="18" t="n">
        <v>51</v>
      </c>
      <c r="B57" s="19" t="n"/>
      <c r="C57" s="23">
        <f>IF(B57="","",IFERROR(INDEX('01_자재목록'!$D$7:$D$106,MATCH(B57,'01_자재목록'!$B$7:$B$106,0))&amp;"","자재코드 확인"))</f>
        <v/>
      </c>
      <c r="D57" s="19" t="n"/>
      <c r="E57" s="19" t="n"/>
      <c r="F57" s="32" t="n"/>
      <c r="G57" s="32" t="n"/>
      <c r="H57" s="19" t="n"/>
      <c r="I57" s="19" t="n"/>
      <c r="J57" s="19" t="n"/>
      <c r="K57" s="33">
        <f>IF(OR(B57="",F57=""),"",IF(ISNUMBER(F57),F57-TODAY(),"날짜 확인"))</f>
        <v/>
      </c>
      <c r="L57" s="23">
        <f>IF(B57="",IF(OR(D57&lt;&gt;"",E57&lt;&gt;"",F57&lt;&gt;""),"자재코드 확인",""),IF(COUNTIF('01_자재목록'!$B$7:$B$106,B57)&lt;&gt;1,"자재코드 확인",IF(OR(J57="소진",J57="폐기"),J57,IF(AND(D57="",E57=""),"LOT 미입력",IF(F57="","미입력",IF(OR(NOT(ISNUMBER(F57)),F57&lt;1),"날짜 확인",IF(K57&lt;0,"만료",IF(K57&lt;=$I$4,"유효기간 임박","정상"))))))))</f>
        <v/>
      </c>
      <c r="M57" s="19" t="n"/>
      <c r="N57" s="19" t="n"/>
      <c r="O57" s="19" t="n"/>
      <c r="P57" s="27">
        <f>IF(B57="","",IF(COUNTIF('01_자재목록'!$B$7:$B$106,B57)&lt;&gt;1,"자재코드 확인",IF(INDEX('01_자재목록'!$R$7:$R$106,MATCH(B57,'01_자재목록'!$B$7:$B$106,0))="","구분 미입력",INDEX('01_자재목록'!$R$7:$R$106,MATCH(B57,'01_자재목록'!$B$7:$B$106,0)))))</f>
        <v/>
      </c>
    </row>
    <row r="58" ht="24" customHeight="1">
      <c r="A58" s="18" t="n">
        <v>52</v>
      </c>
      <c r="B58" s="19" t="n"/>
      <c r="C58" s="23">
        <f>IF(B58="","",IFERROR(INDEX('01_자재목록'!$D$7:$D$106,MATCH(B58,'01_자재목록'!$B$7:$B$106,0))&amp;"","자재코드 확인"))</f>
        <v/>
      </c>
      <c r="D58" s="19" t="n"/>
      <c r="E58" s="19" t="n"/>
      <c r="F58" s="32" t="n"/>
      <c r="G58" s="32" t="n"/>
      <c r="H58" s="19" t="n"/>
      <c r="I58" s="19" t="n"/>
      <c r="J58" s="19" t="n"/>
      <c r="K58" s="33">
        <f>IF(OR(B58="",F58=""),"",IF(ISNUMBER(F58),F58-TODAY(),"날짜 확인"))</f>
        <v/>
      </c>
      <c r="L58" s="23">
        <f>IF(B58="",IF(OR(D58&lt;&gt;"",E58&lt;&gt;"",F58&lt;&gt;""),"자재코드 확인",""),IF(COUNTIF('01_자재목록'!$B$7:$B$106,B58)&lt;&gt;1,"자재코드 확인",IF(OR(J58="소진",J58="폐기"),J58,IF(AND(D58="",E58=""),"LOT 미입력",IF(F58="","미입력",IF(OR(NOT(ISNUMBER(F58)),F58&lt;1),"날짜 확인",IF(K58&lt;0,"만료",IF(K58&lt;=$I$4,"유효기간 임박","정상"))))))))</f>
        <v/>
      </c>
      <c r="M58" s="19" t="n"/>
      <c r="N58" s="19" t="n"/>
      <c r="O58" s="19" t="n"/>
      <c r="P58" s="27">
        <f>IF(B58="","",IF(COUNTIF('01_자재목록'!$B$7:$B$106,B58)&lt;&gt;1,"자재코드 확인",IF(INDEX('01_자재목록'!$R$7:$R$106,MATCH(B58,'01_자재목록'!$B$7:$B$106,0))="","구분 미입력",INDEX('01_자재목록'!$R$7:$R$106,MATCH(B58,'01_자재목록'!$B$7:$B$106,0)))))</f>
        <v/>
      </c>
    </row>
    <row r="59" ht="24" customHeight="1">
      <c r="A59" s="18" t="n">
        <v>53</v>
      </c>
      <c r="B59" s="19" t="n"/>
      <c r="C59" s="23">
        <f>IF(B59="","",IFERROR(INDEX('01_자재목록'!$D$7:$D$106,MATCH(B59,'01_자재목록'!$B$7:$B$106,0))&amp;"","자재코드 확인"))</f>
        <v/>
      </c>
      <c r="D59" s="19" t="n"/>
      <c r="E59" s="19" t="n"/>
      <c r="F59" s="32" t="n"/>
      <c r="G59" s="32" t="n"/>
      <c r="H59" s="19" t="n"/>
      <c r="I59" s="19" t="n"/>
      <c r="J59" s="19" t="n"/>
      <c r="K59" s="33">
        <f>IF(OR(B59="",F59=""),"",IF(ISNUMBER(F59),F59-TODAY(),"날짜 확인"))</f>
        <v/>
      </c>
      <c r="L59" s="23">
        <f>IF(B59="",IF(OR(D59&lt;&gt;"",E59&lt;&gt;"",F59&lt;&gt;""),"자재코드 확인",""),IF(COUNTIF('01_자재목록'!$B$7:$B$106,B59)&lt;&gt;1,"자재코드 확인",IF(OR(J59="소진",J59="폐기"),J59,IF(AND(D59="",E59=""),"LOT 미입력",IF(F59="","미입력",IF(OR(NOT(ISNUMBER(F59)),F59&lt;1),"날짜 확인",IF(K59&lt;0,"만료",IF(K59&lt;=$I$4,"유효기간 임박","정상"))))))))</f>
        <v/>
      </c>
      <c r="M59" s="19" t="n"/>
      <c r="N59" s="19" t="n"/>
      <c r="O59" s="19" t="n"/>
      <c r="P59" s="27">
        <f>IF(B59="","",IF(COUNTIF('01_자재목록'!$B$7:$B$106,B59)&lt;&gt;1,"자재코드 확인",IF(INDEX('01_자재목록'!$R$7:$R$106,MATCH(B59,'01_자재목록'!$B$7:$B$106,0))="","구분 미입력",INDEX('01_자재목록'!$R$7:$R$106,MATCH(B59,'01_자재목록'!$B$7:$B$106,0)))))</f>
        <v/>
      </c>
    </row>
    <row r="60" ht="24" customHeight="1">
      <c r="A60" s="18" t="n">
        <v>54</v>
      </c>
      <c r="B60" s="19" t="n"/>
      <c r="C60" s="23">
        <f>IF(B60="","",IFERROR(INDEX('01_자재목록'!$D$7:$D$106,MATCH(B60,'01_자재목록'!$B$7:$B$106,0))&amp;"","자재코드 확인"))</f>
        <v/>
      </c>
      <c r="D60" s="19" t="n"/>
      <c r="E60" s="19" t="n"/>
      <c r="F60" s="32" t="n"/>
      <c r="G60" s="32" t="n"/>
      <c r="H60" s="19" t="n"/>
      <c r="I60" s="19" t="n"/>
      <c r="J60" s="19" t="n"/>
      <c r="K60" s="33">
        <f>IF(OR(B60="",F60=""),"",IF(ISNUMBER(F60),F60-TODAY(),"날짜 확인"))</f>
        <v/>
      </c>
      <c r="L60" s="23">
        <f>IF(B60="",IF(OR(D60&lt;&gt;"",E60&lt;&gt;"",F60&lt;&gt;""),"자재코드 확인",""),IF(COUNTIF('01_자재목록'!$B$7:$B$106,B60)&lt;&gt;1,"자재코드 확인",IF(OR(J60="소진",J60="폐기"),J60,IF(AND(D60="",E60=""),"LOT 미입력",IF(F60="","미입력",IF(OR(NOT(ISNUMBER(F60)),F60&lt;1),"날짜 확인",IF(K60&lt;0,"만료",IF(K60&lt;=$I$4,"유효기간 임박","정상"))))))))</f>
        <v/>
      </c>
      <c r="M60" s="19" t="n"/>
      <c r="N60" s="19" t="n"/>
      <c r="O60" s="19" t="n"/>
      <c r="P60" s="27">
        <f>IF(B60="","",IF(COUNTIF('01_자재목록'!$B$7:$B$106,B60)&lt;&gt;1,"자재코드 확인",IF(INDEX('01_자재목록'!$R$7:$R$106,MATCH(B60,'01_자재목록'!$B$7:$B$106,0))="","구분 미입력",INDEX('01_자재목록'!$R$7:$R$106,MATCH(B60,'01_자재목록'!$B$7:$B$106,0)))))</f>
        <v/>
      </c>
    </row>
    <row r="61" ht="24" customHeight="1">
      <c r="A61" s="18" t="n">
        <v>55</v>
      </c>
      <c r="B61" s="19" t="n"/>
      <c r="C61" s="23">
        <f>IF(B61="","",IFERROR(INDEX('01_자재목록'!$D$7:$D$106,MATCH(B61,'01_자재목록'!$B$7:$B$106,0))&amp;"","자재코드 확인"))</f>
        <v/>
      </c>
      <c r="D61" s="19" t="n"/>
      <c r="E61" s="19" t="n"/>
      <c r="F61" s="32" t="n"/>
      <c r="G61" s="32" t="n"/>
      <c r="H61" s="19" t="n"/>
      <c r="I61" s="19" t="n"/>
      <c r="J61" s="19" t="n"/>
      <c r="K61" s="33">
        <f>IF(OR(B61="",F61=""),"",IF(ISNUMBER(F61),F61-TODAY(),"날짜 확인"))</f>
        <v/>
      </c>
      <c r="L61" s="23">
        <f>IF(B61="",IF(OR(D61&lt;&gt;"",E61&lt;&gt;"",F61&lt;&gt;""),"자재코드 확인",""),IF(COUNTIF('01_자재목록'!$B$7:$B$106,B61)&lt;&gt;1,"자재코드 확인",IF(OR(J61="소진",J61="폐기"),J61,IF(AND(D61="",E61=""),"LOT 미입력",IF(F61="","미입력",IF(OR(NOT(ISNUMBER(F61)),F61&lt;1),"날짜 확인",IF(K61&lt;0,"만료",IF(K61&lt;=$I$4,"유효기간 임박","정상"))))))))</f>
        <v/>
      </c>
      <c r="M61" s="19" t="n"/>
      <c r="N61" s="19" t="n"/>
      <c r="O61" s="19" t="n"/>
      <c r="P61" s="27">
        <f>IF(B61="","",IF(COUNTIF('01_자재목록'!$B$7:$B$106,B61)&lt;&gt;1,"자재코드 확인",IF(INDEX('01_자재목록'!$R$7:$R$106,MATCH(B61,'01_자재목록'!$B$7:$B$106,0))="","구분 미입력",INDEX('01_자재목록'!$R$7:$R$106,MATCH(B61,'01_자재목록'!$B$7:$B$106,0)))))</f>
        <v/>
      </c>
    </row>
    <row r="62" ht="24" customHeight="1">
      <c r="A62" s="18" t="n">
        <v>56</v>
      </c>
      <c r="B62" s="19" t="n"/>
      <c r="C62" s="23">
        <f>IF(B62="","",IFERROR(INDEX('01_자재목록'!$D$7:$D$106,MATCH(B62,'01_자재목록'!$B$7:$B$106,0))&amp;"","자재코드 확인"))</f>
        <v/>
      </c>
      <c r="D62" s="19" t="n"/>
      <c r="E62" s="19" t="n"/>
      <c r="F62" s="32" t="n"/>
      <c r="G62" s="32" t="n"/>
      <c r="H62" s="19" t="n"/>
      <c r="I62" s="19" t="n"/>
      <c r="J62" s="19" t="n"/>
      <c r="K62" s="33">
        <f>IF(OR(B62="",F62=""),"",IF(ISNUMBER(F62),F62-TODAY(),"날짜 확인"))</f>
        <v/>
      </c>
      <c r="L62" s="23">
        <f>IF(B62="",IF(OR(D62&lt;&gt;"",E62&lt;&gt;"",F62&lt;&gt;""),"자재코드 확인",""),IF(COUNTIF('01_자재목록'!$B$7:$B$106,B62)&lt;&gt;1,"자재코드 확인",IF(OR(J62="소진",J62="폐기"),J62,IF(AND(D62="",E62=""),"LOT 미입력",IF(F62="","미입력",IF(OR(NOT(ISNUMBER(F62)),F62&lt;1),"날짜 확인",IF(K62&lt;0,"만료",IF(K62&lt;=$I$4,"유효기간 임박","정상"))))))))</f>
        <v/>
      </c>
      <c r="M62" s="19" t="n"/>
      <c r="N62" s="19" t="n"/>
      <c r="O62" s="19" t="n"/>
      <c r="P62" s="27">
        <f>IF(B62="","",IF(COUNTIF('01_자재목록'!$B$7:$B$106,B62)&lt;&gt;1,"자재코드 확인",IF(INDEX('01_자재목록'!$R$7:$R$106,MATCH(B62,'01_자재목록'!$B$7:$B$106,0))="","구분 미입력",INDEX('01_자재목록'!$R$7:$R$106,MATCH(B62,'01_자재목록'!$B$7:$B$106,0)))))</f>
        <v/>
      </c>
    </row>
    <row r="63" ht="24" customHeight="1">
      <c r="A63" s="18" t="n">
        <v>57</v>
      </c>
      <c r="B63" s="19" t="n"/>
      <c r="C63" s="23">
        <f>IF(B63="","",IFERROR(INDEX('01_자재목록'!$D$7:$D$106,MATCH(B63,'01_자재목록'!$B$7:$B$106,0))&amp;"","자재코드 확인"))</f>
        <v/>
      </c>
      <c r="D63" s="19" t="n"/>
      <c r="E63" s="19" t="n"/>
      <c r="F63" s="32" t="n"/>
      <c r="G63" s="32" t="n"/>
      <c r="H63" s="19" t="n"/>
      <c r="I63" s="19" t="n"/>
      <c r="J63" s="19" t="n"/>
      <c r="K63" s="33">
        <f>IF(OR(B63="",F63=""),"",IF(ISNUMBER(F63),F63-TODAY(),"날짜 확인"))</f>
        <v/>
      </c>
      <c r="L63" s="23">
        <f>IF(B63="",IF(OR(D63&lt;&gt;"",E63&lt;&gt;"",F63&lt;&gt;""),"자재코드 확인",""),IF(COUNTIF('01_자재목록'!$B$7:$B$106,B63)&lt;&gt;1,"자재코드 확인",IF(OR(J63="소진",J63="폐기"),J63,IF(AND(D63="",E63=""),"LOT 미입력",IF(F63="","미입력",IF(OR(NOT(ISNUMBER(F63)),F63&lt;1),"날짜 확인",IF(K63&lt;0,"만료",IF(K63&lt;=$I$4,"유효기간 임박","정상"))))))))</f>
        <v/>
      </c>
      <c r="M63" s="19" t="n"/>
      <c r="N63" s="19" t="n"/>
      <c r="O63" s="19" t="n"/>
      <c r="P63" s="27">
        <f>IF(B63="","",IF(COUNTIF('01_자재목록'!$B$7:$B$106,B63)&lt;&gt;1,"자재코드 확인",IF(INDEX('01_자재목록'!$R$7:$R$106,MATCH(B63,'01_자재목록'!$B$7:$B$106,0))="","구분 미입력",INDEX('01_자재목록'!$R$7:$R$106,MATCH(B63,'01_자재목록'!$B$7:$B$106,0)))))</f>
        <v/>
      </c>
    </row>
    <row r="64" ht="24" customHeight="1">
      <c r="A64" s="18" t="n">
        <v>58</v>
      </c>
      <c r="B64" s="19" t="n"/>
      <c r="C64" s="23">
        <f>IF(B64="","",IFERROR(INDEX('01_자재목록'!$D$7:$D$106,MATCH(B64,'01_자재목록'!$B$7:$B$106,0))&amp;"","자재코드 확인"))</f>
        <v/>
      </c>
      <c r="D64" s="19" t="n"/>
      <c r="E64" s="19" t="n"/>
      <c r="F64" s="32" t="n"/>
      <c r="G64" s="32" t="n"/>
      <c r="H64" s="19" t="n"/>
      <c r="I64" s="19" t="n"/>
      <c r="J64" s="19" t="n"/>
      <c r="K64" s="33">
        <f>IF(OR(B64="",F64=""),"",IF(ISNUMBER(F64),F64-TODAY(),"날짜 확인"))</f>
        <v/>
      </c>
      <c r="L64" s="23">
        <f>IF(B64="",IF(OR(D64&lt;&gt;"",E64&lt;&gt;"",F64&lt;&gt;""),"자재코드 확인",""),IF(COUNTIF('01_자재목록'!$B$7:$B$106,B64)&lt;&gt;1,"자재코드 확인",IF(OR(J64="소진",J64="폐기"),J64,IF(AND(D64="",E64=""),"LOT 미입력",IF(F64="","미입력",IF(OR(NOT(ISNUMBER(F64)),F64&lt;1),"날짜 확인",IF(K64&lt;0,"만료",IF(K64&lt;=$I$4,"유효기간 임박","정상"))))))))</f>
        <v/>
      </c>
      <c r="M64" s="19" t="n"/>
      <c r="N64" s="19" t="n"/>
      <c r="O64" s="19" t="n"/>
      <c r="P64" s="27">
        <f>IF(B64="","",IF(COUNTIF('01_자재목록'!$B$7:$B$106,B64)&lt;&gt;1,"자재코드 확인",IF(INDEX('01_자재목록'!$R$7:$R$106,MATCH(B64,'01_자재목록'!$B$7:$B$106,0))="","구분 미입력",INDEX('01_자재목록'!$R$7:$R$106,MATCH(B64,'01_자재목록'!$B$7:$B$106,0)))))</f>
        <v/>
      </c>
    </row>
    <row r="65" ht="24" customHeight="1">
      <c r="A65" s="18" t="n">
        <v>59</v>
      </c>
      <c r="B65" s="19" t="n"/>
      <c r="C65" s="23">
        <f>IF(B65="","",IFERROR(INDEX('01_자재목록'!$D$7:$D$106,MATCH(B65,'01_자재목록'!$B$7:$B$106,0))&amp;"","자재코드 확인"))</f>
        <v/>
      </c>
      <c r="D65" s="19" t="n"/>
      <c r="E65" s="19" t="n"/>
      <c r="F65" s="32" t="n"/>
      <c r="G65" s="32" t="n"/>
      <c r="H65" s="19" t="n"/>
      <c r="I65" s="19" t="n"/>
      <c r="J65" s="19" t="n"/>
      <c r="K65" s="33">
        <f>IF(OR(B65="",F65=""),"",IF(ISNUMBER(F65),F65-TODAY(),"날짜 확인"))</f>
        <v/>
      </c>
      <c r="L65" s="23">
        <f>IF(B65="",IF(OR(D65&lt;&gt;"",E65&lt;&gt;"",F65&lt;&gt;""),"자재코드 확인",""),IF(COUNTIF('01_자재목록'!$B$7:$B$106,B65)&lt;&gt;1,"자재코드 확인",IF(OR(J65="소진",J65="폐기"),J65,IF(AND(D65="",E65=""),"LOT 미입력",IF(F65="","미입력",IF(OR(NOT(ISNUMBER(F65)),F65&lt;1),"날짜 확인",IF(K65&lt;0,"만료",IF(K65&lt;=$I$4,"유효기간 임박","정상"))))))))</f>
        <v/>
      </c>
      <c r="M65" s="19" t="n"/>
      <c r="N65" s="19" t="n"/>
      <c r="O65" s="19" t="n"/>
      <c r="P65" s="27">
        <f>IF(B65="","",IF(COUNTIF('01_자재목록'!$B$7:$B$106,B65)&lt;&gt;1,"자재코드 확인",IF(INDEX('01_자재목록'!$R$7:$R$106,MATCH(B65,'01_자재목록'!$B$7:$B$106,0))="","구분 미입력",INDEX('01_자재목록'!$R$7:$R$106,MATCH(B65,'01_자재목록'!$B$7:$B$106,0)))))</f>
        <v/>
      </c>
    </row>
    <row r="66" ht="24" customHeight="1">
      <c r="A66" s="18" t="n">
        <v>60</v>
      </c>
      <c r="B66" s="19" t="n"/>
      <c r="C66" s="23">
        <f>IF(B66="","",IFERROR(INDEX('01_자재목록'!$D$7:$D$106,MATCH(B66,'01_자재목록'!$B$7:$B$106,0))&amp;"","자재코드 확인"))</f>
        <v/>
      </c>
      <c r="D66" s="19" t="n"/>
      <c r="E66" s="19" t="n"/>
      <c r="F66" s="32" t="n"/>
      <c r="G66" s="32" t="n"/>
      <c r="H66" s="19" t="n"/>
      <c r="I66" s="19" t="n"/>
      <c r="J66" s="19" t="n"/>
      <c r="K66" s="33">
        <f>IF(OR(B66="",F66=""),"",IF(ISNUMBER(F66),F66-TODAY(),"날짜 확인"))</f>
        <v/>
      </c>
      <c r="L66" s="23">
        <f>IF(B66="",IF(OR(D66&lt;&gt;"",E66&lt;&gt;"",F66&lt;&gt;""),"자재코드 확인",""),IF(COUNTIF('01_자재목록'!$B$7:$B$106,B66)&lt;&gt;1,"자재코드 확인",IF(OR(J66="소진",J66="폐기"),J66,IF(AND(D66="",E66=""),"LOT 미입력",IF(F66="","미입력",IF(OR(NOT(ISNUMBER(F66)),F66&lt;1),"날짜 확인",IF(K66&lt;0,"만료",IF(K66&lt;=$I$4,"유효기간 임박","정상"))))))))</f>
        <v/>
      </c>
      <c r="M66" s="19" t="n"/>
      <c r="N66" s="19" t="n"/>
      <c r="O66" s="19" t="n"/>
      <c r="P66" s="27">
        <f>IF(B66="","",IF(COUNTIF('01_자재목록'!$B$7:$B$106,B66)&lt;&gt;1,"자재코드 확인",IF(INDEX('01_자재목록'!$R$7:$R$106,MATCH(B66,'01_자재목록'!$B$7:$B$106,0))="","구분 미입력",INDEX('01_자재목록'!$R$7:$R$106,MATCH(B66,'01_자재목록'!$B$7:$B$106,0)))))</f>
        <v/>
      </c>
    </row>
    <row r="67" ht="24" customHeight="1">
      <c r="A67" s="18" t="n">
        <v>61</v>
      </c>
      <c r="B67" s="19" t="n"/>
      <c r="C67" s="23">
        <f>IF(B67="","",IFERROR(INDEX('01_자재목록'!$D$7:$D$106,MATCH(B67,'01_자재목록'!$B$7:$B$106,0))&amp;"","자재코드 확인"))</f>
        <v/>
      </c>
      <c r="D67" s="19" t="n"/>
      <c r="E67" s="19" t="n"/>
      <c r="F67" s="32" t="n"/>
      <c r="G67" s="32" t="n"/>
      <c r="H67" s="19" t="n"/>
      <c r="I67" s="19" t="n"/>
      <c r="J67" s="19" t="n"/>
      <c r="K67" s="33">
        <f>IF(OR(B67="",F67=""),"",IF(ISNUMBER(F67),F67-TODAY(),"날짜 확인"))</f>
        <v/>
      </c>
      <c r="L67" s="23">
        <f>IF(B67="",IF(OR(D67&lt;&gt;"",E67&lt;&gt;"",F67&lt;&gt;""),"자재코드 확인",""),IF(COUNTIF('01_자재목록'!$B$7:$B$106,B67)&lt;&gt;1,"자재코드 확인",IF(OR(J67="소진",J67="폐기"),J67,IF(AND(D67="",E67=""),"LOT 미입력",IF(F67="","미입력",IF(OR(NOT(ISNUMBER(F67)),F67&lt;1),"날짜 확인",IF(K67&lt;0,"만료",IF(K67&lt;=$I$4,"유효기간 임박","정상"))))))))</f>
        <v/>
      </c>
      <c r="M67" s="19" t="n"/>
      <c r="N67" s="19" t="n"/>
      <c r="O67" s="19" t="n"/>
      <c r="P67" s="27">
        <f>IF(B67="","",IF(COUNTIF('01_자재목록'!$B$7:$B$106,B67)&lt;&gt;1,"자재코드 확인",IF(INDEX('01_자재목록'!$R$7:$R$106,MATCH(B67,'01_자재목록'!$B$7:$B$106,0))="","구분 미입력",INDEX('01_자재목록'!$R$7:$R$106,MATCH(B67,'01_자재목록'!$B$7:$B$106,0)))))</f>
        <v/>
      </c>
    </row>
    <row r="68" ht="24" customHeight="1">
      <c r="A68" s="18" t="n">
        <v>62</v>
      </c>
      <c r="B68" s="19" t="n"/>
      <c r="C68" s="23">
        <f>IF(B68="","",IFERROR(INDEX('01_자재목록'!$D$7:$D$106,MATCH(B68,'01_자재목록'!$B$7:$B$106,0))&amp;"","자재코드 확인"))</f>
        <v/>
      </c>
      <c r="D68" s="19" t="n"/>
      <c r="E68" s="19" t="n"/>
      <c r="F68" s="32" t="n"/>
      <c r="G68" s="32" t="n"/>
      <c r="H68" s="19" t="n"/>
      <c r="I68" s="19" t="n"/>
      <c r="J68" s="19" t="n"/>
      <c r="K68" s="33">
        <f>IF(OR(B68="",F68=""),"",IF(ISNUMBER(F68),F68-TODAY(),"날짜 확인"))</f>
        <v/>
      </c>
      <c r="L68" s="23">
        <f>IF(B68="",IF(OR(D68&lt;&gt;"",E68&lt;&gt;"",F68&lt;&gt;""),"자재코드 확인",""),IF(COUNTIF('01_자재목록'!$B$7:$B$106,B68)&lt;&gt;1,"자재코드 확인",IF(OR(J68="소진",J68="폐기"),J68,IF(AND(D68="",E68=""),"LOT 미입력",IF(F68="","미입력",IF(OR(NOT(ISNUMBER(F68)),F68&lt;1),"날짜 확인",IF(K68&lt;0,"만료",IF(K68&lt;=$I$4,"유효기간 임박","정상"))))))))</f>
        <v/>
      </c>
      <c r="M68" s="19" t="n"/>
      <c r="N68" s="19" t="n"/>
      <c r="O68" s="19" t="n"/>
      <c r="P68" s="27">
        <f>IF(B68="","",IF(COUNTIF('01_자재목록'!$B$7:$B$106,B68)&lt;&gt;1,"자재코드 확인",IF(INDEX('01_자재목록'!$R$7:$R$106,MATCH(B68,'01_자재목록'!$B$7:$B$106,0))="","구분 미입력",INDEX('01_자재목록'!$R$7:$R$106,MATCH(B68,'01_자재목록'!$B$7:$B$106,0)))))</f>
        <v/>
      </c>
    </row>
    <row r="69" ht="24" customHeight="1">
      <c r="A69" s="18" t="n">
        <v>63</v>
      </c>
      <c r="B69" s="19" t="n"/>
      <c r="C69" s="23">
        <f>IF(B69="","",IFERROR(INDEX('01_자재목록'!$D$7:$D$106,MATCH(B69,'01_자재목록'!$B$7:$B$106,0))&amp;"","자재코드 확인"))</f>
        <v/>
      </c>
      <c r="D69" s="19" t="n"/>
      <c r="E69" s="19" t="n"/>
      <c r="F69" s="32" t="n"/>
      <c r="G69" s="32" t="n"/>
      <c r="H69" s="19" t="n"/>
      <c r="I69" s="19" t="n"/>
      <c r="J69" s="19" t="n"/>
      <c r="K69" s="33">
        <f>IF(OR(B69="",F69=""),"",IF(ISNUMBER(F69),F69-TODAY(),"날짜 확인"))</f>
        <v/>
      </c>
      <c r="L69" s="23">
        <f>IF(B69="",IF(OR(D69&lt;&gt;"",E69&lt;&gt;"",F69&lt;&gt;""),"자재코드 확인",""),IF(COUNTIF('01_자재목록'!$B$7:$B$106,B69)&lt;&gt;1,"자재코드 확인",IF(OR(J69="소진",J69="폐기"),J69,IF(AND(D69="",E69=""),"LOT 미입력",IF(F69="","미입력",IF(OR(NOT(ISNUMBER(F69)),F69&lt;1),"날짜 확인",IF(K69&lt;0,"만료",IF(K69&lt;=$I$4,"유효기간 임박","정상"))))))))</f>
        <v/>
      </c>
      <c r="M69" s="19" t="n"/>
      <c r="N69" s="19" t="n"/>
      <c r="O69" s="19" t="n"/>
      <c r="P69" s="27">
        <f>IF(B69="","",IF(COUNTIF('01_자재목록'!$B$7:$B$106,B69)&lt;&gt;1,"자재코드 확인",IF(INDEX('01_자재목록'!$R$7:$R$106,MATCH(B69,'01_자재목록'!$B$7:$B$106,0))="","구분 미입력",INDEX('01_자재목록'!$R$7:$R$106,MATCH(B69,'01_자재목록'!$B$7:$B$106,0)))))</f>
        <v/>
      </c>
    </row>
    <row r="70" ht="24" customHeight="1">
      <c r="A70" s="18" t="n">
        <v>64</v>
      </c>
      <c r="B70" s="19" t="n"/>
      <c r="C70" s="23">
        <f>IF(B70="","",IFERROR(INDEX('01_자재목록'!$D$7:$D$106,MATCH(B70,'01_자재목록'!$B$7:$B$106,0))&amp;"","자재코드 확인"))</f>
        <v/>
      </c>
      <c r="D70" s="19" t="n"/>
      <c r="E70" s="19" t="n"/>
      <c r="F70" s="32" t="n"/>
      <c r="G70" s="32" t="n"/>
      <c r="H70" s="19" t="n"/>
      <c r="I70" s="19" t="n"/>
      <c r="J70" s="19" t="n"/>
      <c r="K70" s="33">
        <f>IF(OR(B70="",F70=""),"",IF(ISNUMBER(F70),F70-TODAY(),"날짜 확인"))</f>
        <v/>
      </c>
      <c r="L70" s="23">
        <f>IF(B70="",IF(OR(D70&lt;&gt;"",E70&lt;&gt;"",F70&lt;&gt;""),"자재코드 확인",""),IF(COUNTIF('01_자재목록'!$B$7:$B$106,B70)&lt;&gt;1,"자재코드 확인",IF(OR(J70="소진",J70="폐기"),J70,IF(AND(D70="",E70=""),"LOT 미입력",IF(F70="","미입력",IF(OR(NOT(ISNUMBER(F70)),F70&lt;1),"날짜 확인",IF(K70&lt;0,"만료",IF(K70&lt;=$I$4,"유효기간 임박","정상"))))))))</f>
        <v/>
      </c>
      <c r="M70" s="19" t="n"/>
      <c r="N70" s="19" t="n"/>
      <c r="O70" s="19" t="n"/>
      <c r="P70" s="27">
        <f>IF(B70="","",IF(COUNTIF('01_자재목록'!$B$7:$B$106,B70)&lt;&gt;1,"자재코드 확인",IF(INDEX('01_자재목록'!$R$7:$R$106,MATCH(B70,'01_자재목록'!$B$7:$B$106,0))="","구분 미입력",INDEX('01_자재목록'!$R$7:$R$106,MATCH(B70,'01_자재목록'!$B$7:$B$106,0)))))</f>
        <v/>
      </c>
    </row>
    <row r="71" ht="24" customHeight="1">
      <c r="A71" s="18" t="n">
        <v>65</v>
      </c>
      <c r="B71" s="19" t="n"/>
      <c r="C71" s="23">
        <f>IF(B71="","",IFERROR(INDEX('01_자재목록'!$D$7:$D$106,MATCH(B71,'01_자재목록'!$B$7:$B$106,0))&amp;"","자재코드 확인"))</f>
        <v/>
      </c>
      <c r="D71" s="19" t="n"/>
      <c r="E71" s="19" t="n"/>
      <c r="F71" s="32" t="n"/>
      <c r="G71" s="32" t="n"/>
      <c r="H71" s="19" t="n"/>
      <c r="I71" s="19" t="n"/>
      <c r="J71" s="19" t="n"/>
      <c r="K71" s="33">
        <f>IF(OR(B71="",F71=""),"",IF(ISNUMBER(F71),F71-TODAY(),"날짜 확인"))</f>
        <v/>
      </c>
      <c r="L71" s="23">
        <f>IF(B71="",IF(OR(D71&lt;&gt;"",E71&lt;&gt;"",F71&lt;&gt;""),"자재코드 확인",""),IF(COUNTIF('01_자재목록'!$B$7:$B$106,B71)&lt;&gt;1,"자재코드 확인",IF(OR(J71="소진",J71="폐기"),J71,IF(AND(D71="",E71=""),"LOT 미입력",IF(F71="","미입력",IF(OR(NOT(ISNUMBER(F71)),F71&lt;1),"날짜 확인",IF(K71&lt;0,"만료",IF(K71&lt;=$I$4,"유효기간 임박","정상"))))))))</f>
        <v/>
      </c>
      <c r="M71" s="19" t="n"/>
      <c r="N71" s="19" t="n"/>
      <c r="O71" s="19" t="n"/>
      <c r="P71" s="27">
        <f>IF(B71="","",IF(COUNTIF('01_자재목록'!$B$7:$B$106,B71)&lt;&gt;1,"자재코드 확인",IF(INDEX('01_자재목록'!$R$7:$R$106,MATCH(B71,'01_자재목록'!$B$7:$B$106,0))="","구분 미입력",INDEX('01_자재목록'!$R$7:$R$106,MATCH(B71,'01_자재목록'!$B$7:$B$106,0)))))</f>
        <v/>
      </c>
    </row>
    <row r="72" ht="24" customHeight="1">
      <c r="A72" s="18" t="n">
        <v>66</v>
      </c>
      <c r="B72" s="19" t="n"/>
      <c r="C72" s="23">
        <f>IF(B72="","",IFERROR(INDEX('01_자재목록'!$D$7:$D$106,MATCH(B72,'01_자재목록'!$B$7:$B$106,0))&amp;"","자재코드 확인"))</f>
        <v/>
      </c>
      <c r="D72" s="19" t="n"/>
      <c r="E72" s="19" t="n"/>
      <c r="F72" s="32" t="n"/>
      <c r="G72" s="32" t="n"/>
      <c r="H72" s="19" t="n"/>
      <c r="I72" s="19" t="n"/>
      <c r="J72" s="19" t="n"/>
      <c r="K72" s="33">
        <f>IF(OR(B72="",F72=""),"",IF(ISNUMBER(F72),F72-TODAY(),"날짜 확인"))</f>
        <v/>
      </c>
      <c r="L72" s="23">
        <f>IF(B72="",IF(OR(D72&lt;&gt;"",E72&lt;&gt;"",F72&lt;&gt;""),"자재코드 확인",""),IF(COUNTIF('01_자재목록'!$B$7:$B$106,B72)&lt;&gt;1,"자재코드 확인",IF(OR(J72="소진",J72="폐기"),J72,IF(AND(D72="",E72=""),"LOT 미입력",IF(F72="","미입력",IF(OR(NOT(ISNUMBER(F72)),F72&lt;1),"날짜 확인",IF(K72&lt;0,"만료",IF(K72&lt;=$I$4,"유효기간 임박","정상"))))))))</f>
        <v/>
      </c>
      <c r="M72" s="19" t="n"/>
      <c r="N72" s="19" t="n"/>
      <c r="O72" s="19" t="n"/>
      <c r="P72" s="27">
        <f>IF(B72="","",IF(COUNTIF('01_자재목록'!$B$7:$B$106,B72)&lt;&gt;1,"자재코드 확인",IF(INDEX('01_자재목록'!$R$7:$R$106,MATCH(B72,'01_자재목록'!$B$7:$B$106,0))="","구분 미입력",INDEX('01_자재목록'!$R$7:$R$106,MATCH(B72,'01_자재목록'!$B$7:$B$106,0)))))</f>
        <v/>
      </c>
    </row>
    <row r="73" ht="24" customHeight="1">
      <c r="A73" s="18" t="n">
        <v>67</v>
      </c>
      <c r="B73" s="19" t="n"/>
      <c r="C73" s="23">
        <f>IF(B73="","",IFERROR(INDEX('01_자재목록'!$D$7:$D$106,MATCH(B73,'01_자재목록'!$B$7:$B$106,0))&amp;"","자재코드 확인"))</f>
        <v/>
      </c>
      <c r="D73" s="19" t="n"/>
      <c r="E73" s="19" t="n"/>
      <c r="F73" s="32" t="n"/>
      <c r="G73" s="32" t="n"/>
      <c r="H73" s="19" t="n"/>
      <c r="I73" s="19" t="n"/>
      <c r="J73" s="19" t="n"/>
      <c r="K73" s="33">
        <f>IF(OR(B73="",F73=""),"",IF(ISNUMBER(F73),F73-TODAY(),"날짜 확인"))</f>
        <v/>
      </c>
      <c r="L73" s="23">
        <f>IF(B73="",IF(OR(D73&lt;&gt;"",E73&lt;&gt;"",F73&lt;&gt;""),"자재코드 확인",""),IF(COUNTIF('01_자재목록'!$B$7:$B$106,B73)&lt;&gt;1,"자재코드 확인",IF(OR(J73="소진",J73="폐기"),J73,IF(AND(D73="",E73=""),"LOT 미입력",IF(F73="","미입력",IF(OR(NOT(ISNUMBER(F73)),F73&lt;1),"날짜 확인",IF(K73&lt;0,"만료",IF(K73&lt;=$I$4,"유효기간 임박","정상"))))))))</f>
        <v/>
      </c>
      <c r="M73" s="19" t="n"/>
      <c r="N73" s="19" t="n"/>
      <c r="O73" s="19" t="n"/>
      <c r="P73" s="27">
        <f>IF(B73="","",IF(COUNTIF('01_자재목록'!$B$7:$B$106,B73)&lt;&gt;1,"자재코드 확인",IF(INDEX('01_자재목록'!$R$7:$R$106,MATCH(B73,'01_자재목록'!$B$7:$B$106,0))="","구분 미입력",INDEX('01_자재목록'!$R$7:$R$106,MATCH(B73,'01_자재목록'!$B$7:$B$106,0)))))</f>
        <v/>
      </c>
    </row>
    <row r="74" ht="24" customHeight="1">
      <c r="A74" s="18" t="n">
        <v>68</v>
      </c>
      <c r="B74" s="19" t="n"/>
      <c r="C74" s="23">
        <f>IF(B74="","",IFERROR(INDEX('01_자재목록'!$D$7:$D$106,MATCH(B74,'01_자재목록'!$B$7:$B$106,0))&amp;"","자재코드 확인"))</f>
        <v/>
      </c>
      <c r="D74" s="19" t="n"/>
      <c r="E74" s="19" t="n"/>
      <c r="F74" s="32" t="n"/>
      <c r="G74" s="32" t="n"/>
      <c r="H74" s="19" t="n"/>
      <c r="I74" s="19" t="n"/>
      <c r="J74" s="19" t="n"/>
      <c r="K74" s="33">
        <f>IF(OR(B74="",F74=""),"",IF(ISNUMBER(F74),F74-TODAY(),"날짜 확인"))</f>
        <v/>
      </c>
      <c r="L74" s="23">
        <f>IF(B74="",IF(OR(D74&lt;&gt;"",E74&lt;&gt;"",F74&lt;&gt;""),"자재코드 확인",""),IF(COUNTIF('01_자재목록'!$B$7:$B$106,B74)&lt;&gt;1,"자재코드 확인",IF(OR(J74="소진",J74="폐기"),J74,IF(AND(D74="",E74=""),"LOT 미입력",IF(F74="","미입력",IF(OR(NOT(ISNUMBER(F74)),F74&lt;1),"날짜 확인",IF(K74&lt;0,"만료",IF(K74&lt;=$I$4,"유효기간 임박","정상"))))))))</f>
        <v/>
      </c>
      <c r="M74" s="19" t="n"/>
      <c r="N74" s="19" t="n"/>
      <c r="O74" s="19" t="n"/>
      <c r="P74" s="27">
        <f>IF(B74="","",IF(COUNTIF('01_자재목록'!$B$7:$B$106,B74)&lt;&gt;1,"자재코드 확인",IF(INDEX('01_자재목록'!$R$7:$R$106,MATCH(B74,'01_자재목록'!$B$7:$B$106,0))="","구분 미입력",INDEX('01_자재목록'!$R$7:$R$106,MATCH(B74,'01_자재목록'!$B$7:$B$106,0)))))</f>
        <v/>
      </c>
    </row>
    <row r="75" ht="24" customHeight="1">
      <c r="A75" s="18" t="n">
        <v>69</v>
      </c>
      <c r="B75" s="19" t="n"/>
      <c r="C75" s="23">
        <f>IF(B75="","",IFERROR(INDEX('01_자재목록'!$D$7:$D$106,MATCH(B75,'01_자재목록'!$B$7:$B$106,0))&amp;"","자재코드 확인"))</f>
        <v/>
      </c>
      <c r="D75" s="19" t="n"/>
      <c r="E75" s="19" t="n"/>
      <c r="F75" s="32" t="n"/>
      <c r="G75" s="32" t="n"/>
      <c r="H75" s="19" t="n"/>
      <c r="I75" s="19" t="n"/>
      <c r="J75" s="19" t="n"/>
      <c r="K75" s="33">
        <f>IF(OR(B75="",F75=""),"",IF(ISNUMBER(F75),F75-TODAY(),"날짜 확인"))</f>
        <v/>
      </c>
      <c r="L75" s="23">
        <f>IF(B75="",IF(OR(D75&lt;&gt;"",E75&lt;&gt;"",F75&lt;&gt;""),"자재코드 확인",""),IF(COUNTIF('01_자재목록'!$B$7:$B$106,B75)&lt;&gt;1,"자재코드 확인",IF(OR(J75="소진",J75="폐기"),J75,IF(AND(D75="",E75=""),"LOT 미입력",IF(F75="","미입력",IF(OR(NOT(ISNUMBER(F75)),F75&lt;1),"날짜 확인",IF(K75&lt;0,"만료",IF(K75&lt;=$I$4,"유효기간 임박","정상"))))))))</f>
        <v/>
      </c>
      <c r="M75" s="19" t="n"/>
      <c r="N75" s="19" t="n"/>
      <c r="O75" s="19" t="n"/>
      <c r="P75" s="27">
        <f>IF(B75="","",IF(COUNTIF('01_자재목록'!$B$7:$B$106,B75)&lt;&gt;1,"자재코드 확인",IF(INDEX('01_자재목록'!$R$7:$R$106,MATCH(B75,'01_자재목록'!$B$7:$B$106,0))="","구분 미입력",INDEX('01_자재목록'!$R$7:$R$106,MATCH(B75,'01_자재목록'!$B$7:$B$106,0)))))</f>
        <v/>
      </c>
    </row>
    <row r="76" ht="24" customHeight="1">
      <c r="A76" s="18" t="n">
        <v>70</v>
      </c>
      <c r="B76" s="19" t="n"/>
      <c r="C76" s="23">
        <f>IF(B76="","",IFERROR(INDEX('01_자재목록'!$D$7:$D$106,MATCH(B76,'01_자재목록'!$B$7:$B$106,0))&amp;"","자재코드 확인"))</f>
        <v/>
      </c>
      <c r="D76" s="19" t="n"/>
      <c r="E76" s="19" t="n"/>
      <c r="F76" s="32" t="n"/>
      <c r="G76" s="32" t="n"/>
      <c r="H76" s="19" t="n"/>
      <c r="I76" s="19" t="n"/>
      <c r="J76" s="19" t="n"/>
      <c r="K76" s="33">
        <f>IF(OR(B76="",F76=""),"",IF(ISNUMBER(F76),F76-TODAY(),"날짜 확인"))</f>
        <v/>
      </c>
      <c r="L76" s="23">
        <f>IF(B76="",IF(OR(D76&lt;&gt;"",E76&lt;&gt;"",F76&lt;&gt;""),"자재코드 확인",""),IF(COUNTIF('01_자재목록'!$B$7:$B$106,B76)&lt;&gt;1,"자재코드 확인",IF(OR(J76="소진",J76="폐기"),J76,IF(AND(D76="",E76=""),"LOT 미입력",IF(F76="","미입력",IF(OR(NOT(ISNUMBER(F76)),F76&lt;1),"날짜 확인",IF(K76&lt;0,"만료",IF(K76&lt;=$I$4,"유효기간 임박","정상"))))))))</f>
        <v/>
      </c>
      <c r="M76" s="19" t="n"/>
      <c r="N76" s="19" t="n"/>
      <c r="O76" s="19" t="n"/>
      <c r="P76" s="27">
        <f>IF(B76="","",IF(COUNTIF('01_자재목록'!$B$7:$B$106,B76)&lt;&gt;1,"자재코드 확인",IF(INDEX('01_자재목록'!$R$7:$R$106,MATCH(B76,'01_자재목록'!$B$7:$B$106,0))="","구분 미입력",INDEX('01_자재목록'!$R$7:$R$106,MATCH(B76,'01_자재목록'!$B$7:$B$106,0)))))</f>
        <v/>
      </c>
    </row>
    <row r="77" ht="24" customHeight="1">
      <c r="A77" s="18" t="n">
        <v>71</v>
      </c>
      <c r="B77" s="19" t="n"/>
      <c r="C77" s="23">
        <f>IF(B77="","",IFERROR(INDEX('01_자재목록'!$D$7:$D$106,MATCH(B77,'01_자재목록'!$B$7:$B$106,0))&amp;"","자재코드 확인"))</f>
        <v/>
      </c>
      <c r="D77" s="19" t="n"/>
      <c r="E77" s="19" t="n"/>
      <c r="F77" s="32" t="n"/>
      <c r="G77" s="32" t="n"/>
      <c r="H77" s="19" t="n"/>
      <c r="I77" s="19" t="n"/>
      <c r="J77" s="19" t="n"/>
      <c r="K77" s="33">
        <f>IF(OR(B77="",F77=""),"",IF(ISNUMBER(F77),F77-TODAY(),"날짜 확인"))</f>
        <v/>
      </c>
      <c r="L77" s="23">
        <f>IF(B77="",IF(OR(D77&lt;&gt;"",E77&lt;&gt;"",F77&lt;&gt;""),"자재코드 확인",""),IF(COUNTIF('01_자재목록'!$B$7:$B$106,B77)&lt;&gt;1,"자재코드 확인",IF(OR(J77="소진",J77="폐기"),J77,IF(AND(D77="",E77=""),"LOT 미입력",IF(F77="","미입력",IF(OR(NOT(ISNUMBER(F77)),F77&lt;1),"날짜 확인",IF(K77&lt;0,"만료",IF(K77&lt;=$I$4,"유효기간 임박","정상"))))))))</f>
        <v/>
      </c>
      <c r="M77" s="19" t="n"/>
      <c r="N77" s="19" t="n"/>
      <c r="O77" s="19" t="n"/>
      <c r="P77" s="27">
        <f>IF(B77="","",IF(COUNTIF('01_자재목록'!$B$7:$B$106,B77)&lt;&gt;1,"자재코드 확인",IF(INDEX('01_자재목록'!$R$7:$R$106,MATCH(B77,'01_자재목록'!$B$7:$B$106,0))="","구분 미입력",INDEX('01_자재목록'!$R$7:$R$106,MATCH(B77,'01_자재목록'!$B$7:$B$106,0)))))</f>
        <v/>
      </c>
    </row>
    <row r="78" ht="24" customHeight="1">
      <c r="A78" s="18" t="n">
        <v>72</v>
      </c>
      <c r="B78" s="19" t="n"/>
      <c r="C78" s="23">
        <f>IF(B78="","",IFERROR(INDEX('01_자재목록'!$D$7:$D$106,MATCH(B78,'01_자재목록'!$B$7:$B$106,0))&amp;"","자재코드 확인"))</f>
        <v/>
      </c>
      <c r="D78" s="19" t="n"/>
      <c r="E78" s="19" t="n"/>
      <c r="F78" s="32" t="n"/>
      <c r="G78" s="32" t="n"/>
      <c r="H78" s="19" t="n"/>
      <c r="I78" s="19" t="n"/>
      <c r="J78" s="19" t="n"/>
      <c r="K78" s="33">
        <f>IF(OR(B78="",F78=""),"",IF(ISNUMBER(F78),F78-TODAY(),"날짜 확인"))</f>
        <v/>
      </c>
      <c r="L78" s="23">
        <f>IF(B78="",IF(OR(D78&lt;&gt;"",E78&lt;&gt;"",F78&lt;&gt;""),"자재코드 확인",""),IF(COUNTIF('01_자재목록'!$B$7:$B$106,B78)&lt;&gt;1,"자재코드 확인",IF(OR(J78="소진",J78="폐기"),J78,IF(AND(D78="",E78=""),"LOT 미입력",IF(F78="","미입력",IF(OR(NOT(ISNUMBER(F78)),F78&lt;1),"날짜 확인",IF(K78&lt;0,"만료",IF(K78&lt;=$I$4,"유효기간 임박","정상"))))))))</f>
        <v/>
      </c>
      <c r="M78" s="19" t="n"/>
      <c r="N78" s="19" t="n"/>
      <c r="O78" s="19" t="n"/>
      <c r="P78" s="27">
        <f>IF(B78="","",IF(COUNTIF('01_자재목록'!$B$7:$B$106,B78)&lt;&gt;1,"자재코드 확인",IF(INDEX('01_자재목록'!$R$7:$R$106,MATCH(B78,'01_자재목록'!$B$7:$B$106,0))="","구분 미입력",INDEX('01_자재목록'!$R$7:$R$106,MATCH(B78,'01_자재목록'!$B$7:$B$106,0)))))</f>
        <v/>
      </c>
    </row>
    <row r="79" ht="24" customHeight="1">
      <c r="A79" s="18" t="n">
        <v>73</v>
      </c>
      <c r="B79" s="19" t="n"/>
      <c r="C79" s="23">
        <f>IF(B79="","",IFERROR(INDEX('01_자재목록'!$D$7:$D$106,MATCH(B79,'01_자재목록'!$B$7:$B$106,0))&amp;"","자재코드 확인"))</f>
        <v/>
      </c>
      <c r="D79" s="19" t="n"/>
      <c r="E79" s="19" t="n"/>
      <c r="F79" s="32" t="n"/>
      <c r="G79" s="32" t="n"/>
      <c r="H79" s="19" t="n"/>
      <c r="I79" s="19" t="n"/>
      <c r="J79" s="19" t="n"/>
      <c r="K79" s="33">
        <f>IF(OR(B79="",F79=""),"",IF(ISNUMBER(F79),F79-TODAY(),"날짜 확인"))</f>
        <v/>
      </c>
      <c r="L79" s="23">
        <f>IF(B79="",IF(OR(D79&lt;&gt;"",E79&lt;&gt;"",F79&lt;&gt;""),"자재코드 확인",""),IF(COUNTIF('01_자재목록'!$B$7:$B$106,B79)&lt;&gt;1,"자재코드 확인",IF(OR(J79="소진",J79="폐기"),J79,IF(AND(D79="",E79=""),"LOT 미입력",IF(F79="","미입력",IF(OR(NOT(ISNUMBER(F79)),F79&lt;1),"날짜 확인",IF(K79&lt;0,"만료",IF(K79&lt;=$I$4,"유효기간 임박","정상"))))))))</f>
        <v/>
      </c>
      <c r="M79" s="19" t="n"/>
      <c r="N79" s="19" t="n"/>
      <c r="O79" s="19" t="n"/>
      <c r="P79" s="27">
        <f>IF(B79="","",IF(COUNTIF('01_자재목록'!$B$7:$B$106,B79)&lt;&gt;1,"자재코드 확인",IF(INDEX('01_자재목록'!$R$7:$R$106,MATCH(B79,'01_자재목록'!$B$7:$B$106,0))="","구분 미입력",INDEX('01_자재목록'!$R$7:$R$106,MATCH(B79,'01_자재목록'!$B$7:$B$106,0)))))</f>
        <v/>
      </c>
    </row>
    <row r="80" ht="24" customHeight="1">
      <c r="A80" s="18" t="n">
        <v>74</v>
      </c>
      <c r="B80" s="19" t="n"/>
      <c r="C80" s="23">
        <f>IF(B80="","",IFERROR(INDEX('01_자재목록'!$D$7:$D$106,MATCH(B80,'01_자재목록'!$B$7:$B$106,0))&amp;"","자재코드 확인"))</f>
        <v/>
      </c>
      <c r="D80" s="19" t="n"/>
      <c r="E80" s="19" t="n"/>
      <c r="F80" s="32" t="n"/>
      <c r="G80" s="32" t="n"/>
      <c r="H80" s="19" t="n"/>
      <c r="I80" s="19" t="n"/>
      <c r="J80" s="19" t="n"/>
      <c r="K80" s="33">
        <f>IF(OR(B80="",F80=""),"",IF(ISNUMBER(F80),F80-TODAY(),"날짜 확인"))</f>
        <v/>
      </c>
      <c r="L80" s="23">
        <f>IF(B80="",IF(OR(D80&lt;&gt;"",E80&lt;&gt;"",F80&lt;&gt;""),"자재코드 확인",""),IF(COUNTIF('01_자재목록'!$B$7:$B$106,B80)&lt;&gt;1,"자재코드 확인",IF(OR(J80="소진",J80="폐기"),J80,IF(AND(D80="",E80=""),"LOT 미입력",IF(F80="","미입력",IF(OR(NOT(ISNUMBER(F80)),F80&lt;1),"날짜 확인",IF(K80&lt;0,"만료",IF(K80&lt;=$I$4,"유효기간 임박","정상"))))))))</f>
        <v/>
      </c>
      <c r="M80" s="19" t="n"/>
      <c r="N80" s="19" t="n"/>
      <c r="O80" s="19" t="n"/>
      <c r="P80" s="27">
        <f>IF(B80="","",IF(COUNTIF('01_자재목록'!$B$7:$B$106,B80)&lt;&gt;1,"자재코드 확인",IF(INDEX('01_자재목록'!$R$7:$R$106,MATCH(B80,'01_자재목록'!$B$7:$B$106,0))="","구분 미입력",INDEX('01_자재목록'!$R$7:$R$106,MATCH(B80,'01_자재목록'!$B$7:$B$106,0)))))</f>
        <v/>
      </c>
    </row>
    <row r="81" ht="24" customHeight="1">
      <c r="A81" s="18" t="n">
        <v>75</v>
      </c>
      <c r="B81" s="19" t="n"/>
      <c r="C81" s="23">
        <f>IF(B81="","",IFERROR(INDEX('01_자재목록'!$D$7:$D$106,MATCH(B81,'01_자재목록'!$B$7:$B$106,0))&amp;"","자재코드 확인"))</f>
        <v/>
      </c>
      <c r="D81" s="19" t="n"/>
      <c r="E81" s="19" t="n"/>
      <c r="F81" s="32" t="n"/>
      <c r="G81" s="32" t="n"/>
      <c r="H81" s="19" t="n"/>
      <c r="I81" s="19" t="n"/>
      <c r="J81" s="19" t="n"/>
      <c r="K81" s="33">
        <f>IF(OR(B81="",F81=""),"",IF(ISNUMBER(F81),F81-TODAY(),"날짜 확인"))</f>
        <v/>
      </c>
      <c r="L81" s="23">
        <f>IF(B81="",IF(OR(D81&lt;&gt;"",E81&lt;&gt;"",F81&lt;&gt;""),"자재코드 확인",""),IF(COUNTIF('01_자재목록'!$B$7:$B$106,B81)&lt;&gt;1,"자재코드 확인",IF(OR(J81="소진",J81="폐기"),J81,IF(AND(D81="",E81=""),"LOT 미입력",IF(F81="","미입력",IF(OR(NOT(ISNUMBER(F81)),F81&lt;1),"날짜 확인",IF(K81&lt;0,"만료",IF(K81&lt;=$I$4,"유효기간 임박","정상"))))))))</f>
        <v/>
      </c>
      <c r="M81" s="19" t="n"/>
      <c r="N81" s="19" t="n"/>
      <c r="O81" s="19" t="n"/>
      <c r="P81" s="27">
        <f>IF(B81="","",IF(COUNTIF('01_자재목록'!$B$7:$B$106,B81)&lt;&gt;1,"자재코드 확인",IF(INDEX('01_자재목록'!$R$7:$R$106,MATCH(B81,'01_자재목록'!$B$7:$B$106,0))="","구분 미입력",INDEX('01_자재목록'!$R$7:$R$106,MATCH(B81,'01_자재목록'!$B$7:$B$106,0)))))</f>
        <v/>
      </c>
    </row>
    <row r="82" ht="24" customHeight="1">
      <c r="A82" s="18" t="n">
        <v>76</v>
      </c>
      <c r="B82" s="19" t="n"/>
      <c r="C82" s="23">
        <f>IF(B82="","",IFERROR(INDEX('01_자재목록'!$D$7:$D$106,MATCH(B82,'01_자재목록'!$B$7:$B$106,0))&amp;"","자재코드 확인"))</f>
        <v/>
      </c>
      <c r="D82" s="19" t="n"/>
      <c r="E82" s="19" t="n"/>
      <c r="F82" s="32" t="n"/>
      <c r="G82" s="32" t="n"/>
      <c r="H82" s="19" t="n"/>
      <c r="I82" s="19" t="n"/>
      <c r="J82" s="19" t="n"/>
      <c r="K82" s="33">
        <f>IF(OR(B82="",F82=""),"",IF(ISNUMBER(F82),F82-TODAY(),"날짜 확인"))</f>
        <v/>
      </c>
      <c r="L82" s="23">
        <f>IF(B82="",IF(OR(D82&lt;&gt;"",E82&lt;&gt;"",F82&lt;&gt;""),"자재코드 확인",""),IF(COUNTIF('01_자재목록'!$B$7:$B$106,B82)&lt;&gt;1,"자재코드 확인",IF(OR(J82="소진",J82="폐기"),J82,IF(AND(D82="",E82=""),"LOT 미입력",IF(F82="","미입력",IF(OR(NOT(ISNUMBER(F82)),F82&lt;1),"날짜 확인",IF(K82&lt;0,"만료",IF(K82&lt;=$I$4,"유효기간 임박","정상"))))))))</f>
        <v/>
      </c>
      <c r="M82" s="19" t="n"/>
      <c r="N82" s="19" t="n"/>
      <c r="O82" s="19" t="n"/>
      <c r="P82" s="27">
        <f>IF(B82="","",IF(COUNTIF('01_자재목록'!$B$7:$B$106,B82)&lt;&gt;1,"자재코드 확인",IF(INDEX('01_자재목록'!$R$7:$R$106,MATCH(B82,'01_자재목록'!$B$7:$B$106,0))="","구분 미입력",INDEX('01_자재목록'!$R$7:$R$106,MATCH(B82,'01_자재목록'!$B$7:$B$106,0)))))</f>
        <v/>
      </c>
    </row>
    <row r="83" ht="24" customHeight="1">
      <c r="A83" s="18" t="n">
        <v>77</v>
      </c>
      <c r="B83" s="19" t="n"/>
      <c r="C83" s="23">
        <f>IF(B83="","",IFERROR(INDEX('01_자재목록'!$D$7:$D$106,MATCH(B83,'01_자재목록'!$B$7:$B$106,0))&amp;"","자재코드 확인"))</f>
        <v/>
      </c>
      <c r="D83" s="19" t="n"/>
      <c r="E83" s="19" t="n"/>
      <c r="F83" s="32" t="n"/>
      <c r="G83" s="32" t="n"/>
      <c r="H83" s="19" t="n"/>
      <c r="I83" s="19" t="n"/>
      <c r="J83" s="19" t="n"/>
      <c r="K83" s="33">
        <f>IF(OR(B83="",F83=""),"",IF(ISNUMBER(F83),F83-TODAY(),"날짜 확인"))</f>
        <v/>
      </c>
      <c r="L83" s="23">
        <f>IF(B83="",IF(OR(D83&lt;&gt;"",E83&lt;&gt;"",F83&lt;&gt;""),"자재코드 확인",""),IF(COUNTIF('01_자재목록'!$B$7:$B$106,B83)&lt;&gt;1,"자재코드 확인",IF(OR(J83="소진",J83="폐기"),J83,IF(AND(D83="",E83=""),"LOT 미입력",IF(F83="","미입력",IF(OR(NOT(ISNUMBER(F83)),F83&lt;1),"날짜 확인",IF(K83&lt;0,"만료",IF(K83&lt;=$I$4,"유효기간 임박","정상"))))))))</f>
        <v/>
      </c>
      <c r="M83" s="19" t="n"/>
      <c r="N83" s="19" t="n"/>
      <c r="O83" s="19" t="n"/>
      <c r="P83" s="27">
        <f>IF(B83="","",IF(COUNTIF('01_자재목록'!$B$7:$B$106,B83)&lt;&gt;1,"자재코드 확인",IF(INDEX('01_자재목록'!$R$7:$R$106,MATCH(B83,'01_자재목록'!$B$7:$B$106,0))="","구분 미입력",INDEX('01_자재목록'!$R$7:$R$106,MATCH(B83,'01_자재목록'!$B$7:$B$106,0)))))</f>
        <v/>
      </c>
    </row>
    <row r="84" ht="24" customHeight="1">
      <c r="A84" s="18" t="n">
        <v>78</v>
      </c>
      <c r="B84" s="19" t="n"/>
      <c r="C84" s="23">
        <f>IF(B84="","",IFERROR(INDEX('01_자재목록'!$D$7:$D$106,MATCH(B84,'01_자재목록'!$B$7:$B$106,0))&amp;"","자재코드 확인"))</f>
        <v/>
      </c>
      <c r="D84" s="19" t="n"/>
      <c r="E84" s="19" t="n"/>
      <c r="F84" s="32" t="n"/>
      <c r="G84" s="32" t="n"/>
      <c r="H84" s="19" t="n"/>
      <c r="I84" s="19" t="n"/>
      <c r="J84" s="19" t="n"/>
      <c r="K84" s="33">
        <f>IF(OR(B84="",F84=""),"",IF(ISNUMBER(F84),F84-TODAY(),"날짜 확인"))</f>
        <v/>
      </c>
      <c r="L84" s="23">
        <f>IF(B84="",IF(OR(D84&lt;&gt;"",E84&lt;&gt;"",F84&lt;&gt;""),"자재코드 확인",""),IF(COUNTIF('01_자재목록'!$B$7:$B$106,B84)&lt;&gt;1,"자재코드 확인",IF(OR(J84="소진",J84="폐기"),J84,IF(AND(D84="",E84=""),"LOT 미입력",IF(F84="","미입력",IF(OR(NOT(ISNUMBER(F84)),F84&lt;1),"날짜 확인",IF(K84&lt;0,"만료",IF(K84&lt;=$I$4,"유효기간 임박","정상"))))))))</f>
        <v/>
      </c>
      <c r="M84" s="19" t="n"/>
      <c r="N84" s="19" t="n"/>
      <c r="O84" s="19" t="n"/>
      <c r="P84" s="27">
        <f>IF(B84="","",IF(COUNTIF('01_자재목록'!$B$7:$B$106,B84)&lt;&gt;1,"자재코드 확인",IF(INDEX('01_자재목록'!$R$7:$R$106,MATCH(B84,'01_자재목록'!$B$7:$B$106,0))="","구분 미입력",INDEX('01_자재목록'!$R$7:$R$106,MATCH(B84,'01_자재목록'!$B$7:$B$106,0)))))</f>
        <v/>
      </c>
    </row>
    <row r="85" ht="24" customHeight="1">
      <c r="A85" s="18" t="n">
        <v>79</v>
      </c>
      <c r="B85" s="19" t="n"/>
      <c r="C85" s="23">
        <f>IF(B85="","",IFERROR(INDEX('01_자재목록'!$D$7:$D$106,MATCH(B85,'01_자재목록'!$B$7:$B$106,0))&amp;"","자재코드 확인"))</f>
        <v/>
      </c>
      <c r="D85" s="19" t="n"/>
      <c r="E85" s="19" t="n"/>
      <c r="F85" s="32" t="n"/>
      <c r="G85" s="32" t="n"/>
      <c r="H85" s="19" t="n"/>
      <c r="I85" s="19" t="n"/>
      <c r="J85" s="19" t="n"/>
      <c r="K85" s="33">
        <f>IF(OR(B85="",F85=""),"",IF(ISNUMBER(F85),F85-TODAY(),"날짜 확인"))</f>
        <v/>
      </c>
      <c r="L85" s="23">
        <f>IF(B85="",IF(OR(D85&lt;&gt;"",E85&lt;&gt;"",F85&lt;&gt;""),"자재코드 확인",""),IF(COUNTIF('01_자재목록'!$B$7:$B$106,B85)&lt;&gt;1,"자재코드 확인",IF(OR(J85="소진",J85="폐기"),J85,IF(AND(D85="",E85=""),"LOT 미입력",IF(F85="","미입력",IF(OR(NOT(ISNUMBER(F85)),F85&lt;1),"날짜 확인",IF(K85&lt;0,"만료",IF(K85&lt;=$I$4,"유효기간 임박","정상"))))))))</f>
        <v/>
      </c>
      <c r="M85" s="19" t="n"/>
      <c r="N85" s="19" t="n"/>
      <c r="O85" s="19" t="n"/>
      <c r="P85" s="27">
        <f>IF(B85="","",IF(COUNTIF('01_자재목록'!$B$7:$B$106,B85)&lt;&gt;1,"자재코드 확인",IF(INDEX('01_자재목록'!$R$7:$R$106,MATCH(B85,'01_자재목록'!$B$7:$B$106,0))="","구분 미입력",INDEX('01_자재목록'!$R$7:$R$106,MATCH(B85,'01_자재목록'!$B$7:$B$106,0)))))</f>
        <v/>
      </c>
    </row>
    <row r="86" ht="24" customHeight="1">
      <c r="A86" s="18" t="n">
        <v>80</v>
      </c>
      <c r="B86" s="19" t="n"/>
      <c r="C86" s="23">
        <f>IF(B86="","",IFERROR(INDEX('01_자재목록'!$D$7:$D$106,MATCH(B86,'01_자재목록'!$B$7:$B$106,0))&amp;"","자재코드 확인"))</f>
        <v/>
      </c>
      <c r="D86" s="19" t="n"/>
      <c r="E86" s="19" t="n"/>
      <c r="F86" s="32" t="n"/>
      <c r="G86" s="32" t="n"/>
      <c r="H86" s="19" t="n"/>
      <c r="I86" s="19" t="n"/>
      <c r="J86" s="19" t="n"/>
      <c r="K86" s="33">
        <f>IF(OR(B86="",F86=""),"",IF(ISNUMBER(F86),F86-TODAY(),"날짜 확인"))</f>
        <v/>
      </c>
      <c r="L86" s="23">
        <f>IF(B86="",IF(OR(D86&lt;&gt;"",E86&lt;&gt;"",F86&lt;&gt;""),"자재코드 확인",""),IF(COUNTIF('01_자재목록'!$B$7:$B$106,B86)&lt;&gt;1,"자재코드 확인",IF(OR(J86="소진",J86="폐기"),J86,IF(AND(D86="",E86=""),"LOT 미입력",IF(F86="","미입력",IF(OR(NOT(ISNUMBER(F86)),F86&lt;1),"날짜 확인",IF(K86&lt;0,"만료",IF(K86&lt;=$I$4,"유효기간 임박","정상"))))))))</f>
        <v/>
      </c>
      <c r="M86" s="19" t="n"/>
      <c r="N86" s="19" t="n"/>
      <c r="O86" s="19" t="n"/>
      <c r="P86" s="27">
        <f>IF(B86="","",IF(COUNTIF('01_자재목록'!$B$7:$B$106,B86)&lt;&gt;1,"자재코드 확인",IF(INDEX('01_자재목록'!$R$7:$R$106,MATCH(B86,'01_자재목록'!$B$7:$B$106,0))="","구분 미입력",INDEX('01_자재목록'!$R$7:$R$106,MATCH(B86,'01_자재목록'!$B$7:$B$106,0)))))</f>
        <v/>
      </c>
    </row>
    <row r="87" ht="24" customHeight="1">
      <c r="A87" s="18" t="n">
        <v>81</v>
      </c>
      <c r="B87" s="19" t="n"/>
      <c r="C87" s="23">
        <f>IF(B87="","",IFERROR(INDEX('01_자재목록'!$D$7:$D$106,MATCH(B87,'01_자재목록'!$B$7:$B$106,0))&amp;"","자재코드 확인"))</f>
        <v/>
      </c>
      <c r="D87" s="19" t="n"/>
      <c r="E87" s="19" t="n"/>
      <c r="F87" s="32" t="n"/>
      <c r="G87" s="32" t="n"/>
      <c r="H87" s="19" t="n"/>
      <c r="I87" s="19" t="n"/>
      <c r="J87" s="19" t="n"/>
      <c r="K87" s="33">
        <f>IF(OR(B87="",F87=""),"",IF(ISNUMBER(F87),F87-TODAY(),"날짜 확인"))</f>
        <v/>
      </c>
      <c r="L87" s="23">
        <f>IF(B87="",IF(OR(D87&lt;&gt;"",E87&lt;&gt;"",F87&lt;&gt;""),"자재코드 확인",""),IF(COUNTIF('01_자재목록'!$B$7:$B$106,B87)&lt;&gt;1,"자재코드 확인",IF(OR(J87="소진",J87="폐기"),J87,IF(AND(D87="",E87=""),"LOT 미입력",IF(F87="","미입력",IF(OR(NOT(ISNUMBER(F87)),F87&lt;1),"날짜 확인",IF(K87&lt;0,"만료",IF(K87&lt;=$I$4,"유효기간 임박","정상"))))))))</f>
        <v/>
      </c>
      <c r="M87" s="19" t="n"/>
      <c r="N87" s="19" t="n"/>
      <c r="O87" s="19" t="n"/>
      <c r="P87" s="27">
        <f>IF(B87="","",IF(COUNTIF('01_자재목록'!$B$7:$B$106,B87)&lt;&gt;1,"자재코드 확인",IF(INDEX('01_자재목록'!$R$7:$R$106,MATCH(B87,'01_자재목록'!$B$7:$B$106,0))="","구분 미입력",INDEX('01_자재목록'!$R$7:$R$106,MATCH(B87,'01_자재목록'!$B$7:$B$106,0)))))</f>
        <v/>
      </c>
    </row>
    <row r="88" ht="24" customHeight="1">
      <c r="A88" s="18" t="n">
        <v>82</v>
      </c>
      <c r="B88" s="19" t="n"/>
      <c r="C88" s="23">
        <f>IF(B88="","",IFERROR(INDEX('01_자재목록'!$D$7:$D$106,MATCH(B88,'01_자재목록'!$B$7:$B$106,0))&amp;"","자재코드 확인"))</f>
        <v/>
      </c>
      <c r="D88" s="19" t="n"/>
      <c r="E88" s="19" t="n"/>
      <c r="F88" s="32" t="n"/>
      <c r="G88" s="32" t="n"/>
      <c r="H88" s="19" t="n"/>
      <c r="I88" s="19" t="n"/>
      <c r="J88" s="19" t="n"/>
      <c r="K88" s="33">
        <f>IF(OR(B88="",F88=""),"",IF(ISNUMBER(F88),F88-TODAY(),"날짜 확인"))</f>
        <v/>
      </c>
      <c r="L88" s="23">
        <f>IF(B88="",IF(OR(D88&lt;&gt;"",E88&lt;&gt;"",F88&lt;&gt;""),"자재코드 확인",""),IF(COUNTIF('01_자재목록'!$B$7:$B$106,B88)&lt;&gt;1,"자재코드 확인",IF(OR(J88="소진",J88="폐기"),J88,IF(AND(D88="",E88=""),"LOT 미입력",IF(F88="","미입력",IF(OR(NOT(ISNUMBER(F88)),F88&lt;1),"날짜 확인",IF(K88&lt;0,"만료",IF(K88&lt;=$I$4,"유효기간 임박","정상"))))))))</f>
        <v/>
      </c>
      <c r="M88" s="19" t="n"/>
      <c r="N88" s="19" t="n"/>
      <c r="O88" s="19" t="n"/>
      <c r="P88" s="27">
        <f>IF(B88="","",IF(COUNTIF('01_자재목록'!$B$7:$B$106,B88)&lt;&gt;1,"자재코드 확인",IF(INDEX('01_자재목록'!$R$7:$R$106,MATCH(B88,'01_자재목록'!$B$7:$B$106,0))="","구분 미입력",INDEX('01_자재목록'!$R$7:$R$106,MATCH(B88,'01_자재목록'!$B$7:$B$106,0)))))</f>
        <v/>
      </c>
    </row>
    <row r="89" ht="24" customHeight="1">
      <c r="A89" s="18" t="n">
        <v>83</v>
      </c>
      <c r="B89" s="19" t="n"/>
      <c r="C89" s="23">
        <f>IF(B89="","",IFERROR(INDEX('01_자재목록'!$D$7:$D$106,MATCH(B89,'01_자재목록'!$B$7:$B$106,0))&amp;"","자재코드 확인"))</f>
        <v/>
      </c>
      <c r="D89" s="19" t="n"/>
      <c r="E89" s="19" t="n"/>
      <c r="F89" s="32" t="n"/>
      <c r="G89" s="32" t="n"/>
      <c r="H89" s="19" t="n"/>
      <c r="I89" s="19" t="n"/>
      <c r="J89" s="19" t="n"/>
      <c r="K89" s="33">
        <f>IF(OR(B89="",F89=""),"",IF(ISNUMBER(F89),F89-TODAY(),"날짜 확인"))</f>
        <v/>
      </c>
      <c r="L89" s="23">
        <f>IF(B89="",IF(OR(D89&lt;&gt;"",E89&lt;&gt;"",F89&lt;&gt;""),"자재코드 확인",""),IF(COUNTIF('01_자재목록'!$B$7:$B$106,B89)&lt;&gt;1,"자재코드 확인",IF(OR(J89="소진",J89="폐기"),J89,IF(AND(D89="",E89=""),"LOT 미입력",IF(F89="","미입력",IF(OR(NOT(ISNUMBER(F89)),F89&lt;1),"날짜 확인",IF(K89&lt;0,"만료",IF(K89&lt;=$I$4,"유효기간 임박","정상"))))))))</f>
        <v/>
      </c>
      <c r="M89" s="19" t="n"/>
      <c r="N89" s="19" t="n"/>
      <c r="O89" s="19" t="n"/>
      <c r="P89" s="27">
        <f>IF(B89="","",IF(COUNTIF('01_자재목록'!$B$7:$B$106,B89)&lt;&gt;1,"자재코드 확인",IF(INDEX('01_자재목록'!$R$7:$R$106,MATCH(B89,'01_자재목록'!$B$7:$B$106,0))="","구분 미입력",INDEX('01_자재목록'!$R$7:$R$106,MATCH(B89,'01_자재목록'!$B$7:$B$106,0)))))</f>
        <v/>
      </c>
    </row>
    <row r="90" ht="24" customHeight="1">
      <c r="A90" s="18" t="n">
        <v>84</v>
      </c>
      <c r="B90" s="19" t="n"/>
      <c r="C90" s="23">
        <f>IF(B90="","",IFERROR(INDEX('01_자재목록'!$D$7:$D$106,MATCH(B90,'01_자재목록'!$B$7:$B$106,0))&amp;"","자재코드 확인"))</f>
        <v/>
      </c>
      <c r="D90" s="19" t="n"/>
      <c r="E90" s="19" t="n"/>
      <c r="F90" s="32" t="n"/>
      <c r="G90" s="32" t="n"/>
      <c r="H90" s="19" t="n"/>
      <c r="I90" s="19" t="n"/>
      <c r="J90" s="19" t="n"/>
      <c r="K90" s="33">
        <f>IF(OR(B90="",F90=""),"",IF(ISNUMBER(F90),F90-TODAY(),"날짜 확인"))</f>
        <v/>
      </c>
      <c r="L90" s="23">
        <f>IF(B90="",IF(OR(D90&lt;&gt;"",E90&lt;&gt;"",F90&lt;&gt;""),"자재코드 확인",""),IF(COUNTIF('01_자재목록'!$B$7:$B$106,B90)&lt;&gt;1,"자재코드 확인",IF(OR(J90="소진",J90="폐기"),J90,IF(AND(D90="",E90=""),"LOT 미입력",IF(F90="","미입력",IF(OR(NOT(ISNUMBER(F90)),F90&lt;1),"날짜 확인",IF(K90&lt;0,"만료",IF(K90&lt;=$I$4,"유효기간 임박","정상"))))))))</f>
        <v/>
      </c>
      <c r="M90" s="19" t="n"/>
      <c r="N90" s="19" t="n"/>
      <c r="O90" s="19" t="n"/>
      <c r="P90" s="27">
        <f>IF(B90="","",IF(COUNTIF('01_자재목록'!$B$7:$B$106,B90)&lt;&gt;1,"자재코드 확인",IF(INDEX('01_자재목록'!$R$7:$R$106,MATCH(B90,'01_자재목록'!$B$7:$B$106,0))="","구분 미입력",INDEX('01_자재목록'!$R$7:$R$106,MATCH(B90,'01_자재목록'!$B$7:$B$106,0)))))</f>
        <v/>
      </c>
    </row>
    <row r="91" ht="24" customHeight="1">
      <c r="A91" s="18" t="n">
        <v>85</v>
      </c>
      <c r="B91" s="19" t="n"/>
      <c r="C91" s="23">
        <f>IF(B91="","",IFERROR(INDEX('01_자재목록'!$D$7:$D$106,MATCH(B91,'01_자재목록'!$B$7:$B$106,0))&amp;"","자재코드 확인"))</f>
        <v/>
      </c>
      <c r="D91" s="19" t="n"/>
      <c r="E91" s="19" t="n"/>
      <c r="F91" s="32" t="n"/>
      <c r="G91" s="32" t="n"/>
      <c r="H91" s="19" t="n"/>
      <c r="I91" s="19" t="n"/>
      <c r="J91" s="19" t="n"/>
      <c r="K91" s="33">
        <f>IF(OR(B91="",F91=""),"",IF(ISNUMBER(F91),F91-TODAY(),"날짜 확인"))</f>
        <v/>
      </c>
      <c r="L91" s="23">
        <f>IF(B91="",IF(OR(D91&lt;&gt;"",E91&lt;&gt;"",F91&lt;&gt;""),"자재코드 확인",""),IF(COUNTIF('01_자재목록'!$B$7:$B$106,B91)&lt;&gt;1,"자재코드 확인",IF(OR(J91="소진",J91="폐기"),J91,IF(AND(D91="",E91=""),"LOT 미입력",IF(F91="","미입력",IF(OR(NOT(ISNUMBER(F91)),F91&lt;1),"날짜 확인",IF(K91&lt;0,"만료",IF(K91&lt;=$I$4,"유효기간 임박","정상"))))))))</f>
        <v/>
      </c>
      <c r="M91" s="19" t="n"/>
      <c r="N91" s="19" t="n"/>
      <c r="O91" s="19" t="n"/>
      <c r="P91" s="27">
        <f>IF(B91="","",IF(COUNTIF('01_자재목록'!$B$7:$B$106,B91)&lt;&gt;1,"자재코드 확인",IF(INDEX('01_자재목록'!$R$7:$R$106,MATCH(B91,'01_자재목록'!$B$7:$B$106,0))="","구분 미입력",INDEX('01_자재목록'!$R$7:$R$106,MATCH(B91,'01_자재목록'!$B$7:$B$106,0)))))</f>
        <v/>
      </c>
    </row>
    <row r="92" ht="24" customHeight="1">
      <c r="A92" s="18" t="n">
        <v>86</v>
      </c>
      <c r="B92" s="19" t="n"/>
      <c r="C92" s="23">
        <f>IF(B92="","",IFERROR(INDEX('01_자재목록'!$D$7:$D$106,MATCH(B92,'01_자재목록'!$B$7:$B$106,0))&amp;"","자재코드 확인"))</f>
        <v/>
      </c>
      <c r="D92" s="19" t="n"/>
      <c r="E92" s="19" t="n"/>
      <c r="F92" s="32" t="n"/>
      <c r="G92" s="32" t="n"/>
      <c r="H92" s="19" t="n"/>
      <c r="I92" s="19" t="n"/>
      <c r="J92" s="19" t="n"/>
      <c r="K92" s="33">
        <f>IF(OR(B92="",F92=""),"",IF(ISNUMBER(F92),F92-TODAY(),"날짜 확인"))</f>
        <v/>
      </c>
      <c r="L92" s="23">
        <f>IF(B92="",IF(OR(D92&lt;&gt;"",E92&lt;&gt;"",F92&lt;&gt;""),"자재코드 확인",""),IF(COUNTIF('01_자재목록'!$B$7:$B$106,B92)&lt;&gt;1,"자재코드 확인",IF(OR(J92="소진",J92="폐기"),J92,IF(AND(D92="",E92=""),"LOT 미입력",IF(F92="","미입력",IF(OR(NOT(ISNUMBER(F92)),F92&lt;1),"날짜 확인",IF(K92&lt;0,"만료",IF(K92&lt;=$I$4,"유효기간 임박","정상"))))))))</f>
        <v/>
      </c>
      <c r="M92" s="19" t="n"/>
      <c r="N92" s="19" t="n"/>
      <c r="O92" s="19" t="n"/>
      <c r="P92" s="27">
        <f>IF(B92="","",IF(COUNTIF('01_자재목록'!$B$7:$B$106,B92)&lt;&gt;1,"자재코드 확인",IF(INDEX('01_자재목록'!$R$7:$R$106,MATCH(B92,'01_자재목록'!$B$7:$B$106,0))="","구분 미입력",INDEX('01_자재목록'!$R$7:$R$106,MATCH(B92,'01_자재목록'!$B$7:$B$106,0)))))</f>
        <v/>
      </c>
    </row>
    <row r="93" ht="24" customHeight="1">
      <c r="A93" s="18" t="n">
        <v>87</v>
      </c>
      <c r="B93" s="19" t="n"/>
      <c r="C93" s="23">
        <f>IF(B93="","",IFERROR(INDEX('01_자재목록'!$D$7:$D$106,MATCH(B93,'01_자재목록'!$B$7:$B$106,0))&amp;"","자재코드 확인"))</f>
        <v/>
      </c>
      <c r="D93" s="19" t="n"/>
      <c r="E93" s="19" t="n"/>
      <c r="F93" s="32" t="n"/>
      <c r="G93" s="32" t="n"/>
      <c r="H93" s="19" t="n"/>
      <c r="I93" s="19" t="n"/>
      <c r="J93" s="19" t="n"/>
      <c r="K93" s="33">
        <f>IF(OR(B93="",F93=""),"",IF(ISNUMBER(F93),F93-TODAY(),"날짜 확인"))</f>
        <v/>
      </c>
      <c r="L93" s="23">
        <f>IF(B93="",IF(OR(D93&lt;&gt;"",E93&lt;&gt;"",F93&lt;&gt;""),"자재코드 확인",""),IF(COUNTIF('01_자재목록'!$B$7:$B$106,B93)&lt;&gt;1,"자재코드 확인",IF(OR(J93="소진",J93="폐기"),J93,IF(AND(D93="",E93=""),"LOT 미입력",IF(F93="","미입력",IF(OR(NOT(ISNUMBER(F93)),F93&lt;1),"날짜 확인",IF(K93&lt;0,"만료",IF(K93&lt;=$I$4,"유효기간 임박","정상"))))))))</f>
        <v/>
      </c>
      <c r="M93" s="19" t="n"/>
      <c r="N93" s="19" t="n"/>
      <c r="O93" s="19" t="n"/>
      <c r="P93" s="27">
        <f>IF(B93="","",IF(COUNTIF('01_자재목록'!$B$7:$B$106,B93)&lt;&gt;1,"자재코드 확인",IF(INDEX('01_자재목록'!$R$7:$R$106,MATCH(B93,'01_자재목록'!$B$7:$B$106,0))="","구분 미입력",INDEX('01_자재목록'!$R$7:$R$106,MATCH(B93,'01_자재목록'!$B$7:$B$106,0)))))</f>
        <v/>
      </c>
    </row>
    <row r="94" ht="24" customHeight="1">
      <c r="A94" s="18" t="n">
        <v>88</v>
      </c>
      <c r="B94" s="19" t="n"/>
      <c r="C94" s="23">
        <f>IF(B94="","",IFERROR(INDEX('01_자재목록'!$D$7:$D$106,MATCH(B94,'01_자재목록'!$B$7:$B$106,0))&amp;"","자재코드 확인"))</f>
        <v/>
      </c>
      <c r="D94" s="19" t="n"/>
      <c r="E94" s="19" t="n"/>
      <c r="F94" s="32" t="n"/>
      <c r="G94" s="32" t="n"/>
      <c r="H94" s="19" t="n"/>
      <c r="I94" s="19" t="n"/>
      <c r="J94" s="19" t="n"/>
      <c r="K94" s="33">
        <f>IF(OR(B94="",F94=""),"",IF(ISNUMBER(F94),F94-TODAY(),"날짜 확인"))</f>
        <v/>
      </c>
      <c r="L94" s="23">
        <f>IF(B94="",IF(OR(D94&lt;&gt;"",E94&lt;&gt;"",F94&lt;&gt;""),"자재코드 확인",""),IF(COUNTIF('01_자재목록'!$B$7:$B$106,B94)&lt;&gt;1,"자재코드 확인",IF(OR(J94="소진",J94="폐기"),J94,IF(AND(D94="",E94=""),"LOT 미입력",IF(F94="","미입력",IF(OR(NOT(ISNUMBER(F94)),F94&lt;1),"날짜 확인",IF(K94&lt;0,"만료",IF(K94&lt;=$I$4,"유효기간 임박","정상"))))))))</f>
        <v/>
      </c>
      <c r="M94" s="19" t="n"/>
      <c r="N94" s="19" t="n"/>
      <c r="O94" s="19" t="n"/>
      <c r="P94" s="27">
        <f>IF(B94="","",IF(COUNTIF('01_자재목록'!$B$7:$B$106,B94)&lt;&gt;1,"자재코드 확인",IF(INDEX('01_자재목록'!$R$7:$R$106,MATCH(B94,'01_자재목록'!$B$7:$B$106,0))="","구분 미입력",INDEX('01_자재목록'!$R$7:$R$106,MATCH(B94,'01_자재목록'!$B$7:$B$106,0)))))</f>
        <v/>
      </c>
    </row>
    <row r="95" ht="24" customHeight="1">
      <c r="A95" s="18" t="n">
        <v>89</v>
      </c>
      <c r="B95" s="19" t="n"/>
      <c r="C95" s="23">
        <f>IF(B95="","",IFERROR(INDEX('01_자재목록'!$D$7:$D$106,MATCH(B95,'01_자재목록'!$B$7:$B$106,0))&amp;"","자재코드 확인"))</f>
        <v/>
      </c>
      <c r="D95" s="19" t="n"/>
      <c r="E95" s="19" t="n"/>
      <c r="F95" s="32" t="n"/>
      <c r="G95" s="32" t="n"/>
      <c r="H95" s="19" t="n"/>
      <c r="I95" s="19" t="n"/>
      <c r="J95" s="19" t="n"/>
      <c r="K95" s="33">
        <f>IF(OR(B95="",F95=""),"",IF(ISNUMBER(F95),F95-TODAY(),"날짜 확인"))</f>
        <v/>
      </c>
      <c r="L95" s="23">
        <f>IF(B95="",IF(OR(D95&lt;&gt;"",E95&lt;&gt;"",F95&lt;&gt;""),"자재코드 확인",""),IF(COUNTIF('01_자재목록'!$B$7:$B$106,B95)&lt;&gt;1,"자재코드 확인",IF(OR(J95="소진",J95="폐기"),J95,IF(AND(D95="",E95=""),"LOT 미입력",IF(F95="","미입력",IF(OR(NOT(ISNUMBER(F95)),F95&lt;1),"날짜 확인",IF(K95&lt;0,"만료",IF(K95&lt;=$I$4,"유효기간 임박","정상"))))))))</f>
        <v/>
      </c>
      <c r="M95" s="19" t="n"/>
      <c r="N95" s="19" t="n"/>
      <c r="O95" s="19" t="n"/>
      <c r="P95" s="27">
        <f>IF(B95="","",IF(COUNTIF('01_자재목록'!$B$7:$B$106,B95)&lt;&gt;1,"자재코드 확인",IF(INDEX('01_자재목록'!$R$7:$R$106,MATCH(B95,'01_자재목록'!$B$7:$B$106,0))="","구분 미입력",INDEX('01_자재목록'!$R$7:$R$106,MATCH(B95,'01_자재목록'!$B$7:$B$106,0)))))</f>
        <v/>
      </c>
    </row>
    <row r="96" ht="24" customHeight="1">
      <c r="A96" s="18" t="n">
        <v>90</v>
      </c>
      <c r="B96" s="19" t="n"/>
      <c r="C96" s="23">
        <f>IF(B96="","",IFERROR(INDEX('01_자재목록'!$D$7:$D$106,MATCH(B96,'01_자재목록'!$B$7:$B$106,0))&amp;"","자재코드 확인"))</f>
        <v/>
      </c>
      <c r="D96" s="19" t="n"/>
      <c r="E96" s="19" t="n"/>
      <c r="F96" s="32" t="n"/>
      <c r="G96" s="32" t="n"/>
      <c r="H96" s="19" t="n"/>
      <c r="I96" s="19" t="n"/>
      <c r="J96" s="19" t="n"/>
      <c r="K96" s="33">
        <f>IF(OR(B96="",F96=""),"",IF(ISNUMBER(F96),F96-TODAY(),"날짜 확인"))</f>
        <v/>
      </c>
      <c r="L96" s="23">
        <f>IF(B96="",IF(OR(D96&lt;&gt;"",E96&lt;&gt;"",F96&lt;&gt;""),"자재코드 확인",""),IF(COUNTIF('01_자재목록'!$B$7:$B$106,B96)&lt;&gt;1,"자재코드 확인",IF(OR(J96="소진",J96="폐기"),J96,IF(AND(D96="",E96=""),"LOT 미입력",IF(F96="","미입력",IF(OR(NOT(ISNUMBER(F96)),F96&lt;1),"날짜 확인",IF(K96&lt;0,"만료",IF(K96&lt;=$I$4,"유효기간 임박","정상"))))))))</f>
        <v/>
      </c>
      <c r="M96" s="19" t="n"/>
      <c r="N96" s="19" t="n"/>
      <c r="O96" s="19" t="n"/>
      <c r="P96" s="27">
        <f>IF(B96="","",IF(COUNTIF('01_자재목록'!$B$7:$B$106,B96)&lt;&gt;1,"자재코드 확인",IF(INDEX('01_자재목록'!$R$7:$R$106,MATCH(B96,'01_자재목록'!$B$7:$B$106,0))="","구분 미입력",INDEX('01_자재목록'!$R$7:$R$106,MATCH(B96,'01_자재목록'!$B$7:$B$106,0)))))</f>
        <v/>
      </c>
    </row>
    <row r="97" ht="24" customHeight="1">
      <c r="A97" s="18" t="n">
        <v>91</v>
      </c>
      <c r="B97" s="19" t="n"/>
      <c r="C97" s="23">
        <f>IF(B97="","",IFERROR(INDEX('01_자재목록'!$D$7:$D$106,MATCH(B97,'01_자재목록'!$B$7:$B$106,0))&amp;"","자재코드 확인"))</f>
        <v/>
      </c>
      <c r="D97" s="19" t="n"/>
      <c r="E97" s="19" t="n"/>
      <c r="F97" s="32" t="n"/>
      <c r="G97" s="32" t="n"/>
      <c r="H97" s="19" t="n"/>
      <c r="I97" s="19" t="n"/>
      <c r="J97" s="19" t="n"/>
      <c r="K97" s="33">
        <f>IF(OR(B97="",F97=""),"",IF(ISNUMBER(F97),F97-TODAY(),"날짜 확인"))</f>
        <v/>
      </c>
      <c r="L97" s="23">
        <f>IF(B97="",IF(OR(D97&lt;&gt;"",E97&lt;&gt;"",F97&lt;&gt;""),"자재코드 확인",""),IF(COUNTIF('01_자재목록'!$B$7:$B$106,B97)&lt;&gt;1,"자재코드 확인",IF(OR(J97="소진",J97="폐기"),J97,IF(AND(D97="",E97=""),"LOT 미입력",IF(F97="","미입력",IF(OR(NOT(ISNUMBER(F97)),F97&lt;1),"날짜 확인",IF(K97&lt;0,"만료",IF(K97&lt;=$I$4,"유효기간 임박","정상"))))))))</f>
        <v/>
      </c>
      <c r="M97" s="19" t="n"/>
      <c r="N97" s="19" t="n"/>
      <c r="O97" s="19" t="n"/>
      <c r="P97" s="27">
        <f>IF(B97="","",IF(COUNTIF('01_자재목록'!$B$7:$B$106,B97)&lt;&gt;1,"자재코드 확인",IF(INDEX('01_자재목록'!$R$7:$R$106,MATCH(B97,'01_자재목록'!$B$7:$B$106,0))="","구분 미입력",INDEX('01_자재목록'!$R$7:$R$106,MATCH(B97,'01_자재목록'!$B$7:$B$106,0)))))</f>
        <v/>
      </c>
    </row>
    <row r="98" ht="24" customHeight="1">
      <c r="A98" s="18" t="n">
        <v>92</v>
      </c>
      <c r="B98" s="19" t="n"/>
      <c r="C98" s="23">
        <f>IF(B98="","",IFERROR(INDEX('01_자재목록'!$D$7:$D$106,MATCH(B98,'01_자재목록'!$B$7:$B$106,0))&amp;"","자재코드 확인"))</f>
        <v/>
      </c>
      <c r="D98" s="19" t="n"/>
      <c r="E98" s="19" t="n"/>
      <c r="F98" s="32" t="n"/>
      <c r="G98" s="32" t="n"/>
      <c r="H98" s="19" t="n"/>
      <c r="I98" s="19" t="n"/>
      <c r="J98" s="19" t="n"/>
      <c r="K98" s="33">
        <f>IF(OR(B98="",F98=""),"",IF(ISNUMBER(F98),F98-TODAY(),"날짜 확인"))</f>
        <v/>
      </c>
      <c r="L98" s="23">
        <f>IF(B98="",IF(OR(D98&lt;&gt;"",E98&lt;&gt;"",F98&lt;&gt;""),"자재코드 확인",""),IF(COUNTIF('01_자재목록'!$B$7:$B$106,B98)&lt;&gt;1,"자재코드 확인",IF(OR(J98="소진",J98="폐기"),J98,IF(AND(D98="",E98=""),"LOT 미입력",IF(F98="","미입력",IF(OR(NOT(ISNUMBER(F98)),F98&lt;1),"날짜 확인",IF(K98&lt;0,"만료",IF(K98&lt;=$I$4,"유효기간 임박","정상"))))))))</f>
        <v/>
      </c>
      <c r="M98" s="19" t="n"/>
      <c r="N98" s="19" t="n"/>
      <c r="O98" s="19" t="n"/>
      <c r="P98" s="27">
        <f>IF(B98="","",IF(COUNTIF('01_자재목록'!$B$7:$B$106,B98)&lt;&gt;1,"자재코드 확인",IF(INDEX('01_자재목록'!$R$7:$R$106,MATCH(B98,'01_자재목록'!$B$7:$B$106,0))="","구분 미입력",INDEX('01_자재목록'!$R$7:$R$106,MATCH(B98,'01_자재목록'!$B$7:$B$106,0)))))</f>
        <v/>
      </c>
    </row>
    <row r="99" ht="24" customHeight="1">
      <c r="A99" s="18" t="n">
        <v>93</v>
      </c>
      <c r="B99" s="19" t="n"/>
      <c r="C99" s="23">
        <f>IF(B99="","",IFERROR(INDEX('01_자재목록'!$D$7:$D$106,MATCH(B99,'01_자재목록'!$B$7:$B$106,0))&amp;"","자재코드 확인"))</f>
        <v/>
      </c>
      <c r="D99" s="19" t="n"/>
      <c r="E99" s="19" t="n"/>
      <c r="F99" s="32" t="n"/>
      <c r="G99" s="32" t="n"/>
      <c r="H99" s="19" t="n"/>
      <c r="I99" s="19" t="n"/>
      <c r="J99" s="19" t="n"/>
      <c r="K99" s="33">
        <f>IF(OR(B99="",F99=""),"",IF(ISNUMBER(F99),F99-TODAY(),"날짜 확인"))</f>
        <v/>
      </c>
      <c r="L99" s="23">
        <f>IF(B99="",IF(OR(D99&lt;&gt;"",E99&lt;&gt;"",F99&lt;&gt;""),"자재코드 확인",""),IF(COUNTIF('01_자재목록'!$B$7:$B$106,B99)&lt;&gt;1,"자재코드 확인",IF(OR(J99="소진",J99="폐기"),J99,IF(AND(D99="",E99=""),"LOT 미입력",IF(F99="","미입력",IF(OR(NOT(ISNUMBER(F99)),F99&lt;1),"날짜 확인",IF(K99&lt;0,"만료",IF(K99&lt;=$I$4,"유효기간 임박","정상"))))))))</f>
        <v/>
      </c>
      <c r="M99" s="19" t="n"/>
      <c r="N99" s="19" t="n"/>
      <c r="O99" s="19" t="n"/>
      <c r="P99" s="27">
        <f>IF(B99="","",IF(COUNTIF('01_자재목록'!$B$7:$B$106,B99)&lt;&gt;1,"자재코드 확인",IF(INDEX('01_자재목록'!$R$7:$R$106,MATCH(B99,'01_자재목록'!$B$7:$B$106,0))="","구분 미입력",INDEX('01_자재목록'!$R$7:$R$106,MATCH(B99,'01_자재목록'!$B$7:$B$106,0)))))</f>
        <v/>
      </c>
    </row>
    <row r="100" ht="24" customHeight="1">
      <c r="A100" s="18" t="n">
        <v>94</v>
      </c>
      <c r="B100" s="19" t="n"/>
      <c r="C100" s="23">
        <f>IF(B100="","",IFERROR(INDEX('01_자재목록'!$D$7:$D$106,MATCH(B100,'01_자재목록'!$B$7:$B$106,0))&amp;"","자재코드 확인"))</f>
        <v/>
      </c>
      <c r="D100" s="19" t="n"/>
      <c r="E100" s="19" t="n"/>
      <c r="F100" s="32" t="n"/>
      <c r="G100" s="32" t="n"/>
      <c r="H100" s="19" t="n"/>
      <c r="I100" s="19" t="n"/>
      <c r="J100" s="19" t="n"/>
      <c r="K100" s="33">
        <f>IF(OR(B100="",F100=""),"",IF(ISNUMBER(F100),F100-TODAY(),"날짜 확인"))</f>
        <v/>
      </c>
      <c r="L100" s="23">
        <f>IF(B100="",IF(OR(D100&lt;&gt;"",E100&lt;&gt;"",F100&lt;&gt;""),"자재코드 확인",""),IF(COUNTIF('01_자재목록'!$B$7:$B$106,B100)&lt;&gt;1,"자재코드 확인",IF(OR(J100="소진",J100="폐기"),J100,IF(AND(D100="",E100=""),"LOT 미입력",IF(F100="","미입력",IF(OR(NOT(ISNUMBER(F100)),F100&lt;1),"날짜 확인",IF(K100&lt;0,"만료",IF(K100&lt;=$I$4,"유효기간 임박","정상"))))))))</f>
        <v/>
      </c>
      <c r="M100" s="19" t="n"/>
      <c r="N100" s="19" t="n"/>
      <c r="O100" s="19" t="n"/>
      <c r="P100" s="27">
        <f>IF(B100="","",IF(COUNTIF('01_자재목록'!$B$7:$B$106,B100)&lt;&gt;1,"자재코드 확인",IF(INDEX('01_자재목록'!$R$7:$R$106,MATCH(B100,'01_자재목록'!$B$7:$B$106,0))="","구분 미입력",INDEX('01_자재목록'!$R$7:$R$106,MATCH(B100,'01_자재목록'!$B$7:$B$106,0)))))</f>
        <v/>
      </c>
    </row>
    <row r="101" ht="24" customHeight="1">
      <c r="A101" s="18" t="n">
        <v>95</v>
      </c>
      <c r="B101" s="19" t="n"/>
      <c r="C101" s="23">
        <f>IF(B101="","",IFERROR(INDEX('01_자재목록'!$D$7:$D$106,MATCH(B101,'01_자재목록'!$B$7:$B$106,0))&amp;"","자재코드 확인"))</f>
        <v/>
      </c>
      <c r="D101" s="19" t="n"/>
      <c r="E101" s="19" t="n"/>
      <c r="F101" s="32" t="n"/>
      <c r="G101" s="32" t="n"/>
      <c r="H101" s="19" t="n"/>
      <c r="I101" s="19" t="n"/>
      <c r="J101" s="19" t="n"/>
      <c r="K101" s="33">
        <f>IF(OR(B101="",F101=""),"",IF(ISNUMBER(F101),F101-TODAY(),"날짜 확인"))</f>
        <v/>
      </c>
      <c r="L101" s="23">
        <f>IF(B101="",IF(OR(D101&lt;&gt;"",E101&lt;&gt;"",F101&lt;&gt;""),"자재코드 확인",""),IF(COUNTIF('01_자재목록'!$B$7:$B$106,B101)&lt;&gt;1,"자재코드 확인",IF(OR(J101="소진",J101="폐기"),J101,IF(AND(D101="",E101=""),"LOT 미입력",IF(F101="","미입력",IF(OR(NOT(ISNUMBER(F101)),F101&lt;1),"날짜 확인",IF(K101&lt;0,"만료",IF(K101&lt;=$I$4,"유효기간 임박","정상"))))))))</f>
        <v/>
      </c>
      <c r="M101" s="19" t="n"/>
      <c r="N101" s="19" t="n"/>
      <c r="O101" s="19" t="n"/>
      <c r="P101" s="27">
        <f>IF(B101="","",IF(COUNTIF('01_자재목록'!$B$7:$B$106,B101)&lt;&gt;1,"자재코드 확인",IF(INDEX('01_자재목록'!$R$7:$R$106,MATCH(B101,'01_자재목록'!$B$7:$B$106,0))="","구분 미입력",INDEX('01_자재목록'!$R$7:$R$106,MATCH(B101,'01_자재목록'!$B$7:$B$106,0)))))</f>
        <v/>
      </c>
    </row>
    <row r="102" ht="24" customHeight="1">
      <c r="A102" s="18" t="n">
        <v>96</v>
      </c>
      <c r="B102" s="19" t="n"/>
      <c r="C102" s="23">
        <f>IF(B102="","",IFERROR(INDEX('01_자재목록'!$D$7:$D$106,MATCH(B102,'01_자재목록'!$B$7:$B$106,0))&amp;"","자재코드 확인"))</f>
        <v/>
      </c>
      <c r="D102" s="19" t="n"/>
      <c r="E102" s="19" t="n"/>
      <c r="F102" s="32" t="n"/>
      <c r="G102" s="32" t="n"/>
      <c r="H102" s="19" t="n"/>
      <c r="I102" s="19" t="n"/>
      <c r="J102" s="19" t="n"/>
      <c r="K102" s="33">
        <f>IF(OR(B102="",F102=""),"",IF(ISNUMBER(F102),F102-TODAY(),"날짜 확인"))</f>
        <v/>
      </c>
      <c r="L102" s="23">
        <f>IF(B102="",IF(OR(D102&lt;&gt;"",E102&lt;&gt;"",F102&lt;&gt;""),"자재코드 확인",""),IF(COUNTIF('01_자재목록'!$B$7:$B$106,B102)&lt;&gt;1,"자재코드 확인",IF(OR(J102="소진",J102="폐기"),J102,IF(AND(D102="",E102=""),"LOT 미입력",IF(F102="","미입력",IF(OR(NOT(ISNUMBER(F102)),F102&lt;1),"날짜 확인",IF(K102&lt;0,"만료",IF(K102&lt;=$I$4,"유효기간 임박","정상"))))))))</f>
        <v/>
      </c>
      <c r="M102" s="19" t="n"/>
      <c r="N102" s="19" t="n"/>
      <c r="O102" s="19" t="n"/>
      <c r="P102" s="27">
        <f>IF(B102="","",IF(COUNTIF('01_자재목록'!$B$7:$B$106,B102)&lt;&gt;1,"자재코드 확인",IF(INDEX('01_자재목록'!$R$7:$R$106,MATCH(B102,'01_자재목록'!$B$7:$B$106,0))="","구분 미입력",INDEX('01_자재목록'!$R$7:$R$106,MATCH(B102,'01_자재목록'!$B$7:$B$106,0)))))</f>
        <v/>
      </c>
    </row>
    <row r="103" ht="24" customHeight="1">
      <c r="A103" s="18" t="n">
        <v>97</v>
      </c>
      <c r="B103" s="19" t="n"/>
      <c r="C103" s="23">
        <f>IF(B103="","",IFERROR(INDEX('01_자재목록'!$D$7:$D$106,MATCH(B103,'01_자재목록'!$B$7:$B$106,0))&amp;"","자재코드 확인"))</f>
        <v/>
      </c>
      <c r="D103" s="19" t="n"/>
      <c r="E103" s="19" t="n"/>
      <c r="F103" s="32" t="n"/>
      <c r="G103" s="32" t="n"/>
      <c r="H103" s="19" t="n"/>
      <c r="I103" s="19" t="n"/>
      <c r="J103" s="19" t="n"/>
      <c r="K103" s="33">
        <f>IF(OR(B103="",F103=""),"",IF(ISNUMBER(F103),F103-TODAY(),"날짜 확인"))</f>
        <v/>
      </c>
      <c r="L103" s="23">
        <f>IF(B103="",IF(OR(D103&lt;&gt;"",E103&lt;&gt;"",F103&lt;&gt;""),"자재코드 확인",""),IF(COUNTIF('01_자재목록'!$B$7:$B$106,B103)&lt;&gt;1,"자재코드 확인",IF(OR(J103="소진",J103="폐기"),J103,IF(AND(D103="",E103=""),"LOT 미입력",IF(F103="","미입력",IF(OR(NOT(ISNUMBER(F103)),F103&lt;1),"날짜 확인",IF(K103&lt;0,"만료",IF(K103&lt;=$I$4,"유효기간 임박","정상"))))))))</f>
        <v/>
      </c>
      <c r="M103" s="19" t="n"/>
      <c r="N103" s="19" t="n"/>
      <c r="O103" s="19" t="n"/>
      <c r="P103" s="27">
        <f>IF(B103="","",IF(COUNTIF('01_자재목록'!$B$7:$B$106,B103)&lt;&gt;1,"자재코드 확인",IF(INDEX('01_자재목록'!$R$7:$R$106,MATCH(B103,'01_자재목록'!$B$7:$B$106,0))="","구분 미입력",INDEX('01_자재목록'!$R$7:$R$106,MATCH(B103,'01_자재목록'!$B$7:$B$106,0)))))</f>
        <v/>
      </c>
    </row>
    <row r="104" ht="24" customHeight="1">
      <c r="A104" s="18" t="n">
        <v>98</v>
      </c>
      <c r="B104" s="19" t="n"/>
      <c r="C104" s="23">
        <f>IF(B104="","",IFERROR(INDEX('01_자재목록'!$D$7:$D$106,MATCH(B104,'01_자재목록'!$B$7:$B$106,0))&amp;"","자재코드 확인"))</f>
        <v/>
      </c>
      <c r="D104" s="19" t="n"/>
      <c r="E104" s="19" t="n"/>
      <c r="F104" s="32" t="n"/>
      <c r="G104" s="32" t="n"/>
      <c r="H104" s="19" t="n"/>
      <c r="I104" s="19" t="n"/>
      <c r="J104" s="19" t="n"/>
      <c r="K104" s="33">
        <f>IF(OR(B104="",F104=""),"",IF(ISNUMBER(F104),F104-TODAY(),"날짜 확인"))</f>
        <v/>
      </c>
      <c r="L104" s="23">
        <f>IF(B104="",IF(OR(D104&lt;&gt;"",E104&lt;&gt;"",F104&lt;&gt;""),"자재코드 확인",""),IF(COUNTIF('01_자재목록'!$B$7:$B$106,B104)&lt;&gt;1,"자재코드 확인",IF(OR(J104="소진",J104="폐기"),J104,IF(AND(D104="",E104=""),"LOT 미입력",IF(F104="","미입력",IF(OR(NOT(ISNUMBER(F104)),F104&lt;1),"날짜 확인",IF(K104&lt;0,"만료",IF(K104&lt;=$I$4,"유효기간 임박","정상"))))))))</f>
        <v/>
      </c>
      <c r="M104" s="19" t="n"/>
      <c r="N104" s="19" t="n"/>
      <c r="O104" s="19" t="n"/>
      <c r="P104" s="27">
        <f>IF(B104="","",IF(COUNTIF('01_자재목록'!$B$7:$B$106,B104)&lt;&gt;1,"자재코드 확인",IF(INDEX('01_자재목록'!$R$7:$R$106,MATCH(B104,'01_자재목록'!$B$7:$B$106,0))="","구분 미입력",INDEX('01_자재목록'!$R$7:$R$106,MATCH(B104,'01_자재목록'!$B$7:$B$106,0)))))</f>
        <v/>
      </c>
    </row>
    <row r="105" ht="24" customHeight="1">
      <c r="A105" s="18" t="n">
        <v>99</v>
      </c>
      <c r="B105" s="19" t="n"/>
      <c r="C105" s="23">
        <f>IF(B105="","",IFERROR(INDEX('01_자재목록'!$D$7:$D$106,MATCH(B105,'01_자재목록'!$B$7:$B$106,0))&amp;"","자재코드 확인"))</f>
        <v/>
      </c>
      <c r="D105" s="19" t="n"/>
      <c r="E105" s="19" t="n"/>
      <c r="F105" s="32" t="n"/>
      <c r="G105" s="32" t="n"/>
      <c r="H105" s="19" t="n"/>
      <c r="I105" s="19" t="n"/>
      <c r="J105" s="19" t="n"/>
      <c r="K105" s="33">
        <f>IF(OR(B105="",F105=""),"",IF(ISNUMBER(F105),F105-TODAY(),"날짜 확인"))</f>
        <v/>
      </c>
      <c r="L105" s="23">
        <f>IF(B105="",IF(OR(D105&lt;&gt;"",E105&lt;&gt;"",F105&lt;&gt;""),"자재코드 확인",""),IF(COUNTIF('01_자재목록'!$B$7:$B$106,B105)&lt;&gt;1,"자재코드 확인",IF(OR(J105="소진",J105="폐기"),J105,IF(AND(D105="",E105=""),"LOT 미입력",IF(F105="","미입력",IF(OR(NOT(ISNUMBER(F105)),F105&lt;1),"날짜 확인",IF(K105&lt;0,"만료",IF(K105&lt;=$I$4,"유효기간 임박","정상"))))))))</f>
        <v/>
      </c>
      <c r="M105" s="19" t="n"/>
      <c r="N105" s="19" t="n"/>
      <c r="O105" s="19" t="n"/>
      <c r="P105" s="27">
        <f>IF(B105="","",IF(COUNTIF('01_자재목록'!$B$7:$B$106,B105)&lt;&gt;1,"자재코드 확인",IF(INDEX('01_자재목록'!$R$7:$R$106,MATCH(B105,'01_자재목록'!$B$7:$B$106,0))="","구분 미입력",INDEX('01_자재목록'!$R$7:$R$106,MATCH(B105,'01_자재목록'!$B$7:$B$106,0)))))</f>
        <v/>
      </c>
    </row>
    <row r="106" ht="24" customHeight="1">
      <c r="A106" s="18" t="n">
        <v>100</v>
      </c>
      <c r="B106" s="19" t="n"/>
      <c r="C106" s="23">
        <f>IF(B106="","",IFERROR(INDEX('01_자재목록'!$D$7:$D$106,MATCH(B106,'01_자재목록'!$B$7:$B$106,0))&amp;"","자재코드 확인"))</f>
        <v/>
      </c>
      <c r="D106" s="19" t="n"/>
      <c r="E106" s="19" t="n"/>
      <c r="F106" s="32" t="n"/>
      <c r="G106" s="32" t="n"/>
      <c r="H106" s="19" t="n"/>
      <c r="I106" s="19" t="n"/>
      <c r="J106" s="19" t="n"/>
      <c r="K106" s="33">
        <f>IF(OR(B106="",F106=""),"",IF(ISNUMBER(F106),F106-TODAY(),"날짜 확인"))</f>
        <v/>
      </c>
      <c r="L106" s="23">
        <f>IF(B106="",IF(OR(D106&lt;&gt;"",E106&lt;&gt;"",F106&lt;&gt;""),"자재코드 확인",""),IF(COUNTIF('01_자재목록'!$B$7:$B$106,B106)&lt;&gt;1,"자재코드 확인",IF(OR(J106="소진",J106="폐기"),J106,IF(AND(D106="",E106=""),"LOT 미입력",IF(F106="","미입력",IF(OR(NOT(ISNUMBER(F106)),F106&lt;1),"날짜 확인",IF(K106&lt;0,"만료",IF(K106&lt;=$I$4,"유효기간 임박","정상"))))))))</f>
        <v/>
      </c>
      <c r="M106" s="19" t="n"/>
      <c r="N106" s="19" t="n"/>
      <c r="O106" s="19" t="n"/>
      <c r="P106" s="27">
        <f>IF(B106="","",IF(COUNTIF('01_자재목록'!$B$7:$B$106,B106)&lt;&gt;1,"자재코드 확인",IF(INDEX('01_자재목록'!$R$7:$R$106,MATCH(B106,'01_자재목록'!$B$7:$B$106,0))="","구분 미입력",INDEX('01_자재목록'!$R$7:$R$106,MATCH(B106,'01_자재목록'!$B$7:$B$106,0)))))</f>
        <v/>
      </c>
    </row>
    <row r="107" ht="24" customHeight="1">
      <c r="A107" s="18" t="n">
        <v>101</v>
      </c>
      <c r="B107" s="19" t="n"/>
      <c r="C107" s="23">
        <f>IF(B107="","",IFERROR(INDEX('01_자재목록'!$D$7:$D$106,MATCH(B107,'01_자재목록'!$B$7:$B$106,0))&amp;"","자재코드 확인"))</f>
        <v/>
      </c>
      <c r="D107" s="19" t="n"/>
      <c r="E107" s="19" t="n"/>
      <c r="F107" s="32" t="n"/>
      <c r="G107" s="32" t="n"/>
      <c r="H107" s="19" t="n"/>
      <c r="I107" s="19" t="n"/>
      <c r="J107" s="19" t="n"/>
      <c r="K107" s="33">
        <f>IF(OR(B107="",F107=""),"",IF(ISNUMBER(F107),F107-TODAY(),"날짜 확인"))</f>
        <v/>
      </c>
      <c r="L107" s="23">
        <f>IF(B107="",IF(OR(D107&lt;&gt;"",E107&lt;&gt;"",F107&lt;&gt;""),"자재코드 확인",""),IF(COUNTIF('01_자재목록'!$B$7:$B$106,B107)&lt;&gt;1,"자재코드 확인",IF(OR(J107="소진",J107="폐기"),J107,IF(AND(D107="",E107=""),"LOT 미입력",IF(F107="","미입력",IF(OR(NOT(ISNUMBER(F107)),F107&lt;1),"날짜 확인",IF(K107&lt;0,"만료",IF(K107&lt;=$I$4,"유효기간 임박","정상"))))))))</f>
        <v/>
      </c>
      <c r="M107" s="19" t="n"/>
      <c r="N107" s="19" t="n"/>
      <c r="O107" s="19" t="n"/>
      <c r="P107" s="27">
        <f>IF(B107="","",IF(COUNTIF('01_자재목록'!$B$7:$B$106,B107)&lt;&gt;1,"자재코드 확인",IF(INDEX('01_자재목록'!$R$7:$R$106,MATCH(B107,'01_자재목록'!$B$7:$B$106,0))="","구분 미입력",INDEX('01_자재목록'!$R$7:$R$106,MATCH(B107,'01_자재목록'!$B$7:$B$106,0)))))</f>
        <v/>
      </c>
    </row>
    <row r="108" ht="24" customHeight="1">
      <c r="A108" s="18" t="n">
        <v>102</v>
      </c>
      <c r="B108" s="19" t="n"/>
      <c r="C108" s="23">
        <f>IF(B108="","",IFERROR(INDEX('01_자재목록'!$D$7:$D$106,MATCH(B108,'01_자재목록'!$B$7:$B$106,0))&amp;"","자재코드 확인"))</f>
        <v/>
      </c>
      <c r="D108" s="19" t="n"/>
      <c r="E108" s="19" t="n"/>
      <c r="F108" s="32" t="n"/>
      <c r="G108" s="32" t="n"/>
      <c r="H108" s="19" t="n"/>
      <c r="I108" s="19" t="n"/>
      <c r="J108" s="19" t="n"/>
      <c r="K108" s="33">
        <f>IF(OR(B108="",F108=""),"",IF(ISNUMBER(F108),F108-TODAY(),"날짜 확인"))</f>
        <v/>
      </c>
      <c r="L108" s="23">
        <f>IF(B108="",IF(OR(D108&lt;&gt;"",E108&lt;&gt;"",F108&lt;&gt;""),"자재코드 확인",""),IF(COUNTIF('01_자재목록'!$B$7:$B$106,B108)&lt;&gt;1,"자재코드 확인",IF(OR(J108="소진",J108="폐기"),J108,IF(AND(D108="",E108=""),"LOT 미입력",IF(F108="","미입력",IF(OR(NOT(ISNUMBER(F108)),F108&lt;1),"날짜 확인",IF(K108&lt;0,"만료",IF(K108&lt;=$I$4,"유효기간 임박","정상"))))))))</f>
        <v/>
      </c>
      <c r="M108" s="19" t="n"/>
      <c r="N108" s="19" t="n"/>
      <c r="O108" s="19" t="n"/>
      <c r="P108" s="27">
        <f>IF(B108="","",IF(COUNTIF('01_자재목록'!$B$7:$B$106,B108)&lt;&gt;1,"자재코드 확인",IF(INDEX('01_자재목록'!$R$7:$R$106,MATCH(B108,'01_자재목록'!$B$7:$B$106,0))="","구분 미입력",INDEX('01_자재목록'!$R$7:$R$106,MATCH(B108,'01_자재목록'!$B$7:$B$106,0)))))</f>
        <v/>
      </c>
    </row>
    <row r="109" ht="24" customHeight="1">
      <c r="A109" s="18" t="n">
        <v>103</v>
      </c>
      <c r="B109" s="19" t="n"/>
      <c r="C109" s="23">
        <f>IF(B109="","",IFERROR(INDEX('01_자재목록'!$D$7:$D$106,MATCH(B109,'01_자재목록'!$B$7:$B$106,0))&amp;"","자재코드 확인"))</f>
        <v/>
      </c>
      <c r="D109" s="19" t="n"/>
      <c r="E109" s="19" t="n"/>
      <c r="F109" s="32" t="n"/>
      <c r="G109" s="32" t="n"/>
      <c r="H109" s="19" t="n"/>
      <c r="I109" s="19" t="n"/>
      <c r="J109" s="19" t="n"/>
      <c r="K109" s="33">
        <f>IF(OR(B109="",F109=""),"",IF(ISNUMBER(F109),F109-TODAY(),"날짜 확인"))</f>
        <v/>
      </c>
      <c r="L109" s="23">
        <f>IF(B109="",IF(OR(D109&lt;&gt;"",E109&lt;&gt;"",F109&lt;&gt;""),"자재코드 확인",""),IF(COUNTIF('01_자재목록'!$B$7:$B$106,B109)&lt;&gt;1,"자재코드 확인",IF(OR(J109="소진",J109="폐기"),J109,IF(AND(D109="",E109=""),"LOT 미입력",IF(F109="","미입력",IF(OR(NOT(ISNUMBER(F109)),F109&lt;1),"날짜 확인",IF(K109&lt;0,"만료",IF(K109&lt;=$I$4,"유효기간 임박","정상"))))))))</f>
        <v/>
      </c>
      <c r="M109" s="19" t="n"/>
      <c r="N109" s="19" t="n"/>
      <c r="O109" s="19" t="n"/>
      <c r="P109" s="27">
        <f>IF(B109="","",IF(COUNTIF('01_자재목록'!$B$7:$B$106,B109)&lt;&gt;1,"자재코드 확인",IF(INDEX('01_자재목록'!$R$7:$R$106,MATCH(B109,'01_자재목록'!$B$7:$B$106,0))="","구분 미입력",INDEX('01_자재목록'!$R$7:$R$106,MATCH(B109,'01_자재목록'!$B$7:$B$106,0)))))</f>
        <v/>
      </c>
    </row>
    <row r="110" ht="24" customHeight="1">
      <c r="A110" s="18" t="n">
        <v>104</v>
      </c>
      <c r="B110" s="19" t="n"/>
      <c r="C110" s="23">
        <f>IF(B110="","",IFERROR(INDEX('01_자재목록'!$D$7:$D$106,MATCH(B110,'01_자재목록'!$B$7:$B$106,0))&amp;"","자재코드 확인"))</f>
        <v/>
      </c>
      <c r="D110" s="19" t="n"/>
      <c r="E110" s="19" t="n"/>
      <c r="F110" s="32" t="n"/>
      <c r="G110" s="32" t="n"/>
      <c r="H110" s="19" t="n"/>
      <c r="I110" s="19" t="n"/>
      <c r="J110" s="19" t="n"/>
      <c r="K110" s="33">
        <f>IF(OR(B110="",F110=""),"",IF(ISNUMBER(F110),F110-TODAY(),"날짜 확인"))</f>
        <v/>
      </c>
      <c r="L110" s="23">
        <f>IF(B110="",IF(OR(D110&lt;&gt;"",E110&lt;&gt;"",F110&lt;&gt;""),"자재코드 확인",""),IF(COUNTIF('01_자재목록'!$B$7:$B$106,B110)&lt;&gt;1,"자재코드 확인",IF(OR(J110="소진",J110="폐기"),J110,IF(AND(D110="",E110=""),"LOT 미입력",IF(F110="","미입력",IF(OR(NOT(ISNUMBER(F110)),F110&lt;1),"날짜 확인",IF(K110&lt;0,"만료",IF(K110&lt;=$I$4,"유효기간 임박","정상"))))))))</f>
        <v/>
      </c>
      <c r="M110" s="19" t="n"/>
      <c r="N110" s="19" t="n"/>
      <c r="O110" s="19" t="n"/>
      <c r="P110" s="27">
        <f>IF(B110="","",IF(COUNTIF('01_자재목록'!$B$7:$B$106,B110)&lt;&gt;1,"자재코드 확인",IF(INDEX('01_자재목록'!$R$7:$R$106,MATCH(B110,'01_자재목록'!$B$7:$B$106,0))="","구분 미입력",INDEX('01_자재목록'!$R$7:$R$106,MATCH(B110,'01_자재목록'!$B$7:$B$106,0)))))</f>
        <v/>
      </c>
    </row>
    <row r="111" ht="24" customHeight="1">
      <c r="A111" s="18" t="n">
        <v>105</v>
      </c>
      <c r="B111" s="19" t="n"/>
      <c r="C111" s="23">
        <f>IF(B111="","",IFERROR(INDEX('01_자재목록'!$D$7:$D$106,MATCH(B111,'01_자재목록'!$B$7:$B$106,0))&amp;"","자재코드 확인"))</f>
        <v/>
      </c>
      <c r="D111" s="19" t="n"/>
      <c r="E111" s="19" t="n"/>
      <c r="F111" s="32" t="n"/>
      <c r="G111" s="32" t="n"/>
      <c r="H111" s="19" t="n"/>
      <c r="I111" s="19" t="n"/>
      <c r="J111" s="19" t="n"/>
      <c r="K111" s="33">
        <f>IF(OR(B111="",F111=""),"",IF(ISNUMBER(F111),F111-TODAY(),"날짜 확인"))</f>
        <v/>
      </c>
      <c r="L111" s="23">
        <f>IF(B111="",IF(OR(D111&lt;&gt;"",E111&lt;&gt;"",F111&lt;&gt;""),"자재코드 확인",""),IF(COUNTIF('01_자재목록'!$B$7:$B$106,B111)&lt;&gt;1,"자재코드 확인",IF(OR(J111="소진",J111="폐기"),J111,IF(AND(D111="",E111=""),"LOT 미입력",IF(F111="","미입력",IF(OR(NOT(ISNUMBER(F111)),F111&lt;1),"날짜 확인",IF(K111&lt;0,"만료",IF(K111&lt;=$I$4,"유효기간 임박","정상"))))))))</f>
        <v/>
      </c>
      <c r="M111" s="19" t="n"/>
      <c r="N111" s="19" t="n"/>
      <c r="O111" s="19" t="n"/>
      <c r="P111" s="27">
        <f>IF(B111="","",IF(COUNTIF('01_자재목록'!$B$7:$B$106,B111)&lt;&gt;1,"자재코드 확인",IF(INDEX('01_자재목록'!$R$7:$R$106,MATCH(B111,'01_자재목록'!$B$7:$B$106,0))="","구분 미입력",INDEX('01_자재목록'!$R$7:$R$106,MATCH(B111,'01_자재목록'!$B$7:$B$106,0)))))</f>
        <v/>
      </c>
    </row>
    <row r="112" ht="24" customHeight="1">
      <c r="A112" s="18" t="n">
        <v>106</v>
      </c>
      <c r="B112" s="19" t="n"/>
      <c r="C112" s="23">
        <f>IF(B112="","",IFERROR(INDEX('01_자재목록'!$D$7:$D$106,MATCH(B112,'01_자재목록'!$B$7:$B$106,0))&amp;"","자재코드 확인"))</f>
        <v/>
      </c>
      <c r="D112" s="19" t="n"/>
      <c r="E112" s="19" t="n"/>
      <c r="F112" s="32" t="n"/>
      <c r="G112" s="32" t="n"/>
      <c r="H112" s="19" t="n"/>
      <c r="I112" s="19" t="n"/>
      <c r="J112" s="19" t="n"/>
      <c r="K112" s="33">
        <f>IF(OR(B112="",F112=""),"",IF(ISNUMBER(F112),F112-TODAY(),"날짜 확인"))</f>
        <v/>
      </c>
      <c r="L112" s="23">
        <f>IF(B112="",IF(OR(D112&lt;&gt;"",E112&lt;&gt;"",F112&lt;&gt;""),"자재코드 확인",""),IF(COUNTIF('01_자재목록'!$B$7:$B$106,B112)&lt;&gt;1,"자재코드 확인",IF(OR(J112="소진",J112="폐기"),J112,IF(AND(D112="",E112=""),"LOT 미입력",IF(F112="","미입력",IF(OR(NOT(ISNUMBER(F112)),F112&lt;1),"날짜 확인",IF(K112&lt;0,"만료",IF(K112&lt;=$I$4,"유효기간 임박","정상"))))))))</f>
        <v/>
      </c>
      <c r="M112" s="19" t="n"/>
      <c r="N112" s="19" t="n"/>
      <c r="O112" s="19" t="n"/>
      <c r="P112" s="27">
        <f>IF(B112="","",IF(COUNTIF('01_자재목록'!$B$7:$B$106,B112)&lt;&gt;1,"자재코드 확인",IF(INDEX('01_자재목록'!$R$7:$R$106,MATCH(B112,'01_자재목록'!$B$7:$B$106,0))="","구분 미입력",INDEX('01_자재목록'!$R$7:$R$106,MATCH(B112,'01_자재목록'!$B$7:$B$106,0)))))</f>
        <v/>
      </c>
    </row>
    <row r="113" ht="24" customHeight="1">
      <c r="A113" s="18" t="n">
        <v>107</v>
      </c>
      <c r="B113" s="19" t="n"/>
      <c r="C113" s="23">
        <f>IF(B113="","",IFERROR(INDEX('01_자재목록'!$D$7:$D$106,MATCH(B113,'01_자재목록'!$B$7:$B$106,0))&amp;"","자재코드 확인"))</f>
        <v/>
      </c>
      <c r="D113" s="19" t="n"/>
      <c r="E113" s="19" t="n"/>
      <c r="F113" s="32" t="n"/>
      <c r="G113" s="32" t="n"/>
      <c r="H113" s="19" t="n"/>
      <c r="I113" s="19" t="n"/>
      <c r="J113" s="19" t="n"/>
      <c r="K113" s="33">
        <f>IF(OR(B113="",F113=""),"",IF(ISNUMBER(F113),F113-TODAY(),"날짜 확인"))</f>
        <v/>
      </c>
      <c r="L113" s="23">
        <f>IF(B113="",IF(OR(D113&lt;&gt;"",E113&lt;&gt;"",F113&lt;&gt;""),"자재코드 확인",""),IF(COUNTIF('01_자재목록'!$B$7:$B$106,B113)&lt;&gt;1,"자재코드 확인",IF(OR(J113="소진",J113="폐기"),J113,IF(AND(D113="",E113=""),"LOT 미입력",IF(F113="","미입력",IF(OR(NOT(ISNUMBER(F113)),F113&lt;1),"날짜 확인",IF(K113&lt;0,"만료",IF(K113&lt;=$I$4,"유효기간 임박","정상"))))))))</f>
        <v/>
      </c>
      <c r="M113" s="19" t="n"/>
      <c r="N113" s="19" t="n"/>
      <c r="O113" s="19" t="n"/>
      <c r="P113" s="27">
        <f>IF(B113="","",IF(COUNTIF('01_자재목록'!$B$7:$B$106,B113)&lt;&gt;1,"자재코드 확인",IF(INDEX('01_자재목록'!$R$7:$R$106,MATCH(B113,'01_자재목록'!$B$7:$B$106,0))="","구분 미입력",INDEX('01_자재목록'!$R$7:$R$106,MATCH(B113,'01_자재목록'!$B$7:$B$106,0)))))</f>
        <v/>
      </c>
    </row>
    <row r="114" ht="24" customHeight="1">
      <c r="A114" s="18" t="n">
        <v>108</v>
      </c>
      <c r="B114" s="19" t="n"/>
      <c r="C114" s="23">
        <f>IF(B114="","",IFERROR(INDEX('01_자재목록'!$D$7:$D$106,MATCH(B114,'01_자재목록'!$B$7:$B$106,0))&amp;"","자재코드 확인"))</f>
        <v/>
      </c>
      <c r="D114" s="19" t="n"/>
      <c r="E114" s="19" t="n"/>
      <c r="F114" s="32" t="n"/>
      <c r="G114" s="32" t="n"/>
      <c r="H114" s="19" t="n"/>
      <c r="I114" s="19" t="n"/>
      <c r="J114" s="19" t="n"/>
      <c r="K114" s="33">
        <f>IF(OR(B114="",F114=""),"",IF(ISNUMBER(F114),F114-TODAY(),"날짜 확인"))</f>
        <v/>
      </c>
      <c r="L114" s="23">
        <f>IF(B114="",IF(OR(D114&lt;&gt;"",E114&lt;&gt;"",F114&lt;&gt;""),"자재코드 확인",""),IF(COUNTIF('01_자재목록'!$B$7:$B$106,B114)&lt;&gt;1,"자재코드 확인",IF(OR(J114="소진",J114="폐기"),J114,IF(AND(D114="",E114=""),"LOT 미입력",IF(F114="","미입력",IF(OR(NOT(ISNUMBER(F114)),F114&lt;1),"날짜 확인",IF(K114&lt;0,"만료",IF(K114&lt;=$I$4,"유효기간 임박","정상"))))))))</f>
        <v/>
      </c>
      <c r="M114" s="19" t="n"/>
      <c r="N114" s="19" t="n"/>
      <c r="O114" s="19" t="n"/>
      <c r="P114" s="27">
        <f>IF(B114="","",IF(COUNTIF('01_자재목록'!$B$7:$B$106,B114)&lt;&gt;1,"자재코드 확인",IF(INDEX('01_자재목록'!$R$7:$R$106,MATCH(B114,'01_자재목록'!$B$7:$B$106,0))="","구분 미입력",INDEX('01_자재목록'!$R$7:$R$106,MATCH(B114,'01_자재목록'!$B$7:$B$106,0)))))</f>
        <v/>
      </c>
    </row>
    <row r="115" ht="24" customHeight="1">
      <c r="A115" s="18" t="n">
        <v>109</v>
      </c>
      <c r="B115" s="19" t="n"/>
      <c r="C115" s="23">
        <f>IF(B115="","",IFERROR(INDEX('01_자재목록'!$D$7:$D$106,MATCH(B115,'01_자재목록'!$B$7:$B$106,0))&amp;"","자재코드 확인"))</f>
        <v/>
      </c>
      <c r="D115" s="19" t="n"/>
      <c r="E115" s="19" t="n"/>
      <c r="F115" s="32" t="n"/>
      <c r="G115" s="32" t="n"/>
      <c r="H115" s="19" t="n"/>
      <c r="I115" s="19" t="n"/>
      <c r="J115" s="19" t="n"/>
      <c r="K115" s="33">
        <f>IF(OR(B115="",F115=""),"",IF(ISNUMBER(F115),F115-TODAY(),"날짜 확인"))</f>
        <v/>
      </c>
      <c r="L115" s="23">
        <f>IF(B115="",IF(OR(D115&lt;&gt;"",E115&lt;&gt;"",F115&lt;&gt;""),"자재코드 확인",""),IF(COUNTIF('01_자재목록'!$B$7:$B$106,B115)&lt;&gt;1,"자재코드 확인",IF(OR(J115="소진",J115="폐기"),J115,IF(AND(D115="",E115=""),"LOT 미입력",IF(F115="","미입력",IF(OR(NOT(ISNUMBER(F115)),F115&lt;1),"날짜 확인",IF(K115&lt;0,"만료",IF(K115&lt;=$I$4,"유효기간 임박","정상"))))))))</f>
        <v/>
      </c>
      <c r="M115" s="19" t="n"/>
      <c r="N115" s="19" t="n"/>
      <c r="O115" s="19" t="n"/>
      <c r="P115" s="27">
        <f>IF(B115="","",IF(COUNTIF('01_자재목록'!$B$7:$B$106,B115)&lt;&gt;1,"자재코드 확인",IF(INDEX('01_자재목록'!$R$7:$R$106,MATCH(B115,'01_자재목록'!$B$7:$B$106,0))="","구분 미입력",INDEX('01_자재목록'!$R$7:$R$106,MATCH(B115,'01_자재목록'!$B$7:$B$106,0)))))</f>
        <v/>
      </c>
    </row>
    <row r="116" ht="24" customHeight="1">
      <c r="A116" s="18" t="n">
        <v>110</v>
      </c>
      <c r="B116" s="19" t="n"/>
      <c r="C116" s="23">
        <f>IF(B116="","",IFERROR(INDEX('01_자재목록'!$D$7:$D$106,MATCH(B116,'01_자재목록'!$B$7:$B$106,0))&amp;"","자재코드 확인"))</f>
        <v/>
      </c>
      <c r="D116" s="19" t="n"/>
      <c r="E116" s="19" t="n"/>
      <c r="F116" s="32" t="n"/>
      <c r="G116" s="32" t="n"/>
      <c r="H116" s="19" t="n"/>
      <c r="I116" s="19" t="n"/>
      <c r="J116" s="19" t="n"/>
      <c r="K116" s="33">
        <f>IF(OR(B116="",F116=""),"",IF(ISNUMBER(F116),F116-TODAY(),"날짜 확인"))</f>
        <v/>
      </c>
      <c r="L116" s="23">
        <f>IF(B116="",IF(OR(D116&lt;&gt;"",E116&lt;&gt;"",F116&lt;&gt;""),"자재코드 확인",""),IF(COUNTIF('01_자재목록'!$B$7:$B$106,B116)&lt;&gt;1,"자재코드 확인",IF(OR(J116="소진",J116="폐기"),J116,IF(AND(D116="",E116=""),"LOT 미입력",IF(F116="","미입력",IF(OR(NOT(ISNUMBER(F116)),F116&lt;1),"날짜 확인",IF(K116&lt;0,"만료",IF(K116&lt;=$I$4,"유효기간 임박","정상"))))))))</f>
        <v/>
      </c>
      <c r="M116" s="19" t="n"/>
      <c r="N116" s="19" t="n"/>
      <c r="O116" s="19" t="n"/>
      <c r="P116" s="27">
        <f>IF(B116="","",IF(COUNTIF('01_자재목록'!$B$7:$B$106,B116)&lt;&gt;1,"자재코드 확인",IF(INDEX('01_자재목록'!$R$7:$R$106,MATCH(B116,'01_자재목록'!$B$7:$B$106,0))="","구분 미입력",INDEX('01_자재목록'!$R$7:$R$106,MATCH(B116,'01_자재목록'!$B$7:$B$106,0)))))</f>
        <v/>
      </c>
    </row>
    <row r="117" ht="24" customHeight="1">
      <c r="A117" s="18" t="n">
        <v>111</v>
      </c>
      <c r="B117" s="19" t="n"/>
      <c r="C117" s="23">
        <f>IF(B117="","",IFERROR(INDEX('01_자재목록'!$D$7:$D$106,MATCH(B117,'01_자재목록'!$B$7:$B$106,0))&amp;"","자재코드 확인"))</f>
        <v/>
      </c>
      <c r="D117" s="19" t="n"/>
      <c r="E117" s="19" t="n"/>
      <c r="F117" s="32" t="n"/>
      <c r="G117" s="32" t="n"/>
      <c r="H117" s="19" t="n"/>
      <c r="I117" s="19" t="n"/>
      <c r="J117" s="19" t="n"/>
      <c r="K117" s="33">
        <f>IF(OR(B117="",F117=""),"",IF(ISNUMBER(F117),F117-TODAY(),"날짜 확인"))</f>
        <v/>
      </c>
      <c r="L117" s="23">
        <f>IF(B117="",IF(OR(D117&lt;&gt;"",E117&lt;&gt;"",F117&lt;&gt;""),"자재코드 확인",""),IF(COUNTIF('01_자재목록'!$B$7:$B$106,B117)&lt;&gt;1,"자재코드 확인",IF(OR(J117="소진",J117="폐기"),J117,IF(AND(D117="",E117=""),"LOT 미입력",IF(F117="","미입력",IF(OR(NOT(ISNUMBER(F117)),F117&lt;1),"날짜 확인",IF(K117&lt;0,"만료",IF(K117&lt;=$I$4,"유효기간 임박","정상"))))))))</f>
        <v/>
      </c>
      <c r="M117" s="19" t="n"/>
      <c r="N117" s="19" t="n"/>
      <c r="O117" s="19" t="n"/>
      <c r="P117" s="27">
        <f>IF(B117="","",IF(COUNTIF('01_자재목록'!$B$7:$B$106,B117)&lt;&gt;1,"자재코드 확인",IF(INDEX('01_자재목록'!$R$7:$R$106,MATCH(B117,'01_자재목록'!$B$7:$B$106,0))="","구분 미입력",INDEX('01_자재목록'!$R$7:$R$106,MATCH(B117,'01_자재목록'!$B$7:$B$106,0)))))</f>
        <v/>
      </c>
    </row>
    <row r="118" ht="24" customHeight="1">
      <c r="A118" s="18" t="n">
        <v>112</v>
      </c>
      <c r="B118" s="19" t="n"/>
      <c r="C118" s="23">
        <f>IF(B118="","",IFERROR(INDEX('01_자재목록'!$D$7:$D$106,MATCH(B118,'01_자재목록'!$B$7:$B$106,0))&amp;"","자재코드 확인"))</f>
        <v/>
      </c>
      <c r="D118" s="19" t="n"/>
      <c r="E118" s="19" t="n"/>
      <c r="F118" s="32" t="n"/>
      <c r="G118" s="32" t="n"/>
      <c r="H118" s="19" t="n"/>
      <c r="I118" s="19" t="n"/>
      <c r="J118" s="19" t="n"/>
      <c r="K118" s="33">
        <f>IF(OR(B118="",F118=""),"",IF(ISNUMBER(F118),F118-TODAY(),"날짜 확인"))</f>
        <v/>
      </c>
      <c r="L118" s="23">
        <f>IF(B118="",IF(OR(D118&lt;&gt;"",E118&lt;&gt;"",F118&lt;&gt;""),"자재코드 확인",""),IF(COUNTIF('01_자재목록'!$B$7:$B$106,B118)&lt;&gt;1,"자재코드 확인",IF(OR(J118="소진",J118="폐기"),J118,IF(AND(D118="",E118=""),"LOT 미입력",IF(F118="","미입력",IF(OR(NOT(ISNUMBER(F118)),F118&lt;1),"날짜 확인",IF(K118&lt;0,"만료",IF(K118&lt;=$I$4,"유효기간 임박","정상"))))))))</f>
        <v/>
      </c>
      <c r="M118" s="19" t="n"/>
      <c r="N118" s="19" t="n"/>
      <c r="O118" s="19" t="n"/>
      <c r="P118" s="27">
        <f>IF(B118="","",IF(COUNTIF('01_자재목록'!$B$7:$B$106,B118)&lt;&gt;1,"자재코드 확인",IF(INDEX('01_자재목록'!$R$7:$R$106,MATCH(B118,'01_자재목록'!$B$7:$B$106,0))="","구분 미입력",INDEX('01_자재목록'!$R$7:$R$106,MATCH(B118,'01_자재목록'!$B$7:$B$106,0)))))</f>
        <v/>
      </c>
    </row>
    <row r="119" ht="24" customHeight="1">
      <c r="A119" s="18" t="n">
        <v>113</v>
      </c>
      <c r="B119" s="19" t="n"/>
      <c r="C119" s="23">
        <f>IF(B119="","",IFERROR(INDEX('01_자재목록'!$D$7:$D$106,MATCH(B119,'01_자재목록'!$B$7:$B$106,0))&amp;"","자재코드 확인"))</f>
        <v/>
      </c>
      <c r="D119" s="19" t="n"/>
      <c r="E119" s="19" t="n"/>
      <c r="F119" s="32" t="n"/>
      <c r="G119" s="32" t="n"/>
      <c r="H119" s="19" t="n"/>
      <c r="I119" s="19" t="n"/>
      <c r="J119" s="19" t="n"/>
      <c r="K119" s="33">
        <f>IF(OR(B119="",F119=""),"",IF(ISNUMBER(F119),F119-TODAY(),"날짜 확인"))</f>
        <v/>
      </c>
      <c r="L119" s="23">
        <f>IF(B119="",IF(OR(D119&lt;&gt;"",E119&lt;&gt;"",F119&lt;&gt;""),"자재코드 확인",""),IF(COUNTIF('01_자재목록'!$B$7:$B$106,B119)&lt;&gt;1,"자재코드 확인",IF(OR(J119="소진",J119="폐기"),J119,IF(AND(D119="",E119=""),"LOT 미입력",IF(F119="","미입력",IF(OR(NOT(ISNUMBER(F119)),F119&lt;1),"날짜 확인",IF(K119&lt;0,"만료",IF(K119&lt;=$I$4,"유효기간 임박","정상"))))))))</f>
        <v/>
      </c>
      <c r="M119" s="19" t="n"/>
      <c r="N119" s="19" t="n"/>
      <c r="O119" s="19" t="n"/>
      <c r="P119" s="27">
        <f>IF(B119="","",IF(COUNTIF('01_자재목록'!$B$7:$B$106,B119)&lt;&gt;1,"자재코드 확인",IF(INDEX('01_자재목록'!$R$7:$R$106,MATCH(B119,'01_자재목록'!$B$7:$B$106,0))="","구분 미입력",INDEX('01_자재목록'!$R$7:$R$106,MATCH(B119,'01_자재목록'!$B$7:$B$106,0)))))</f>
        <v/>
      </c>
    </row>
    <row r="120" ht="24" customHeight="1">
      <c r="A120" s="18" t="n">
        <v>114</v>
      </c>
      <c r="B120" s="19" t="n"/>
      <c r="C120" s="23">
        <f>IF(B120="","",IFERROR(INDEX('01_자재목록'!$D$7:$D$106,MATCH(B120,'01_자재목록'!$B$7:$B$106,0))&amp;"","자재코드 확인"))</f>
        <v/>
      </c>
      <c r="D120" s="19" t="n"/>
      <c r="E120" s="19" t="n"/>
      <c r="F120" s="32" t="n"/>
      <c r="G120" s="32" t="n"/>
      <c r="H120" s="19" t="n"/>
      <c r="I120" s="19" t="n"/>
      <c r="J120" s="19" t="n"/>
      <c r="K120" s="33">
        <f>IF(OR(B120="",F120=""),"",IF(ISNUMBER(F120),F120-TODAY(),"날짜 확인"))</f>
        <v/>
      </c>
      <c r="L120" s="23">
        <f>IF(B120="",IF(OR(D120&lt;&gt;"",E120&lt;&gt;"",F120&lt;&gt;""),"자재코드 확인",""),IF(COUNTIF('01_자재목록'!$B$7:$B$106,B120)&lt;&gt;1,"자재코드 확인",IF(OR(J120="소진",J120="폐기"),J120,IF(AND(D120="",E120=""),"LOT 미입력",IF(F120="","미입력",IF(OR(NOT(ISNUMBER(F120)),F120&lt;1),"날짜 확인",IF(K120&lt;0,"만료",IF(K120&lt;=$I$4,"유효기간 임박","정상"))))))))</f>
        <v/>
      </c>
      <c r="M120" s="19" t="n"/>
      <c r="N120" s="19" t="n"/>
      <c r="O120" s="19" t="n"/>
      <c r="P120" s="27">
        <f>IF(B120="","",IF(COUNTIF('01_자재목록'!$B$7:$B$106,B120)&lt;&gt;1,"자재코드 확인",IF(INDEX('01_자재목록'!$R$7:$R$106,MATCH(B120,'01_자재목록'!$B$7:$B$106,0))="","구분 미입력",INDEX('01_자재목록'!$R$7:$R$106,MATCH(B120,'01_자재목록'!$B$7:$B$106,0)))))</f>
        <v/>
      </c>
    </row>
    <row r="121" ht="24" customHeight="1">
      <c r="A121" s="18" t="n">
        <v>115</v>
      </c>
      <c r="B121" s="19" t="n"/>
      <c r="C121" s="23">
        <f>IF(B121="","",IFERROR(INDEX('01_자재목록'!$D$7:$D$106,MATCH(B121,'01_자재목록'!$B$7:$B$106,0))&amp;"","자재코드 확인"))</f>
        <v/>
      </c>
      <c r="D121" s="19" t="n"/>
      <c r="E121" s="19" t="n"/>
      <c r="F121" s="32" t="n"/>
      <c r="G121" s="32" t="n"/>
      <c r="H121" s="19" t="n"/>
      <c r="I121" s="19" t="n"/>
      <c r="J121" s="19" t="n"/>
      <c r="K121" s="33">
        <f>IF(OR(B121="",F121=""),"",IF(ISNUMBER(F121),F121-TODAY(),"날짜 확인"))</f>
        <v/>
      </c>
      <c r="L121" s="23">
        <f>IF(B121="",IF(OR(D121&lt;&gt;"",E121&lt;&gt;"",F121&lt;&gt;""),"자재코드 확인",""),IF(COUNTIF('01_자재목록'!$B$7:$B$106,B121)&lt;&gt;1,"자재코드 확인",IF(OR(J121="소진",J121="폐기"),J121,IF(AND(D121="",E121=""),"LOT 미입력",IF(F121="","미입력",IF(OR(NOT(ISNUMBER(F121)),F121&lt;1),"날짜 확인",IF(K121&lt;0,"만료",IF(K121&lt;=$I$4,"유효기간 임박","정상"))))))))</f>
        <v/>
      </c>
      <c r="M121" s="19" t="n"/>
      <c r="N121" s="19" t="n"/>
      <c r="O121" s="19" t="n"/>
      <c r="P121" s="27">
        <f>IF(B121="","",IF(COUNTIF('01_자재목록'!$B$7:$B$106,B121)&lt;&gt;1,"자재코드 확인",IF(INDEX('01_자재목록'!$R$7:$R$106,MATCH(B121,'01_자재목록'!$B$7:$B$106,0))="","구분 미입력",INDEX('01_자재목록'!$R$7:$R$106,MATCH(B121,'01_자재목록'!$B$7:$B$106,0)))))</f>
        <v/>
      </c>
    </row>
    <row r="122" ht="24" customHeight="1">
      <c r="A122" s="18" t="n">
        <v>116</v>
      </c>
      <c r="B122" s="19" t="n"/>
      <c r="C122" s="23">
        <f>IF(B122="","",IFERROR(INDEX('01_자재목록'!$D$7:$D$106,MATCH(B122,'01_자재목록'!$B$7:$B$106,0))&amp;"","자재코드 확인"))</f>
        <v/>
      </c>
      <c r="D122" s="19" t="n"/>
      <c r="E122" s="19" t="n"/>
      <c r="F122" s="32" t="n"/>
      <c r="G122" s="32" t="n"/>
      <c r="H122" s="19" t="n"/>
      <c r="I122" s="19" t="n"/>
      <c r="J122" s="19" t="n"/>
      <c r="K122" s="33">
        <f>IF(OR(B122="",F122=""),"",IF(ISNUMBER(F122),F122-TODAY(),"날짜 확인"))</f>
        <v/>
      </c>
      <c r="L122" s="23">
        <f>IF(B122="",IF(OR(D122&lt;&gt;"",E122&lt;&gt;"",F122&lt;&gt;""),"자재코드 확인",""),IF(COUNTIF('01_자재목록'!$B$7:$B$106,B122)&lt;&gt;1,"자재코드 확인",IF(OR(J122="소진",J122="폐기"),J122,IF(AND(D122="",E122=""),"LOT 미입력",IF(F122="","미입력",IF(OR(NOT(ISNUMBER(F122)),F122&lt;1),"날짜 확인",IF(K122&lt;0,"만료",IF(K122&lt;=$I$4,"유효기간 임박","정상"))))))))</f>
        <v/>
      </c>
      <c r="M122" s="19" t="n"/>
      <c r="N122" s="19" t="n"/>
      <c r="O122" s="19" t="n"/>
      <c r="P122" s="27">
        <f>IF(B122="","",IF(COUNTIF('01_자재목록'!$B$7:$B$106,B122)&lt;&gt;1,"자재코드 확인",IF(INDEX('01_자재목록'!$R$7:$R$106,MATCH(B122,'01_자재목록'!$B$7:$B$106,0))="","구분 미입력",INDEX('01_자재목록'!$R$7:$R$106,MATCH(B122,'01_자재목록'!$B$7:$B$106,0)))))</f>
        <v/>
      </c>
    </row>
    <row r="123" ht="24" customHeight="1">
      <c r="A123" s="18" t="n">
        <v>117</v>
      </c>
      <c r="B123" s="19" t="n"/>
      <c r="C123" s="23">
        <f>IF(B123="","",IFERROR(INDEX('01_자재목록'!$D$7:$D$106,MATCH(B123,'01_자재목록'!$B$7:$B$106,0))&amp;"","자재코드 확인"))</f>
        <v/>
      </c>
      <c r="D123" s="19" t="n"/>
      <c r="E123" s="19" t="n"/>
      <c r="F123" s="32" t="n"/>
      <c r="G123" s="32" t="n"/>
      <c r="H123" s="19" t="n"/>
      <c r="I123" s="19" t="n"/>
      <c r="J123" s="19" t="n"/>
      <c r="K123" s="33">
        <f>IF(OR(B123="",F123=""),"",IF(ISNUMBER(F123),F123-TODAY(),"날짜 확인"))</f>
        <v/>
      </c>
      <c r="L123" s="23">
        <f>IF(B123="",IF(OR(D123&lt;&gt;"",E123&lt;&gt;"",F123&lt;&gt;""),"자재코드 확인",""),IF(COUNTIF('01_자재목록'!$B$7:$B$106,B123)&lt;&gt;1,"자재코드 확인",IF(OR(J123="소진",J123="폐기"),J123,IF(AND(D123="",E123=""),"LOT 미입력",IF(F123="","미입력",IF(OR(NOT(ISNUMBER(F123)),F123&lt;1),"날짜 확인",IF(K123&lt;0,"만료",IF(K123&lt;=$I$4,"유효기간 임박","정상"))))))))</f>
        <v/>
      </c>
      <c r="M123" s="19" t="n"/>
      <c r="N123" s="19" t="n"/>
      <c r="O123" s="19" t="n"/>
      <c r="P123" s="27">
        <f>IF(B123="","",IF(COUNTIF('01_자재목록'!$B$7:$B$106,B123)&lt;&gt;1,"자재코드 확인",IF(INDEX('01_자재목록'!$R$7:$R$106,MATCH(B123,'01_자재목록'!$B$7:$B$106,0))="","구분 미입력",INDEX('01_자재목록'!$R$7:$R$106,MATCH(B123,'01_자재목록'!$B$7:$B$106,0)))))</f>
        <v/>
      </c>
    </row>
    <row r="124" ht="24" customHeight="1">
      <c r="A124" s="18" t="n">
        <v>118</v>
      </c>
      <c r="B124" s="19" t="n"/>
      <c r="C124" s="23">
        <f>IF(B124="","",IFERROR(INDEX('01_자재목록'!$D$7:$D$106,MATCH(B124,'01_자재목록'!$B$7:$B$106,0))&amp;"","자재코드 확인"))</f>
        <v/>
      </c>
      <c r="D124" s="19" t="n"/>
      <c r="E124" s="19" t="n"/>
      <c r="F124" s="32" t="n"/>
      <c r="G124" s="32" t="n"/>
      <c r="H124" s="19" t="n"/>
      <c r="I124" s="19" t="n"/>
      <c r="J124" s="19" t="n"/>
      <c r="K124" s="33">
        <f>IF(OR(B124="",F124=""),"",IF(ISNUMBER(F124),F124-TODAY(),"날짜 확인"))</f>
        <v/>
      </c>
      <c r="L124" s="23">
        <f>IF(B124="",IF(OR(D124&lt;&gt;"",E124&lt;&gt;"",F124&lt;&gt;""),"자재코드 확인",""),IF(COUNTIF('01_자재목록'!$B$7:$B$106,B124)&lt;&gt;1,"자재코드 확인",IF(OR(J124="소진",J124="폐기"),J124,IF(AND(D124="",E124=""),"LOT 미입력",IF(F124="","미입력",IF(OR(NOT(ISNUMBER(F124)),F124&lt;1),"날짜 확인",IF(K124&lt;0,"만료",IF(K124&lt;=$I$4,"유효기간 임박","정상"))))))))</f>
        <v/>
      </c>
      <c r="M124" s="19" t="n"/>
      <c r="N124" s="19" t="n"/>
      <c r="O124" s="19" t="n"/>
      <c r="P124" s="27">
        <f>IF(B124="","",IF(COUNTIF('01_자재목록'!$B$7:$B$106,B124)&lt;&gt;1,"자재코드 확인",IF(INDEX('01_자재목록'!$R$7:$R$106,MATCH(B124,'01_자재목록'!$B$7:$B$106,0))="","구분 미입력",INDEX('01_자재목록'!$R$7:$R$106,MATCH(B124,'01_자재목록'!$B$7:$B$106,0)))))</f>
        <v/>
      </c>
    </row>
    <row r="125" ht="24" customHeight="1">
      <c r="A125" s="18" t="n">
        <v>119</v>
      </c>
      <c r="B125" s="19" t="n"/>
      <c r="C125" s="23">
        <f>IF(B125="","",IFERROR(INDEX('01_자재목록'!$D$7:$D$106,MATCH(B125,'01_자재목록'!$B$7:$B$106,0))&amp;"","자재코드 확인"))</f>
        <v/>
      </c>
      <c r="D125" s="19" t="n"/>
      <c r="E125" s="19" t="n"/>
      <c r="F125" s="32" t="n"/>
      <c r="G125" s="32" t="n"/>
      <c r="H125" s="19" t="n"/>
      <c r="I125" s="19" t="n"/>
      <c r="J125" s="19" t="n"/>
      <c r="K125" s="33">
        <f>IF(OR(B125="",F125=""),"",IF(ISNUMBER(F125),F125-TODAY(),"날짜 확인"))</f>
        <v/>
      </c>
      <c r="L125" s="23">
        <f>IF(B125="",IF(OR(D125&lt;&gt;"",E125&lt;&gt;"",F125&lt;&gt;""),"자재코드 확인",""),IF(COUNTIF('01_자재목록'!$B$7:$B$106,B125)&lt;&gt;1,"자재코드 확인",IF(OR(J125="소진",J125="폐기"),J125,IF(AND(D125="",E125=""),"LOT 미입력",IF(F125="","미입력",IF(OR(NOT(ISNUMBER(F125)),F125&lt;1),"날짜 확인",IF(K125&lt;0,"만료",IF(K125&lt;=$I$4,"유효기간 임박","정상"))))))))</f>
        <v/>
      </c>
      <c r="M125" s="19" t="n"/>
      <c r="N125" s="19" t="n"/>
      <c r="O125" s="19" t="n"/>
      <c r="P125" s="27">
        <f>IF(B125="","",IF(COUNTIF('01_자재목록'!$B$7:$B$106,B125)&lt;&gt;1,"자재코드 확인",IF(INDEX('01_자재목록'!$R$7:$R$106,MATCH(B125,'01_자재목록'!$B$7:$B$106,0))="","구분 미입력",INDEX('01_자재목록'!$R$7:$R$106,MATCH(B125,'01_자재목록'!$B$7:$B$106,0)))))</f>
        <v/>
      </c>
    </row>
    <row r="126" ht="24" customHeight="1">
      <c r="A126" s="18" t="n">
        <v>120</v>
      </c>
      <c r="B126" s="19" t="n"/>
      <c r="C126" s="23">
        <f>IF(B126="","",IFERROR(INDEX('01_자재목록'!$D$7:$D$106,MATCH(B126,'01_자재목록'!$B$7:$B$106,0))&amp;"","자재코드 확인"))</f>
        <v/>
      </c>
      <c r="D126" s="19" t="n"/>
      <c r="E126" s="19" t="n"/>
      <c r="F126" s="32" t="n"/>
      <c r="G126" s="32" t="n"/>
      <c r="H126" s="19" t="n"/>
      <c r="I126" s="19" t="n"/>
      <c r="J126" s="19" t="n"/>
      <c r="K126" s="33">
        <f>IF(OR(B126="",F126=""),"",IF(ISNUMBER(F126),F126-TODAY(),"날짜 확인"))</f>
        <v/>
      </c>
      <c r="L126" s="23">
        <f>IF(B126="",IF(OR(D126&lt;&gt;"",E126&lt;&gt;"",F126&lt;&gt;""),"자재코드 확인",""),IF(COUNTIF('01_자재목록'!$B$7:$B$106,B126)&lt;&gt;1,"자재코드 확인",IF(OR(J126="소진",J126="폐기"),J126,IF(AND(D126="",E126=""),"LOT 미입력",IF(F126="","미입력",IF(OR(NOT(ISNUMBER(F126)),F126&lt;1),"날짜 확인",IF(K126&lt;0,"만료",IF(K126&lt;=$I$4,"유효기간 임박","정상"))))))))</f>
        <v/>
      </c>
      <c r="M126" s="19" t="n"/>
      <c r="N126" s="19" t="n"/>
      <c r="O126" s="19" t="n"/>
      <c r="P126" s="27">
        <f>IF(B126="","",IF(COUNTIF('01_자재목록'!$B$7:$B$106,B126)&lt;&gt;1,"자재코드 확인",IF(INDEX('01_자재목록'!$R$7:$R$106,MATCH(B126,'01_자재목록'!$B$7:$B$106,0))="","구분 미입력",INDEX('01_자재목록'!$R$7:$R$106,MATCH(B126,'01_자재목록'!$B$7:$B$106,0)))))</f>
        <v/>
      </c>
    </row>
    <row r="127" ht="24" customHeight="1">
      <c r="A127" s="18" t="n">
        <v>121</v>
      </c>
      <c r="B127" s="19" t="n"/>
      <c r="C127" s="23">
        <f>IF(B127="","",IFERROR(INDEX('01_자재목록'!$D$7:$D$106,MATCH(B127,'01_자재목록'!$B$7:$B$106,0))&amp;"","자재코드 확인"))</f>
        <v/>
      </c>
      <c r="D127" s="19" t="n"/>
      <c r="E127" s="19" t="n"/>
      <c r="F127" s="32" t="n"/>
      <c r="G127" s="32" t="n"/>
      <c r="H127" s="19" t="n"/>
      <c r="I127" s="19" t="n"/>
      <c r="J127" s="19" t="n"/>
      <c r="K127" s="33">
        <f>IF(OR(B127="",F127=""),"",IF(ISNUMBER(F127),F127-TODAY(),"날짜 확인"))</f>
        <v/>
      </c>
      <c r="L127" s="23">
        <f>IF(B127="",IF(OR(D127&lt;&gt;"",E127&lt;&gt;"",F127&lt;&gt;""),"자재코드 확인",""),IF(COUNTIF('01_자재목록'!$B$7:$B$106,B127)&lt;&gt;1,"자재코드 확인",IF(OR(J127="소진",J127="폐기"),J127,IF(AND(D127="",E127=""),"LOT 미입력",IF(F127="","미입력",IF(OR(NOT(ISNUMBER(F127)),F127&lt;1),"날짜 확인",IF(K127&lt;0,"만료",IF(K127&lt;=$I$4,"유효기간 임박","정상"))))))))</f>
        <v/>
      </c>
      <c r="M127" s="19" t="n"/>
      <c r="N127" s="19" t="n"/>
      <c r="O127" s="19" t="n"/>
      <c r="P127" s="27">
        <f>IF(B127="","",IF(COUNTIF('01_자재목록'!$B$7:$B$106,B127)&lt;&gt;1,"자재코드 확인",IF(INDEX('01_자재목록'!$R$7:$R$106,MATCH(B127,'01_자재목록'!$B$7:$B$106,0))="","구분 미입력",INDEX('01_자재목록'!$R$7:$R$106,MATCH(B127,'01_자재목록'!$B$7:$B$106,0)))))</f>
        <v/>
      </c>
    </row>
    <row r="128" ht="24" customHeight="1">
      <c r="A128" s="18" t="n">
        <v>122</v>
      </c>
      <c r="B128" s="19" t="n"/>
      <c r="C128" s="23">
        <f>IF(B128="","",IFERROR(INDEX('01_자재목록'!$D$7:$D$106,MATCH(B128,'01_자재목록'!$B$7:$B$106,0))&amp;"","자재코드 확인"))</f>
        <v/>
      </c>
      <c r="D128" s="19" t="n"/>
      <c r="E128" s="19" t="n"/>
      <c r="F128" s="32" t="n"/>
      <c r="G128" s="32" t="n"/>
      <c r="H128" s="19" t="n"/>
      <c r="I128" s="19" t="n"/>
      <c r="J128" s="19" t="n"/>
      <c r="K128" s="33">
        <f>IF(OR(B128="",F128=""),"",IF(ISNUMBER(F128),F128-TODAY(),"날짜 확인"))</f>
        <v/>
      </c>
      <c r="L128" s="23">
        <f>IF(B128="",IF(OR(D128&lt;&gt;"",E128&lt;&gt;"",F128&lt;&gt;""),"자재코드 확인",""),IF(COUNTIF('01_자재목록'!$B$7:$B$106,B128)&lt;&gt;1,"자재코드 확인",IF(OR(J128="소진",J128="폐기"),J128,IF(AND(D128="",E128=""),"LOT 미입력",IF(F128="","미입력",IF(OR(NOT(ISNUMBER(F128)),F128&lt;1),"날짜 확인",IF(K128&lt;0,"만료",IF(K128&lt;=$I$4,"유효기간 임박","정상"))))))))</f>
        <v/>
      </c>
      <c r="M128" s="19" t="n"/>
      <c r="N128" s="19" t="n"/>
      <c r="O128" s="19" t="n"/>
      <c r="P128" s="27">
        <f>IF(B128="","",IF(COUNTIF('01_자재목록'!$B$7:$B$106,B128)&lt;&gt;1,"자재코드 확인",IF(INDEX('01_자재목록'!$R$7:$R$106,MATCH(B128,'01_자재목록'!$B$7:$B$106,0))="","구분 미입력",INDEX('01_자재목록'!$R$7:$R$106,MATCH(B128,'01_자재목록'!$B$7:$B$106,0)))))</f>
        <v/>
      </c>
    </row>
    <row r="129" ht="24" customHeight="1">
      <c r="A129" s="18" t="n">
        <v>123</v>
      </c>
      <c r="B129" s="19" t="n"/>
      <c r="C129" s="23">
        <f>IF(B129="","",IFERROR(INDEX('01_자재목록'!$D$7:$D$106,MATCH(B129,'01_자재목록'!$B$7:$B$106,0))&amp;"","자재코드 확인"))</f>
        <v/>
      </c>
      <c r="D129" s="19" t="n"/>
      <c r="E129" s="19" t="n"/>
      <c r="F129" s="32" t="n"/>
      <c r="G129" s="32" t="n"/>
      <c r="H129" s="19" t="n"/>
      <c r="I129" s="19" t="n"/>
      <c r="J129" s="19" t="n"/>
      <c r="K129" s="33">
        <f>IF(OR(B129="",F129=""),"",IF(ISNUMBER(F129),F129-TODAY(),"날짜 확인"))</f>
        <v/>
      </c>
      <c r="L129" s="23">
        <f>IF(B129="",IF(OR(D129&lt;&gt;"",E129&lt;&gt;"",F129&lt;&gt;""),"자재코드 확인",""),IF(COUNTIF('01_자재목록'!$B$7:$B$106,B129)&lt;&gt;1,"자재코드 확인",IF(OR(J129="소진",J129="폐기"),J129,IF(AND(D129="",E129=""),"LOT 미입력",IF(F129="","미입력",IF(OR(NOT(ISNUMBER(F129)),F129&lt;1),"날짜 확인",IF(K129&lt;0,"만료",IF(K129&lt;=$I$4,"유효기간 임박","정상"))))))))</f>
        <v/>
      </c>
      <c r="M129" s="19" t="n"/>
      <c r="N129" s="19" t="n"/>
      <c r="O129" s="19" t="n"/>
      <c r="P129" s="27">
        <f>IF(B129="","",IF(COUNTIF('01_자재목록'!$B$7:$B$106,B129)&lt;&gt;1,"자재코드 확인",IF(INDEX('01_자재목록'!$R$7:$R$106,MATCH(B129,'01_자재목록'!$B$7:$B$106,0))="","구분 미입력",INDEX('01_자재목록'!$R$7:$R$106,MATCH(B129,'01_자재목록'!$B$7:$B$106,0)))))</f>
        <v/>
      </c>
    </row>
    <row r="130" ht="24" customHeight="1">
      <c r="A130" s="18" t="n">
        <v>124</v>
      </c>
      <c r="B130" s="19" t="n"/>
      <c r="C130" s="23">
        <f>IF(B130="","",IFERROR(INDEX('01_자재목록'!$D$7:$D$106,MATCH(B130,'01_자재목록'!$B$7:$B$106,0))&amp;"","자재코드 확인"))</f>
        <v/>
      </c>
      <c r="D130" s="19" t="n"/>
      <c r="E130" s="19" t="n"/>
      <c r="F130" s="32" t="n"/>
      <c r="G130" s="32" t="n"/>
      <c r="H130" s="19" t="n"/>
      <c r="I130" s="19" t="n"/>
      <c r="J130" s="19" t="n"/>
      <c r="K130" s="33">
        <f>IF(OR(B130="",F130=""),"",IF(ISNUMBER(F130),F130-TODAY(),"날짜 확인"))</f>
        <v/>
      </c>
      <c r="L130" s="23">
        <f>IF(B130="",IF(OR(D130&lt;&gt;"",E130&lt;&gt;"",F130&lt;&gt;""),"자재코드 확인",""),IF(COUNTIF('01_자재목록'!$B$7:$B$106,B130)&lt;&gt;1,"자재코드 확인",IF(OR(J130="소진",J130="폐기"),J130,IF(AND(D130="",E130=""),"LOT 미입력",IF(F130="","미입력",IF(OR(NOT(ISNUMBER(F130)),F130&lt;1),"날짜 확인",IF(K130&lt;0,"만료",IF(K130&lt;=$I$4,"유효기간 임박","정상"))))))))</f>
        <v/>
      </c>
      <c r="M130" s="19" t="n"/>
      <c r="N130" s="19" t="n"/>
      <c r="O130" s="19" t="n"/>
      <c r="P130" s="27">
        <f>IF(B130="","",IF(COUNTIF('01_자재목록'!$B$7:$B$106,B130)&lt;&gt;1,"자재코드 확인",IF(INDEX('01_자재목록'!$R$7:$R$106,MATCH(B130,'01_자재목록'!$B$7:$B$106,0))="","구분 미입력",INDEX('01_자재목록'!$R$7:$R$106,MATCH(B130,'01_자재목록'!$B$7:$B$106,0)))))</f>
        <v/>
      </c>
    </row>
    <row r="131" ht="24" customHeight="1">
      <c r="A131" s="18" t="n">
        <v>125</v>
      </c>
      <c r="B131" s="19" t="n"/>
      <c r="C131" s="23">
        <f>IF(B131="","",IFERROR(INDEX('01_자재목록'!$D$7:$D$106,MATCH(B131,'01_자재목록'!$B$7:$B$106,0))&amp;"","자재코드 확인"))</f>
        <v/>
      </c>
      <c r="D131" s="19" t="n"/>
      <c r="E131" s="19" t="n"/>
      <c r="F131" s="32" t="n"/>
      <c r="G131" s="32" t="n"/>
      <c r="H131" s="19" t="n"/>
      <c r="I131" s="19" t="n"/>
      <c r="J131" s="19" t="n"/>
      <c r="K131" s="33">
        <f>IF(OR(B131="",F131=""),"",IF(ISNUMBER(F131),F131-TODAY(),"날짜 확인"))</f>
        <v/>
      </c>
      <c r="L131" s="23">
        <f>IF(B131="",IF(OR(D131&lt;&gt;"",E131&lt;&gt;"",F131&lt;&gt;""),"자재코드 확인",""),IF(COUNTIF('01_자재목록'!$B$7:$B$106,B131)&lt;&gt;1,"자재코드 확인",IF(OR(J131="소진",J131="폐기"),J131,IF(AND(D131="",E131=""),"LOT 미입력",IF(F131="","미입력",IF(OR(NOT(ISNUMBER(F131)),F131&lt;1),"날짜 확인",IF(K131&lt;0,"만료",IF(K131&lt;=$I$4,"유효기간 임박","정상"))))))))</f>
        <v/>
      </c>
      <c r="M131" s="19" t="n"/>
      <c r="N131" s="19" t="n"/>
      <c r="O131" s="19" t="n"/>
      <c r="P131" s="27">
        <f>IF(B131="","",IF(COUNTIF('01_자재목록'!$B$7:$B$106,B131)&lt;&gt;1,"자재코드 확인",IF(INDEX('01_자재목록'!$R$7:$R$106,MATCH(B131,'01_자재목록'!$B$7:$B$106,0))="","구분 미입력",INDEX('01_자재목록'!$R$7:$R$106,MATCH(B131,'01_자재목록'!$B$7:$B$106,0)))))</f>
        <v/>
      </c>
    </row>
    <row r="132" ht="24" customHeight="1">
      <c r="A132" s="18" t="n">
        <v>126</v>
      </c>
      <c r="B132" s="19" t="n"/>
      <c r="C132" s="23">
        <f>IF(B132="","",IFERROR(INDEX('01_자재목록'!$D$7:$D$106,MATCH(B132,'01_자재목록'!$B$7:$B$106,0))&amp;"","자재코드 확인"))</f>
        <v/>
      </c>
      <c r="D132" s="19" t="n"/>
      <c r="E132" s="19" t="n"/>
      <c r="F132" s="32" t="n"/>
      <c r="G132" s="32" t="n"/>
      <c r="H132" s="19" t="n"/>
      <c r="I132" s="19" t="n"/>
      <c r="J132" s="19" t="n"/>
      <c r="K132" s="33">
        <f>IF(OR(B132="",F132=""),"",IF(ISNUMBER(F132),F132-TODAY(),"날짜 확인"))</f>
        <v/>
      </c>
      <c r="L132" s="23">
        <f>IF(B132="",IF(OR(D132&lt;&gt;"",E132&lt;&gt;"",F132&lt;&gt;""),"자재코드 확인",""),IF(COUNTIF('01_자재목록'!$B$7:$B$106,B132)&lt;&gt;1,"자재코드 확인",IF(OR(J132="소진",J132="폐기"),J132,IF(AND(D132="",E132=""),"LOT 미입력",IF(F132="","미입력",IF(OR(NOT(ISNUMBER(F132)),F132&lt;1),"날짜 확인",IF(K132&lt;0,"만료",IF(K132&lt;=$I$4,"유효기간 임박","정상"))))))))</f>
        <v/>
      </c>
      <c r="M132" s="19" t="n"/>
      <c r="N132" s="19" t="n"/>
      <c r="O132" s="19" t="n"/>
      <c r="P132" s="27">
        <f>IF(B132="","",IF(COUNTIF('01_자재목록'!$B$7:$B$106,B132)&lt;&gt;1,"자재코드 확인",IF(INDEX('01_자재목록'!$R$7:$R$106,MATCH(B132,'01_자재목록'!$B$7:$B$106,0))="","구분 미입력",INDEX('01_자재목록'!$R$7:$R$106,MATCH(B132,'01_자재목록'!$B$7:$B$106,0)))))</f>
        <v/>
      </c>
    </row>
    <row r="133" ht="24" customHeight="1">
      <c r="A133" s="18" t="n">
        <v>127</v>
      </c>
      <c r="B133" s="19" t="n"/>
      <c r="C133" s="23">
        <f>IF(B133="","",IFERROR(INDEX('01_자재목록'!$D$7:$D$106,MATCH(B133,'01_자재목록'!$B$7:$B$106,0))&amp;"","자재코드 확인"))</f>
        <v/>
      </c>
      <c r="D133" s="19" t="n"/>
      <c r="E133" s="19" t="n"/>
      <c r="F133" s="32" t="n"/>
      <c r="G133" s="32" t="n"/>
      <c r="H133" s="19" t="n"/>
      <c r="I133" s="19" t="n"/>
      <c r="J133" s="19" t="n"/>
      <c r="K133" s="33">
        <f>IF(OR(B133="",F133=""),"",IF(ISNUMBER(F133),F133-TODAY(),"날짜 확인"))</f>
        <v/>
      </c>
      <c r="L133" s="23">
        <f>IF(B133="",IF(OR(D133&lt;&gt;"",E133&lt;&gt;"",F133&lt;&gt;""),"자재코드 확인",""),IF(COUNTIF('01_자재목록'!$B$7:$B$106,B133)&lt;&gt;1,"자재코드 확인",IF(OR(J133="소진",J133="폐기"),J133,IF(AND(D133="",E133=""),"LOT 미입력",IF(F133="","미입력",IF(OR(NOT(ISNUMBER(F133)),F133&lt;1),"날짜 확인",IF(K133&lt;0,"만료",IF(K133&lt;=$I$4,"유효기간 임박","정상"))))))))</f>
        <v/>
      </c>
      <c r="M133" s="19" t="n"/>
      <c r="N133" s="19" t="n"/>
      <c r="O133" s="19" t="n"/>
      <c r="P133" s="27">
        <f>IF(B133="","",IF(COUNTIF('01_자재목록'!$B$7:$B$106,B133)&lt;&gt;1,"자재코드 확인",IF(INDEX('01_자재목록'!$R$7:$R$106,MATCH(B133,'01_자재목록'!$B$7:$B$106,0))="","구분 미입력",INDEX('01_자재목록'!$R$7:$R$106,MATCH(B133,'01_자재목록'!$B$7:$B$106,0)))))</f>
        <v/>
      </c>
    </row>
    <row r="134" ht="24" customHeight="1">
      <c r="A134" s="18" t="n">
        <v>128</v>
      </c>
      <c r="B134" s="19" t="n"/>
      <c r="C134" s="23">
        <f>IF(B134="","",IFERROR(INDEX('01_자재목록'!$D$7:$D$106,MATCH(B134,'01_자재목록'!$B$7:$B$106,0))&amp;"","자재코드 확인"))</f>
        <v/>
      </c>
      <c r="D134" s="19" t="n"/>
      <c r="E134" s="19" t="n"/>
      <c r="F134" s="32" t="n"/>
      <c r="G134" s="32" t="n"/>
      <c r="H134" s="19" t="n"/>
      <c r="I134" s="19" t="n"/>
      <c r="J134" s="19" t="n"/>
      <c r="K134" s="33">
        <f>IF(OR(B134="",F134=""),"",IF(ISNUMBER(F134),F134-TODAY(),"날짜 확인"))</f>
        <v/>
      </c>
      <c r="L134" s="23">
        <f>IF(B134="",IF(OR(D134&lt;&gt;"",E134&lt;&gt;"",F134&lt;&gt;""),"자재코드 확인",""),IF(COUNTIF('01_자재목록'!$B$7:$B$106,B134)&lt;&gt;1,"자재코드 확인",IF(OR(J134="소진",J134="폐기"),J134,IF(AND(D134="",E134=""),"LOT 미입력",IF(F134="","미입력",IF(OR(NOT(ISNUMBER(F134)),F134&lt;1),"날짜 확인",IF(K134&lt;0,"만료",IF(K134&lt;=$I$4,"유효기간 임박","정상"))))))))</f>
        <v/>
      </c>
      <c r="M134" s="19" t="n"/>
      <c r="N134" s="19" t="n"/>
      <c r="O134" s="19" t="n"/>
      <c r="P134" s="27">
        <f>IF(B134="","",IF(COUNTIF('01_자재목록'!$B$7:$B$106,B134)&lt;&gt;1,"자재코드 확인",IF(INDEX('01_자재목록'!$R$7:$R$106,MATCH(B134,'01_자재목록'!$B$7:$B$106,0))="","구분 미입력",INDEX('01_자재목록'!$R$7:$R$106,MATCH(B134,'01_자재목록'!$B$7:$B$106,0)))))</f>
        <v/>
      </c>
    </row>
    <row r="135" ht="24" customHeight="1">
      <c r="A135" s="18" t="n">
        <v>129</v>
      </c>
      <c r="B135" s="19" t="n"/>
      <c r="C135" s="23">
        <f>IF(B135="","",IFERROR(INDEX('01_자재목록'!$D$7:$D$106,MATCH(B135,'01_자재목록'!$B$7:$B$106,0))&amp;"","자재코드 확인"))</f>
        <v/>
      </c>
      <c r="D135" s="19" t="n"/>
      <c r="E135" s="19" t="n"/>
      <c r="F135" s="32" t="n"/>
      <c r="G135" s="32" t="n"/>
      <c r="H135" s="19" t="n"/>
      <c r="I135" s="19" t="n"/>
      <c r="J135" s="19" t="n"/>
      <c r="K135" s="33">
        <f>IF(OR(B135="",F135=""),"",IF(ISNUMBER(F135),F135-TODAY(),"날짜 확인"))</f>
        <v/>
      </c>
      <c r="L135" s="23">
        <f>IF(B135="",IF(OR(D135&lt;&gt;"",E135&lt;&gt;"",F135&lt;&gt;""),"자재코드 확인",""),IF(COUNTIF('01_자재목록'!$B$7:$B$106,B135)&lt;&gt;1,"자재코드 확인",IF(OR(J135="소진",J135="폐기"),J135,IF(AND(D135="",E135=""),"LOT 미입력",IF(F135="","미입력",IF(OR(NOT(ISNUMBER(F135)),F135&lt;1),"날짜 확인",IF(K135&lt;0,"만료",IF(K135&lt;=$I$4,"유효기간 임박","정상"))))))))</f>
        <v/>
      </c>
      <c r="M135" s="19" t="n"/>
      <c r="N135" s="19" t="n"/>
      <c r="O135" s="19" t="n"/>
      <c r="P135" s="27">
        <f>IF(B135="","",IF(COUNTIF('01_자재목록'!$B$7:$B$106,B135)&lt;&gt;1,"자재코드 확인",IF(INDEX('01_자재목록'!$R$7:$R$106,MATCH(B135,'01_자재목록'!$B$7:$B$106,0))="","구분 미입력",INDEX('01_자재목록'!$R$7:$R$106,MATCH(B135,'01_자재목록'!$B$7:$B$106,0)))))</f>
        <v/>
      </c>
    </row>
    <row r="136" ht="24" customHeight="1">
      <c r="A136" s="18" t="n">
        <v>130</v>
      </c>
      <c r="B136" s="19" t="n"/>
      <c r="C136" s="23">
        <f>IF(B136="","",IFERROR(INDEX('01_자재목록'!$D$7:$D$106,MATCH(B136,'01_자재목록'!$B$7:$B$106,0))&amp;"","자재코드 확인"))</f>
        <v/>
      </c>
      <c r="D136" s="19" t="n"/>
      <c r="E136" s="19" t="n"/>
      <c r="F136" s="32" t="n"/>
      <c r="G136" s="32" t="n"/>
      <c r="H136" s="19" t="n"/>
      <c r="I136" s="19" t="n"/>
      <c r="J136" s="19" t="n"/>
      <c r="K136" s="33">
        <f>IF(OR(B136="",F136=""),"",IF(ISNUMBER(F136),F136-TODAY(),"날짜 확인"))</f>
        <v/>
      </c>
      <c r="L136" s="23">
        <f>IF(B136="",IF(OR(D136&lt;&gt;"",E136&lt;&gt;"",F136&lt;&gt;""),"자재코드 확인",""),IF(COUNTIF('01_자재목록'!$B$7:$B$106,B136)&lt;&gt;1,"자재코드 확인",IF(OR(J136="소진",J136="폐기"),J136,IF(AND(D136="",E136=""),"LOT 미입력",IF(F136="","미입력",IF(OR(NOT(ISNUMBER(F136)),F136&lt;1),"날짜 확인",IF(K136&lt;0,"만료",IF(K136&lt;=$I$4,"유효기간 임박","정상"))))))))</f>
        <v/>
      </c>
      <c r="M136" s="19" t="n"/>
      <c r="N136" s="19" t="n"/>
      <c r="O136" s="19" t="n"/>
      <c r="P136" s="27">
        <f>IF(B136="","",IF(COUNTIF('01_자재목록'!$B$7:$B$106,B136)&lt;&gt;1,"자재코드 확인",IF(INDEX('01_자재목록'!$R$7:$R$106,MATCH(B136,'01_자재목록'!$B$7:$B$106,0))="","구분 미입력",INDEX('01_자재목록'!$R$7:$R$106,MATCH(B136,'01_자재목록'!$B$7:$B$106,0)))))</f>
        <v/>
      </c>
    </row>
    <row r="137" ht="24" customHeight="1">
      <c r="A137" s="18" t="n">
        <v>131</v>
      </c>
      <c r="B137" s="19" t="n"/>
      <c r="C137" s="23">
        <f>IF(B137="","",IFERROR(INDEX('01_자재목록'!$D$7:$D$106,MATCH(B137,'01_자재목록'!$B$7:$B$106,0))&amp;"","자재코드 확인"))</f>
        <v/>
      </c>
      <c r="D137" s="19" t="n"/>
      <c r="E137" s="19" t="n"/>
      <c r="F137" s="32" t="n"/>
      <c r="G137" s="32" t="n"/>
      <c r="H137" s="19" t="n"/>
      <c r="I137" s="19" t="n"/>
      <c r="J137" s="19" t="n"/>
      <c r="K137" s="33">
        <f>IF(OR(B137="",F137=""),"",IF(ISNUMBER(F137),F137-TODAY(),"날짜 확인"))</f>
        <v/>
      </c>
      <c r="L137" s="23">
        <f>IF(B137="",IF(OR(D137&lt;&gt;"",E137&lt;&gt;"",F137&lt;&gt;""),"자재코드 확인",""),IF(COUNTIF('01_자재목록'!$B$7:$B$106,B137)&lt;&gt;1,"자재코드 확인",IF(OR(J137="소진",J137="폐기"),J137,IF(AND(D137="",E137=""),"LOT 미입력",IF(F137="","미입력",IF(OR(NOT(ISNUMBER(F137)),F137&lt;1),"날짜 확인",IF(K137&lt;0,"만료",IF(K137&lt;=$I$4,"유효기간 임박","정상"))))))))</f>
        <v/>
      </c>
      <c r="M137" s="19" t="n"/>
      <c r="N137" s="19" t="n"/>
      <c r="O137" s="19" t="n"/>
      <c r="P137" s="27">
        <f>IF(B137="","",IF(COUNTIF('01_자재목록'!$B$7:$B$106,B137)&lt;&gt;1,"자재코드 확인",IF(INDEX('01_자재목록'!$R$7:$R$106,MATCH(B137,'01_자재목록'!$B$7:$B$106,0))="","구분 미입력",INDEX('01_자재목록'!$R$7:$R$106,MATCH(B137,'01_자재목록'!$B$7:$B$106,0)))))</f>
        <v/>
      </c>
    </row>
    <row r="138" ht="24" customHeight="1">
      <c r="A138" s="18" t="n">
        <v>132</v>
      </c>
      <c r="B138" s="19" t="n"/>
      <c r="C138" s="23">
        <f>IF(B138="","",IFERROR(INDEX('01_자재목록'!$D$7:$D$106,MATCH(B138,'01_자재목록'!$B$7:$B$106,0))&amp;"","자재코드 확인"))</f>
        <v/>
      </c>
      <c r="D138" s="19" t="n"/>
      <c r="E138" s="19" t="n"/>
      <c r="F138" s="32" t="n"/>
      <c r="G138" s="32" t="n"/>
      <c r="H138" s="19" t="n"/>
      <c r="I138" s="19" t="n"/>
      <c r="J138" s="19" t="n"/>
      <c r="K138" s="33">
        <f>IF(OR(B138="",F138=""),"",IF(ISNUMBER(F138),F138-TODAY(),"날짜 확인"))</f>
        <v/>
      </c>
      <c r="L138" s="23">
        <f>IF(B138="",IF(OR(D138&lt;&gt;"",E138&lt;&gt;"",F138&lt;&gt;""),"자재코드 확인",""),IF(COUNTIF('01_자재목록'!$B$7:$B$106,B138)&lt;&gt;1,"자재코드 확인",IF(OR(J138="소진",J138="폐기"),J138,IF(AND(D138="",E138=""),"LOT 미입력",IF(F138="","미입력",IF(OR(NOT(ISNUMBER(F138)),F138&lt;1),"날짜 확인",IF(K138&lt;0,"만료",IF(K138&lt;=$I$4,"유효기간 임박","정상"))))))))</f>
        <v/>
      </c>
      <c r="M138" s="19" t="n"/>
      <c r="N138" s="19" t="n"/>
      <c r="O138" s="19" t="n"/>
      <c r="P138" s="27">
        <f>IF(B138="","",IF(COUNTIF('01_자재목록'!$B$7:$B$106,B138)&lt;&gt;1,"자재코드 확인",IF(INDEX('01_자재목록'!$R$7:$R$106,MATCH(B138,'01_자재목록'!$B$7:$B$106,0))="","구분 미입력",INDEX('01_자재목록'!$R$7:$R$106,MATCH(B138,'01_자재목록'!$B$7:$B$106,0)))))</f>
        <v/>
      </c>
    </row>
    <row r="139" ht="24" customHeight="1">
      <c r="A139" s="18" t="n">
        <v>133</v>
      </c>
      <c r="B139" s="19" t="n"/>
      <c r="C139" s="23">
        <f>IF(B139="","",IFERROR(INDEX('01_자재목록'!$D$7:$D$106,MATCH(B139,'01_자재목록'!$B$7:$B$106,0))&amp;"","자재코드 확인"))</f>
        <v/>
      </c>
      <c r="D139" s="19" t="n"/>
      <c r="E139" s="19" t="n"/>
      <c r="F139" s="32" t="n"/>
      <c r="G139" s="32" t="n"/>
      <c r="H139" s="19" t="n"/>
      <c r="I139" s="19" t="n"/>
      <c r="J139" s="19" t="n"/>
      <c r="K139" s="33">
        <f>IF(OR(B139="",F139=""),"",IF(ISNUMBER(F139),F139-TODAY(),"날짜 확인"))</f>
        <v/>
      </c>
      <c r="L139" s="23">
        <f>IF(B139="",IF(OR(D139&lt;&gt;"",E139&lt;&gt;"",F139&lt;&gt;""),"자재코드 확인",""),IF(COUNTIF('01_자재목록'!$B$7:$B$106,B139)&lt;&gt;1,"자재코드 확인",IF(OR(J139="소진",J139="폐기"),J139,IF(AND(D139="",E139=""),"LOT 미입력",IF(F139="","미입력",IF(OR(NOT(ISNUMBER(F139)),F139&lt;1),"날짜 확인",IF(K139&lt;0,"만료",IF(K139&lt;=$I$4,"유효기간 임박","정상"))))))))</f>
        <v/>
      </c>
      <c r="M139" s="19" t="n"/>
      <c r="N139" s="19" t="n"/>
      <c r="O139" s="19" t="n"/>
      <c r="P139" s="27">
        <f>IF(B139="","",IF(COUNTIF('01_자재목록'!$B$7:$B$106,B139)&lt;&gt;1,"자재코드 확인",IF(INDEX('01_자재목록'!$R$7:$R$106,MATCH(B139,'01_자재목록'!$B$7:$B$106,0))="","구분 미입력",INDEX('01_자재목록'!$R$7:$R$106,MATCH(B139,'01_자재목록'!$B$7:$B$106,0)))))</f>
        <v/>
      </c>
    </row>
    <row r="140" ht="24" customHeight="1">
      <c r="A140" s="18" t="n">
        <v>134</v>
      </c>
      <c r="B140" s="19" t="n"/>
      <c r="C140" s="23">
        <f>IF(B140="","",IFERROR(INDEX('01_자재목록'!$D$7:$D$106,MATCH(B140,'01_자재목록'!$B$7:$B$106,0))&amp;"","자재코드 확인"))</f>
        <v/>
      </c>
      <c r="D140" s="19" t="n"/>
      <c r="E140" s="19" t="n"/>
      <c r="F140" s="32" t="n"/>
      <c r="G140" s="32" t="n"/>
      <c r="H140" s="19" t="n"/>
      <c r="I140" s="19" t="n"/>
      <c r="J140" s="19" t="n"/>
      <c r="K140" s="33">
        <f>IF(OR(B140="",F140=""),"",IF(ISNUMBER(F140),F140-TODAY(),"날짜 확인"))</f>
        <v/>
      </c>
      <c r="L140" s="23">
        <f>IF(B140="",IF(OR(D140&lt;&gt;"",E140&lt;&gt;"",F140&lt;&gt;""),"자재코드 확인",""),IF(COUNTIF('01_자재목록'!$B$7:$B$106,B140)&lt;&gt;1,"자재코드 확인",IF(OR(J140="소진",J140="폐기"),J140,IF(AND(D140="",E140=""),"LOT 미입력",IF(F140="","미입력",IF(OR(NOT(ISNUMBER(F140)),F140&lt;1),"날짜 확인",IF(K140&lt;0,"만료",IF(K140&lt;=$I$4,"유효기간 임박","정상"))))))))</f>
        <v/>
      </c>
      <c r="M140" s="19" t="n"/>
      <c r="N140" s="19" t="n"/>
      <c r="O140" s="19" t="n"/>
      <c r="P140" s="27">
        <f>IF(B140="","",IF(COUNTIF('01_자재목록'!$B$7:$B$106,B140)&lt;&gt;1,"자재코드 확인",IF(INDEX('01_자재목록'!$R$7:$R$106,MATCH(B140,'01_자재목록'!$B$7:$B$106,0))="","구분 미입력",INDEX('01_자재목록'!$R$7:$R$106,MATCH(B140,'01_자재목록'!$B$7:$B$106,0)))))</f>
        <v/>
      </c>
    </row>
    <row r="141" ht="24" customHeight="1">
      <c r="A141" s="18" t="n">
        <v>135</v>
      </c>
      <c r="B141" s="19" t="n"/>
      <c r="C141" s="23">
        <f>IF(B141="","",IFERROR(INDEX('01_자재목록'!$D$7:$D$106,MATCH(B141,'01_자재목록'!$B$7:$B$106,0))&amp;"","자재코드 확인"))</f>
        <v/>
      </c>
      <c r="D141" s="19" t="n"/>
      <c r="E141" s="19" t="n"/>
      <c r="F141" s="32" t="n"/>
      <c r="G141" s="32" t="n"/>
      <c r="H141" s="19" t="n"/>
      <c r="I141" s="19" t="n"/>
      <c r="J141" s="19" t="n"/>
      <c r="K141" s="33">
        <f>IF(OR(B141="",F141=""),"",IF(ISNUMBER(F141),F141-TODAY(),"날짜 확인"))</f>
        <v/>
      </c>
      <c r="L141" s="23">
        <f>IF(B141="",IF(OR(D141&lt;&gt;"",E141&lt;&gt;"",F141&lt;&gt;""),"자재코드 확인",""),IF(COUNTIF('01_자재목록'!$B$7:$B$106,B141)&lt;&gt;1,"자재코드 확인",IF(OR(J141="소진",J141="폐기"),J141,IF(AND(D141="",E141=""),"LOT 미입력",IF(F141="","미입력",IF(OR(NOT(ISNUMBER(F141)),F141&lt;1),"날짜 확인",IF(K141&lt;0,"만료",IF(K141&lt;=$I$4,"유효기간 임박","정상"))))))))</f>
        <v/>
      </c>
      <c r="M141" s="19" t="n"/>
      <c r="N141" s="19" t="n"/>
      <c r="O141" s="19" t="n"/>
      <c r="P141" s="27">
        <f>IF(B141="","",IF(COUNTIF('01_자재목록'!$B$7:$B$106,B141)&lt;&gt;1,"자재코드 확인",IF(INDEX('01_자재목록'!$R$7:$R$106,MATCH(B141,'01_자재목록'!$B$7:$B$106,0))="","구분 미입력",INDEX('01_자재목록'!$R$7:$R$106,MATCH(B141,'01_자재목록'!$B$7:$B$106,0)))))</f>
        <v/>
      </c>
    </row>
    <row r="142" ht="24" customHeight="1">
      <c r="A142" s="18" t="n">
        <v>136</v>
      </c>
      <c r="B142" s="19" t="n"/>
      <c r="C142" s="23">
        <f>IF(B142="","",IFERROR(INDEX('01_자재목록'!$D$7:$D$106,MATCH(B142,'01_자재목록'!$B$7:$B$106,0))&amp;"","자재코드 확인"))</f>
        <v/>
      </c>
      <c r="D142" s="19" t="n"/>
      <c r="E142" s="19" t="n"/>
      <c r="F142" s="32" t="n"/>
      <c r="G142" s="32" t="n"/>
      <c r="H142" s="19" t="n"/>
      <c r="I142" s="19" t="n"/>
      <c r="J142" s="19" t="n"/>
      <c r="K142" s="33">
        <f>IF(OR(B142="",F142=""),"",IF(ISNUMBER(F142),F142-TODAY(),"날짜 확인"))</f>
        <v/>
      </c>
      <c r="L142" s="23">
        <f>IF(B142="",IF(OR(D142&lt;&gt;"",E142&lt;&gt;"",F142&lt;&gt;""),"자재코드 확인",""),IF(COUNTIF('01_자재목록'!$B$7:$B$106,B142)&lt;&gt;1,"자재코드 확인",IF(OR(J142="소진",J142="폐기"),J142,IF(AND(D142="",E142=""),"LOT 미입력",IF(F142="","미입력",IF(OR(NOT(ISNUMBER(F142)),F142&lt;1),"날짜 확인",IF(K142&lt;0,"만료",IF(K142&lt;=$I$4,"유효기간 임박","정상"))))))))</f>
        <v/>
      </c>
      <c r="M142" s="19" t="n"/>
      <c r="N142" s="19" t="n"/>
      <c r="O142" s="19" t="n"/>
      <c r="P142" s="27">
        <f>IF(B142="","",IF(COUNTIF('01_자재목록'!$B$7:$B$106,B142)&lt;&gt;1,"자재코드 확인",IF(INDEX('01_자재목록'!$R$7:$R$106,MATCH(B142,'01_자재목록'!$B$7:$B$106,0))="","구분 미입력",INDEX('01_자재목록'!$R$7:$R$106,MATCH(B142,'01_자재목록'!$B$7:$B$106,0)))))</f>
        <v/>
      </c>
    </row>
    <row r="143" ht="24" customHeight="1">
      <c r="A143" s="18" t="n">
        <v>137</v>
      </c>
      <c r="B143" s="19" t="n"/>
      <c r="C143" s="23">
        <f>IF(B143="","",IFERROR(INDEX('01_자재목록'!$D$7:$D$106,MATCH(B143,'01_자재목록'!$B$7:$B$106,0))&amp;"","자재코드 확인"))</f>
        <v/>
      </c>
      <c r="D143" s="19" t="n"/>
      <c r="E143" s="19" t="n"/>
      <c r="F143" s="32" t="n"/>
      <c r="G143" s="32" t="n"/>
      <c r="H143" s="19" t="n"/>
      <c r="I143" s="19" t="n"/>
      <c r="J143" s="19" t="n"/>
      <c r="K143" s="33">
        <f>IF(OR(B143="",F143=""),"",IF(ISNUMBER(F143),F143-TODAY(),"날짜 확인"))</f>
        <v/>
      </c>
      <c r="L143" s="23">
        <f>IF(B143="",IF(OR(D143&lt;&gt;"",E143&lt;&gt;"",F143&lt;&gt;""),"자재코드 확인",""),IF(COUNTIF('01_자재목록'!$B$7:$B$106,B143)&lt;&gt;1,"자재코드 확인",IF(OR(J143="소진",J143="폐기"),J143,IF(AND(D143="",E143=""),"LOT 미입력",IF(F143="","미입력",IF(OR(NOT(ISNUMBER(F143)),F143&lt;1),"날짜 확인",IF(K143&lt;0,"만료",IF(K143&lt;=$I$4,"유효기간 임박","정상"))))))))</f>
        <v/>
      </c>
      <c r="M143" s="19" t="n"/>
      <c r="N143" s="19" t="n"/>
      <c r="O143" s="19" t="n"/>
      <c r="P143" s="27">
        <f>IF(B143="","",IF(COUNTIF('01_자재목록'!$B$7:$B$106,B143)&lt;&gt;1,"자재코드 확인",IF(INDEX('01_자재목록'!$R$7:$R$106,MATCH(B143,'01_자재목록'!$B$7:$B$106,0))="","구분 미입력",INDEX('01_자재목록'!$R$7:$R$106,MATCH(B143,'01_자재목록'!$B$7:$B$106,0)))))</f>
        <v/>
      </c>
    </row>
    <row r="144" ht="24" customHeight="1">
      <c r="A144" s="18" t="n">
        <v>138</v>
      </c>
      <c r="B144" s="19" t="n"/>
      <c r="C144" s="23">
        <f>IF(B144="","",IFERROR(INDEX('01_자재목록'!$D$7:$D$106,MATCH(B144,'01_자재목록'!$B$7:$B$106,0))&amp;"","자재코드 확인"))</f>
        <v/>
      </c>
      <c r="D144" s="19" t="n"/>
      <c r="E144" s="19" t="n"/>
      <c r="F144" s="32" t="n"/>
      <c r="G144" s="32" t="n"/>
      <c r="H144" s="19" t="n"/>
      <c r="I144" s="19" t="n"/>
      <c r="J144" s="19" t="n"/>
      <c r="K144" s="33">
        <f>IF(OR(B144="",F144=""),"",IF(ISNUMBER(F144),F144-TODAY(),"날짜 확인"))</f>
        <v/>
      </c>
      <c r="L144" s="23">
        <f>IF(B144="",IF(OR(D144&lt;&gt;"",E144&lt;&gt;"",F144&lt;&gt;""),"자재코드 확인",""),IF(COUNTIF('01_자재목록'!$B$7:$B$106,B144)&lt;&gt;1,"자재코드 확인",IF(OR(J144="소진",J144="폐기"),J144,IF(AND(D144="",E144=""),"LOT 미입력",IF(F144="","미입력",IF(OR(NOT(ISNUMBER(F144)),F144&lt;1),"날짜 확인",IF(K144&lt;0,"만료",IF(K144&lt;=$I$4,"유효기간 임박","정상"))))))))</f>
        <v/>
      </c>
      <c r="M144" s="19" t="n"/>
      <c r="N144" s="19" t="n"/>
      <c r="O144" s="19" t="n"/>
      <c r="P144" s="27">
        <f>IF(B144="","",IF(COUNTIF('01_자재목록'!$B$7:$B$106,B144)&lt;&gt;1,"자재코드 확인",IF(INDEX('01_자재목록'!$R$7:$R$106,MATCH(B144,'01_자재목록'!$B$7:$B$106,0))="","구분 미입력",INDEX('01_자재목록'!$R$7:$R$106,MATCH(B144,'01_자재목록'!$B$7:$B$106,0)))))</f>
        <v/>
      </c>
    </row>
    <row r="145" ht="24" customHeight="1">
      <c r="A145" s="18" t="n">
        <v>139</v>
      </c>
      <c r="B145" s="19" t="n"/>
      <c r="C145" s="23">
        <f>IF(B145="","",IFERROR(INDEX('01_자재목록'!$D$7:$D$106,MATCH(B145,'01_자재목록'!$B$7:$B$106,0))&amp;"","자재코드 확인"))</f>
        <v/>
      </c>
      <c r="D145" s="19" t="n"/>
      <c r="E145" s="19" t="n"/>
      <c r="F145" s="32" t="n"/>
      <c r="G145" s="32" t="n"/>
      <c r="H145" s="19" t="n"/>
      <c r="I145" s="19" t="n"/>
      <c r="J145" s="19" t="n"/>
      <c r="K145" s="33">
        <f>IF(OR(B145="",F145=""),"",IF(ISNUMBER(F145),F145-TODAY(),"날짜 확인"))</f>
        <v/>
      </c>
      <c r="L145" s="23">
        <f>IF(B145="",IF(OR(D145&lt;&gt;"",E145&lt;&gt;"",F145&lt;&gt;""),"자재코드 확인",""),IF(COUNTIF('01_자재목록'!$B$7:$B$106,B145)&lt;&gt;1,"자재코드 확인",IF(OR(J145="소진",J145="폐기"),J145,IF(AND(D145="",E145=""),"LOT 미입력",IF(F145="","미입력",IF(OR(NOT(ISNUMBER(F145)),F145&lt;1),"날짜 확인",IF(K145&lt;0,"만료",IF(K145&lt;=$I$4,"유효기간 임박","정상"))))))))</f>
        <v/>
      </c>
      <c r="M145" s="19" t="n"/>
      <c r="N145" s="19" t="n"/>
      <c r="O145" s="19" t="n"/>
      <c r="P145" s="27">
        <f>IF(B145="","",IF(COUNTIF('01_자재목록'!$B$7:$B$106,B145)&lt;&gt;1,"자재코드 확인",IF(INDEX('01_자재목록'!$R$7:$R$106,MATCH(B145,'01_자재목록'!$B$7:$B$106,0))="","구분 미입력",INDEX('01_자재목록'!$R$7:$R$106,MATCH(B145,'01_자재목록'!$B$7:$B$106,0)))))</f>
        <v/>
      </c>
    </row>
    <row r="146" ht="24" customHeight="1">
      <c r="A146" s="18" t="n">
        <v>140</v>
      </c>
      <c r="B146" s="19" t="n"/>
      <c r="C146" s="23">
        <f>IF(B146="","",IFERROR(INDEX('01_자재목록'!$D$7:$D$106,MATCH(B146,'01_자재목록'!$B$7:$B$106,0))&amp;"","자재코드 확인"))</f>
        <v/>
      </c>
      <c r="D146" s="19" t="n"/>
      <c r="E146" s="19" t="n"/>
      <c r="F146" s="32" t="n"/>
      <c r="G146" s="32" t="n"/>
      <c r="H146" s="19" t="n"/>
      <c r="I146" s="19" t="n"/>
      <c r="J146" s="19" t="n"/>
      <c r="K146" s="33">
        <f>IF(OR(B146="",F146=""),"",IF(ISNUMBER(F146),F146-TODAY(),"날짜 확인"))</f>
        <v/>
      </c>
      <c r="L146" s="23">
        <f>IF(B146="",IF(OR(D146&lt;&gt;"",E146&lt;&gt;"",F146&lt;&gt;""),"자재코드 확인",""),IF(COUNTIF('01_자재목록'!$B$7:$B$106,B146)&lt;&gt;1,"자재코드 확인",IF(OR(J146="소진",J146="폐기"),J146,IF(AND(D146="",E146=""),"LOT 미입력",IF(F146="","미입력",IF(OR(NOT(ISNUMBER(F146)),F146&lt;1),"날짜 확인",IF(K146&lt;0,"만료",IF(K146&lt;=$I$4,"유효기간 임박","정상"))))))))</f>
        <v/>
      </c>
      <c r="M146" s="19" t="n"/>
      <c r="N146" s="19" t="n"/>
      <c r="O146" s="19" t="n"/>
      <c r="P146" s="27">
        <f>IF(B146="","",IF(COUNTIF('01_자재목록'!$B$7:$B$106,B146)&lt;&gt;1,"자재코드 확인",IF(INDEX('01_자재목록'!$R$7:$R$106,MATCH(B146,'01_자재목록'!$B$7:$B$106,0))="","구분 미입력",INDEX('01_자재목록'!$R$7:$R$106,MATCH(B146,'01_자재목록'!$B$7:$B$106,0)))))</f>
        <v/>
      </c>
    </row>
    <row r="147" ht="24" customHeight="1">
      <c r="A147" s="18" t="n">
        <v>141</v>
      </c>
      <c r="B147" s="19" t="n"/>
      <c r="C147" s="23">
        <f>IF(B147="","",IFERROR(INDEX('01_자재목록'!$D$7:$D$106,MATCH(B147,'01_자재목록'!$B$7:$B$106,0))&amp;"","자재코드 확인"))</f>
        <v/>
      </c>
      <c r="D147" s="19" t="n"/>
      <c r="E147" s="19" t="n"/>
      <c r="F147" s="32" t="n"/>
      <c r="G147" s="32" t="n"/>
      <c r="H147" s="19" t="n"/>
      <c r="I147" s="19" t="n"/>
      <c r="J147" s="19" t="n"/>
      <c r="K147" s="33">
        <f>IF(OR(B147="",F147=""),"",IF(ISNUMBER(F147),F147-TODAY(),"날짜 확인"))</f>
        <v/>
      </c>
      <c r="L147" s="23">
        <f>IF(B147="",IF(OR(D147&lt;&gt;"",E147&lt;&gt;"",F147&lt;&gt;""),"자재코드 확인",""),IF(COUNTIF('01_자재목록'!$B$7:$B$106,B147)&lt;&gt;1,"자재코드 확인",IF(OR(J147="소진",J147="폐기"),J147,IF(AND(D147="",E147=""),"LOT 미입력",IF(F147="","미입력",IF(OR(NOT(ISNUMBER(F147)),F147&lt;1),"날짜 확인",IF(K147&lt;0,"만료",IF(K147&lt;=$I$4,"유효기간 임박","정상"))))))))</f>
        <v/>
      </c>
      <c r="M147" s="19" t="n"/>
      <c r="N147" s="19" t="n"/>
      <c r="O147" s="19" t="n"/>
      <c r="P147" s="27">
        <f>IF(B147="","",IF(COUNTIF('01_자재목록'!$B$7:$B$106,B147)&lt;&gt;1,"자재코드 확인",IF(INDEX('01_자재목록'!$R$7:$R$106,MATCH(B147,'01_자재목록'!$B$7:$B$106,0))="","구분 미입력",INDEX('01_자재목록'!$R$7:$R$106,MATCH(B147,'01_자재목록'!$B$7:$B$106,0)))))</f>
        <v/>
      </c>
    </row>
    <row r="148" ht="24" customHeight="1">
      <c r="A148" s="18" t="n">
        <v>142</v>
      </c>
      <c r="B148" s="19" t="n"/>
      <c r="C148" s="23">
        <f>IF(B148="","",IFERROR(INDEX('01_자재목록'!$D$7:$D$106,MATCH(B148,'01_자재목록'!$B$7:$B$106,0))&amp;"","자재코드 확인"))</f>
        <v/>
      </c>
      <c r="D148" s="19" t="n"/>
      <c r="E148" s="19" t="n"/>
      <c r="F148" s="32" t="n"/>
      <c r="G148" s="32" t="n"/>
      <c r="H148" s="19" t="n"/>
      <c r="I148" s="19" t="n"/>
      <c r="J148" s="19" t="n"/>
      <c r="K148" s="33">
        <f>IF(OR(B148="",F148=""),"",IF(ISNUMBER(F148),F148-TODAY(),"날짜 확인"))</f>
        <v/>
      </c>
      <c r="L148" s="23">
        <f>IF(B148="",IF(OR(D148&lt;&gt;"",E148&lt;&gt;"",F148&lt;&gt;""),"자재코드 확인",""),IF(COUNTIF('01_자재목록'!$B$7:$B$106,B148)&lt;&gt;1,"자재코드 확인",IF(OR(J148="소진",J148="폐기"),J148,IF(AND(D148="",E148=""),"LOT 미입력",IF(F148="","미입력",IF(OR(NOT(ISNUMBER(F148)),F148&lt;1),"날짜 확인",IF(K148&lt;0,"만료",IF(K148&lt;=$I$4,"유효기간 임박","정상"))))))))</f>
        <v/>
      </c>
      <c r="M148" s="19" t="n"/>
      <c r="N148" s="19" t="n"/>
      <c r="O148" s="19" t="n"/>
      <c r="P148" s="27">
        <f>IF(B148="","",IF(COUNTIF('01_자재목록'!$B$7:$B$106,B148)&lt;&gt;1,"자재코드 확인",IF(INDEX('01_자재목록'!$R$7:$R$106,MATCH(B148,'01_자재목록'!$B$7:$B$106,0))="","구분 미입력",INDEX('01_자재목록'!$R$7:$R$106,MATCH(B148,'01_자재목록'!$B$7:$B$106,0)))))</f>
        <v/>
      </c>
    </row>
    <row r="149" ht="24" customHeight="1">
      <c r="A149" s="18" t="n">
        <v>143</v>
      </c>
      <c r="B149" s="19" t="n"/>
      <c r="C149" s="23">
        <f>IF(B149="","",IFERROR(INDEX('01_자재목록'!$D$7:$D$106,MATCH(B149,'01_자재목록'!$B$7:$B$106,0))&amp;"","자재코드 확인"))</f>
        <v/>
      </c>
      <c r="D149" s="19" t="n"/>
      <c r="E149" s="19" t="n"/>
      <c r="F149" s="32" t="n"/>
      <c r="G149" s="32" t="n"/>
      <c r="H149" s="19" t="n"/>
      <c r="I149" s="19" t="n"/>
      <c r="J149" s="19" t="n"/>
      <c r="K149" s="33">
        <f>IF(OR(B149="",F149=""),"",IF(ISNUMBER(F149),F149-TODAY(),"날짜 확인"))</f>
        <v/>
      </c>
      <c r="L149" s="23">
        <f>IF(B149="",IF(OR(D149&lt;&gt;"",E149&lt;&gt;"",F149&lt;&gt;""),"자재코드 확인",""),IF(COUNTIF('01_자재목록'!$B$7:$B$106,B149)&lt;&gt;1,"자재코드 확인",IF(OR(J149="소진",J149="폐기"),J149,IF(AND(D149="",E149=""),"LOT 미입력",IF(F149="","미입력",IF(OR(NOT(ISNUMBER(F149)),F149&lt;1),"날짜 확인",IF(K149&lt;0,"만료",IF(K149&lt;=$I$4,"유효기간 임박","정상"))))))))</f>
        <v/>
      </c>
      <c r="M149" s="19" t="n"/>
      <c r="N149" s="19" t="n"/>
      <c r="O149" s="19" t="n"/>
      <c r="P149" s="27">
        <f>IF(B149="","",IF(COUNTIF('01_자재목록'!$B$7:$B$106,B149)&lt;&gt;1,"자재코드 확인",IF(INDEX('01_자재목록'!$R$7:$R$106,MATCH(B149,'01_자재목록'!$B$7:$B$106,0))="","구분 미입력",INDEX('01_자재목록'!$R$7:$R$106,MATCH(B149,'01_자재목록'!$B$7:$B$106,0)))))</f>
        <v/>
      </c>
    </row>
    <row r="150" ht="24" customHeight="1">
      <c r="A150" s="18" t="n">
        <v>144</v>
      </c>
      <c r="B150" s="19" t="n"/>
      <c r="C150" s="23">
        <f>IF(B150="","",IFERROR(INDEX('01_자재목록'!$D$7:$D$106,MATCH(B150,'01_자재목록'!$B$7:$B$106,0))&amp;"","자재코드 확인"))</f>
        <v/>
      </c>
      <c r="D150" s="19" t="n"/>
      <c r="E150" s="19" t="n"/>
      <c r="F150" s="32" t="n"/>
      <c r="G150" s="32" t="n"/>
      <c r="H150" s="19" t="n"/>
      <c r="I150" s="19" t="n"/>
      <c r="J150" s="19" t="n"/>
      <c r="K150" s="33">
        <f>IF(OR(B150="",F150=""),"",IF(ISNUMBER(F150),F150-TODAY(),"날짜 확인"))</f>
        <v/>
      </c>
      <c r="L150" s="23">
        <f>IF(B150="",IF(OR(D150&lt;&gt;"",E150&lt;&gt;"",F150&lt;&gt;""),"자재코드 확인",""),IF(COUNTIF('01_자재목록'!$B$7:$B$106,B150)&lt;&gt;1,"자재코드 확인",IF(OR(J150="소진",J150="폐기"),J150,IF(AND(D150="",E150=""),"LOT 미입력",IF(F150="","미입력",IF(OR(NOT(ISNUMBER(F150)),F150&lt;1),"날짜 확인",IF(K150&lt;0,"만료",IF(K150&lt;=$I$4,"유효기간 임박","정상"))))))))</f>
        <v/>
      </c>
      <c r="M150" s="19" t="n"/>
      <c r="N150" s="19" t="n"/>
      <c r="O150" s="19" t="n"/>
      <c r="P150" s="27">
        <f>IF(B150="","",IF(COUNTIF('01_자재목록'!$B$7:$B$106,B150)&lt;&gt;1,"자재코드 확인",IF(INDEX('01_자재목록'!$R$7:$R$106,MATCH(B150,'01_자재목록'!$B$7:$B$106,0))="","구분 미입력",INDEX('01_자재목록'!$R$7:$R$106,MATCH(B150,'01_자재목록'!$B$7:$B$106,0)))))</f>
        <v/>
      </c>
    </row>
    <row r="151" ht="24" customHeight="1">
      <c r="A151" s="18" t="n">
        <v>145</v>
      </c>
      <c r="B151" s="19" t="n"/>
      <c r="C151" s="23">
        <f>IF(B151="","",IFERROR(INDEX('01_자재목록'!$D$7:$D$106,MATCH(B151,'01_자재목록'!$B$7:$B$106,0))&amp;"","자재코드 확인"))</f>
        <v/>
      </c>
      <c r="D151" s="19" t="n"/>
      <c r="E151" s="19" t="n"/>
      <c r="F151" s="32" t="n"/>
      <c r="G151" s="32" t="n"/>
      <c r="H151" s="19" t="n"/>
      <c r="I151" s="19" t="n"/>
      <c r="J151" s="19" t="n"/>
      <c r="K151" s="33">
        <f>IF(OR(B151="",F151=""),"",IF(ISNUMBER(F151),F151-TODAY(),"날짜 확인"))</f>
        <v/>
      </c>
      <c r="L151" s="23">
        <f>IF(B151="",IF(OR(D151&lt;&gt;"",E151&lt;&gt;"",F151&lt;&gt;""),"자재코드 확인",""),IF(COUNTIF('01_자재목록'!$B$7:$B$106,B151)&lt;&gt;1,"자재코드 확인",IF(OR(J151="소진",J151="폐기"),J151,IF(AND(D151="",E151=""),"LOT 미입력",IF(F151="","미입력",IF(OR(NOT(ISNUMBER(F151)),F151&lt;1),"날짜 확인",IF(K151&lt;0,"만료",IF(K151&lt;=$I$4,"유효기간 임박","정상"))))))))</f>
        <v/>
      </c>
      <c r="M151" s="19" t="n"/>
      <c r="N151" s="19" t="n"/>
      <c r="O151" s="19" t="n"/>
      <c r="P151" s="27">
        <f>IF(B151="","",IF(COUNTIF('01_자재목록'!$B$7:$B$106,B151)&lt;&gt;1,"자재코드 확인",IF(INDEX('01_자재목록'!$R$7:$R$106,MATCH(B151,'01_자재목록'!$B$7:$B$106,0))="","구분 미입력",INDEX('01_자재목록'!$R$7:$R$106,MATCH(B151,'01_자재목록'!$B$7:$B$106,0)))))</f>
        <v/>
      </c>
    </row>
    <row r="152" ht="24" customHeight="1">
      <c r="A152" s="18" t="n">
        <v>146</v>
      </c>
      <c r="B152" s="19" t="n"/>
      <c r="C152" s="23">
        <f>IF(B152="","",IFERROR(INDEX('01_자재목록'!$D$7:$D$106,MATCH(B152,'01_자재목록'!$B$7:$B$106,0))&amp;"","자재코드 확인"))</f>
        <v/>
      </c>
      <c r="D152" s="19" t="n"/>
      <c r="E152" s="19" t="n"/>
      <c r="F152" s="32" t="n"/>
      <c r="G152" s="32" t="n"/>
      <c r="H152" s="19" t="n"/>
      <c r="I152" s="19" t="n"/>
      <c r="J152" s="19" t="n"/>
      <c r="K152" s="33">
        <f>IF(OR(B152="",F152=""),"",IF(ISNUMBER(F152),F152-TODAY(),"날짜 확인"))</f>
        <v/>
      </c>
      <c r="L152" s="23">
        <f>IF(B152="",IF(OR(D152&lt;&gt;"",E152&lt;&gt;"",F152&lt;&gt;""),"자재코드 확인",""),IF(COUNTIF('01_자재목록'!$B$7:$B$106,B152)&lt;&gt;1,"자재코드 확인",IF(OR(J152="소진",J152="폐기"),J152,IF(AND(D152="",E152=""),"LOT 미입력",IF(F152="","미입력",IF(OR(NOT(ISNUMBER(F152)),F152&lt;1),"날짜 확인",IF(K152&lt;0,"만료",IF(K152&lt;=$I$4,"유효기간 임박","정상"))))))))</f>
        <v/>
      </c>
      <c r="M152" s="19" t="n"/>
      <c r="N152" s="19" t="n"/>
      <c r="O152" s="19" t="n"/>
      <c r="P152" s="27">
        <f>IF(B152="","",IF(COUNTIF('01_자재목록'!$B$7:$B$106,B152)&lt;&gt;1,"자재코드 확인",IF(INDEX('01_자재목록'!$R$7:$R$106,MATCH(B152,'01_자재목록'!$B$7:$B$106,0))="","구분 미입력",INDEX('01_자재목록'!$R$7:$R$106,MATCH(B152,'01_자재목록'!$B$7:$B$106,0)))))</f>
        <v/>
      </c>
    </row>
    <row r="153" ht="24" customHeight="1">
      <c r="A153" s="18" t="n">
        <v>147</v>
      </c>
      <c r="B153" s="19" t="n"/>
      <c r="C153" s="23">
        <f>IF(B153="","",IFERROR(INDEX('01_자재목록'!$D$7:$D$106,MATCH(B153,'01_자재목록'!$B$7:$B$106,0))&amp;"","자재코드 확인"))</f>
        <v/>
      </c>
      <c r="D153" s="19" t="n"/>
      <c r="E153" s="19" t="n"/>
      <c r="F153" s="32" t="n"/>
      <c r="G153" s="32" t="n"/>
      <c r="H153" s="19" t="n"/>
      <c r="I153" s="19" t="n"/>
      <c r="J153" s="19" t="n"/>
      <c r="K153" s="33">
        <f>IF(OR(B153="",F153=""),"",IF(ISNUMBER(F153),F153-TODAY(),"날짜 확인"))</f>
        <v/>
      </c>
      <c r="L153" s="23">
        <f>IF(B153="",IF(OR(D153&lt;&gt;"",E153&lt;&gt;"",F153&lt;&gt;""),"자재코드 확인",""),IF(COUNTIF('01_자재목록'!$B$7:$B$106,B153)&lt;&gt;1,"자재코드 확인",IF(OR(J153="소진",J153="폐기"),J153,IF(AND(D153="",E153=""),"LOT 미입력",IF(F153="","미입력",IF(OR(NOT(ISNUMBER(F153)),F153&lt;1),"날짜 확인",IF(K153&lt;0,"만료",IF(K153&lt;=$I$4,"유효기간 임박","정상"))))))))</f>
        <v/>
      </c>
      <c r="M153" s="19" t="n"/>
      <c r="N153" s="19" t="n"/>
      <c r="O153" s="19" t="n"/>
      <c r="P153" s="27">
        <f>IF(B153="","",IF(COUNTIF('01_자재목록'!$B$7:$B$106,B153)&lt;&gt;1,"자재코드 확인",IF(INDEX('01_자재목록'!$R$7:$R$106,MATCH(B153,'01_자재목록'!$B$7:$B$106,0))="","구분 미입력",INDEX('01_자재목록'!$R$7:$R$106,MATCH(B153,'01_자재목록'!$B$7:$B$106,0)))))</f>
        <v/>
      </c>
    </row>
    <row r="154" ht="24" customHeight="1">
      <c r="A154" s="18" t="n">
        <v>148</v>
      </c>
      <c r="B154" s="19" t="n"/>
      <c r="C154" s="23">
        <f>IF(B154="","",IFERROR(INDEX('01_자재목록'!$D$7:$D$106,MATCH(B154,'01_자재목록'!$B$7:$B$106,0))&amp;"","자재코드 확인"))</f>
        <v/>
      </c>
      <c r="D154" s="19" t="n"/>
      <c r="E154" s="19" t="n"/>
      <c r="F154" s="32" t="n"/>
      <c r="G154" s="32" t="n"/>
      <c r="H154" s="19" t="n"/>
      <c r="I154" s="19" t="n"/>
      <c r="J154" s="19" t="n"/>
      <c r="K154" s="33">
        <f>IF(OR(B154="",F154=""),"",IF(ISNUMBER(F154),F154-TODAY(),"날짜 확인"))</f>
        <v/>
      </c>
      <c r="L154" s="23">
        <f>IF(B154="",IF(OR(D154&lt;&gt;"",E154&lt;&gt;"",F154&lt;&gt;""),"자재코드 확인",""),IF(COUNTIF('01_자재목록'!$B$7:$B$106,B154)&lt;&gt;1,"자재코드 확인",IF(OR(J154="소진",J154="폐기"),J154,IF(AND(D154="",E154=""),"LOT 미입력",IF(F154="","미입력",IF(OR(NOT(ISNUMBER(F154)),F154&lt;1),"날짜 확인",IF(K154&lt;0,"만료",IF(K154&lt;=$I$4,"유효기간 임박","정상"))))))))</f>
        <v/>
      </c>
      <c r="M154" s="19" t="n"/>
      <c r="N154" s="19" t="n"/>
      <c r="O154" s="19" t="n"/>
      <c r="P154" s="27">
        <f>IF(B154="","",IF(COUNTIF('01_자재목록'!$B$7:$B$106,B154)&lt;&gt;1,"자재코드 확인",IF(INDEX('01_자재목록'!$R$7:$R$106,MATCH(B154,'01_자재목록'!$B$7:$B$106,0))="","구분 미입력",INDEX('01_자재목록'!$R$7:$R$106,MATCH(B154,'01_자재목록'!$B$7:$B$106,0)))))</f>
        <v/>
      </c>
    </row>
    <row r="155" ht="24" customHeight="1">
      <c r="A155" s="18" t="n">
        <v>149</v>
      </c>
      <c r="B155" s="19" t="n"/>
      <c r="C155" s="23">
        <f>IF(B155="","",IFERROR(INDEX('01_자재목록'!$D$7:$D$106,MATCH(B155,'01_자재목록'!$B$7:$B$106,0))&amp;"","자재코드 확인"))</f>
        <v/>
      </c>
      <c r="D155" s="19" t="n"/>
      <c r="E155" s="19" t="n"/>
      <c r="F155" s="32" t="n"/>
      <c r="G155" s="32" t="n"/>
      <c r="H155" s="19" t="n"/>
      <c r="I155" s="19" t="n"/>
      <c r="J155" s="19" t="n"/>
      <c r="K155" s="33">
        <f>IF(OR(B155="",F155=""),"",IF(ISNUMBER(F155),F155-TODAY(),"날짜 확인"))</f>
        <v/>
      </c>
      <c r="L155" s="23">
        <f>IF(B155="",IF(OR(D155&lt;&gt;"",E155&lt;&gt;"",F155&lt;&gt;""),"자재코드 확인",""),IF(COUNTIF('01_자재목록'!$B$7:$B$106,B155)&lt;&gt;1,"자재코드 확인",IF(OR(J155="소진",J155="폐기"),J155,IF(AND(D155="",E155=""),"LOT 미입력",IF(F155="","미입력",IF(OR(NOT(ISNUMBER(F155)),F155&lt;1),"날짜 확인",IF(K155&lt;0,"만료",IF(K155&lt;=$I$4,"유효기간 임박","정상"))))))))</f>
        <v/>
      </c>
      <c r="M155" s="19" t="n"/>
      <c r="N155" s="19" t="n"/>
      <c r="O155" s="19" t="n"/>
      <c r="P155" s="27">
        <f>IF(B155="","",IF(COUNTIF('01_자재목록'!$B$7:$B$106,B155)&lt;&gt;1,"자재코드 확인",IF(INDEX('01_자재목록'!$R$7:$R$106,MATCH(B155,'01_자재목록'!$B$7:$B$106,0))="","구분 미입력",INDEX('01_자재목록'!$R$7:$R$106,MATCH(B155,'01_자재목록'!$B$7:$B$106,0)))))</f>
        <v/>
      </c>
    </row>
    <row r="156" ht="24" customHeight="1">
      <c r="A156" s="18" t="n">
        <v>150</v>
      </c>
      <c r="B156" s="19" t="n"/>
      <c r="C156" s="23">
        <f>IF(B156="","",IFERROR(INDEX('01_자재목록'!$D$7:$D$106,MATCH(B156,'01_자재목록'!$B$7:$B$106,0))&amp;"","자재코드 확인"))</f>
        <v/>
      </c>
      <c r="D156" s="19" t="n"/>
      <c r="E156" s="19" t="n"/>
      <c r="F156" s="32" t="n"/>
      <c r="G156" s="32" t="n"/>
      <c r="H156" s="19" t="n"/>
      <c r="I156" s="19" t="n"/>
      <c r="J156" s="19" t="n"/>
      <c r="K156" s="33">
        <f>IF(OR(B156="",F156=""),"",IF(ISNUMBER(F156),F156-TODAY(),"날짜 확인"))</f>
        <v/>
      </c>
      <c r="L156" s="23">
        <f>IF(B156="",IF(OR(D156&lt;&gt;"",E156&lt;&gt;"",F156&lt;&gt;""),"자재코드 확인",""),IF(COUNTIF('01_자재목록'!$B$7:$B$106,B156)&lt;&gt;1,"자재코드 확인",IF(OR(J156="소진",J156="폐기"),J156,IF(AND(D156="",E156=""),"LOT 미입력",IF(F156="","미입력",IF(OR(NOT(ISNUMBER(F156)),F156&lt;1),"날짜 확인",IF(K156&lt;0,"만료",IF(K156&lt;=$I$4,"유효기간 임박","정상"))))))))</f>
        <v/>
      </c>
      <c r="M156" s="19" t="n"/>
      <c r="N156" s="19" t="n"/>
      <c r="O156" s="19" t="n"/>
      <c r="P156" s="27">
        <f>IF(B156="","",IF(COUNTIF('01_자재목록'!$B$7:$B$106,B156)&lt;&gt;1,"자재코드 확인",IF(INDEX('01_자재목록'!$R$7:$R$106,MATCH(B156,'01_자재목록'!$B$7:$B$106,0))="","구분 미입력",INDEX('01_자재목록'!$R$7:$R$106,MATCH(B156,'01_자재목록'!$B$7:$B$106,0)))))</f>
        <v/>
      </c>
    </row>
    <row r="157" ht="24" customHeight="1">
      <c r="A157" s="18" t="n">
        <v>151</v>
      </c>
      <c r="B157" s="19" t="n"/>
      <c r="C157" s="23">
        <f>IF(B157="","",IFERROR(INDEX('01_자재목록'!$D$7:$D$106,MATCH(B157,'01_자재목록'!$B$7:$B$106,0))&amp;"","자재코드 확인"))</f>
        <v/>
      </c>
      <c r="D157" s="19" t="n"/>
      <c r="E157" s="19" t="n"/>
      <c r="F157" s="32" t="n"/>
      <c r="G157" s="32" t="n"/>
      <c r="H157" s="19" t="n"/>
      <c r="I157" s="19" t="n"/>
      <c r="J157" s="19" t="n"/>
      <c r="K157" s="33">
        <f>IF(OR(B157="",F157=""),"",IF(ISNUMBER(F157),F157-TODAY(),"날짜 확인"))</f>
        <v/>
      </c>
      <c r="L157" s="23">
        <f>IF(B157="",IF(OR(D157&lt;&gt;"",E157&lt;&gt;"",F157&lt;&gt;""),"자재코드 확인",""),IF(COUNTIF('01_자재목록'!$B$7:$B$106,B157)&lt;&gt;1,"자재코드 확인",IF(OR(J157="소진",J157="폐기"),J157,IF(AND(D157="",E157=""),"LOT 미입력",IF(F157="","미입력",IF(OR(NOT(ISNUMBER(F157)),F157&lt;1),"날짜 확인",IF(K157&lt;0,"만료",IF(K157&lt;=$I$4,"유효기간 임박","정상"))))))))</f>
        <v/>
      </c>
      <c r="M157" s="19" t="n"/>
      <c r="N157" s="19" t="n"/>
      <c r="O157" s="19" t="n"/>
      <c r="P157" s="27">
        <f>IF(B157="","",IF(COUNTIF('01_자재목록'!$B$7:$B$106,B157)&lt;&gt;1,"자재코드 확인",IF(INDEX('01_자재목록'!$R$7:$R$106,MATCH(B157,'01_자재목록'!$B$7:$B$106,0))="","구분 미입력",INDEX('01_자재목록'!$R$7:$R$106,MATCH(B157,'01_자재목록'!$B$7:$B$106,0)))))</f>
        <v/>
      </c>
    </row>
    <row r="158" ht="24" customHeight="1">
      <c r="A158" s="18" t="n">
        <v>152</v>
      </c>
      <c r="B158" s="19" t="n"/>
      <c r="C158" s="23">
        <f>IF(B158="","",IFERROR(INDEX('01_자재목록'!$D$7:$D$106,MATCH(B158,'01_자재목록'!$B$7:$B$106,0))&amp;"","자재코드 확인"))</f>
        <v/>
      </c>
      <c r="D158" s="19" t="n"/>
      <c r="E158" s="19" t="n"/>
      <c r="F158" s="32" t="n"/>
      <c r="G158" s="32" t="n"/>
      <c r="H158" s="19" t="n"/>
      <c r="I158" s="19" t="n"/>
      <c r="J158" s="19" t="n"/>
      <c r="K158" s="33">
        <f>IF(OR(B158="",F158=""),"",IF(ISNUMBER(F158),F158-TODAY(),"날짜 확인"))</f>
        <v/>
      </c>
      <c r="L158" s="23">
        <f>IF(B158="",IF(OR(D158&lt;&gt;"",E158&lt;&gt;"",F158&lt;&gt;""),"자재코드 확인",""),IF(COUNTIF('01_자재목록'!$B$7:$B$106,B158)&lt;&gt;1,"자재코드 확인",IF(OR(J158="소진",J158="폐기"),J158,IF(AND(D158="",E158=""),"LOT 미입력",IF(F158="","미입력",IF(OR(NOT(ISNUMBER(F158)),F158&lt;1),"날짜 확인",IF(K158&lt;0,"만료",IF(K158&lt;=$I$4,"유효기간 임박","정상"))))))))</f>
        <v/>
      </c>
      <c r="M158" s="19" t="n"/>
      <c r="N158" s="19" t="n"/>
      <c r="O158" s="19" t="n"/>
      <c r="P158" s="27">
        <f>IF(B158="","",IF(COUNTIF('01_자재목록'!$B$7:$B$106,B158)&lt;&gt;1,"자재코드 확인",IF(INDEX('01_자재목록'!$R$7:$R$106,MATCH(B158,'01_자재목록'!$B$7:$B$106,0))="","구분 미입력",INDEX('01_자재목록'!$R$7:$R$106,MATCH(B158,'01_자재목록'!$B$7:$B$106,0)))))</f>
        <v/>
      </c>
    </row>
    <row r="159" ht="24" customHeight="1">
      <c r="A159" s="18" t="n">
        <v>153</v>
      </c>
      <c r="B159" s="19" t="n"/>
      <c r="C159" s="23">
        <f>IF(B159="","",IFERROR(INDEX('01_자재목록'!$D$7:$D$106,MATCH(B159,'01_자재목록'!$B$7:$B$106,0))&amp;"","자재코드 확인"))</f>
        <v/>
      </c>
      <c r="D159" s="19" t="n"/>
      <c r="E159" s="19" t="n"/>
      <c r="F159" s="32" t="n"/>
      <c r="G159" s="32" t="n"/>
      <c r="H159" s="19" t="n"/>
      <c r="I159" s="19" t="n"/>
      <c r="J159" s="19" t="n"/>
      <c r="K159" s="33">
        <f>IF(OR(B159="",F159=""),"",IF(ISNUMBER(F159),F159-TODAY(),"날짜 확인"))</f>
        <v/>
      </c>
      <c r="L159" s="23">
        <f>IF(B159="",IF(OR(D159&lt;&gt;"",E159&lt;&gt;"",F159&lt;&gt;""),"자재코드 확인",""),IF(COUNTIF('01_자재목록'!$B$7:$B$106,B159)&lt;&gt;1,"자재코드 확인",IF(OR(J159="소진",J159="폐기"),J159,IF(AND(D159="",E159=""),"LOT 미입력",IF(F159="","미입력",IF(OR(NOT(ISNUMBER(F159)),F159&lt;1),"날짜 확인",IF(K159&lt;0,"만료",IF(K159&lt;=$I$4,"유효기간 임박","정상"))))))))</f>
        <v/>
      </c>
      <c r="M159" s="19" t="n"/>
      <c r="N159" s="19" t="n"/>
      <c r="O159" s="19" t="n"/>
      <c r="P159" s="27">
        <f>IF(B159="","",IF(COUNTIF('01_자재목록'!$B$7:$B$106,B159)&lt;&gt;1,"자재코드 확인",IF(INDEX('01_자재목록'!$R$7:$R$106,MATCH(B159,'01_자재목록'!$B$7:$B$106,0))="","구분 미입력",INDEX('01_자재목록'!$R$7:$R$106,MATCH(B159,'01_자재목록'!$B$7:$B$106,0)))))</f>
        <v/>
      </c>
    </row>
    <row r="160" ht="24" customHeight="1">
      <c r="A160" s="18" t="n">
        <v>154</v>
      </c>
      <c r="B160" s="19" t="n"/>
      <c r="C160" s="23">
        <f>IF(B160="","",IFERROR(INDEX('01_자재목록'!$D$7:$D$106,MATCH(B160,'01_자재목록'!$B$7:$B$106,0))&amp;"","자재코드 확인"))</f>
        <v/>
      </c>
      <c r="D160" s="19" t="n"/>
      <c r="E160" s="19" t="n"/>
      <c r="F160" s="32" t="n"/>
      <c r="G160" s="32" t="n"/>
      <c r="H160" s="19" t="n"/>
      <c r="I160" s="19" t="n"/>
      <c r="J160" s="19" t="n"/>
      <c r="K160" s="33">
        <f>IF(OR(B160="",F160=""),"",IF(ISNUMBER(F160),F160-TODAY(),"날짜 확인"))</f>
        <v/>
      </c>
      <c r="L160" s="23">
        <f>IF(B160="",IF(OR(D160&lt;&gt;"",E160&lt;&gt;"",F160&lt;&gt;""),"자재코드 확인",""),IF(COUNTIF('01_자재목록'!$B$7:$B$106,B160)&lt;&gt;1,"자재코드 확인",IF(OR(J160="소진",J160="폐기"),J160,IF(AND(D160="",E160=""),"LOT 미입력",IF(F160="","미입력",IF(OR(NOT(ISNUMBER(F160)),F160&lt;1),"날짜 확인",IF(K160&lt;0,"만료",IF(K160&lt;=$I$4,"유효기간 임박","정상"))))))))</f>
        <v/>
      </c>
      <c r="M160" s="19" t="n"/>
      <c r="N160" s="19" t="n"/>
      <c r="O160" s="19" t="n"/>
      <c r="P160" s="27">
        <f>IF(B160="","",IF(COUNTIF('01_자재목록'!$B$7:$B$106,B160)&lt;&gt;1,"자재코드 확인",IF(INDEX('01_자재목록'!$R$7:$R$106,MATCH(B160,'01_자재목록'!$B$7:$B$106,0))="","구분 미입력",INDEX('01_자재목록'!$R$7:$R$106,MATCH(B160,'01_자재목록'!$B$7:$B$106,0)))))</f>
        <v/>
      </c>
    </row>
    <row r="161" ht="24" customHeight="1">
      <c r="A161" s="18" t="n">
        <v>155</v>
      </c>
      <c r="B161" s="19" t="n"/>
      <c r="C161" s="23">
        <f>IF(B161="","",IFERROR(INDEX('01_자재목록'!$D$7:$D$106,MATCH(B161,'01_자재목록'!$B$7:$B$106,0))&amp;"","자재코드 확인"))</f>
        <v/>
      </c>
      <c r="D161" s="19" t="n"/>
      <c r="E161" s="19" t="n"/>
      <c r="F161" s="32" t="n"/>
      <c r="G161" s="32" t="n"/>
      <c r="H161" s="19" t="n"/>
      <c r="I161" s="19" t="n"/>
      <c r="J161" s="19" t="n"/>
      <c r="K161" s="33">
        <f>IF(OR(B161="",F161=""),"",IF(ISNUMBER(F161),F161-TODAY(),"날짜 확인"))</f>
        <v/>
      </c>
      <c r="L161" s="23">
        <f>IF(B161="",IF(OR(D161&lt;&gt;"",E161&lt;&gt;"",F161&lt;&gt;""),"자재코드 확인",""),IF(COUNTIF('01_자재목록'!$B$7:$B$106,B161)&lt;&gt;1,"자재코드 확인",IF(OR(J161="소진",J161="폐기"),J161,IF(AND(D161="",E161=""),"LOT 미입력",IF(F161="","미입력",IF(OR(NOT(ISNUMBER(F161)),F161&lt;1),"날짜 확인",IF(K161&lt;0,"만료",IF(K161&lt;=$I$4,"유효기간 임박","정상"))))))))</f>
        <v/>
      </c>
      <c r="M161" s="19" t="n"/>
      <c r="N161" s="19" t="n"/>
      <c r="O161" s="19" t="n"/>
      <c r="P161" s="27">
        <f>IF(B161="","",IF(COUNTIF('01_자재목록'!$B$7:$B$106,B161)&lt;&gt;1,"자재코드 확인",IF(INDEX('01_자재목록'!$R$7:$R$106,MATCH(B161,'01_자재목록'!$B$7:$B$106,0))="","구분 미입력",INDEX('01_자재목록'!$R$7:$R$106,MATCH(B161,'01_자재목록'!$B$7:$B$106,0)))))</f>
        <v/>
      </c>
    </row>
    <row r="162" ht="24" customHeight="1">
      <c r="A162" s="18" t="n">
        <v>156</v>
      </c>
      <c r="B162" s="19" t="n"/>
      <c r="C162" s="23">
        <f>IF(B162="","",IFERROR(INDEX('01_자재목록'!$D$7:$D$106,MATCH(B162,'01_자재목록'!$B$7:$B$106,0))&amp;"","자재코드 확인"))</f>
        <v/>
      </c>
      <c r="D162" s="19" t="n"/>
      <c r="E162" s="19" t="n"/>
      <c r="F162" s="32" t="n"/>
      <c r="G162" s="32" t="n"/>
      <c r="H162" s="19" t="n"/>
      <c r="I162" s="19" t="n"/>
      <c r="J162" s="19" t="n"/>
      <c r="K162" s="33">
        <f>IF(OR(B162="",F162=""),"",IF(ISNUMBER(F162),F162-TODAY(),"날짜 확인"))</f>
        <v/>
      </c>
      <c r="L162" s="23">
        <f>IF(B162="",IF(OR(D162&lt;&gt;"",E162&lt;&gt;"",F162&lt;&gt;""),"자재코드 확인",""),IF(COUNTIF('01_자재목록'!$B$7:$B$106,B162)&lt;&gt;1,"자재코드 확인",IF(OR(J162="소진",J162="폐기"),J162,IF(AND(D162="",E162=""),"LOT 미입력",IF(F162="","미입력",IF(OR(NOT(ISNUMBER(F162)),F162&lt;1),"날짜 확인",IF(K162&lt;0,"만료",IF(K162&lt;=$I$4,"유효기간 임박","정상"))))))))</f>
        <v/>
      </c>
      <c r="M162" s="19" t="n"/>
      <c r="N162" s="19" t="n"/>
      <c r="O162" s="19" t="n"/>
      <c r="P162" s="27">
        <f>IF(B162="","",IF(COUNTIF('01_자재목록'!$B$7:$B$106,B162)&lt;&gt;1,"자재코드 확인",IF(INDEX('01_자재목록'!$R$7:$R$106,MATCH(B162,'01_자재목록'!$B$7:$B$106,0))="","구분 미입력",INDEX('01_자재목록'!$R$7:$R$106,MATCH(B162,'01_자재목록'!$B$7:$B$106,0)))))</f>
        <v/>
      </c>
    </row>
    <row r="163" ht="24" customHeight="1">
      <c r="A163" s="18" t="n">
        <v>157</v>
      </c>
      <c r="B163" s="19" t="n"/>
      <c r="C163" s="23">
        <f>IF(B163="","",IFERROR(INDEX('01_자재목록'!$D$7:$D$106,MATCH(B163,'01_자재목록'!$B$7:$B$106,0))&amp;"","자재코드 확인"))</f>
        <v/>
      </c>
      <c r="D163" s="19" t="n"/>
      <c r="E163" s="19" t="n"/>
      <c r="F163" s="32" t="n"/>
      <c r="G163" s="32" t="n"/>
      <c r="H163" s="19" t="n"/>
      <c r="I163" s="19" t="n"/>
      <c r="J163" s="19" t="n"/>
      <c r="K163" s="33">
        <f>IF(OR(B163="",F163=""),"",IF(ISNUMBER(F163),F163-TODAY(),"날짜 확인"))</f>
        <v/>
      </c>
      <c r="L163" s="23">
        <f>IF(B163="",IF(OR(D163&lt;&gt;"",E163&lt;&gt;"",F163&lt;&gt;""),"자재코드 확인",""),IF(COUNTIF('01_자재목록'!$B$7:$B$106,B163)&lt;&gt;1,"자재코드 확인",IF(OR(J163="소진",J163="폐기"),J163,IF(AND(D163="",E163=""),"LOT 미입력",IF(F163="","미입력",IF(OR(NOT(ISNUMBER(F163)),F163&lt;1),"날짜 확인",IF(K163&lt;0,"만료",IF(K163&lt;=$I$4,"유효기간 임박","정상"))))))))</f>
        <v/>
      </c>
      <c r="M163" s="19" t="n"/>
      <c r="N163" s="19" t="n"/>
      <c r="O163" s="19" t="n"/>
      <c r="P163" s="27">
        <f>IF(B163="","",IF(COUNTIF('01_자재목록'!$B$7:$B$106,B163)&lt;&gt;1,"자재코드 확인",IF(INDEX('01_자재목록'!$R$7:$R$106,MATCH(B163,'01_자재목록'!$B$7:$B$106,0))="","구분 미입력",INDEX('01_자재목록'!$R$7:$R$106,MATCH(B163,'01_자재목록'!$B$7:$B$106,0)))))</f>
        <v/>
      </c>
    </row>
    <row r="164" ht="24" customHeight="1">
      <c r="A164" s="18" t="n">
        <v>158</v>
      </c>
      <c r="B164" s="19" t="n"/>
      <c r="C164" s="23">
        <f>IF(B164="","",IFERROR(INDEX('01_자재목록'!$D$7:$D$106,MATCH(B164,'01_자재목록'!$B$7:$B$106,0))&amp;"","자재코드 확인"))</f>
        <v/>
      </c>
      <c r="D164" s="19" t="n"/>
      <c r="E164" s="19" t="n"/>
      <c r="F164" s="32" t="n"/>
      <c r="G164" s="32" t="n"/>
      <c r="H164" s="19" t="n"/>
      <c r="I164" s="19" t="n"/>
      <c r="J164" s="19" t="n"/>
      <c r="K164" s="33">
        <f>IF(OR(B164="",F164=""),"",IF(ISNUMBER(F164),F164-TODAY(),"날짜 확인"))</f>
        <v/>
      </c>
      <c r="L164" s="23">
        <f>IF(B164="",IF(OR(D164&lt;&gt;"",E164&lt;&gt;"",F164&lt;&gt;""),"자재코드 확인",""),IF(COUNTIF('01_자재목록'!$B$7:$B$106,B164)&lt;&gt;1,"자재코드 확인",IF(OR(J164="소진",J164="폐기"),J164,IF(AND(D164="",E164=""),"LOT 미입력",IF(F164="","미입력",IF(OR(NOT(ISNUMBER(F164)),F164&lt;1),"날짜 확인",IF(K164&lt;0,"만료",IF(K164&lt;=$I$4,"유효기간 임박","정상"))))))))</f>
        <v/>
      </c>
      <c r="M164" s="19" t="n"/>
      <c r="N164" s="19" t="n"/>
      <c r="O164" s="19" t="n"/>
      <c r="P164" s="27">
        <f>IF(B164="","",IF(COUNTIF('01_자재목록'!$B$7:$B$106,B164)&lt;&gt;1,"자재코드 확인",IF(INDEX('01_자재목록'!$R$7:$R$106,MATCH(B164,'01_자재목록'!$B$7:$B$106,0))="","구분 미입력",INDEX('01_자재목록'!$R$7:$R$106,MATCH(B164,'01_자재목록'!$B$7:$B$106,0)))))</f>
        <v/>
      </c>
    </row>
    <row r="165" ht="24" customHeight="1">
      <c r="A165" s="18" t="n">
        <v>159</v>
      </c>
      <c r="B165" s="19" t="n"/>
      <c r="C165" s="23">
        <f>IF(B165="","",IFERROR(INDEX('01_자재목록'!$D$7:$D$106,MATCH(B165,'01_자재목록'!$B$7:$B$106,0))&amp;"","자재코드 확인"))</f>
        <v/>
      </c>
      <c r="D165" s="19" t="n"/>
      <c r="E165" s="19" t="n"/>
      <c r="F165" s="32" t="n"/>
      <c r="G165" s="32" t="n"/>
      <c r="H165" s="19" t="n"/>
      <c r="I165" s="19" t="n"/>
      <c r="J165" s="19" t="n"/>
      <c r="K165" s="33">
        <f>IF(OR(B165="",F165=""),"",IF(ISNUMBER(F165),F165-TODAY(),"날짜 확인"))</f>
        <v/>
      </c>
      <c r="L165" s="23">
        <f>IF(B165="",IF(OR(D165&lt;&gt;"",E165&lt;&gt;"",F165&lt;&gt;""),"자재코드 확인",""),IF(COUNTIF('01_자재목록'!$B$7:$B$106,B165)&lt;&gt;1,"자재코드 확인",IF(OR(J165="소진",J165="폐기"),J165,IF(AND(D165="",E165=""),"LOT 미입력",IF(F165="","미입력",IF(OR(NOT(ISNUMBER(F165)),F165&lt;1),"날짜 확인",IF(K165&lt;0,"만료",IF(K165&lt;=$I$4,"유효기간 임박","정상"))))))))</f>
        <v/>
      </c>
      <c r="M165" s="19" t="n"/>
      <c r="N165" s="19" t="n"/>
      <c r="O165" s="19" t="n"/>
      <c r="P165" s="27">
        <f>IF(B165="","",IF(COUNTIF('01_자재목록'!$B$7:$B$106,B165)&lt;&gt;1,"자재코드 확인",IF(INDEX('01_자재목록'!$R$7:$R$106,MATCH(B165,'01_자재목록'!$B$7:$B$106,0))="","구분 미입력",INDEX('01_자재목록'!$R$7:$R$106,MATCH(B165,'01_자재목록'!$B$7:$B$106,0)))))</f>
        <v/>
      </c>
    </row>
    <row r="166" ht="24" customHeight="1">
      <c r="A166" s="18" t="n">
        <v>160</v>
      </c>
      <c r="B166" s="19" t="n"/>
      <c r="C166" s="23">
        <f>IF(B166="","",IFERROR(INDEX('01_자재목록'!$D$7:$D$106,MATCH(B166,'01_자재목록'!$B$7:$B$106,0))&amp;"","자재코드 확인"))</f>
        <v/>
      </c>
      <c r="D166" s="19" t="n"/>
      <c r="E166" s="19" t="n"/>
      <c r="F166" s="32" t="n"/>
      <c r="G166" s="32" t="n"/>
      <c r="H166" s="19" t="n"/>
      <c r="I166" s="19" t="n"/>
      <c r="J166" s="19" t="n"/>
      <c r="K166" s="33">
        <f>IF(OR(B166="",F166=""),"",IF(ISNUMBER(F166),F166-TODAY(),"날짜 확인"))</f>
        <v/>
      </c>
      <c r="L166" s="23">
        <f>IF(B166="",IF(OR(D166&lt;&gt;"",E166&lt;&gt;"",F166&lt;&gt;""),"자재코드 확인",""),IF(COUNTIF('01_자재목록'!$B$7:$B$106,B166)&lt;&gt;1,"자재코드 확인",IF(OR(J166="소진",J166="폐기"),J166,IF(AND(D166="",E166=""),"LOT 미입력",IF(F166="","미입력",IF(OR(NOT(ISNUMBER(F166)),F166&lt;1),"날짜 확인",IF(K166&lt;0,"만료",IF(K166&lt;=$I$4,"유효기간 임박","정상"))))))))</f>
        <v/>
      </c>
      <c r="M166" s="19" t="n"/>
      <c r="N166" s="19" t="n"/>
      <c r="O166" s="19" t="n"/>
      <c r="P166" s="27">
        <f>IF(B166="","",IF(COUNTIF('01_자재목록'!$B$7:$B$106,B166)&lt;&gt;1,"자재코드 확인",IF(INDEX('01_자재목록'!$R$7:$R$106,MATCH(B166,'01_자재목록'!$B$7:$B$106,0))="","구분 미입력",INDEX('01_자재목록'!$R$7:$R$106,MATCH(B166,'01_자재목록'!$B$7:$B$106,0)))))</f>
        <v/>
      </c>
    </row>
    <row r="167" ht="24" customHeight="1">
      <c r="A167" s="18" t="n">
        <v>161</v>
      </c>
      <c r="B167" s="19" t="n"/>
      <c r="C167" s="23">
        <f>IF(B167="","",IFERROR(INDEX('01_자재목록'!$D$7:$D$106,MATCH(B167,'01_자재목록'!$B$7:$B$106,0))&amp;"","자재코드 확인"))</f>
        <v/>
      </c>
      <c r="D167" s="19" t="n"/>
      <c r="E167" s="19" t="n"/>
      <c r="F167" s="32" t="n"/>
      <c r="G167" s="32" t="n"/>
      <c r="H167" s="19" t="n"/>
      <c r="I167" s="19" t="n"/>
      <c r="J167" s="19" t="n"/>
      <c r="K167" s="33">
        <f>IF(OR(B167="",F167=""),"",IF(ISNUMBER(F167),F167-TODAY(),"날짜 확인"))</f>
        <v/>
      </c>
      <c r="L167" s="23">
        <f>IF(B167="",IF(OR(D167&lt;&gt;"",E167&lt;&gt;"",F167&lt;&gt;""),"자재코드 확인",""),IF(COUNTIF('01_자재목록'!$B$7:$B$106,B167)&lt;&gt;1,"자재코드 확인",IF(OR(J167="소진",J167="폐기"),J167,IF(AND(D167="",E167=""),"LOT 미입력",IF(F167="","미입력",IF(OR(NOT(ISNUMBER(F167)),F167&lt;1),"날짜 확인",IF(K167&lt;0,"만료",IF(K167&lt;=$I$4,"유효기간 임박","정상"))))))))</f>
        <v/>
      </c>
      <c r="M167" s="19" t="n"/>
      <c r="N167" s="19" t="n"/>
      <c r="O167" s="19" t="n"/>
      <c r="P167" s="27">
        <f>IF(B167="","",IF(COUNTIF('01_자재목록'!$B$7:$B$106,B167)&lt;&gt;1,"자재코드 확인",IF(INDEX('01_자재목록'!$R$7:$R$106,MATCH(B167,'01_자재목록'!$B$7:$B$106,0))="","구분 미입력",INDEX('01_자재목록'!$R$7:$R$106,MATCH(B167,'01_자재목록'!$B$7:$B$106,0)))))</f>
        <v/>
      </c>
    </row>
    <row r="168" ht="24" customHeight="1">
      <c r="A168" s="18" t="n">
        <v>162</v>
      </c>
      <c r="B168" s="19" t="n"/>
      <c r="C168" s="23">
        <f>IF(B168="","",IFERROR(INDEX('01_자재목록'!$D$7:$D$106,MATCH(B168,'01_자재목록'!$B$7:$B$106,0))&amp;"","자재코드 확인"))</f>
        <v/>
      </c>
      <c r="D168" s="19" t="n"/>
      <c r="E168" s="19" t="n"/>
      <c r="F168" s="32" t="n"/>
      <c r="G168" s="32" t="n"/>
      <c r="H168" s="19" t="n"/>
      <c r="I168" s="19" t="n"/>
      <c r="J168" s="19" t="n"/>
      <c r="K168" s="33">
        <f>IF(OR(B168="",F168=""),"",IF(ISNUMBER(F168),F168-TODAY(),"날짜 확인"))</f>
        <v/>
      </c>
      <c r="L168" s="23">
        <f>IF(B168="",IF(OR(D168&lt;&gt;"",E168&lt;&gt;"",F168&lt;&gt;""),"자재코드 확인",""),IF(COUNTIF('01_자재목록'!$B$7:$B$106,B168)&lt;&gt;1,"자재코드 확인",IF(OR(J168="소진",J168="폐기"),J168,IF(AND(D168="",E168=""),"LOT 미입력",IF(F168="","미입력",IF(OR(NOT(ISNUMBER(F168)),F168&lt;1),"날짜 확인",IF(K168&lt;0,"만료",IF(K168&lt;=$I$4,"유효기간 임박","정상"))))))))</f>
        <v/>
      </c>
      <c r="M168" s="19" t="n"/>
      <c r="N168" s="19" t="n"/>
      <c r="O168" s="19" t="n"/>
      <c r="P168" s="27">
        <f>IF(B168="","",IF(COUNTIF('01_자재목록'!$B$7:$B$106,B168)&lt;&gt;1,"자재코드 확인",IF(INDEX('01_자재목록'!$R$7:$R$106,MATCH(B168,'01_자재목록'!$B$7:$B$106,0))="","구분 미입력",INDEX('01_자재목록'!$R$7:$R$106,MATCH(B168,'01_자재목록'!$B$7:$B$106,0)))))</f>
        <v/>
      </c>
    </row>
    <row r="169" ht="24" customHeight="1">
      <c r="A169" s="18" t="n">
        <v>163</v>
      </c>
      <c r="B169" s="19" t="n"/>
      <c r="C169" s="23">
        <f>IF(B169="","",IFERROR(INDEX('01_자재목록'!$D$7:$D$106,MATCH(B169,'01_자재목록'!$B$7:$B$106,0))&amp;"","자재코드 확인"))</f>
        <v/>
      </c>
      <c r="D169" s="19" t="n"/>
      <c r="E169" s="19" t="n"/>
      <c r="F169" s="32" t="n"/>
      <c r="G169" s="32" t="n"/>
      <c r="H169" s="19" t="n"/>
      <c r="I169" s="19" t="n"/>
      <c r="J169" s="19" t="n"/>
      <c r="K169" s="33">
        <f>IF(OR(B169="",F169=""),"",IF(ISNUMBER(F169),F169-TODAY(),"날짜 확인"))</f>
        <v/>
      </c>
      <c r="L169" s="23">
        <f>IF(B169="",IF(OR(D169&lt;&gt;"",E169&lt;&gt;"",F169&lt;&gt;""),"자재코드 확인",""),IF(COUNTIF('01_자재목록'!$B$7:$B$106,B169)&lt;&gt;1,"자재코드 확인",IF(OR(J169="소진",J169="폐기"),J169,IF(AND(D169="",E169=""),"LOT 미입력",IF(F169="","미입력",IF(OR(NOT(ISNUMBER(F169)),F169&lt;1),"날짜 확인",IF(K169&lt;0,"만료",IF(K169&lt;=$I$4,"유효기간 임박","정상"))))))))</f>
        <v/>
      </c>
      <c r="M169" s="19" t="n"/>
      <c r="N169" s="19" t="n"/>
      <c r="O169" s="19" t="n"/>
      <c r="P169" s="27">
        <f>IF(B169="","",IF(COUNTIF('01_자재목록'!$B$7:$B$106,B169)&lt;&gt;1,"자재코드 확인",IF(INDEX('01_자재목록'!$R$7:$R$106,MATCH(B169,'01_자재목록'!$B$7:$B$106,0))="","구분 미입력",INDEX('01_자재목록'!$R$7:$R$106,MATCH(B169,'01_자재목록'!$B$7:$B$106,0)))))</f>
        <v/>
      </c>
    </row>
    <row r="170" ht="24" customHeight="1">
      <c r="A170" s="18" t="n">
        <v>164</v>
      </c>
      <c r="B170" s="19" t="n"/>
      <c r="C170" s="23">
        <f>IF(B170="","",IFERROR(INDEX('01_자재목록'!$D$7:$D$106,MATCH(B170,'01_자재목록'!$B$7:$B$106,0))&amp;"","자재코드 확인"))</f>
        <v/>
      </c>
      <c r="D170" s="19" t="n"/>
      <c r="E170" s="19" t="n"/>
      <c r="F170" s="32" t="n"/>
      <c r="G170" s="32" t="n"/>
      <c r="H170" s="19" t="n"/>
      <c r="I170" s="19" t="n"/>
      <c r="J170" s="19" t="n"/>
      <c r="K170" s="33">
        <f>IF(OR(B170="",F170=""),"",IF(ISNUMBER(F170),F170-TODAY(),"날짜 확인"))</f>
        <v/>
      </c>
      <c r="L170" s="23">
        <f>IF(B170="",IF(OR(D170&lt;&gt;"",E170&lt;&gt;"",F170&lt;&gt;""),"자재코드 확인",""),IF(COUNTIF('01_자재목록'!$B$7:$B$106,B170)&lt;&gt;1,"자재코드 확인",IF(OR(J170="소진",J170="폐기"),J170,IF(AND(D170="",E170=""),"LOT 미입력",IF(F170="","미입력",IF(OR(NOT(ISNUMBER(F170)),F170&lt;1),"날짜 확인",IF(K170&lt;0,"만료",IF(K170&lt;=$I$4,"유효기간 임박","정상"))))))))</f>
        <v/>
      </c>
      <c r="M170" s="19" t="n"/>
      <c r="N170" s="19" t="n"/>
      <c r="O170" s="19" t="n"/>
      <c r="P170" s="27">
        <f>IF(B170="","",IF(COUNTIF('01_자재목록'!$B$7:$B$106,B170)&lt;&gt;1,"자재코드 확인",IF(INDEX('01_자재목록'!$R$7:$R$106,MATCH(B170,'01_자재목록'!$B$7:$B$106,0))="","구분 미입력",INDEX('01_자재목록'!$R$7:$R$106,MATCH(B170,'01_자재목록'!$B$7:$B$106,0)))))</f>
        <v/>
      </c>
    </row>
    <row r="171" ht="24" customHeight="1">
      <c r="A171" s="18" t="n">
        <v>165</v>
      </c>
      <c r="B171" s="19" t="n"/>
      <c r="C171" s="23">
        <f>IF(B171="","",IFERROR(INDEX('01_자재목록'!$D$7:$D$106,MATCH(B171,'01_자재목록'!$B$7:$B$106,0))&amp;"","자재코드 확인"))</f>
        <v/>
      </c>
      <c r="D171" s="19" t="n"/>
      <c r="E171" s="19" t="n"/>
      <c r="F171" s="32" t="n"/>
      <c r="G171" s="32" t="n"/>
      <c r="H171" s="19" t="n"/>
      <c r="I171" s="19" t="n"/>
      <c r="J171" s="19" t="n"/>
      <c r="K171" s="33">
        <f>IF(OR(B171="",F171=""),"",IF(ISNUMBER(F171),F171-TODAY(),"날짜 확인"))</f>
        <v/>
      </c>
      <c r="L171" s="23">
        <f>IF(B171="",IF(OR(D171&lt;&gt;"",E171&lt;&gt;"",F171&lt;&gt;""),"자재코드 확인",""),IF(COUNTIF('01_자재목록'!$B$7:$B$106,B171)&lt;&gt;1,"자재코드 확인",IF(OR(J171="소진",J171="폐기"),J171,IF(AND(D171="",E171=""),"LOT 미입력",IF(F171="","미입력",IF(OR(NOT(ISNUMBER(F171)),F171&lt;1),"날짜 확인",IF(K171&lt;0,"만료",IF(K171&lt;=$I$4,"유효기간 임박","정상"))))))))</f>
        <v/>
      </c>
      <c r="M171" s="19" t="n"/>
      <c r="N171" s="19" t="n"/>
      <c r="O171" s="19" t="n"/>
      <c r="P171" s="27">
        <f>IF(B171="","",IF(COUNTIF('01_자재목록'!$B$7:$B$106,B171)&lt;&gt;1,"자재코드 확인",IF(INDEX('01_자재목록'!$R$7:$R$106,MATCH(B171,'01_자재목록'!$B$7:$B$106,0))="","구분 미입력",INDEX('01_자재목록'!$R$7:$R$106,MATCH(B171,'01_자재목록'!$B$7:$B$106,0)))))</f>
        <v/>
      </c>
    </row>
    <row r="172" ht="24" customHeight="1">
      <c r="A172" s="18" t="n">
        <v>166</v>
      </c>
      <c r="B172" s="19" t="n"/>
      <c r="C172" s="23">
        <f>IF(B172="","",IFERROR(INDEX('01_자재목록'!$D$7:$D$106,MATCH(B172,'01_자재목록'!$B$7:$B$106,0))&amp;"","자재코드 확인"))</f>
        <v/>
      </c>
      <c r="D172" s="19" t="n"/>
      <c r="E172" s="19" t="n"/>
      <c r="F172" s="32" t="n"/>
      <c r="G172" s="32" t="n"/>
      <c r="H172" s="19" t="n"/>
      <c r="I172" s="19" t="n"/>
      <c r="J172" s="19" t="n"/>
      <c r="K172" s="33">
        <f>IF(OR(B172="",F172=""),"",IF(ISNUMBER(F172),F172-TODAY(),"날짜 확인"))</f>
        <v/>
      </c>
      <c r="L172" s="23">
        <f>IF(B172="",IF(OR(D172&lt;&gt;"",E172&lt;&gt;"",F172&lt;&gt;""),"자재코드 확인",""),IF(COUNTIF('01_자재목록'!$B$7:$B$106,B172)&lt;&gt;1,"자재코드 확인",IF(OR(J172="소진",J172="폐기"),J172,IF(AND(D172="",E172=""),"LOT 미입력",IF(F172="","미입력",IF(OR(NOT(ISNUMBER(F172)),F172&lt;1),"날짜 확인",IF(K172&lt;0,"만료",IF(K172&lt;=$I$4,"유효기간 임박","정상"))))))))</f>
        <v/>
      </c>
      <c r="M172" s="19" t="n"/>
      <c r="N172" s="19" t="n"/>
      <c r="O172" s="19" t="n"/>
      <c r="P172" s="27">
        <f>IF(B172="","",IF(COUNTIF('01_자재목록'!$B$7:$B$106,B172)&lt;&gt;1,"자재코드 확인",IF(INDEX('01_자재목록'!$R$7:$R$106,MATCH(B172,'01_자재목록'!$B$7:$B$106,0))="","구분 미입력",INDEX('01_자재목록'!$R$7:$R$106,MATCH(B172,'01_자재목록'!$B$7:$B$106,0)))))</f>
        <v/>
      </c>
    </row>
    <row r="173" ht="24" customHeight="1">
      <c r="A173" s="18" t="n">
        <v>167</v>
      </c>
      <c r="B173" s="19" t="n"/>
      <c r="C173" s="23">
        <f>IF(B173="","",IFERROR(INDEX('01_자재목록'!$D$7:$D$106,MATCH(B173,'01_자재목록'!$B$7:$B$106,0))&amp;"","자재코드 확인"))</f>
        <v/>
      </c>
      <c r="D173" s="19" t="n"/>
      <c r="E173" s="19" t="n"/>
      <c r="F173" s="32" t="n"/>
      <c r="G173" s="32" t="n"/>
      <c r="H173" s="19" t="n"/>
      <c r="I173" s="19" t="n"/>
      <c r="J173" s="19" t="n"/>
      <c r="K173" s="33">
        <f>IF(OR(B173="",F173=""),"",IF(ISNUMBER(F173),F173-TODAY(),"날짜 확인"))</f>
        <v/>
      </c>
      <c r="L173" s="23">
        <f>IF(B173="",IF(OR(D173&lt;&gt;"",E173&lt;&gt;"",F173&lt;&gt;""),"자재코드 확인",""),IF(COUNTIF('01_자재목록'!$B$7:$B$106,B173)&lt;&gt;1,"자재코드 확인",IF(OR(J173="소진",J173="폐기"),J173,IF(AND(D173="",E173=""),"LOT 미입력",IF(F173="","미입력",IF(OR(NOT(ISNUMBER(F173)),F173&lt;1),"날짜 확인",IF(K173&lt;0,"만료",IF(K173&lt;=$I$4,"유효기간 임박","정상"))))))))</f>
        <v/>
      </c>
      <c r="M173" s="19" t="n"/>
      <c r="N173" s="19" t="n"/>
      <c r="O173" s="19" t="n"/>
      <c r="P173" s="27">
        <f>IF(B173="","",IF(COUNTIF('01_자재목록'!$B$7:$B$106,B173)&lt;&gt;1,"자재코드 확인",IF(INDEX('01_자재목록'!$R$7:$R$106,MATCH(B173,'01_자재목록'!$B$7:$B$106,0))="","구분 미입력",INDEX('01_자재목록'!$R$7:$R$106,MATCH(B173,'01_자재목록'!$B$7:$B$106,0)))))</f>
        <v/>
      </c>
    </row>
    <row r="174" ht="24" customHeight="1">
      <c r="A174" s="18" t="n">
        <v>168</v>
      </c>
      <c r="B174" s="19" t="n"/>
      <c r="C174" s="23">
        <f>IF(B174="","",IFERROR(INDEX('01_자재목록'!$D$7:$D$106,MATCH(B174,'01_자재목록'!$B$7:$B$106,0))&amp;"","자재코드 확인"))</f>
        <v/>
      </c>
      <c r="D174" s="19" t="n"/>
      <c r="E174" s="19" t="n"/>
      <c r="F174" s="32" t="n"/>
      <c r="G174" s="32" t="n"/>
      <c r="H174" s="19" t="n"/>
      <c r="I174" s="19" t="n"/>
      <c r="J174" s="19" t="n"/>
      <c r="K174" s="33">
        <f>IF(OR(B174="",F174=""),"",IF(ISNUMBER(F174),F174-TODAY(),"날짜 확인"))</f>
        <v/>
      </c>
      <c r="L174" s="23">
        <f>IF(B174="",IF(OR(D174&lt;&gt;"",E174&lt;&gt;"",F174&lt;&gt;""),"자재코드 확인",""),IF(COUNTIF('01_자재목록'!$B$7:$B$106,B174)&lt;&gt;1,"자재코드 확인",IF(OR(J174="소진",J174="폐기"),J174,IF(AND(D174="",E174=""),"LOT 미입력",IF(F174="","미입력",IF(OR(NOT(ISNUMBER(F174)),F174&lt;1),"날짜 확인",IF(K174&lt;0,"만료",IF(K174&lt;=$I$4,"유효기간 임박","정상"))))))))</f>
        <v/>
      </c>
      <c r="M174" s="19" t="n"/>
      <c r="N174" s="19" t="n"/>
      <c r="O174" s="19" t="n"/>
      <c r="P174" s="27">
        <f>IF(B174="","",IF(COUNTIF('01_자재목록'!$B$7:$B$106,B174)&lt;&gt;1,"자재코드 확인",IF(INDEX('01_자재목록'!$R$7:$R$106,MATCH(B174,'01_자재목록'!$B$7:$B$106,0))="","구분 미입력",INDEX('01_자재목록'!$R$7:$R$106,MATCH(B174,'01_자재목록'!$B$7:$B$106,0)))))</f>
        <v/>
      </c>
    </row>
    <row r="175" ht="24" customHeight="1">
      <c r="A175" s="18" t="n">
        <v>169</v>
      </c>
      <c r="B175" s="19" t="n"/>
      <c r="C175" s="23">
        <f>IF(B175="","",IFERROR(INDEX('01_자재목록'!$D$7:$D$106,MATCH(B175,'01_자재목록'!$B$7:$B$106,0))&amp;"","자재코드 확인"))</f>
        <v/>
      </c>
      <c r="D175" s="19" t="n"/>
      <c r="E175" s="19" t="n"/>
      <c r="F175" s="32" t="n"/>
      <c r="G175" s="32" t="n"/>
      <c r="H175" s="19" t="n"/>
      <c r="I175" s="19" t="n"/>
      <c r="J175" s="19" t="n"/>
      <c r="K175" s="33">
        <f>IF(OR(B175="",F175=""),"",IF(ISNUMBER(F175),F175-TODAY(),"날짜 확인"))</f>
        <v/>
      </c>
      <c r="L175" s="23">
        <f>IF(B175="",IF(OR(D175&lt;&gt;"",E175&lt;&gt;"",F175&lt;&gt;""),"자재코드 확인",""),IF(COUNTIF('01_자재목록'!$B$7:$B$106,B175)&lt;&gt;1,"자재코드 확인",IF(OR(J175="소진",J175="폐기"),J175,IF(AND(D175="",E175=""),"LOT 미입력",IF(F175="","미입력",IF(OR(NOT(ISNUMBER(F175)),F175&lt;1),"날짜 확인",IF(K175&lt;0,"만료",IF(K175&lt;=$I$4,"유효기간 임박","정상"))))))))</f>
        <v/>
      </c>
      <c r="M175" s="19" t="n"/>
      <c r="N175" s="19" t="n"/>
      <c r="O175" s="19" t="n"/>
      <c r="P175" s="27">
        <f>IF(B175="","",IF(COUNTIF('01_자재목록'!$B$7:$B$106,B175)&lt;&gt;1,"자재코드 확인",IF(INDEX('01_자재목록'!$R$7:$R$106,MATCH(B175,'01_자재목록'!$B$7:$B$106,0))="","구분 미입력",INDEX('01_자재목록'!$R$7:$R$106,MATCH(B175,'01_자재목록'!$B$7:$B$106,0)))))</f>
        <v/>
      </c>
    </row>
    <row r="176" ht="24" customHeight="1">
      <c r="A176" s="18" t="n">
        <v>170</v>
      </c>
      <c r="B176" s="19" t="n"/>
      <c r="C176" s="23">
        <f>IF(B176="","",IFERROR(INDEX('01_자재목록'!$D$7:$D$106,MATCH(B176,'01_자재목록'!$B$7:$B$106,0))&amp;"","자재코드 확인"))</f>
        <v/>
      </c>
      <c r="D176" s="19" t="n"/>
      <c r="E176" s="19" t="n"/>
      <c r="F176" s="32" t="n"/>
      <c r="G176" s="32" t="n"/>
      <c r="H176" s="19" t="n"/>
      <c r="I176" s="19" t="n"/>
      <c r="J176" s="19" t="n"/>
      <c r="K176" s="33">
        <f>IF(OR(B176="",F176=""),"",IF(ISNUMBER(F176),F176-TODAY(),"날짜 확인"))</f>
        <v/>
      </c>
      <c r="L176" s="23">
        <f>IF(B176="",IF(OR(D176&lt;&gt;"",E176&lt;&gt;"",F176&lt;&gt;""),"자재코드 확인",""),IF(COUNTIF('01_자재목록'!$B$7:$B$106,B176)&lt;&gt;1,"자재코드 확인",IF(OR(J176="소진",J176="폐기"),J176,IF(AND(D176="",E176=""),"LOT 미입력",IF(F176="","미입력",IF(OR(NOT(ISNUMBER(F176)),F176&lt;1),"날짜 확인",IF(K176&lt;0,"만료",IF(K176&lt;=$I$4,"유효기간 임박","정상"))))))))</f>
        <v/>
      </c>
      <c r="M176" s="19" t="n"/>
      <c r="N176" s="19" t="n"/>
      <c r="O176" s="19" t="n"/>
      <c r="P176" s="27">
        <f>IF(B176="","",IF(COUNTIF('01_자재목록'!$B$7:$B$106,B176)&lt;&gt;1,"자재코드 확인",IF(INDEX('01_자재목록'!$R$7:$R$106,MATCH(B176,'01_자재목록'!$B$7:$B$106,0))="","구분 미입력",INDEX('01_자재목록'!$R$7:$R$106,MATCH(B176,'01_자재목록'!$B$7:$B$106,0)))))</f>
        <v/>
      </c>
    </row>
    <row r="177" ht="24" customHeight="1">
      <c r="A177" s="18" t="n">
        <v>171</v>
      </c>
      <c r="B177" s="19" t="n"/>
      <c r="C177" s="23">
        <f>IF(B177="","",IFERROR(INDEX('01_자재목록'!$D$7:$D$106,MATCH(B177,'01_자재목록'!$B$7:$B$106,0))&amp;"","자재코드 확인"))</f>
        <v/>
      </c>
      <c r="D177" s="19" t="n"/>
      <c r="E177" s="19" t="n"/>
      <c r="F177" s="32" t="n"/>
      <c r="G177" s="32" t="n"/>
      <c r="H177" s="19" t="n"/>
      <c r="I177" s="19" t="n"/>
      <c r="J177" s="19" t="n"/>
      <c r="K177" s="33">
        <f>IF(OR(B177="",F177=""),"",IF(ISNUMBER(F177),F177-TODAY(),"날짜 확인"))</f>
        <v/>
      </c>
      <c r="L177" s="23">
        <f>IF(B177="",IF(OR(D177&lt;&gt;"",E177&lt;&gt;"",F177&lt;&gt;""),"자재코드 확인",""),IF(COUNTIF('01_자재목록'!$B$7:$B$106,B177)&lt;&gt;1,"자재코드 확인",IF(OR(J177="소진",J177="폐기"),J177,IF(AND(D177="",E177=""),"LOT 미입력",IF(F177="","미입력",IF(OR(NOT(ISNUMBER(F177)),F177&lt;1),"날짜 확인",IF(K177&lt;0,"만료",IF(K177&lt;=$I$4,"유효기간 임박","정상"))))))))</f>
        <v/>
      </c>
      <c r="M177" s="19" t="n"/>
      <c r="N177" s="19" t="n"/>
      <c r="O177" s="19" t="n"/>
      <c r="P177" s="27">
        <f>IF(B177="","",IF(COUNTIF('01_자재목록'!$B$7:$B$106,B177)&lt;&gt;1,"자재코드 확인",IF(INDEX('01_자재목록'!$R$7:$R$106,MATCH(B177,'01_자재목록'!$B$7:$B$106,0))="","구분 미입력",INDEX('01_자재목록'!$R$7:$R$106,MATCH(B177,'01_자재목록'!$B$7:$B$106,0)))))</f>
        <v/>
      </c>
    </row>
    <row r="178" ht="24" customHeight="1">
      <c r="A178" s="18" t="n">
        <v>172</v>
      </c>
      <c r="B178" s="19" t="n"/>
      <c r="C178" s="23">
        <f>IF(B178="","",IFERROR(INDEX('01_자재목록'!$D$7:$D$106,MATCH(B178,'01_자재목록'!$B$7:$B$106,0))&amp;"","자재코드 확인"))</f>
        <v/>
      </c>
      <c r="D178" s="19" t="n"/>
      <c r="E178" s="19" t="n"/>
      <c r="F178" s="32" t="n"/>
      <c r="G178" s="32" t="n"/>
      <c r="H178" s="19" t="n"/>
      <c r="I178" s="19" t="n"/>
      <c r="J178" s="19" t="n"/>
      <c r="K178" s="33">
        <f>IF(OR(B178="",F178=""),"",IF(ISNUMBER(F178),F178-TODAY(),"날짜 확인"))</f>
        <v/>
      </c>
      <c r="L178" s="23">
        <f>IF(B178="",IF(OR(D178&lt;&gt;"",E178&lt;&gt;"",F178&lt;&gt;""),"자재코드 확인",""),IF(COUNTIF('01_자재목록'!$B$7:$B$106,B178)&lt;&gt;1,"자재코드 확인",IF(OR(J178="소진",J178="폐기"),J178,IF(AND(D178="",E178=""),"LOT 미입력",IF(F178="","미입력",IF(OR(NOT(ISNUMBER(F178)),F178&lt;1),"날짜 확인",IF(K178&lt;0,"만료",IF(K178&lt;=$I$4,"유효기간 임박","정상"))))))))</f>
        <v/>
      </c>
      <c r="M178" s="19" t="n"/>
      <c r="N178" s="19" t="n"/>
      <c r="O178" s="19" t="n"/>
      <c r="P178" s="27">
        <f>IF(B178="","",IF(COUNTIF('01_자재목록'!$B$7:$B$106,B178)&lt;&gt;1,"자재코드 확인",IF(INDEX('01_자재목록'!$R$7:$R$106,MATCH(B178,'01_자재목록'!$B$7:$B$106,0))="","구분 미입력",INDEX('01_자재목록'!$R$7:$R$106,MATCH(B178,'01_자재목록'!$B$7:$B$106,0)))))</f>
        <v/>
      </c>
    </row>
    <row r="179" ht="24" customHeight="1">
      <c r="A179" s="18" t="n">
        <v>173</v>
      </c>
      <c r="B179" s="19" t="n"/>
      <c r="C179" s="23">
        <f>IF(B179="","",IFERROR(INDEX('01_자재목록'!$D$7:$D$106,MATCH(B179,'01_자재목록'!$B$7:$B$106,0))&amp;"","자재코드 확인"))</f>
        <v/>
      </c>
      <c r="D179" s="19" t="n"/>
      <c r="E179" s="19" t="n"/>
      <c r="F179" s="32" t="n"/>
      <c r="G179" s="32" t="n"/>
      <c r="H179" s="19" t="n"/>
      <c r="I179" s="19" t="n"/>
      <c r="J179" s="19" t="n"/>
      <c r="K179" s="33">
        <f>IF(OR(B179="",F179=""),"",IF(ISNUMBER(F179),F179-TODAY(),"날짜 확인"))</f>
        <v/>
      </c>
      <c r="L179" s="23">
        <f>IF(B179="",IF(OR(D179&lt;&gt;"",E179&lt;&gt;"",F179&lt;&gt;""),"자재코드 확인",""),IF(COUNTIF('01_자재목록'!$B$7:$B$106,B179)&lt;&gt;1,"자재코드 확인",IF(OR(J179="소진",J179="폐기"),J179,IF(AND(D179="",E179=""),"LOT 미입력",IF(F179="","미입력",IF(OR(NOT(ISNUMBER(F179)),F179&lt;1),"날짜 확인",IF(K179&lt;0,"만료",IF(K179&lt;=$I$4,"유효기간 임박","정상"))))))))</f>
        <v/>
      </c>
      <c r="M179" s="19" t="n"/>
      <c r="N179" s="19" t="n"/>
      <c r="O179" s="19" t="n"/>
      <c r="P179" s="27">
        <f>IF(B179="","",IF(COUNTIF('01_자재목록'!$B$7:$B$106,B179)&lt;&gt;1,"자재코드 확인",IF(INDEX('01_자재목록'!$R$7:$R$106,MATCH(B179,'01_자재목록'!$B$7:$B$106,0))="","구분 미입력",INDEX('01_자재목록'!$R$7:$R$106,MATCH(B179,'01_자재목록'!$B$7:$B$106,0)))))</f>
        <v/>
      </c>
    </row>
    <row r="180" ht="24" customHeight="1">
      <c r="A180" s="18" t="n">
        <v>174</v>
      </c>
      <c r="B180" s="19" t="n"/>
      <c r="C180" s="23">
        <f>IF(B180="","",IFERROR(INDEX('01_자재목록'!$D$7:$D$106,MATCH(B180,'01_자재목록'!$B$7:$B$106,0))&amp;"","자재코드 확인"))</f>
        <v/>
      </c>
      <c r="D180" s="19" t="n"/>
      <c r="E180" s="19" t="n"/>
      <c r="F180" s="32" t="n"/>
      <c r="G180" s="32" t="n"/>
      <c r="H180" s="19" t="n"/>
      <c r="I180" s="19" t="n"/>
      <c r="J180" s="19" t="n"/>
      <c r="K180" s="33">
        <f>IF(OR(B180="",F180=""),"",IF(ISNUMBER(F180),F180-TODAY(),"날짜 확인"))</f>
        <v/>
      </c>
      <c r="L180" s="23">
        <f>IF(B180="",IF(OR(D180&lt;&gt;"",E180&lt;&gt;"",F180&lt;&gt;""),"자재코드 확인",""),IF(COUNTIF('01_자재목록'!$B$7:$B$106,B180)&lt;&gt;1,"자재코드 확인",IF(OR(J180="소진",J180="폐기"),J180,IF(AND(D180="",E180=""),"LOT 미입력",IF(F180="","미입력",IF(OR(NOT(ISNUMBER(F180)),F180&lt;1),"날짜 확인",IF(K180&lt;0,"만료",IF(K180&lt;=$I$4,"유효기간 임박","정상"))))))))</f>
        <v/>
      </c>
      <c r="M180" s="19" t="n"/>
      <c r="N180" s="19" t="n"/>
      <c r="O180" s="19" t="n"/>
      <c r="P180" s="27">
        <f>IF(B180="","",IF(COUNTIF('01_자재목록'!$B$7:$B$106,B180)&lt;&gt;1,"자재코드 확인",IF(INDEX('01_자재목록'!$R$7:$R$106,MATCH(B180,'01_자재목록'!$B$7:$B$106,0))="","구분 미입력",INDEX('01_자재목록'!$R$7:$R$106,MATCH(B180,'01_자재목록'!$B$7:$B$106,0)))))</f>
        <v/>
      </c>
    </row>
    <row r="181" ht="24" customHeight="1">
      <c r="A181" s="18" t="n">
        <v>175</v>
      </c>
      <c r="B181" s="19" t="n"/>
      <c r="C181" s="23">
        <f>IF(B181="","",IFERROR(INDEX('01_자재목록'!$D$7:$D$106,MATCH(B181,'01_자재목록'!$B$7:$B$106,0))&amp;"","자재코드 확인"))</f>
        <v/>
      </c>
      <c r="D181" s="19" t="n"/>
      <c r="E181" s="19" t="n"/>
      <c r="F181" s="32" t="n"/>
      <c r="G181" s="32" t="n"/>
      <c r="H181" s="19" t="n"/>
      <c r="I181" s="19" t="n"/>
      <c r="J181" s="19" t="n"/>
      <c r="K181" s="33">
        <f>IF(OR(B181="",F181=""),"",IF(ISNUMBER(F181),F181-TODAY(),"날짜 확인"))</f>
        <v/>
      </c>
      <c r="L181" s="23">
        <f>IF(B181="",IF(OR(D181&lt;&gt;"",E181&lt;&gt;"",F181&lt;&gt;""),"자재코드 확인",""),IF(COUNTIF('01_자재목록'!$B$7:$B$106,B181)&lt;&gt;1,"자재코드 확인",IF(OR(J181="소진",J181="폐기"),J181,IF(AND(D181="",E181=""),"LOT 미입력",IF(F181="","미입력",IF(OR(NOT(ISNUMBER(F181)),F181&lt;1),"날짜 확인",IF(K181&lt;0,"만료",IF(K181&lt;=$I$4,"유효기간 임박","정상"))))))))</f>
        <v/>
      </c>
      <c r="M181" s="19" t="n"/>
      <c r="N181" s="19" t="n"/>
      <c r="O181" s="19" t="n"/>
      <c r="P181" s="27">
        <f>IF(B181="","",IF(COUNTIF('01_자재목록'!$B$7:$B$106,B181)&lt;&gt;1,"자재코드 확인",IF(INDEX('01_자재목록'!$R$7:$R$106,MATCH(B181,'01_자재목록'!$B$7:$B$106,0))="","구분 미입력",INDEX('01_자재목록'!$R$7:$R$106,MATCH(B181,'01_자재목록'!$B$7:$B$106,0)))))</f>
        <v/>
      </c>
    </row>
    <row r="182" ht="24" customHeight="1">
      <c r="A182" s="18" t="n">
        <v>176</v>
      </c>
      <c r="B182" s="19" t="n"/>
      <c r="C182" s="23">
        <f>IF(B182="","",IFERROR(INDEX('01_자재목록'!$D$7:$D$106,MATCH(B182,'01_자재목록'!$B$7:$B$106,0))&amp;"","자재코드 확인"))</f>
        <v/>
      </c>
      <c r="D182" s="19" t="n"/>
      <c r="E182" s="19" t="n"/>
      <c r="F182" s="32" t="n"/>
      <c r="G182" s="32" t="n"/>
      <c r="H182" s="19" t="n"/>
      <c r="I182" s="19" t="n"/>
      <c r="J182" s="19" t="n"/>
      <c r="K182" s="33">
        <f>IF(OR(B182="",F182=""),"",IF(ISNUMBER(F182),F182-TODAY(),"날짜 확인"))</f>
        <v/>
      </c>
      <c r="L182" s="23">
        <f>IF(B182="",IF(OR(D182&lt;&gt;"",E182&lt;&gt;"",F182&lt;&gt;""),"자재코드 확인",""),IF(COUNTIF('01_자재목록'!$B$7:$B$106,B182)&lt;&gt;1,"자재코드 확인",IF(OR(J182="소진",J182="폐기"),J182,IF(AND(D182="",E182=""),"LOT 미입력",IF(F182="","미입력",IF(OR(NOT(ISNUMBER(F182)),F182&lt;1),"날짜 확인",IF(K182&lt;0,"만료",IF(K182&lt;=$I$4,"유효기간 임박","정상"))))))))</f>
        <v/>
      </c>
      <c r="M182" s="19" t="n"/>
      <c r="N182" s="19" t="n"/>
      <c r="O182" s="19" t="n"/>
      <c r="P182" s="27">
        <f>IF(B182="","",IF(COUNTIF('01_자재목록'!$B$7:$B$106,B182)&lt;&gt;1,"자재코드 확인",IF(INDEX('01_자재목록'!$R$7:$R$106,MATCH(B182,'01_자재목록'!$B$7:$B$106,0))="","구분 미입력",INDEX('01_자재목록'!$R$7:$R$106,MATCH(B182,'01_자재목록'!$B$7:$B$106,0)))))</f>
        <v/>
      </c>
    </row>
    <row r="183" ht="24" customHeight="1">
      <c r="A183" s="18" t="n">
        <v>177</v>
      </c>
      <c r="B183" s="19" t="n"/>
      <c r="C183" s="23">
        <f>IF(B183="","",IFERROR(INDEX('01_자재목록'!$D$7:$D$106,MATCH(B183,'01_자재목록'!$B$7:$B$106,0))&amp;"","자재코드 확인"))</f>
        <v/>
      </c>
      <c r="D183" s="19" t="n"/>
      <c r="E183" s="19" t="n"/>
      <c r="F183" s="32" t="n"/>
      <c r="G183" s="32" t="n"/>
      <c r="H183" s="19" t="n"/>
      <c r="I183" s="19" t="n"/>
      <c r="J183" s="19" t="n"/>
      <c r="K183" s="33">
        <f>IF(OR(B183="",F183=""),"",IF(ISNUMBER(F183),F183-TODAY(),"날짜 확인"))</f>
        <v/>
      </c>
      <c r="L183" s="23">
        <f>IF(B183="",IF(OR(D183&lt;&gt;"",E183&lt;&gt;"",F183&lt;&gt;""),"자재코드 확인",""),IF(COUNTIF('01_자재목록'!$B$7:$B$106,B183)&lt;&gt;1,"자재코드 확인",IF(OR(J183="소진",J183="폐기"),J183,IF(AND(D183="",E183=""),"LOT 미입력",IF(F183="","미입력",IF(OR(NOT(ISNUMBER(F183)),F183&lt;1),"날짜 확인",IF(K183&lt;0,"만료",IF(K183&lt;=$I$4,"유효기간 임박","정상"))))))))</f>
        <v/>
      </c>
      <c r="M183" s="19" t="n"/>
      <c r="N183" s="19" t="n"/>
      <c r="O183" s="19" t="n"/>
      <c r="P183" s="27">
        <f>IF(B183="","",IF(COUNTIF('01_자재목록'!$B$7:$B$106,B183)&lt;&gt;1,"자재코드 확인",IF(INDEX('01_자재목록'!$R$7:$R$106,MATCH(B183,'01_자재목록'!$B$7:$B$106,0))="","구분 미입력",INDEX('01_자재목록'!$R$7:$R$106,MATCH(B183,'01_자재목록'!$B$7:$B$106,0)))))</f>
        <v/>
      </c>
    </row>
    <row r="184" ht="24" customHeight="1">
      <c r="A184" s="18" t="n">
        <v>178</v>
      </c>
      <c r="B184" s="19" t="n"/>
      <c r="C184" s="23">
        <f>IF(B184="","",IFERROR(INDEX('01_자재목록'!$D$7:$D$106,MATCH(B184,'01_자재목록'!$B$7:$B$106,0))&amp;"","자재코드 확인"))</f>
        <v/>
      </c>
      <c r="D184" s="19" t="n"/>
      <c r="E184" s="19" t="n"/>
      <c r="F184" s="32" t="n"/>
      <c r="G184" s="32" t="n"/>
      <c r="H184" s="19" t="n"/>
      <c r="I184" s="19" t="n"/>
      <c r="J184" s="19" t="n"/>
      <c r="K184" s="33">
        <f>IF(OR(B184="",F184=""),"",IF(ISNUMBER(F184),F184-TODAY(),"날짜 확인"))</f>
        <v/>
      </c>
      <c r="L184" s="23">
        <f>IF(B184="",IF(OR(D184&lt;&gt;"",E184&lt;&gt;"",F184&lt;&gt;""),"자재코드 확인",""),IF(COUNTIF('01_자재목록'!$B$7:$B$106,B184)&lt;&gt;1,"자재코드 확인",IF(OR(J184="소진",J184="폐기"),J184,IF(AND(D184="",E184=""),"LOT 미입력",IF(F184="","미입력",IF(OR(NOT(ISNUMBER(F184)),F184&lt;1),"날짜 확인",IF(K184&lt;0,"만료",IF(K184&lt;=$I$4,"유효기간 임박","정상"))))))))</f>
        <v/>
      </c>
      <c r="M184" s="19" t="n"/>
      <c r="N184" s="19" t="n"/>
      <c r="O184" s="19" t="n"/>
      <c r="P184" s="27">
        <f>IF(B184="","",IF(COUNTIF('01_자재목록'!$B$7:$B$106,B184)&lt;&gt;1,"자재코드 확인",IF(INDEX('01_자재목록'!$R$7:$R$106,MATCH(B184,'01_자재목록'!$B$7:$B$106,0))="","구분 미입력",INDEX('01_자재목록'!$R$7:$R$106,MATCH(B184,'01_자재목록'!$B$7:$B$106,0)))))</f>
        <v/>
      </c>
    </row>
    <row r="185" ht="24" customHeight="1">
      <c r="A185" s="18" t="n">
        <v>179</v>
      </c>
      <c r="B185" s="19" t="n"/>
      <c r="C185" s="23">
        <f>IF(B185="","",IFERROR(INDEX('01_자재목록'!$D$7:$D$106,MATCH(B185,'01_자재목록'!$B$7:$B$106,0))&amp;"","자재코드 확인"))</f>
        <v/>
      </c>
      <c r="D185" s="19" t="n"/>
      <c r="E185" s="19" t="n"/>
      <c r="F185" s="32" t="n"/>
      <c r="G185" s="32" t="n"/>
      <c r="H185" s="19" t="n"/>
      <c r="I185" s="19" t="n"/>
      <c r="J185" s="19" t="n"/>
      <c r="K185" s="33">
        <f>IF(OR(B185="",F185=""),"",IF(ISNUMBER(F185),F185-TODAY(),"날짜 확인"))</f>
        <v/>
      </c>
      <c r="L185" s="23">
        <f>IF(B185="",IF(OR(D185&lt;&gt;"",E185&lt;&gt;"",F185&lt;&gt;""),"자재코드 확인",""),IF(COUNTIF('01_자재목록'!$B$7:$B$106,B185)&lt;&gt;1,"자재코드 확인",IF(OR(J185="소진",J185="폐기"),J185,IF(AND(D185="",E185=""),"LOT 미입력",IF(F185="","미입력",IF(OR(NOT(ISNUMBER(F185)),F185&lt;1),"날짜 확인",IF(K185&lt;0,"만료",IF(K185&lt;=$I$4,"유효기간 임박","정상"))))))))</f>
        <v/>
      </c>
      <c r="M185" s="19" t="n"/>
      <c r="N185" s="19" t="n"/>
      <c r="O185" s="19" t="n"/>
      <c r="P185" s="27">
        <f>IF(B185="","",IF(COUNTIF('01_자재목록'!$B$7:$B$106,B185)&lt;&gt;1,"자재코드 확인",IF(INDEX('01_자재목록'!$R$7:$R$106,MATCH(B185,'01_자재목록'!$B$7:$B$106,0))="","구분 미입력",INDEX('01_자재목록'!$R$7:$R$106,MATCH(B185,'01_자재목록'!$B$7:$B$106,0)))))</f>
        <v/>
      </c>
    </row>
    <row r="186" ht="24" customHeight="1">
      <c r="A186" s="18" t="n">
        <v>180</v>
      </c>
      <c r="B186" s="19" t="n"/>
      <c r="C186" s="23">
        <f>IF(B186="","",IFERROR(INDEX('01_자재목록'!$D$7:$D$106,MATCH(B186,'01_자재목록'!$B$7:$B$106,0))&amp;"","자재코드 확인"))</f>
        <v/>
      </c>
      <c r="D186" s="19" t="n"/>
      <c r="E186" s="19" t="n"/>
      <c r="F186" s="32" t="n"/>
      <c r="G186" s="32" t="n"/>
      <c r="H186" s="19" t="n"/>
      <c r="I186" s="19" t="n"/>
      <c r="J186" s="19" t="n"/>
      <c r="K186" s="33">
        <f>IF(OR(B186="",F186=""),"",IF(ISNUMBER(F186),F186-TODAY(),"날짜 확인"))</f>
        <v/>
      </c>
      <c r="L186" s="23">
        <f>IF(B186="",IF(OR(D186&lt;&gt;"",E186&lt;&gt;"",F186&lt;&gt;""),"자재코드 확인",""),IF(COUNTIF('01_자재목록'!$B$7:$B$106,B186)&lt;&gt;1,"자재코드 확인",IF(OR(J186="소진",J186="폐기"),J186,IF(AND(D186="",E186=""),"LOT 미입력",IF(F186="","미입력",IF(OR(NOT(ISNUMBER(F186)),F186&lt;1),"날짜 확인",IF(K186&lt;0,"만료",IF(K186&lt;=$I$4,"유효기간 임박","정상"))))))))</f>
        <v/>
      </c>
      <c r="M186" s="19" t="n"/>
      <c r="N186" s="19" t="n"/>
      <c r="O186" s="19" t="n"/>
      <c r="P186" s="27">
        <f>IF(B186="","",IF(COUNTIF('01_자재목록'!$B$7:$B$106,B186)&lt;&gt;1,"자재코드 확인",IF(INDEX('01_자재목록'!$R$7:$R$106,MATCH(B186,'01_자재목록'!$B$7:$B$106,0))="","구분 미입력",INDEX('01_자재목록'!$R$7:$R$106,MATCH(B186,'01_자재목록'!$B$7:$B$106,0)))))</f>
        <v/>
      </c>
    </row>
    <row r="187" ht="24" customHeight="1">
      <c r="A187" s="18" t="n">
        <v>181</v>
      </c>
      <c r="B187" s="19" t="n"/>
      <c r="C187" s="23">
        <f>IF(B187="","",IFERROR(INDEX('01_자재목록'!$D$7:$D$106,MATCH(B187,'01_자재목록'!$B$7:$B$106,0))&amp;"","자재코드 확인"))</f>
        <v/>
      </c>
      <c r="D187" s="19" t="n"/>
      <c r="E187" s="19" t="n"/>
      <c r="F187" s="32" t="n"/>
      <c r="G187" s="32" t="n"/>
      <c r="H187" s="19" t="n"/>
      <c r="I187" s="19" t="n"/>
      <c r="J187" s="19" t="n"/>
      <c r="K187" s="33">
        <f>IF(OR(B187="",F187=""),"",IF(ISNUMBER(F187),F187-TODAY(),"날짜 확인"))</f>
        <v/>
      </c>
      <c r="L187" s="23">
        <f>IF(B187="",IF(OR(D187&lt;&gt;"",E187&lt;&gt;"",F187&lt;&gt;""),"자재코드 확인",""),IF(COUNTIF('01_자재목록'!$B$7:$B$106,B187)&lt;&gt;1,"자재코드 확인",IF(OR(J187="소진",J187="폐기"),J187,IF(AND(D187="",E187=""),"LOT 미입력",IF(F187="","미입력",IF(OR(NOT(ISNUMBER(F187)),F187&lt;1),"날짜 확인",IF(K187&lt;0,"만료",IF(K187&lt;=$I$4,"유효기간 임박","정상"))))))))</f>
        <v/>
      </c>
      <c r="M187" s="19" t="n"/>
      <c r="N187" s="19" t="n"/>
      <c r="O187" s="19" t="n"/>
      <c r="P187" s="27">
        <f>IF(B187="","",IF(COUNTIF('01_자재목록'!$B$7:$B$106,B187)&lt;&gt;1,"자재코드 확인",IF(INDEX('01_자재목록'!$R$7:$R$106,MATCH(B187,'01_자재목록'!$B$7:$B$106,0))="","구분 미입력",INDEX('01_자재목록'!$R$7:$R$106,MATCH(B187,'01_자재목록'!$B$7:$B$106,0)))))</f>
        <v/>
      </c>
    </row>
    <row r="188" ht="24" customHeight="1">
      <c r="A188" s="18" t="n">
        <v>182</v>
      </c>
      <c r="B188" s="19" t="n"/>
      <c r="C188" s="23">
        <f>IF(B188="","",IFERROR(INDEX('01_자재목록'!$D$7:$D$106,MATCH(B188,'01_자재목록'!$B$7:$B$106,0))&amp;"","자재코드 확인"))</f>
        <v/>
      </c>
      <c r="D188" s="19" t="n"/>
      <c r="E188" s="19" t="n"/>
      <c r="F188" s="32" t="n"/>
      <c r="G188" s="32" t="n"/>
      <c r="H188" s="19" t="n"/>
      <c r="I188" s="19" t="n"/>
      <c r="J188" s="19" t="n"/>
      <c r="K188" s="33">
        <f>IF(OR(B188="",F188=""),"",IF(ISNUMBER(F188),F188-TODAY(),"날짜 확인"))</f>
        <v/>
      </c>
      <c r="L188" s="23">
        <f>IF(B188="",IF(OR(D188&lt;&gt;"",E188&lt;&gt;"",F188&lt;&gt;""),"자재코드 확인",""),IF(COUNTIF('01_자재목록'!$B$7:$B$106,B188)&lt;&gt;1,"자재코드 확인",IF(OR(J188="소진",J188="폐기"),J188,IF(AND(D188="",E188=""),"LOT 미입력",IF(F188="","미입력",IF(OR(NOT(ISNUMBER(F188)),F188&lt;1),"날짜 확인",IF(K188&lt;0,"만료",IF(K188&lt;=$I$4,"유효기간 임박","정상"))))))))</f>
        <v/>
      </c>
      <c r="M188" s="19" t="n"/>
      <c r="N188" s="19" t="n"/>
      <c r="O188" s="19" t="n"/>
      <c r="P188" s="27">
        <f>IF(B188="","",IF(COUNTIF('01_자재목록'!$B$7:$B$106,B188)&lt;&gt;1,"자재코드 확인",IF(INDEX('01_자재목록'!$R$7:$R$106,MATCH(B188,'01_자재목록'!$B$7:$B$106,0))="","구분 미입력",INDEX('01_자재목록'!$R$7:$R$106,MATCH(B188,'01_자재목록'!$B$7:$B$106,0)))))</f>
        <v/>
      </c>
    </row>
    <row r="189" ht="24" customHeight="1">
      <c r="A189" s="18" t="n">
        <v>183</v>
      </c>
      <c r="B189" s="19" t="n"/>
      <c r="C189" s="23">
        <f>IF(B189="","",IFERROR(INDEX('01_자재목록'!$D$7:$D$106,MATCH(B189,'01_자재목록'!$B$7:$B$106,0))&amp;"","자재코드 확인"))</f>
        <v/>
      </c>
      <c r="D189" s="19" t="n"/>
      <c r="E189" s="19" t="n"/>
      <c r="F189" s="32" t="n"/>
      <c r="G189" s="32" t="n"/>
      <c r="H189" s="19" t="n"/>
      <c r="I189" s="19" t="n"/>
      <c r="J189" s="19" t="n"/>
      <c r="K189" s="33">
        <f>IF(OR(B189="",F189=""),"",IF(ISNUMBER(F189),F189-TODAY(),"날짜 확인"))</f>
        <v/>
      </c>
      <c r="L189" s="23">
        <f>IF(B189="",IF(OR(D189&lt;&gt;"",E189&lt;&gt;"",F189&lt;&gt;""),"자재코드 확인",""),IF(COUNTIF('01_자재목록'!$B$7:$B$106,B189)&lt;&gt;1,"자재코드 확인",IF(OR(J189="소진",J189="폐기"),J189,IF(AND(D189="",E189=""),"LOT 미입력",IF(F189="","미입력",IF(OR(NOT(ISNUMBER(F189)),F189&lt;1),"날짜 확인",IF(K189&lt;0,"만료",IF(K189&lt;=$I$4,"유효기간 임박","정상"))))))))</f>
        <v/>
      </c>
      <c r="M189" s="19" t="n"/>
      <c r="N189" s="19" t="n"/>
      <c r="O189" s="19" t="n"/>
      <c r="P189" s="27">
        <f>IF(B189="","",IF(COUNTIF('01_자재목록'!$B$7:$B$106,B189)&lt;&gt;1,"자재코드 확인",IF(INDEX('01_자재목록'!$R$7:$R$106,MATCH(B189,'01_자재목록'!$B$7:$B$106,0))="","구분 미입력",INDEX('01_자재목록'!$R$7:$R$106,MATCH(B189,'01_자재목록'!$B$7:$B$106,0)))))</f>
        <v/>
      </c>
    </row>
    <row r="190" ht="24" customHeight="1">
      <c r="A190" s="18" t="n">
        <v>184</v>
      </c>
      <c r="B190" s="19" t="n"/>
      <c r="C190" s="23">
        <f>IF(B190="","",IFERROR(INDEX('01_자재목록'!$D$7:$D$106,MATCH(B190,'01_자재목록'!$B$7:$B$106,0))&amp;"","자재코드 확인"))</f>
        <v/>
      </c>
      <c r="D190" s="19" t="n"/>
      <c r="E190" s="19" t="n"/>
      <c r="F190" s="32" t="n"/>
      <c r="G190" s="32" t="n"/>
      <c r="H190" s="19" t="n"/>
      <c r="I190" s="19" t="n"/>
      <c r="J190" s="19" t="n"/>
      <c r="K190" s="33">
        <f>IF(OR(B190="",F190=""),"",IF(ISNUMBER(F190),F190-TODAY(),"날짜 확인"))</f>
        <v/>
      </c>
      <c r="L190" s="23">
        <f>IF(B190="",IF(OR(D190&lt;&gt;"",E190&lt;&gt;"",F190&lt;&gt;""),"자재코드 확인",""),IF(COUNTIF('01_자재목록'!$B$7:$B$106,B190)&lt;&gt;1,"자재코드 확인",IF(OR(J190="소진",J190="폐기"),J190,IF(AND(D190="",E190=""),"LOT 미입력",IF(F190="","미입력",IF(OR(NOT(ISNUMBER(F190)),F190&lt;1),"날짜 확인",IF(K190&lt;0,"만료",IF(K190&lt;=$I$4,"유효기간 임박","정상"))))))))</f>
        <v/>
      </c>
      <c r="M190" s="19" t="n"/>
      <c r="N190" s="19" t="n"/>
      <c r="O190" s="19" t="n"/>
      <c r="P190" s="27">
        <f>IF(B190="","",IF(COUNTIF('01_자재목록'!$B$7:$B$106,B190)&lt;&gt;1,"자재코드 확인",IF(INDEX('01_자재목록'!$R$7:$R$106,MATCH(B190,'01_자재목록'!$B$7:$B$106,0))="","구분 미입력",INDEX('01_자재목록'!$R$7:$R$106,MATCH(B190,'01_자재목록'!$B$7:$B$106,0)))))</f>
        <v/>
      </c>
    </row>
    <row r="191" ht="24" customHeight="1">
      <c r="A191" s="18" t="n">
        <v>185</v>
      </c>
      <c r="B191" s="19" t="n"/>
      <c r="C191" s="23">
        <f>IF(B191="","",IFERROR(INDEX('01_자재목록'!$D$7:$D$106,MATCH(B191,'01_자재목록'!$B$7:$B$106,0))&amp;"","자재코드 확인"))</f>
        <v/>
      </c>
      <c r="D191" s="19" t="n"/>
      <c r="E191" s="19" t="n"/>
      <c r="F191" s="32" t="n"/>
      <c r="G191" s="32" t="n"/>
      <c r="H191" s="19" t="n"/>
      <c r="I191" s="19" t="n"/>
      <c r="J191" s="19" t="n"/>
      <c r="K191" s="33">
        <f>IF(OR(B191="",F191=""),"",IF(ISNUMBER(F191),F191-TODAY(),"날짜 확인"))</f>
        <v/>
      </c>
      <c r="L191" s="23">
        <f>IF(B191="",IF(OR(D191&lt;&gt;"",E191&lt;&gt;"",F191&lt;&gt;""),"자재코드 확인",""),IF(COUNTIF('01_자재목록'!$B$7:$B$106,B191)&lt;&gt;1,"자재코드 확인",IF(OR(J191="소진",J191="폐기"),J191,IF(AND(D191="",E191=""),"LOT 미입력",IF(F191="","미입력",IF(OR(NOT(ISNUMBER(F191)),F191&lt;1),"날짜 확인",IF(K191&lt;0,"만료",IF(K191&lt;=$I$4,"유효기간 임박","정상"))))))))</f>
        <v/>
      </c>
      <c r="M191" s="19" t="n"/>
      <c r="N191" s="19" t="n"/>
      <c r="O191" s="19" t="n"/>
      <c r="P191" s="27">
        <f>IF(B191="","",IF(COUNTIF('01_자재목록'!$B$7:$B$106,B191)&lt;&gt;1,"자재코드 확인",IF(INDEX('01_자재목록'!$R$7:$R$106,MATCH(B191,'01_자재목록'!$B$7:$B$106,0))="","구분 미입력",INDEX('01_자재목록'!$R$7:$R$106,MATCH(B191,'01_자재목록'!$B$7:$B$106,0)))))</f>
        <v/>
      </c>
    </row>
    <row r="192" ht="24" customHeight="1">
      <c r="A192" s="18" t="n">
        <v>186</v>
      </c>
      <c r="B192" s="19" t="n"/>
      <c r="C192" s="23">
        <f>IF(B192="","",IFERROR(INDEX('01_자재목록'!$D$7:$D$106,MATCH(B192,'01_자재목록'!$B$7:$B$106,0))&amp;"","자재코드 확인"))</f>
        <v/>
      </c>
      <c r="D192" s="19" t="n"/>
      <c r="E192" s="19" t="n"/>
      <c r="F192" s="32" t="n"/>
      <c r="G192" s="32" t="n"/>
      <c r="H192" s="19" t="n"/>
      <c r="I192" s="19" t="n"/>
      <c r="J192" s="19" t="n"/>
      <c r="K192" s="33">
        <f>IF(OR(B192="",F192=""),"",IF(ISNUMBER(F192),F192-TODAY(),"날짜 확인"))</f>
        <v/>
      </c>
      <c r="L192" s="23">
        <f>IF(B192="",IF(OR(D192&lt;&gt;"",E192&lt;&gt;"",F192&lt;&gt;""),"자재코드 확인",""),IF(COUNTIF('01_자재목록'!$B$7:$B$106,B192)&lt;&gt;1,"자재코드 확인",IF(OR(J192="소진",J192="폐기"),J192,IF(AND(D192="",E192=""),"LOT 미입력",IF(F192="","미입력",IF(OR(NOT(ISNUMBER(F192)),F192&lt;1),"날짜 확인",IF(K192&lt;0,"만료",IF(K192&lt;=$I$4,"유효기간 임박","정상"))))))))</f>
        <v/>
      </c>
      <c r="M192" s="19" t="n"/>
      <c r="N192" s="19" t="n"/>
      <c r="O192" s="19" t="n"/>
      <c r="P192" s="27">
        <f>IF(B192="","",IF(COUNTIF('01_자재목록'!$B$7:$B$106,B192)&lt;&gt;1,"자재코드 확인",IF(INDEX('01_자재목록'!$R$7:$R$106,MATCH(B192,'01_자재목록'!$B$7:$B$106,0))="","구분 미입력",INDEX('01_자재목록'!$R$7:$R$106,MATCH(B192,'01_자재목록'!$B$7:$B$106,0)))))</f>
        <v/>
      </c>
    </row>
    <row r="193" ht="24" customHeight="1">
      <c r="A193" s="18" t="n">
        <v>187</v>
      </c>
      <c r="B193" s="19" t="n"/>
      <c r="C193" s="23">
        <f>IF(B193="","",IFERROR(INDEX('01_자재목록'!$D$7:$D$106,MATCH(B193,'01_자재목록'!$B$7:$B$106,0))&amp;"","자재코드 확인"))</f>
        <v/>
      </c>
      <c r="D193" s="19" t="n"/>
      <c r="E193" s="19" t="n"/>
      <c r="F193" s="32" t="n"/>
      <c r="G193" s="32" t="n"/>
      <c r="H193" s="19" t="n"/>
      <c r="I193" s="19" t="n"/>
      <c r="J193" s="19" t="n"/>
      <c r="K193" s="33">
        <f>IF(OR(B193="",F193=""),"",IF(ISNUMBER(F193),F193-TODAY(),"날짜 확인"))</f>
        <v/>
      </c>
      <c r="L193" s="23">
        <f>IF(B193="",IF(OR(D193&lt;&gt;"",E193&lt;&gt;"",F193&lt;&gt;""),"자재코드 확인",""),IF(COUNTIF('01_자재목록'!$B$7:$B$106,B193)&lt;&gt;1,"자재코드 확인",IF(OR(J193="소진",J193="폐기"),J193,IF(AND(D193="",E193=""),"LOT 미입력",IF(F193="","미입력",IF(OR(NOT(ISNUMBER(F193)),F193&lt;1),"날짜 확인",IF(K193&lt;0,"만료",IF(K193&lt;=$I$4,"유효기간 임박","정상"))))))))</f>
        <v/>
      </c>
      <c r="M193" s="19" t="n"/>
      <c r="N193" s="19" t="n"/>
      <c r="O193" s="19" t="n"/>
      <c r="P193" s="27">
        <f>IF(B193="","",IF(COUNTIF('01_자재목록'!$B$7:$B$106,B193)&lt;&gt;1,"자재코드 확인",IF(INDEX('01_자재목록'!$R$7:$R$106,MATCH(B193,'01_자재목록'!$B$7:$B$106,0))="","구분 미입력",INDEX('01_자재목록'!$R$7:$R$106,MATCH(B193,'01_자재목록'!$B$7:$B$106,0)))))</f>
        <v/>
      </c>
    </row>
    <row r="194" ht="24" customHeight="1">
      <c r="A194" s="18" t="n">
        <v>188</v>
      </c>
      <c r="B194" s="19" t="n"/>
      <c r="C194" s="23">
        <f>IF(B194="","",IFERROR(INDEX('01_자재목록'!$D$7:$D$106,MATCH(B194,'01_자재목록'!$B$7:$B$106,0))&amp;"","자재코드 확인"))</f>
        <v/>
      </c>
      <c r="D194" s="19" t="n"/>
      <c r="E194" s="19" t="n"/>
      <c r="F194" s="32" t="n"/>
      <c r="G194" s="32" t="n"/>
      <c r="H194" s="19" t="n"/>
      <c r="I194" s="19" t="n"/>
      <c r="J194" s="19" t="n"/>
      <c r="K194" s="33">
        <f>IF(OR(B194="",F194=""),"",IF(ISNUMBER(F194),F194-TODAY(),"날짜 확인"))</f>
        <v/>
      </c>
      <c r="L194" s="23">
        <f>IF(B194="",IF(OR(D194&lt;&gt;"",E194&lt;&gt;"",F194&lt;&gt;""),"자재코드 확인",""),IF(COUNTIF('01_자재목록'!$B$7:$B$106,B194)&lt;&gt;1,"자재코드 확인",IF(OR(J194="소진",J194="폐기"),J194,IF(AND(D194="",E194=""),"LOT 미입력",IF(F194="","미입력",IF(OR(NOT(ISNUMBER(F194)),F194&lt;1),"날짜 확인",IF(K194&lt;0,"만료",IF(K194&lt;=$I$4,"유효기간 임박","정상"))))))))</f>
        <v/>
      </c>
      <c r="M194" s="19" t="n"/>
      <c r="N194" s="19" t="n"/>
      <c r="O194" s="19" t="n"/>
      <c r="P194" s="27">
        <f>IF(B194="","",IF(COUNTIF('01_자재목록'!$B$7:$B$106,B194)&lt;&gt;1,"자재코드 확인",IF(INDEX('01_자재목록'!$R$7:$R$106,MATCH(B194,'01_자재목록'!$B$7:$B$106,0))="","구분 미입력",INDEX('01_자재목록'!$R$7:$R$106,MATCH(B194,'01_자재목록'!$B$7:$B$106,0)))))</f>
        <v/>
      </c>
    </row>
    <row r="195" ht="24" customHeight="1">
      <c r="A195" s="18" t="n">
        <v>189</v>
      </c>
      <c r="B195" s="19" t="n"/>
      <c r="C195" s="23">
        <f>IF(B195="","",IFERROR(INDEX('01_자재목록'!$D$7:$D$106,MATCH(B195,'01_자재목록'!$B$7:$B$106,0))&amp;"","자재코드 확인"))</f>
        <v/>
      </c>
      <c r="D195" s="19" t="n"/>
      <c r="E195" s="19" t="n"/>
      <c r="F195" s="32" t="n"/>
      <c r="G195" s="32" t="n"/>
      <c r="H195" s="19" t="n"/>
      <c r="I195" s="19" t="n"/>
      <c r="J195" s="19" t="n"/>
      <c r="K195" s="33">
        <f>IF(OR(B195="",F195=""),"",IF(ISNUMBER(F195),F195-TODAY(),"날짜 확인"))</f>
        <v/>
      </c>
      <c r="L195" s="23">
        <f>IF(B195="",IF(OR(D195&lt;&gt;"",E195&lt;&gt;"",F195&lt;&gt;""),"자재코드 확인",""),IF(COUNTIF('01_자재목록'!$B$7:$B$106,B195)&lt;&gt;1,"자재코드 확인",IF(OR(J195="소진",J195="폐기"),J195,IF(AND(D195="",E195=""),"LOT 미입력",IF(F195="","미입력",IF(OR(NOT(ISNUMBER(F195)),F195&lt;1),"날짜 확인",IF(K195&lt;0,"만료",IF(K195&lt;=$I$4,"유효기간 임박","정상"))))))))</f>
        <v/>
      </c>
      <c r="M195" s="19" t="n"/>
      <c r="N195" s="19" t="n"/>
      <c r="O195" s="19" t="n"/>
      <c r="P195" s="27">
        <f>IF(B195="","",IF(COUNTIF('01_자재목록'!$B$7:$B$106,B195)&lt;&gt;1,"자재코드 확인",IF(INDEX('01_자재목록'!$R$7:$R$106,MATCH(B195,'01_자재목록'!$B$7:$B$106,0))="","구분 미입력",INDEX('01_자재목록'!$R$7:$R$106,MATCH(B195,'01_자재목록'!$B$7:$B$106,0)))))</f>
        <v/>
      </c>
    </row>
    <row r="196" ht="24" customHeight="1">
      <c r="A196" s="18" t="n">
        <v>190</v>
      </c>
      <c r="B196" s="19" t="n"/>
      <c r="C196" s="23">
        <f>IF(B196="","",IFERROR(INDEX('01_자재목록'!$D$7:$D$106,MATCH(B196,'01_자재목록'!$B$7:$B$106,0))&amp;"","자재코드 확인"))</f>
        <v/>
      </c>
      <c r="D196" s="19" t="n"/>
      <c r="E196" s="19" t="n"/>
      <c r="F196" s="32" t="n"/>
      <c r="G196" s="32" t="n"/>
      <c r="H196" s="19" t="n"/>
      <c r="I196" s="19" t="n"/>
      <c r="J196" s="19" t="n"/>
      <c r="K196" s="33">
        <f>IF(OR(B196="",F196=""),"",IF(ISNUMBER(F196),F196-TODAY(),"날짜 확인"))</f>
        <v/>
      </c>
      <c r="L196" s="23">
        <f>IF(B196="",IF(OR(D196&lt;&gt;"",E196&lt;&gt;"",F196&lt;&gt;""),"자재코드 확인",""),IF(COUNTIF('01_자재목록'!$B$7:$B$106,B196)&lt;&gt;1,"자재코드 확인",IF(OR(J196="소진",J196="폐기"),J196,IF(AND(D196="",E196=""),"LOT 미입력",IF(F196="","미입력",IF(OR(NOT(ISNUMBER(F196)),F196&lt;1),"날짜 확인",IF(K196&lt;0,"만료",IF(K196&lt;=$I$4,"유효기간 임박","정상"))))))))</f>
        <v/>
      </c>
      <c r="M196" s="19" t="n"/>
      <c r="N196" s="19" t="n"/>
      <c r="O196" s="19" t="n"/>
      <c r="P196" s="27">
        <f>IF(B196="","",IF(COUNTIF('01_자재목록'!$B$7:$B$106,B196)&lt;&gt;1,"자재코드 확인",IF(INDEX('01_자재목록'!$R$7:$R$106,MATCH(B196,'01_자재목록'!$B$7:$B$106,0))="","구분 미입력",INDEX('01_자재목록'!$R$7:$R$106,MATCH(B196,'01_자재목록'!$B$7:$B$106,0)))))</f>
        <v/>
      </c>
    </row>
    <row r="197" ht="24" customHeight="1">
      <c r="A197" s="18" t="n">
        <v>191</v>
      </c>
      <c r="B197" s="19" t="n"/>
      <c r="C197" s="23">
        <f>IF(B197="","",IFERROR(INDEX('01_자재목록'!$D$7:$D$106,MATCH(B197,'01_자재목록'!$B$7:$B$106,0))&amp;"","자재코드 확인"))</f>
        <v/>
      </c>
      <c r="D197" s="19" t="n"/>
      <c r="E197" s="19" t="n"/>
      <c r="F197" s="32" t="n"/>
      <c r="G197" s="32" t="n"/>
      <c r="H197" s="19" t="n"/>
      <c r="I197" s="19" t="n"/>
      <c r="J197" s="19" t="n"/>
      <c r="K197" s="33">
        <f>IF(OR(B197="",F197=""),"",IF(ISNUMBER(F197),F197-TODAY(),"날짜 확인"))</f>
        <v/>
      </c>
      <c r="L197" s="23">
        <f>IF(B197="",IF(OR(D197&lt;&gt;"",E197&lt;&gt;"",F197&lt;&gt;""),"자재코드 확인",""),IF(COUNTIF('01_자재목록'!$B$7:$B$106,B197)&lt;&gt;1,"자재코드 확인",IF(OR(J197="소진",J197="폐기"),J197,IF(AND(D197="",E197=""),"LOT 미입력",IF(F197="","미입력",IF(OR(NOT(ISNUMBER(F197)),F197&lt;1),"날짜 확인",IF(K197&lt;0,"만료",IF(K197&lt;=$I$4,"유효기간 임박","정상"))))))))</f>
        <v/>
      </c>
      <c r="M197" s="19" t="n"/>
      <c r="N197" s="19" t="n"/>
      <c r="O197" s="19" t="n"/>
      <c r="P197" s="27">
        <f>IF(B197="","",IF(COUNTIF('01_자재목록'!$B$7:$B$106,B197)&lt;&gt;1,"자재코드 확인",IF(INDEX('01_자재목록'!$R$7:$R$106,MATCH(B197,'01_자재목록'!$B$7:$B$106,0))="","구분 미입력",INDEX('01_자재목록'!$R$7:$R$106,MATCH(B197,'01_자재목록'!$B$7:$B$106,0)))))</f>
        <v/>
      </c>
    </row>
    <row r="198" ht="24" customHeight="1">
      <c r="A198" s="18" t="n">
        <v>192</v>
      </c>
      <c r="B198" s="19" t="n"/>
      <c r="C198" s="23">
        <f>IF(B198="","",IFERROR(INDEX('01_자재목록'!$D$7:$D$106,MATCH(B198,'01_자재목록'!$B$7:$B$106,0))&amp;"","자재코드 확인"))</f>
        <v/>
      </c>
      <c r="D198" s="19" t="n"/>
      <c r="E198" s="19" t="n"/>
      <c r="F198" s="32" t="n"/>
      <c r="G198" s="32" t="n"/>
      <c r="H198" s="19" t="n"/>
      <c r="I198" s="19" t="n"/>
      <c r="J198" s="19" t="n"/>
      <c r="K198" s="33">
        <f>IF(OR(B198="",F198=""),"",IF(ISNUMBER(F198),F198-TODAY(),"날짜 확인"))</f>
        <v/>
      </c>
      <c r="L198" s="23">
        <f>IF(B198="",IF(OR(D198&lt;&gt;"",E198&lt;&gt;"",F198&lt;&gt;""),"자재코드 확인",""),IF(COUNTIF('01_자재목록'!$B$7:$B$106,B198)&lt;&gt;1,"자재코드 확인",IF(OR(J198="소진",J198="폐기"),J198,IF(AND(D198="",E198=""),"LOT 미입력",IF(F198="","미입력",IF(OR(NOT(ISNUMBER(F198)),F198&lt;1),"날짜 확인",IF(K198&lt;0,"만료",IF(K198&lt;=$I$4,"유효기간 임박","정상"))))))))</f>
        <v/>
      </c>
      <c r="M198" s="19" t="n"/>
      <c r="N198" s="19" t="n"/>
      <c r="O198" s="19" t="n"/>
      <c r="P198" s="27">
        <f>IF(B198="","",IF(COUNTIF('01_자재목록'!$B$7:$B$106,B198)&lt;&gt;1,"자재코드 확인",IF(INDEX('01_자재목록'!$R$7:$R$106,MATCH(B198,'01_자재목록'!$B$7:$B$106,0))="","구분 미입력",INDEX('01_자재목록'!$R$7:$R$106,MATCH(B198,'01_자재목록'!$B$7:$B$106,0)))))</f>
        <v/>
      </c>
    </row>
    <row r="199" ht="24" customHeight="1">
      <c r="A199" s="18" t="n">
        <v>193</v>
      </c>
      <c r="B199" s="19" t="n"/>
      <c r="C199" s="23">
        <f>IF(B199="","",IFERROR(INDEX('01_자재목록'!$D$7:$D$106,MATCH(B199,'01_자재목록'!$B$7:$B$106,0))&amp;"","자재코드 확인"))</f>
        <v/>
      </c>
      <c r="D199" s="19" t="n"/>
      <c r="E199" s="19" t="n"/>
      <c r="F199" s="32" t="n"/>
      <c r="G199" s="32" t="n"/>
      <c r="H199" s="19" t="n"/>
      <c r="I199" s="19" t="n"/>
      <c r="J199" s="19" t="n"/>
      <c r="K199" s="33">
        <f>IF(OR(B199="",F199=""),"",IF(ISNUMBER(F199),F199-TODAY(),"날짜 확인"))</f>
        <v/>
      </c>
      <c r="L199" s="23">
        <f>IF(B199="",IF(OR(D199&lt;&gt;"",E199&lt;&gt;"",F199&lt;&gt;""),"자재코드 확인",""),IF(COUNTIF('01_자재목록'!$B$7:$B$106,B199)&lt;&gt;1,"자재코드 확인",IF(OR(J199="소진",J199="폐기"),J199,IF(AND(D199="",E199=""),"LOT 미입력",IF(F199="","미입력",IF(OR(NOT(ISNUMBER(F199)),F199&lt;1),"날짜 확인",IF(K199&lt;0,"만료",IF(K199&lt;=$I$4,"유효기간 임박","정상"))))))))</f>
        <v/>
      </c>
      <c r="M199" s="19" t="n"/>
      <c r="N199" s="19" t="n"/>
      <c r="O199" s="19" t="n"/>
      <c r="P199" s="27">
        <f>IF(B199="","",IF(COUNTIF('01_자재목록'!$B$7:$B$106,B199)&lt;&gt;1,"자재코드 확인",IF(INDEX('01_자재목록'!$R$7:$R$106,MATCH(B199,'01_자재목록'!$B$7:$B$106,0))="","구분 미입력",INDEX('01_자재목록'!$R$7:$R$106,MATCH(B199,'01_자재목록'!$B$7:$B$106,0)))))</f>
        <v/>
      </c>
    </row>
    <row r="200" ht="24" customHeight="1">
      <c r="A200" s="18" t="n">
        <v>194</v>
      </c>
      <c r="B200" s="19" t="n"/>
      <c r="C200" s="23">
        <f>IF(B200="","",IFERROR(INDEX('01_자재목록'!$D$7:$D$106,MATCH(B200,'01_자재목록'!$B$7:$B$106,0))&amp;"","자재코드 확인"))</f>
        <v/>
      </c>
      <c r="D200" s="19" t="n"/>
      <c r="E200" s="19" t="n"/>
      <c r="F200" s="32" t="n"/>
      <c r="G200" s="32" t="n"/>
      <c r="H200" s="19" t="n"/>
      <c r="I200" s="19" t="n"/>
      <c r="J200" s="19" t="n"/>
      <c r="K200" s="33">
        <f>IF(OR(B200="",F200=""),"",IF(ISNUMBER(F200),F200-TODAY(),"날짜 확인"))</f>
        <v/>
      </c>
      <c r="L200" s="23">
        <f>IF(B200="",IF(OR(D200&lt;&gt;"",E200&lt;&gt;"",F200&lt;&gt;""),"자재코드 확인",""),IF(COUNTIF('01_자재목록'!$B$7:$B$106,B200)&lt;&gt;1,"자재코드 확인",IF(OR(J200="소진",J200="폐기"),J200,IF(AND(D200="",E200=""),"LOT 미입력",IF(F200="","미입력",IF(OR(NOT(ISNUMBER(F200)),F200&lt;1),"날짜 확인",IF(K200&lt;0,"만료",IF(K200&lt;=$I$4,"유효기간 임박","정상"))))))))</f>
        <v/>
      </c>
      <c r="M200" s="19" t="n"/>
      <c r="N200" s="19" t="n"/>
      <c r="O200" s="19" t="n"/>
      <c r="P200" s="27">
        <f>IF(B200="","",IF(COUNTIF('01_자재목록'!$B$7:$B$106,B200)&lt;&gt;1,"자재코드 확인",IF(INDEX('01_자재목록'!$R$7:$R$106,MATCH(B200,'01_자재목록'!$B$7:$B$106,0))="","구분 미입력",INDEX('01_자재목록'!$R$7:$R$106,MATCH(B200,'01_자재목록'!$B$7:$B$106,0)))))</f>
        <v/>
      </c>
    </row>
    <row r="201" ht="24" customHeight="1">
      <c r="A201" s="18" t="n">
        <v>195</v>
      </c>
      <c r="B201" s="19" t="n"/>
      <c r="C201" s="23">
        <f>IF(B201="","",IFERROR(INDEX('01_자재목록'!$D$7:$D$106,MATCH(B201,'01_자재목록'!$B$7:$B$106,0))&amp;"","자재코드 확인"))</f>
        <v/>
      </c>
      <c r="D201" s="19" t="n"/>
      <c r="E201" s="19" t="n"/>
      <c r="F201" s="32" t="n"/>
      <c r="G201" s="32" t="n"/>
      <c r="H201" s="19" t="n"/>
      <c r="I201" s="19" t="n"/>
      <c r="J201" s="19" t="n"/>
      <c r="K201" s="33">
        <f>IF(OR(B201="",F201=""),"",IF(ISNUMBER(F201),F201-TODAY(),"날짜 확인"))</f>
        <v/>
      </c>
      <c r="L201" s="23">
        <f>IF(B201="",IF(OR(D201&lt;&gt;"",E201&lt;&gt;"",F201&lt;&gt;""),"자재코드 확인",""),IF(COUNTIF('01_자재목록'!$B$7:$B$106,B201)&lt;&gt;1,"자재코드 확인",IF(OR(J201="소진",J201="폐기"),J201,IF(AND(D201="",E201=""),"LOT 미입력",IF(F201="","미입력",IF(OR(NOT(ISNUMBER(F201)),F201&lt;1),"날짜 확인",IF(K201&lt;0,"만료",IF(K201&lt;=$I$4,"유효기간 임박","정상"))))))))</f>
        <v/>
      </c>
      <c r="M201" s="19" t="n"/>
      <c r="N201" s="19" t="n"/>
      <c r="O201" s="19" t="n"/>
      <c r="P201" s="27">
        <f>IF(B201="","",IF(COUNTIF('01_자재목록'!$B$7:$B$106,B201)&lt;&gt;1,"자재코드 확인",IF(INDEX('01_자재목록'!$R$7:$R$106,MATCH(B201,'01_자재목록'!$B$7:$B$106,0))="","구분 미입력",INDEX('01_자재목록'!$R$7:$R$106,MATCH(B201,'01_자재목록'!$B$7:$B$106,0)))))</f>
        <v/>
      </c>
    </row>
    <row r="202" ht="24" customHeight="1">
      <c r="A202" s="18" t="n">
        <v>196</v>
      </c>
      <c r="B202" s="19" t="n"/>
      <c r="C202" s="23">
        <f>IF(B202="","",IFERROR(INDEX('01_자재목록'!$D$7:$D$106,MATCH(B202,'01_자재목록'!$B$7:$B$106,0))&amp;"","자재코드 확인"))</f>
        <v/>
      </c>
      <c r="D202" s="19" t="n"/>
      <c r="E202" s="19" t="n"/>
      <c r="F202" s="32" t="n"/>
      <c r="G202" s="32" t="n"/>
      <c r="H202" s="19" t="n"/>
      <c r="I202" s="19" t="n"/>
      <c r="J202" s="19" t="n"/>
      <c r="K202" s="33">
        <f>IF(OR(B202="",F202=""),"",IF(ISNUMBER(F202),F202-TODAY(),"날짜 확인"))</f>
        <v/>
      </c>
      <c r="L202" s="23">
        <f>IF(B202="",IF(OR(D202&lt;&gt;"",E202&lt;&gt;"",F202&lt;&gt;""),"자재코드 확인",""),IF(COUNTIF('01_자재목록'!$B$7:$B$106,B202)&lt;&gt;1,"자재코드 확인",IF(OR(J202="소진",J202="폐기"),J202,IF(AND(D202="",E202=""),"LOT 미입력",IF(F202="","미입력",IF(OR(NOT(ISNUMBER(F202)),F202&lt;1),"날짜 확인",IF(K202&lt;0,"만료",IF(K202&lt;=$I$4,"유효기간 임박","정상"))))))))</f>
        <v/>
      </c>
      <c r="M202" s="19" t="n"/>
      <c r="N202" s="19" t="n"/>
      <c r="O202" s="19" t="n"/>
      <c r="P202" s="27">
        <f>IF(B202="","",IF(COUNTIF('01_자재목록'!$B$7:$B$106,B202)&lt;&gt;1,"자재코드 확인",IF(INDEX('01_자재목록'!$R$7:$R$106,MATCH(B202,'01_자재목록'!$B$7:$B$106,0))="","구분 미입력",INDEX('01_자재목록'!$R$7:$R$106,MATCH(B202,'01_자재목록'!$B$7:$B$106,0)))))</f>
        <v/>
      </c>
    </row>
    <row r="203" ht="24" customHeight="1">
      <c r="A203" s="18" t="n">
        <v>197</v>
      </c>
      <c r="B203" s="19" t="n"/>
      <c r="C203" s="23">
        <f>IF(B203="","",IFERROR(INDEX('01_자재목록'!$D$7:$D$106,MATCH(B203,'01_자재목록'!$B$7:$B$106,0))&amp;"","자재코드 확인"))</f>
        <v/>
      </c>
      <c r="D203" s="19" t="n"/>
      <c r="E203" s="19" t="n"/>
      <c r="F203" s="32" t="n"/>
      <c r="G203" s="32" t="n"/>
      <c r="H203" s="19" t="n"/>
      <c r="I203" s="19" t="n"/>
      <c r="J203" s="19" t="n"/>
      <c r="K203" s="33">
        <f>IF(OR(B203="",F203=""),"",IF(ISNUMBER(F203),F203-TODAY(),"날짜 확인"))</f>
        <v/>
      </c>
      <c r="L203" s="23">
        <f>IF(B203="",IF(OR(D203&lt;&gt;"",E203&lt;&gt;"",F203&lt;&gt;""),"자재코드 확인",""),IF(COUNTIF('01_자재목록'!$B$7:$B$106,B203)&lt;&gt;1,"자재코드 확인",IF(OR(J203="소진",J203="폐기"),J203,IF(AND(D203="",E203=""),"LOT 미입력",IF(F203="","미입력",IF(OR(NOT(ISNUMBER(F203)),F203&lt;1),"날짜 확인",IF(K203&lt;0,"만료",IF(K203&lt;=$I$4,"유효기간 임박","정상"))))))))</f>
        <v/>
      </c>
      <c r="M203" s="19" t="n"/>
      <c r="N203" s="19" t="n"/>
      <c r="O203" s="19" t="n"/>
      <c r="P203" s="27">
        <f>IF(B203="","",IF(COUNTIF('01_자재목록'!$B$7:$B$106,B203)&lt;&gt;1,"자재코드 확인",IF(INDEX('01_자재목록'!$R$7:$R$106,MATCH(B203,'01_자재목록'!$B$7:$B$106,0))="","구분 미입력",INDEX('01_자재목록'!$R$7:$R$106,MATCH(B203,'01_자재목록'!$B$7:$B$106,0)))))</f>
        <v/>
      </c>
    </row>
    <row r="204" ht="24" customHeight="1">
      <c r="A204" s="18" t="n">
        <v>198</v>
      </c>
      <c r="B204" s="19" t="n"/>
      <c r="C204" s="23">
        <f>IF(B204="","",IFERROR(INDEX('01_자재목록'!$D$7:$D$106,MATCH(B204,'01_자재목록'!$B$7:$B$106,0))&amp;"","자재코드 확인"))</f>
        <v/>
      </c>
      <c r="D204" s="19" t="n"/>
      <c r="E204" s="19" t="n"/>
      <c r="F204" s="32" t="n"/>
      <c r="G204" s="32" t="n"/>
      <c r="H204" s="19" t="n"/>
      <c r="I204" s="19" t="n"/>
      <c r="J204" s="19" t="n"/>
      <c r="K204" s="33">
        <f>IF(OR(B204="",F204=""),"",IF(ISNUMBER(F204),F204-TODAY(),"날짜 확인"))</f>
        <v/>
      </c>
      <c r="L204" s="23">
        <f>IF(B204="",IF(OR(D204&lt;&gt;"",E204&lt;&gt;"",F204&lt;&gt;""),"자재코드 확인",""),IF(COUNTIF('01_자재목록'!$B$7:$B$106,B204)&lt;&gt;1,"자재코드 확인",IF(OR(J204="소진",J204="폐기"),J204,IF(AND(D204="",E204=""),"LOT 미입력",IF(F204="","미입력",IF(OR(NOT(ISNUMBER(F204)),F204&lt;1),"날짜 확인",IF(K204&lt;0,"만료",IF(K204&lt;=$I$4,"유효기간 임박","정상"))))))))</f>
        <v/>
      </c>
      <c r="M204" s="19" t="n"/>
      <c r="N204" s="19" t="n"/>
      <c r="O204" s="19" t="n"/>
      <c r="P204" s="27">
        <f>IF(B204="","",IF(COUNTIF('01_자재목록'!$B$7:$B$106,B204)&lt;&gt;1,"자재코드 확인",IF(INDEX('01_자재목록'!$R$7:$R$106,MATCH(B204,'01_자재목록'!$B$7:$B$106,0))="","구분 미입력",INDEX('01_자재목록'!$R$7:$R$106,MATCH(B204,'01_자재목록'!$B$7:$B$106,0)))))</f>
        <v/>
      </c>
    </row>
    <row r="205" ht="24" customHeight="1">
      <c r="A205" s="18" t="n">
        <v>199</v>
      </c>
      <c r="B205" s="19" t="n"/>
      <c r="C205" s="23">
        <f>IF(B205="","",IFERROR(INDEX('01_자재목록'!$D$7:$D$106,MATCH(B205,'01_자재목록'!$B$7:$B$106,0))&amp;"","자재코드 확인"))</f>
        <v/>
      </c>
      <c r="D205" s="19" t="n"/>
      <c r="E205" s="19" t="n"/>
      <c r="F205" s="32" t="n"/>
      <c r="G205" s="32" t="n"/>
      <c r="H205" s="19" t="n"/>
      <c r="I205" s="19" t="n"/>
      <c r="J205" s="19" t="n"/>
      <c r="K205" s="33">
        <f>IF(OR(B205="",F205=""),"",IF(ISNUMBER(F205),F205-TODAY(),"날짜 확인"))</f>
        <v/>
      </c>
      <c r="L205" s="23">
        <f>IF(B205="",IF(OR(D205&lt;&gt;"",E205&lt;&gt;"",F205&lt;&gt;""),"자재코드 확인",""),IF(COUNTIF('01_자재목록'!$B$7:$B$106,B205)&lt;&gt;1,"자재코드 확인",IF(OR(J205="소진",J205="폐기"),J205,IF(AND(D205="",E205=""),"LOT 미입력",IF(F205="","미입력",IF(OR(NOT(ISNUMBER(F205)),F205&lt;1),"날짜 확인",IF(K205&lt;0,"만료",IF(K205&lt;=$I$4,"유효기간 임박","정상"))))))))</f>
        <v/>
      </c>
      <c r="M205" s="19" t="n"/>
      <c r="N205" s="19" t="n"/>
      <c r="O205" s="19" t="n"/>
      <c r="P205" s="27">
        <f>IF(B205="","",IF(COUNTIF('01_자재목록'!$B$7:$B$106,B205)&lt;&gt;1,"자재코드 확인",IF(INDEX('01_자재목록'!$R$7:$R$106,MATCH(B205,'01_자재목록'!$B$7:$B$106,0))="","구분 미입력",INDEX('01_자재목록'!$R$7:$R$106,MATCH(B205,'01_자재목록'!$B$7:$B$106,0)))))</f>
        <v/>
      </c>
    </row>
    <row r="206" ht="24" customHeight="1">
      <c r="A206" s="18" t="n">
        <v>200</v>
      </c>
      <c r="B206" s="19" t="n"/>
      <c r="C206" s="23">
        <f>IF(B206="","",IFERROR(INDEX('01_자재목록'!$D$7:$D$106,MATCH(B206,'01_자재목록'!$B$7:$B$106,0))&amp;"","자재코드 확인"))</f>
        <v/>
      </c>
      <c r="D206" s="19" t="n"/>
      <c r="E206" s="19" t="n"/>
      <c r="F206" s="32" t="n"/>
      <c r="G206" s="32" t="n"/>
      <c r="H206" s="19" t="n"/>
      <c r="I206" s="19" t="n"/>
      <c r="J206" s="19" t="n"/>
      <c r="K206" s="33">
        <f>IF(OR(B206="",F206=""),"",IF(ISNUMBER(F206),F206-TODAY(),"날짜 확인"))</f>
        <v/>
      </c>
      <c r="L206" s="23">
        <f>IF(B206="",IF(OR(D206&lt;&gt;"",E206&lt;&gt;"",F206&lt;&gt;""),"자재코드 확인",""),IF(COUNTIF('01_자재목록'!$B$7:$B$106,B206)&lt;&gt;1,"자재코드 확인",IF(OR(J206="소진",J206="폐기"),J206,IF(AND(D206="",E206=""),"LOT 미입력",IF(F206="","미입력",IF(OR(NOT(ISNUMBER(F206)),F206&lt;1),"날짜 확인",IF(K206&lt;0,"만료",IF(K206&lt;=$I$4,"유효기간 임박","정상"))))))))</f>
        <v/>
      </c>
      <c r="M206" s="19" t="n"/>
      <c r="N206" s="19" t="n"/>
      <c r="O206" s="19" t="n"/>
      <c r="P206" s="27">
        <f>IF(B206="","",IF(COUNTIF('01_자재목록'!$B$7:$B$106,B206)&lt;&gt;1,"자재코드 확인",IF(INDEX('01_자재목록'!$R$7:$R$106,MATCH(B206,'01_자재목록'!$B$7:$B$106,0))="","구분 미입력",INDEX('01_자재목록'!$R$7:$R$106,MATCH(B206,'01_자재목록'!$B$7:$B$106,0)))))</f>
        <v/>
      </c>
    </row>
  </sheetData>
  <mergeCells count="5">
    <mergeCell ref="A5:P5"/>
    <mergeCell ref="A1:P1"/>
    <mergeCell ref="A4:P4"/>
    <mergeCell ref="A3:P3"/>
    <mergeCell ref="A2:P2"/>
  </mergeCells>
  <conditionalFormatting sqref="L7:L2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4">
    <dataValidation sqref="I7:I206" showDropDown="0" showInputMessage="0" showErrorMessage="0" allowBlank="0" type="list">
      <formula1>"양호,습기주의,밀봉필요,격리,폐기대상"</formula1>
    </dataValidation>
    <dataValidation sqref="J7:J206" showDropDown="0" showInputMessage="0" showErrorMessage="0" allowBlank="0" type="list">
      <formula1>"사용중,소진,폐기"</formula1>
    </dataValidation>
    <dataValidation sqref="B7:B206" showDropDown="0" showInputMessage="0" showErrorMessage="0" allowBlank="0" type="list">
      <formula1>INDIRECT("'01_자재목록'!$B$7:$B$106")</formula1>
    </dataValidation>
    <dataValidation sqref="I4" showDropDown="0" showInputMessage="0" showErrorMessage="0" allowBlank="0" type="whole" operator="between">
      <formula1>0</formula1>
      <formula2>365</formula2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6" customWidth="1" min="5" max="5"/>
  </cols>
  <sheetData>
    <row r="1">
      <c r="A1" s="34" t="inlineStr">
        <is>
          <t>용접 부자재 관리대장 — 문서정보 | Rev.00</t>
        </is>
      </c>
    </row>
    <row r="2">
      <c r="A2" t="inlineStr">
        <is>
          <t>(주)신화에이치앤티 | 문서번호 SH-FM-367 | Rev.00 | 문서상태: 개정초안(미승인) | 제정일: 2026-10-06 | 개정일: 2026-10-06</t>
        </is>
      </c>
    </row>
    <row r="3">
      <c r="A3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4"/>
    <row r="5">
      <c r="A5" s="35" t="inlineStr">
        <is>
          <t>개정이력</t>
        </is>
      </c>
    </row>
    <row r="6">
      <c r="A6" s="36" t="inlineStr">
        <is>
          <t>개정</t>
        </is>
      </c>
      <c r="B6" s="36" t="inlineStr">
        <is>
          <t>개정일</t>
        </is>
      </c>
      <c r="C6" s="36" t="inlineStr">
        <is>
          <t>개정 내용</t>
        </is>
      </c>
      <c r="D6" s="36" t="inlineStr">
        <is>
          <t>작성</t>
        </is>
      </c>
      <c r="E6" s="36" t="inlineStr">
        <is>
          <t>승인</t>
        </is>
      </c>
    </row>
    <row r="7">
      <c r="A7" s="37" t="inlineStr">
        <is>
          <t>Rev.00</t>
        </is>
      </c>
      <c r="B7" s="37" t="inlineStr">
        <is>
          <t>2026-10-06</t>
        </is>
      </c>
      <c r="C7" s="37" t="inlineStr">
        <is>
          <t>신규 제정(현장 사용 파일 Rev.07 기반, SH-FM-367 부여). 시트: 자재목록·입출고·재고·유효기간</t>
        </is>
      </c>
      <c r="D7" s="37" t="inlineStr"/>
      <c r="E7" s="37" t="inlineStr"/>
    </row>
    <row r="8">
      <c r="A8" s="37" t="inlineStr">
        <is>
          <t>Rev.00(재개정)</t>
        </is>
      </c>
      <c r="B8" s="37" t="inlineStr">
        <is>
          <t>2026-10-06</t>
        </is>
      </c>
      <c r="C8" s="37" t="inlineStr">
        <is>
          <t>주관부서 구매자재팀 지정(사용자 지시 2026-10-12), 그 외 내용 변경 없음</t>
        </is>
      </c>
      <c r="D8" s="37" t="inlineStr"/>
      <c r="E8" s="37" t="inlineStr"/>
    </row>
    <row r="9">
      <c r="A9" s="37" t="inlineStr">
        <is>
          <t>Rev.00(재개정)</t>
        </is>
      </c>
      <c r="B9" s="37" t="inlineStr">
        <is>
          <t>2026-10-06</t>
        </is>
      </c>
      <c r="C9" s="37" t="inlineStr">
        <is>
          <t>자재코드 안내 문구 정리: SH-WEL 코드는 MES 미등록 부자재 관리코드로 유지(SH-FM-368 확인 2026-10-30), 코드·그 외 내용 변경 없음</t>
        </is>
      </c>
      <c r="D9" s="37" t="n"/>
      <c r="E9" s="37" t="n"/>
    </row>
    <row r="10">
      <c r="A10" s="36" t="inlineStr">
        <is>
          <t>결재</t>
        </is>
      </c>
      <c r="B10" s="36" t="inlineStr">
        <is>
          <t>작성</t>
        </is>
      </c>
      <c r="C10" s="36" t="inlineStr">
        <is>
          <t>검토</t>
        </is>
      </c>
      <c r="D10" s="36" t="inlineStr">
        <is>
          <t>승인</t>
        </is>
      </c>
      <c r="E10" s="35" t="n"/>
    </row>
    <row r="11">
      <c r="A11" s="37" t="inlineStr">
        <is>
          <t>직책 / 역할</t>
        </is>
      </c>
      <c r="B11" s="37" t="inlineStr">
        <is>
          <t>주관부서 담당</t>
        </is>
      </c>
      <c r="C11" s="37" t="inlineStr">
        <is>
          <t>품질책임자</t>
        </is>
      </c>
      <c r="D11" s="37" t="inlineStr">
        <is>
          <t>대표이사/권한자</t>
        </is>
      </c>
    </row>
    <row r="12">
      <c r="A12" s="37" t="inlineStr">
        <is>
          <t>성명:</t>
        </is>
      </c>
      <c r="B12" s="37" t="inlineStr"/>
      <c r="C12" s="37" t="inlineStr"/>
      <c r="D12" s="37" t="inlineStr"/>
    </row>
    <row r="13">
      <c r="A13" s="37" t="inlineStr">
        <is>
          <t>서명:</t>
        </is>
      </c>
      <c r="B13" s="37" t="inlineStr"/>
      <c r="C13" s="37" t="inlineStr"/>
      <c r="D13" s="37" t="inlineStr"/>
    </row>
    <row r="14">
      <c r="A14" s="37" t="inlineStr">
        <is>
          <t>일자:</t>
        </is>
      </c>
      <c r="B14" s="37" t="inlineStr"/>
      <c r="C14" s="37" t="inlineStr"/>
      <c r="D14" s="37" t="inlineStr"/>
    </row>
    <row r="15"/>
    <row r="16">
      <c r="A16" t="inlineStr">
        <is>
          <t>연계: SH-FM-104(자재 입고·보관·불출 기록)·SH-FM-118(장기재고·유효기간 점검기록) 와 기능이 겹치므로 용접 부자재는 이 양식으로 관리(사용자 결정 2026-10-12)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2026-10-12T07:43:06Z</dcterms:created>
  <dcterms:modified xmlns:dcterms="http://purl.org/dc/terms/" xmlns:xsi="http://www.w3.org/2001/XMLSchema-instance" xsi:type="dcterms:W3CDTF">2026-10-30T04:27:32Z</dcterms:modified>
</cp:coreProperties>
</file>