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개당원가분석" sheetId="1" state="visible" r:id="rId3"/>
    <sheet name="입력" sheetId="2" state="visible" r:id="rId4"/>
    <sheet name="CT계산" sheetId="3" state="visible" r:id="rId5"/>
    <sheet name="병목공정CT" sheetId="4" state="visible" r:id="rId6"/>
    <sheet name="민감도" sheetId="5" state="visible" r:id="rId7"/>
    <sheet name="검토반영" sheetId="6" state="visible" r:id="rId8"/>
    <sheet name="현장확인" sheetId="7" state="visible" r:id="rId9"/>
    <sheet name="개정이력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<sst xmlns="http://schemas.openxmlformats.org/spreadsheetml/2006/main" count="827" uniqueCount="544">
  <si>
    <r>
      <rPr>
        <b val="true"/>
        <sz val="14"/>
        <color rgb="FFFFFFFF"/>
        <rFont val="WenQuanYi Zen Hei"/>
        <family val="2"/>
      </rPr>
      <t xml:space="preserve">개당 원가분석표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일 </t>
    </r>
    <r>
      <rPr>
        <b val="true"/>
        <sz val="14"/>
        <color rgb="FFFFFFFF"/>
        <rFont val="Malgun Gothic"/>
        <family val="0"/>
        <charset val="1"/>
      </rPr>
      <t xml:space="preserve">2,500</t>
    </r>
    <r>
      <rPr>
        <b val="true"/>
        <sz val="14"/>
        <color rgb="FFFFFFFF"/>
        <rFont val="WenQuanYi Zen Hei"/>
        <family val="2"/>
      </rPr>
      <t xml:space="preserve">개 기준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</si>
  <si>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+ </t>
    </r>
    <r>
      <rPr>
        <sz val="9"/>
        <color rgb="FF595959"/>
        <rFont val="WenQuanYi Zen Hei"/>
        <family val="2"/>
      </rPr>
      <t xml:space="preserve">검토보고서</t>
    </r>
    <r>
      <rPr>
        <sz val="9"/>
        <color rgb="FF595959"/>
        <rFont val="Malgun Gothic"/>
        <family val="0"/>
        <charset val="1"/>
      </rPr>
      <t xml:space="preserve">(2026-10-28) </t>
    </r>
    <r>
      <rPr>
        <sz val="9"/>
        <color rgb="FF595959"/>
        <rFont val="WenQuanYi Zen Hei"/>
        <family val="2"/>
      </rPr>
      <t xml:space="preserve">반영본</t>
    </r>
    <r>
      <rPr>
        <sz val="9"/>
        <color rgb="FF595959"/>
        <rFont val="Malgun Gothic"/>
        <family val="0"/>
        <charset val="1"/>
      </rPr>
      <t xml:space="preserve">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입력 그대로 재현</t>
    </r>
    <r>
      <rPr>
        <sz val="9"/>
        <color rgb="FF595959"/>
        <rFont val="Malgun Gothic"/>
        <family val="0"/>
        <charset val="1"/>
      </rPr>
      <t xml:space="preserve">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미확인 항목은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값 유지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입력 시트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열의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항목만 실제 확인값이며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나머지는 </t>
    </r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가정이 남아 있어 견적 확정 근거로 쓸 수 없습니다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</si>
  <si>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문서번호</t>
  </si>
  <si>
    <r>
      <rPr>
        <sz val="10"/>
        <rFont val="WenQuanYi Zen Hei"/>
        <family val="2"/>
      </rPr>
      <t xml:space="preserve">미정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승인 후 문서관리 체계에서 부여</t>
    </r>
    <r>
      <rPr>
        <sz val="10"/>
        <rFont val="Malgun Gothic"/>
        <family val="0"/>
        <charset val="1"/>
      </rPr>
      <t xml:space="preserve">)</t>
    </r>
  </si>
  <si>
    <t xml:space="preserve">작성</t>
  </si>
  <si>
    <t xml:space="preserve">검토</t>
  </si>
  <si>
    <t xml:space="preserve">승인</t>
  </si>
  <si>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기준일</t>
    </r>
  </si>
  <si>
    <r>
      <rPr>
        <sz val="10"/>
        <rFont val="Malgun Gothic"/>
        <family val="0"/>
        <charset val="1"/>
      </rPr>
      <t xml:space="preserve">R2 / 2026-10-28 (R1 </t>
    </r>
    <r>
      <rPr>
        <sz val="10"/>
        <rFont val="WenQuanYi Zen Hei"/>
        <family val="2"/>
      </rPr>
      <t xml:space="preserve">기반</t>
    </r>
    <r>
      <rPr>
        <sz val="10"/>
        <rFont val="Malgun Gothic"/>
        <family val="0"/>
        <charset val="1"/>
      </rPr>
      <t xml:space="preserve">)</t>
    </r>
  </si>
  <si>
    <t xml:space="preserve">문서 상태</t>
  </si>
  <si>
    <r>
      <rPr>
        <sz val="10"/>
        <rFont val="WenQuanYi Zen Hei"/>
        <family val="2"/>
      </rPr>
      <t xml:space="preserve">검토 중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미승인</t>
    </r>
    <r>
      <rPr>
        <sz val="10"/>
        <rFont val="Malgun Gothic"/>
        <family val="0"/>
        <charset val="1"/>
      </rPr>
      <t xml:space="preserve">) — </t>
    </r>
    <r>
      <rPr>
        <sz val="10"/>
        <rFont val="WenQuanYi Zen Hei"/>
        <family val="2"/>
      </rPr>
      <t xml:space="preserve">미확인 가정값 포함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 승인 근거로 사용 금지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</si>
  <si>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현황</t>
    </r>
  </si>
  <si>
    <r>
      <rPr>
        <b val="true"/>
        <sz val="10"/>
        <rFont val="WenQuanYi Zen Hei"/>
        <family val="2"/>
      </rPr>
      <t xml:space="preserve">제품 품번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도면 </t>
    </r>
    <r>
      <rPr>
        <b val="true"/>
        <sz val="10"/>
        <rFont val="Malgun Gothic"/>
        <family val="0"/>
        <charset val="1"/>
      </rPr>
      <t xml:space="preserve">Rev / </t>
    </r>
    <r>
      <rPr>
        <b val="true"/>
        <sz val="10"/>
        <rFont val="WenQuanYi Zen Hei"/>
        <family val="2"/>
      </rPr>
      <t xml:space="preserve">고객</t>
    </r>
  </si>
  <si>
    <t xml:space="preserve">견적 유효기간</t>
  </si>
  <si>
    <r>
      <rPr>
        <sz val="9"/>
        <color rgb="FF595959"/>
        <rFont val="WenQuanYi Zen Hei"/>
        <family val="2"/>
      </rPr>
      <t xml:space="preserve">※ 문서번호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품번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결재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직책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성명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일자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는 노란 칸에 확정 후 담당자가 직접 기재합니다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해당 칸만 잠금 해제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이 파일은 임의로 채우지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</si>
  <si>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항목</t>
  </si>
  <si>
    <t xml:space="preserve">단위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</si>
  <si>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재현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</si>
  <si>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실제 확인값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</si>
  <si>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차이 </t>
    </r>
    <r>
      <rPr>
        <b val="true"/>
        <sz val="10"/>
        <rFont val="Malgun Gothic"/>
        <family val="0"/>
        <charset val="1"/>
      </rPr>
      <t xml:space="preserve">(B-A)</t>
    </r>
  </si>
  <si>
    <t xml:space="preserve">차이율</t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</si>
  <si>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비고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</si>
  <si>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재료비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</si>
  <si>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중량</t>
    </r>
  </si>
  <si>
    <t xml:space="preserve">kg</t>
  </si>
  <si>
    <r>
      <rPr>
        <sz val="9"/>
        <color rgb="FF595959"/>
        <rFont val="Malgun Gothic"/>
        <family val="0"/>
        <charset val="1"/>
      </rPr>
      <t xml:space="preserve">π×(OD-t)×t×L×</t>
    </r>
    <r>
      <rPr>
        <sz val="9"/>
        <color rgb="FF595959"/>
        <rFont val="WenQuanYi Zen Hei"/>
        <family val="2"/>
      </rPr>
      <t xml:space="preserve">비중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</si>
  <si>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중량</t>
    </r>
  </si>
  <si>
    <t xml:space="preserve">파이프 소재비</t>
  </si>
  <si>
    <t xml:space="preserve">원</t>
  </si>
  <si>
    <r>
      <rPr>
        <sz val="9"/>
        <color rgb="FF595959"/>
        <rFont val="WenQuanYi Zen Hei"/>
        <family val="2"/>
      </rPr>
      <t xml:space="preserve">중량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</si>
  <si>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프랜지</t>
  </si>
  <si>
    <t xml:space="preserve">다이캐스팅</t>
  </si>
  <si>
    <t xml:space="preserve">포장지</t>
  </si>
  <si>
    <t xml:space="preserve">박스</t>
  </si>
  <si>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입수</t>
    </r>
  </si>
  <si>
    <t xml:space="preserve">라벨</t>
  </si>
  <si>
    <r>
      <rPr>
        <b val="true"/>
        <sz val="10"/>
        <rFont val="WenQuanYi Zen Hei"/>
        <family val="2"/>
      </rPr>
      <t xml:space="preserve">부품</t>
    </r>
    <r>
      <rPr>
        <b val="true"/>
        <sz val="10"/>
        <rFont val="Malgun Gothic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포장재 소계</t>
    </r>
  </si>
  <si>
    <t xml:space="preserve">재료비</t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</si>
  <si>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부품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포장재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</si>
  <si>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노무비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제조경비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</si>
  <si>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코킹 인건비</t>
  </si>
  <si>
    <r>
      <rPr>
        <sz val="9"/>
        <color rgb="FF595959"/>
        <rFont val="Malgun Gothic"/>
        <family val="0"/>
        <charset val="1"/>
      </rPr>
      <t xml:space="preserve">CT</t>
    </r>
    <r>
      <rPr>
        <sz val="9"/>
        <color rgb="FF595959"/>
        <rFont val="WenQuanYi Zen Hei"/>
        <family val="2"/>
      </rPr>
      <t xml:space="preserve">계산 시트</t>
    </r>
  </si>
  <si>
    <t xml:space="preserve">조립 인건비</t>
  </si>
  <si>
    <t xml:space="preserve">노무비</t>
  </si>
  <si>
    <t xml:space="preserve">세척비</t>
  </si>
  <si>
    <t xml:space="preserve">감가상각</t>
  </si>
  <si>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가스</t>
    </r>
  </si>
  <si>
    <t xml:space="preserve">유지보수</t>
  </si>
  <si>
    <r>
      <rPr>
        <sz val="10"/>
        <rFont val="WenQuanYi Zen Hei"/>
        <family val="2"/>
      </rPr>
      <t xml:space="preserve">공구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소모품</t>
    </r>
  </si>
  <si>
    <t xml:space="preserve">기타 경비</t>
  </si>
  <si>
    <t xml:space="preserve">제조경비</t>
  </si>
  <si>
    <r>
      <rPr>
        <b val="true"/>
        <sz val="10"/>
        <rFont val="WenQuanYi Zen Hei"/>
        <family val="2"/>
      </rPr>
      <t xml:space="preserve">공정비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노무비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제조경비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</si>
  <si>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와 동일 범위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</si>
  <si>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</si>
  <si>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제조원가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재료비</t>
    </r>
    <r>
      <rPr>
        <b val="true"/>
        <sz val="10"/>
        <rFont val="Malgun Gothic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공정비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</si>
  <si>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직접원가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</si>
  <si>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b val="true"/>
        <sz val="10"/>
        <rFont val="WenQuanYi Zen Hei"/>
        <family val="2"/>
      </rPr>
      <t xml:space="preserve">양품 기준 직접원가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불량 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</si>
  <si>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재료비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 + </t>
    </r>
    <r>
      <rPr>
        <sz val="9"/>
        <color rgb="FF595959"/>
        <rFont val="WenQuanYi Zen Hei"/>
        <family val="2"/>
      </rPr>
      <t xml:space="preserve">공정비</t>
    </r>
    <r>
      <rPr>
        <sz val="9"/>
        <color rgb="FF595959"/>
        <rFont val="Malgun Gothic"/>
        <family val="0"/>
        <charset val="1"/>
      </rPr>
      <t xml:space="preserve">. OEE</t>
    </r>
    <r>
      <rPr>
        <sz val="9"/>
        <color rgb="FF595959"/>
        <rFont val="WenQuanYi Zen Hei"/>
        <family val="2"/>
      </rPr>
      <t xml:space="preserve">가 양품률을 포함하므로 공정비는 불량 보정 제외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이중 계산 방지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</si>
  <si>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가산액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</si>
  <si>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가산율</t>
    </r>
  </si>
  <si>
    <r>
      <rPr>
        <b val="true"/>
        <sz val="10"/>
        <rFont val="WenQuanYi Zen Hei"/>
        <family val="2"/>
      </rPr>
      <t xml:space="preserve">추정 판매가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</t>
    </r>
    <r>
      <rPr>
        <b val="true"/>
        <sz val="10"/>
        <rFont val="Malgun Gothic"/>
        <family val="0"/>
        <charset val="1"/>
      </rPr>
      <t xml:space="preserve">, VAT </t>
    </r>
    <r>
      <rPr>
        <b val="true"/>
        <sz val="10"/>
        <rFont val="WenQuanYi Zen Hei"/>
        <family val="2"/>
      </rPr>
      <t xml:space="preserve">별도</t>
    </r>
    <r>
      <rPr>
        <b val="true"/>
        <sz val="10"/>
        <rFont val="Malgun Gothic"/>
        <family val="0"/>
        <charset val="1"/>
      </rPr>
      <t xml:space="preserve">)</t>
    </r>
  </si>
  <si>
    <t xml:space="preserve">부가가치세</t>
  </si>
  <si>
    <r>
      <rPr>
        <sz val="10"/>
        <rFont val="WenQuanYi Zen Hei"/>
        <family val="2"/>
      </rPr>
      <t xml:space="preserve">판매가 </t>
    </r>
    <r>
      <rPr>
        <sz val="10"/>
        <rFont val="Malgun Gothic"/>
        <family val="0"/>
        <charset val="1"/>
      </rPr>
      <t xml:space="preserve">(VAT </t>
    </r>
    <r>
      <rPr>
        <sz val="10"/>
        <rFont val="WenQuanYi Zen Hei"/>
        <family val="2"/>
      </rPr>
      <t xml:space="preserve">포함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</si>
  <si>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매출 대비 가산액 비율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실질 이익률 상한</t>
    </r>
    <r>
      <rPr>
        <sz val="10"/>
        <rFont val="Malgun Gothic"/>
        <family val="0"/>
        <charset val="1"/>
      </rPr>
      <t xml:space="preserve">)</t>
    </r>
  </si>
  <si>
    <t xml:space="preserve">%</t>
  </si>
  <si>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가산 ≠ 매출 </t>
    </r>
    <r>
      <rPr>
        <sz val="9"/>
        <color rgb="FF595959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</si>
  <si>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매출 대비 목표이익률 기준 환산 판매가</t>
    </r>
  </si>
  <si>
    <r>
      <rPr>
        <sz val="9"/>
        <color rgb="FF595959"/>
        <rFont val="WenQuanYi Zen Hei"/>
        <family val="2"/>
      </rPr>
      <t xml:space="preserve">직접원가 </t>
    </r>
    <r>
      <rPr>
        <sz val="9"/>
        <color rgb="FF595959"/>
        <rFont val="Malgun Gothic"/>
        <family val="0"/>
        <charset val="1"/>
      </rPr>
      <t xml:space="preserve">÷ (1-</t>
    </r>
    <r>
      <rPr>
        <sz val="9"/>
        <color rgb="FF595959"/>
        <rFont val="WenQuanYi Zen Hei"/>
        <family val="2"/>
      </rPr>
      <t xml:space="preserve">목표 매출총이익률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</si>
  <si>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환산가 </t>
    </r>
    <r>
      <rPr>
        <sz val="10"/>
        <rFont val="Malgun Gothic"/>
        <family val="0"/>
        <charset val="1"/>
      </rPr>
      <t xml:space="preserve">- </t>
    </r>
    <r>
      <rPr>
        <sz val="10"/>
        <rFont val="WenQuanYi Zen Hei"/>
        <family val="2"/>
      </rPr>
      <t xml:space="preserve">추정 판매가</t>
    </r>
  </si>
  <si>
    <r>
      <rPr>
        <sz val="9"/>
        <color rgb="FF595959"/>
        <rFont val="Malgun Gothic"/>
        <family val="0"/>
        <charset val="1"/>
      </rPr>
      <t xml:space="preserve">(+)</t>
    </r>
    <r>
      <rPr>
        <sz val="9"/>
        <color rgb="FF595959"/>
        <rFont val="WenQuanYi Zen Hei"/>
        <family val="2"/>
      </rPr>
      <t xml:space="preserve">면 </t>
    </r>
    <r>
      <rPr>
        <sz val="9"/>
        <color rgb="FF595959"/>
        <rFont val="Malgun Gothic"/>
        <family val="0"/>
        <charset val="1"/>
      </rPr>
      <t xml:space="preserve">11% </t>
    </r>
    <r>
      <rPr>
        <sz val="9"/>
        <color rgb="FF595959"/>
        <rFont val="WenQuanYi Zen Hei"/>
        <family val="2"/>
      </rPr>
      <t xml:space="preserve">매출이익을 위해 인상 필요</t>
    </r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</si>
  <si>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판매가 구성비</t>
    </r>
  </si>
  <si>
    <t xml:space="preserve">불량 손실</t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</si>
  <si>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월 기준</t>
    </r>
  </si>
  <si>
    <r>
      <rPr>
        <sz val="10"/>
        <rFont val="WenQuanYi Zen Hei"/>
        <family val="2"/>
      </rPr>
      <t xml:space="preserve">일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)</t>
    </r>
  </si>
  <si>
    <t xml:space="preserve">월 생산수량</t>
  </si>
  <si>
    <t xml:space="preserve">개</t>
  </si>
  <si>
    <r>
      <rPr>
        <sz val="10"/>
        <rFont val="WenQuanYi Zen Hei"/>
        <family val="2"/>
      </rPr>
      <t xml:space="preserve">월 목표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목표수량 전제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</si>
  <si>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목표 수량 달성 전제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조립 미검증 시 확정 매출 아님</t>
    </r>
  </si>
  <si>
    <r>
      <rPr>
        <sz val="10"/>
        <rFont val="WenQuanYi Zen Hei"/>
        <family val="2"/>
      </rPr>
      <t xml:space="preserve">승인된 생산가능 매출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종합판정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전체 충족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시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</si>
  <si>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생산능력이 검증되기 전에는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미검증</t>
    </r>
    <r>
      <rPr>
        <sz val="9"/>
        <color rgb="FF595959"/>
        <rFont val="Malgun Gothic"/>
        <family val="0"/>
        <charset val="1"/>
      </rPr>
      <t xml:space="preserve">"</t>
    </r>
  </si>
  <si>
    <r>
      <rPr>
        <sz val="10"/>
        <rFont val="WenQuanYi Zen Hei"/>
        <family val="2"/>
      </rPr>
      <t xml:space="preserve">월 가산액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+</t>
    </r>
    <r>
      <rPr>
        <sz val="10"/>
        <rFont val="WenQuanYi Zen Hei"/>
        <family val="2"/>
      </rPr>
      <t xml:space="preserve">이익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</si>
  <si>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6. </t>
    </r>
    <r>
      <rPr>
        <b val="true"/>
        <sz val="10"/>
        <color rgb="FFFFFFFF"/>
        <rFont val="WenQuanYi Zen Hei"/>
        <family val="2"/>
      </rPr>
      <t xml:space="preserve">생산능력 요약 </t>
    </r>
    <r>
      <rPr>
        <b val="true"/>
        <sz val="10"/>
        <color rgb="FFFFFFFF"/>
        <rFont val="Malgun Gothic"/>
        <family val="0"/>
        <charset val="1"/>
      </rPr>
      <t xml:space="preserve">(CT</t>
    </r>
    <r>
      <rPr>
        <b val="true"/>
        <sz val="10"/>
        <color rgb="FFFFFFFF"/>
        <rFont val="WenQuanYi Zen Hei"/>
        <family val="2"/>
      </rPr>
      <t xml:space="preserve">계산 시트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</si>
  <si>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필요 로봇 대수</t>
  </si>
  <si>
    <t xml:space="preserve">대</t>
  </si>
  <si>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</t>
    </r>
  </si>
  <si>
    <t xml:space="preserve">총 인원</t>
  </si>
  <si>
    <t xml:space="preserve">명</t>
  </si>
  <si>
    <t xml:space="preserve">설비 부하율</t>
  </si>
  <si>
    <r>
      <rPr>
        <sz val="10"/>
        <rFont val="WenQuanYi Zen Hei"/>
        <family val="2"/>
      </rPr>
      <t xml:space="preserve">로봇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코킹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능력 판정</t>
    </r>
  </si>
  <si>
    <t xml:space="preserve">조립 공정 판정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</si>
  <si>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</t>
    </r>
    <r>
      <rPr>
        <sz val="9"/>
        <color rgb="FF595959"/>
        <rFont val="Malgun Gothic"/>
        <family val="0"/>
        <charset val="1"/>
      </rPr>
      <t xml:space="preserve">(5</t>
    </r>
    <r>
      <rPr>
        <sz val="9"/>
        <color rgb="FF595959"/>
        <rFont val="WenQuanYi Zen Hei"/>
        <family val="2"/>
      </rPr>
      <t xml:space="preserve">공정 모두 실측 필요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</si>
  <si>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종합 생산능력 판정</t>
  </si>
  <si>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조립 병목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입력 검증 합성</t>
    </r>
  </si>
  <si>
    <t xml:space="preserve">입력 검증</t>
  </si>
  <si>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, OD&gt;2t, </t>
    </r>
    <r>
      <rPr>
        <sz val="9"/>
        <color rgb="FF595959"/>
        <rFont val="WenQuanYi Zen Hei"/>
        <family val="2"/>
      </rPr>
      <t xml:space="preserve">수량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일수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인원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&gt;0, 0&lt;OEE·</t>
    </r>
    <r>
      <rPr>
        <sz val="9"/>
        <color rgb="FF595959"/>
        <rFont val="WenQuanYi Zen Hei"/>
        <family val="2"/>
      </rPr>
      <t xml:space="preserve">조립효율≤</t>
    </r>
    <r>
      <rPr>
        <sz val="9"/>
        <color rgb="FF595959"/>
        <rFont val="Malgun Gothic"/>
        <family val="0"/>
        <charset val="1"/>
      </rPr>
      <t xml:space="preserve">100%, 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&lt;100%, </t>
    </r>
    <r>
      <rPr>
        <sz val="9"/>
        <color rgb="FF595959"/>
        <rFont val="WenQuanYi Zen Hei"/>
        <family val="2"/>
      </rPr>
      <t xml:space="preserve">입수≥</t>
    </r>
    <r>
      <rPr>
        <sz val="9"/>
        <color rgb="FF595959"/>
        <rFont val="Malgun Gothic"/>
        <family val="0"/>
        <charset val="1"/>
      </rPr>
      <t xml:space="preserve">1, </t>
    </r>
    <r>
      <rPr>
        <sz val="9"/>
        <color rgb="FF595959"/>
        <rFont val="WenQuanYi Zen Hei"/>
        <family val="2"/>
      </rPr>
      <t xml:space="preserve">중복 휴식≤휴식 횟수</t>
    </r>
  </si>
  <si>
    <r>
      <rPr>
        <b val="true"/>
        <sz val="10"/>
        <color rgb="FFFFFFFF"/>
        <rFont val="Malgun Gothic"/>
        <family val="0"/>
        <charset val="1"/>
      </rPr>
      <t xml:space="preserve">7. R1 </t>
    </r>
    <r>
      <rPr>
        <b val="true"/>
        <sz val="10"/>
        <color rgb="FFFFFFFF"/>
        <rFont val="WenQuanYi Zen Hei"/>
        <family val="2"/>
      </rPr>
      <t xml:space="preserve">원본 재현 검증 </t>
    </r>
    <r>
      <rPr>
        <b val="true"/>
        <sz val="10"/>
        <color rgb="FFFFFFFF"/>
        <rFont val="Malgun Gothic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안이 </t>
    </r>
    <r>
      <rPr>
        <b val="true"/>
        <sz val="10"/>
        <color rgb="FFFFFFFF"/>
        <rFont val="Malgun Gothic"/>
        <family val="0"/>
        <charset val="1"/>
      </rPr>
      <t xml:space="preserve">R1 </t>
    </r>
    <r>
      <rPr>
        <b val="true"/>
        <sz val="10"/>
        <color rgb="FFFFFFFF"/>
        <rFont val="WenQuanYi Zen Hei"/>
        <family val="2"/>
      </rPr>
      <t xml:space="preserve">저장값과 일치하는지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</si>
  <si>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현재값</t>
    </r>
  </si>
  <si>
    <r>
      <rPr>
        <b val="true"/>
        <sz val="10"/>
        <rFont val="Malgun Gothic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원본 저장값</t>
    </r>
  </si>
  <si>
    <t xml:space="preserve">편차</t>
  </si>
  <si>
    <t xml:space="preserve">판정</t>
  </si>
  <si>
    <t xml:space="preserve">비고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</si>
  <si>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</si>
  <si>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입력을 바꾸면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재확인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 뜨는 것이 정상</t>
    </r>
  </si>
  <si>
    <t xml:space="preserve">공정비</t>
  </si>
  <si>
    <t xml:space="preserve">직접원가</t>
  </si>
  <si>
    <t xml:space="preserve">추정 판매가</t>
  </si>
  <si>
    <t xml:space="preserve">월 추정 매출</t>
  </si>
  <si>
    <r>
      <rPr>
        <sz val="9"/>
        <color rgb="FF595959"/>
        <rFont val="Malgun Gothic"/>
        <family val="0"/>
        <charset val="1"/>
      </rPr>
      <t xml:space="preserve">· R1 </t>
    </r>
    <r>
      <rPr>
        <sz val="9"/>
        <color rgb="FF595959"/>
        <rFont val="WenQuanYi Zen Hei"/>
        <family val="2"/>
      </rPr>
      <t xml:space="preserve">해석 유지</t>
    </r>
    <r>
      <rPr>
        <sz val="9"/>
        <color rgb="FF595959"/>
        <rFont val="Malgun Gothic"/>
        <family val="0"/>
        <charset val="1"/>
      </rPr>
      <t xml:space="preserve">: '3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'=3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, '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'=2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거래품명 확인 전까지 원문 표기를 바꾸지 않았습니다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</si>
  <si>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가산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는 직접원가 대비이며 매출 기준 이익률은 약 </t>
    </r>
    <r>
      <rPr>
        <sz val="9"/>
        <color rgb="FF595959"/>
        <rFont val="Malgun Gothic"/>
        <family val="0"/>
        <charset val="1"/>
      </rPr>
      <t xml:space="preserve">9.9%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구성비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절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환산가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절 참고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관리비와 이익의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 후 입력합니다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</si>
  <si>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필요 로봇 대수는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반영해 </t>
    </r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(</t>
    </r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× OEE))</t>
    </r>
    <r>
      <rPr>
        <sz val="9"/>
        <color rgb="FF595959"/>
        <rFont val="WenQuanYi Zen Hei"/>
        <family val="2"/>
      </rPr>
      <t xml:space="preserve">로 산정합니다</t>
    </r>
    <r>
      <rPr>
        <sz val="9"/>
        <color rgb="FF595959"/>
        <rFont val="Malgun Gothic"/>
        <family val="0"/>
        <charset val="1"/>
      </rPr>
      <t xml:space="preserve">. B</t>
    </r>
    <r>
      <rPr>
        <sz val="9"/>
        <color rgb="FF595959"/>
        <rFont val="WenQuanYi Zen Hei"/>
        <family val="2"/>
      </rPr>
      <t xml:space="preserve">안에 실제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를 입력하면 필요 대수가 달라집니다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</si>
  <si>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Malgun Gothic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조립 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조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명의 목표 택트 충족은 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 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공정 측정값을 모두 입력해야 판정되며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 전에는 종합판정이 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조립 미검증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이고 승인된 생산가능 매출도 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미검증</t>
    </r>
    <r>
      <rPr>
        <sz val="9"/>
        <color rgb="FF595959"/>
        <rFont val="Malgun Gothic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입니다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</si>
  <si>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입력 시트 — 개당원가분석표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</si>
  <si>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WenQuanYi Zen Hei"/>
        <family val="2"/>
      </rPr>
      <t xml:space="preserve">파란색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입력값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잠금 해제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 </t>
    </r>
    <r>
      <rPr>
        <sz val="9"/>
        <color rgb="FF595959"/>
        <rFont val="WenQuanYi Zen Hei"/>
        <family val="2"/>
      </rPr>
      <t xml:space="preserve">원본 입력 그대로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검증 기준</t>
    </r>
    <r>
      <rPr>
        <sz val="9"/>
        <color rgb="FF595959"/>
        <rFont val="Malgun Gothic"/>
        <family val="0"/>
        <charset val="1"/>
      </rPr>
      <t xml:space="preserve">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조사 후 입력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빈 칸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미조사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조사한 항목만 </t>
    </r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칸에 입력하고 </t>
    </r>
    <r>
      <rPr>
        <sz val="9"/>
        <color rgb="FF595959"/>
        <rFont val="Malgun Gothic"/>
        <family val="0"/>
        <charset val="1"/>
      </rPr>
      <t xml:space="preserve">G</t>
    </r>
    <r>
      <rPr>
        <sz val="9"/>
        <color rgb="FF595959"/>
        <rFont val="WenQuanYi Zen Hei"/>
        <family val="2"/>
      </rPr>
      <t xml:space="preserve">열을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확인완료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로 선택하세요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필수 칸이 모두 채워지기 전에는 </t>
    </r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계산이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입력 필요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로 표시됩니다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</si>
  <si>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상태</t>
    </r>
  </si>
  <si>
    <r>
      <rPr>
        <b val="true"/>
        <sz val="10"/>
        <rFont val="WenQuanYi Zen Hei"/>
        <family val="2"/>
      </rPr>
      <t xml:space="preserve">근거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확인 필요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</si>
  <si>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확인 여부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</si>
  <si>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생산 조건</t>
    </r>
  </si>
  <si>
    <t xml:space="preserve">일 생산수량</t>
  </si>
  <si>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일</t>
    </r>
  </si>
  <si>
    <t xml:space="preserve">가정</t>
  </si>
  <si>
    <r>
      <rPr>
        <sz val="9"/>
        <color rgb="FF595959"/>
        <rFont val="WenQuanYi Zen Hei"/>
        <family val="2"/>
      </rPr>
      <t xml:space="preserve">고객 발주량 확인 필요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값</t>
    </r>
    <r>
      <rPr>
        <sz val="9"/>
        <color rgb="FF595959"/>
        <rFont val="Malgun Gothic"/>
        <family val="0"/>
        <charset val="1"/>
      </rPr>
      <t xml:space="preserve">)</t>
    </r>
  </si>
  <si>
    <t xml:space="preserve">미확인</t>
  </si>
  <si>
    <t xml:space="preserve">월 근무일수</t>
  </si>
  <si>
    <t xml:space="preserve">일</t>
  </si>
  <si>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Malgun Gothic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일 기준 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실제 가동일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발주계획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22</t>
    </r>
  </si>
  <si>
    <t xml:space="preserve">근무 시작 시각</t>
  </si>
  <si>
    <t xml:space="preserve">시</t>
  </si>
  <si>
    <r>
      <rPr>
        <sz val="9"/>
        <color rgb="FF595959"/>
        <rFont val="Malgun Gothic"/>
        <family val="0"/>
        <charset val="1"/>
      </rPr>
      <t xml:space="preserve">08:00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8</t>
    </r>
  </si>
  <si>
    <t xml:space="preserve">근무 종료 시각</t>
  </si>
  <si>
    <r>
      <rPr>
        <sz val="9"/>
        <color rgb="FF595959"/>
        <rFont val="Malgun Gothic"/>
        <family val="0"/>
        <charset val="1"/>
      </rPr>
      <t xml:space="preserve">19:00 (</t>
    </r>
    <r>
      <rPr>
        <sz val="9"/>
        <color rgb="FF595959"/>
        <rFont val="WenQuanYi Zen Hei"/>
        <family val="2"/>
      </rPr>
      <t xml:space="preserve">종료</t>
    </r>
    <r>
      <rPr>
        <sz val="9"/>
        <color rgb="FF595959"/>
        <rFont val="Malgun Gothic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시작</t>
    </r>
    <r>
      <rPr>
        <sz val="9"/>
        <color rgb="FF595959"/>
        <rFont val="Malgun Gothic"/>
        <family val="0"/>
        <charset val="1"/>
      </rPr>
      <t xml:space="preserve">)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19</t>
    </r>
  </si>
  <si>
    <t xml:space="preserve">휴식 간격</t>
  </si>
  <si>
    <t xml:space="preserve">시간</t>
  </si>
  <si>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시간마다 휴식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2</t>
    </r>
  </si>
  <si>
    <r>
      <rPr>
        <sz val="10"/>
        <rFont val="WenQuanYi Zen Hei"/>
        <family val="2"/>
      </rPr>
      <t xml:space="preserve">휴식 시간 </t>
    </r>
    <r>
      <rPr>
        <sz val="10"/>
        <rFont val="Malgun Gothic"/>
        <family val="0"/>
        <charset val="1"/>
      </rPr>
      <t xml:space="preserve">(1</t>
    </r>
    <r>
      <rPr>
        <sz val="10"/>
        <rFont val="WenQuanYi Zen Hei"/>
        <family val="2"/>
      </rPr>
      <t xml:space="preserve">회</t>
    </r>
    <r>
      <rPr>
        <sz val="10"/>
        <rFont val="Malgun Gothic"/>
        <family val="0"/>
        <charset val="1"/>
      </rPr>
      <t xml:space="preserve">)</t>
    </r>
  </si>
  <si>
    <t xml:space="preserve">분</t>
  </si>
  <si>
    <r>
      <rPr>
        <sz val="9"/>
        <color rgb="FF595959"/>
        <rFont val="WenQuanYi Zen Hei"/>
        <family val="2"/>
      </rPr>
      <t xml:space="preserve">실제 휴게 편성표로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15</t>
    </r>
  </si>
  <si>
    <t xml:space="preserve">식사와 겹쳐 제외할 휴식 횟수</t>
  </si>
  <si>
    <t xml:space="preserve">회</t>
  </si>
  <si>
    <r>
      <rPr>
        <sz val="9"/>
        <color rgb="FF595959"/>
        <rFont val="WenQuanYi Zen Hei"/>
        <family val="2"/>
      </rPr>
      <t xml:space="preserve">점심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저녁과 겹치는 휴식이 있으면 입력</t>
    </r>
    <r>
      <rPr>
        <sz val="9"/>
        <color rgb="FF595959"/>
        <rFont val="Malgun Gothic"/>
        <family val="0"/>
        <charset val="1"/>
      </rPr>
      <t xml:space="preserve">(R1</t>
    </r>
    <r>
      <rPr>
        <sz val="9"/>
        <color rgb="FF595959"/>
        <rFont val="WenQuanYi Zen Hei"/>
        <family val="2"/>
      </rPr>
      <t xml:space="preserve">은 중복 미반영</t>
    </r>
    <r>
      <rPr>
        <sz val="9"/>
        <color rgb="FF595959"/>
        <rFont val="Malgun Gothic"/>
        <family val="0"/>
        <charset val="1"/>
      </rPr>
      <t xml:space="preserve">=0)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</t>
    </r>
  </si>
  <si>
    <t xml:space="preserve">점심시간</t>
  </si>
  <si>
    <r>
      <rPr>
        <sz val="9"/>
        <color rgb="FF595959"/>
        <rFont val="WenQuanYi Zen Hei"/>
        <family val="2"/>
      </rPr>
      <t xml:space="preserve">실제 시간표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40</t>
    </r>
  </si>
  <si>
    <t xml:space="preserve">저녁시간</t>
  </si>
  <si>
    <r>
      <rPr>
        <sz val="9"/>
        <color rgb="FF595959"/>
        <rFont val="WenQuanYi Zen Hei"/>
        <family val="2"/>
      </rPr>
      <t xml:space="preserve">실제 시간표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20</t>
    </r>
  </si>
  <si>
    <r>
      <rPr>
        <sz val="10"/>
        <rFont val="WenQuanYi Zen Hei"/>
        <family val="2"/>
      </rPr>
      <t xml:space="preserve">설비 종합효율 </t>
    </r>
    <r>
      <rPr>
        <sz val="10"/>
        <rFont val="Malgun Gothic"/>
        <family val="0"/>
        <charset val="1"/>
      </rPr>
      <t xml:space="preserve">OEE 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</t>
    </r>
  </si>
  <si>
    <t xml:space="preserve">확인완료</t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</si>
  <si>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100%=R1(</t>
    </r>
    <r>
      <rPr>
        <sz val="9"/>
        <color rgb="FF595959"/>
        <rFont val="WenQuanYi Zen Hei"/>
        <family val="2"/>
      </rPr>
      <t xml:space="preserve">손실 미반영</t>
    </r>
    <r>
      <rPr>
        <sz val="9"/>
        <color rgb="FF595959"/>
        <rFont val="Malgun Gothic"/>
        <family val="0"/>
        <charset val="1"/>
      </rPr>
      <t xml:space="preserve">).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확인된 실제 </t>
    </r>
    <r>
      <rPr>
        <sz val="9"/>
        <color rgb="FF595959"/>
        <rFont val="Malgun Gothic"/>
        <family val="0"/>
        <charset val="1"/>
      </rPr>
      <t xml:space="preserve">OEE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0.9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</si>
  <si>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</t>
    </r>
    <r>
      <rPr>
        <sz val="10"/>
        <rFont val="Malgun Gothic"/>
        <family val="0"/>
        <charset val="1"/>
      </rPr>
      <t xml:space="preserve">C/T</t>
    </r>
  </si>
  <si>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개</t>
    </r>
  </si>
  <si>
    <t xml:space="preserve">사용자 제공</t>
  </si>
  <si>
    <t xml:space="preserve">타임스터디로 실측 확인 필요</t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</si>
  <si>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대당 작업자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</si>
  <si>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대</t>
    </r>
  </si>
  <si>
    <r>
      <rPr>
        <sz val="9"/>
        <color rgb="FF595959"/>
        <rFont val="WenQuanYi Zen Hei"/>
        <family val="2"/>
      </rPr>
      <t xml:space="preserve">무인 운전이면 </t>
    </r>
    <r>
      <rPr>
        <sz val="9"/>
        <color rgb="FF595959"/>
        <rFont val="Malgun Gothic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불가 — 예외 처리 필요</t>
    </r>
  </si>
  <si>
    <r>
      <rPr>
        <sz val="10"/>
        <rFont val="WenQuanYi Zen Hei"/>
        <family val="2"/>
      </rPr>
      <t xml:space="preserve">조립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인원</t>
    </r>
  </si>
  <si>
    <r>
      <rPr>
        <sz val="9"/>
        <color rgb="FF595959"/>
        <rFont val="WenQuanYi Zen Hei"/>
        <family val="2"/>
      </rPr>
      <t xml:space="preserve">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조</t>
    </r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</si>
  <si>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시트에서 공정별 검증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4</t>
    </r>
  </si>
  <si>
    <t xml:space="preserve">조립 조 수</t>
  </si>
  <si>
    <t xml:space="preserve">조</t>
  </si>
  <si>
    <r>
      <rPr>
        <sz val="9"/>
        <color rgb="FF595959"/>
        <rFont val="WenQuanYi Zen Hei"/>
        <family val="2"/>
      </rPr>
      <t xml:space="preserve">병목공정</t>
    </r>
    <r>
      <rPr>
        <sz val="9"/>
        <color rgb="FF595959"/>
        <rFont val="Malgun Gothic"/>
        <family val="0"/>
        <charset val="1"/>
      </rPr>
      <t xml:space="preserve">CT </t>
    </r>
    <r>
      <rPr>
        <sz val="9"/>
        <color rgb="FF595959"/>
        <rFont val="WenQuanYi Zen Hei"/>
        <family val="2"/>
      </rPr>
      <t xml:space="preserve">시트 판정이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병목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이면 증가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</t>
    </r>
  </si>
  <si>
    <r>
      <rPr>
        <sz val="10"/>
        <rFont val="WenQuanYi Zen Hei"/>
        <family val="2"/>
      </rPr>
      <t xml:space="preserve">조립 라인 효율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와 별도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</si>
  <si>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조립 공정의 가동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속도 손실 반영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는 조립에 적용하지 않음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측정 전 </t>
    </r>
    <r>
      <rPr>
        <sz val="9"/>
        <color rgb="FF595959"/>
        <rFont val="Malgun Gothic"/>
        <family val="0"/>
        <charset val="1"/>
      </rPr>
      <t xml:space="preserve">100%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</si>
  <si>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소재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파이프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</si>
  <si>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소재 단가</t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</si>
  <si>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/kg</t>
    </r>
  </si>
  <si>
    <r>
      <rPr>
        <sz val="9"/>
        <color rgb="FF595959"/>
        <rFont val="WenQuanYi Zen Hei"/>
        <family val="2"/>
      </rPr>
      <t xml:space="preserve">최근 매입단가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발주서로 확인</t>
    </r>
  </si>
  <si>
    <t xml:space="preserve">소재 비중</t>
  </si>
  <si>
    <t xml:space="preserve">g/cm³</t>
  </si>
  <si>
    <r>
      <rPr>
        <sz val="9"/>
        <color rgb="FF595959"/>
        <rFont val="Malgun Gothic"/>
        <family val="0"/>
        <charset val="1"/>
      </rPr>
      <t xml:space="preserve">STS304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알루미늄 </t>
    </r>
    <r>
      <rPr>
        <sz val="9"/>
        <color rgb="FF595959"/>
        <rFont val="Malgun Gothic"/>
        <family val="0"/>
        <charset val="1"/>
      </rPr>
      <t xml:space="preserve">2.70, </t>
    </r>
    <r>
      <rPr>
        <sz val="9"/>
        <color rgb="FF595959"/>
        <rFont val="WenQuanYi Zen Hei"/>
        <family val="2"/>
      </rPr>
      <t xml:space="preserve">일반강 </t>
    </r>
    <r>
      <rPr>
        <sz val="9"/>
        <color rgb="FF595959"/>
        <rFont val="Malgun Gothic"/>
        <family val="0"/>
        <charset val="1"/>
      </rPr>
      <t xml:space="preserve">7.85). </t>
    </r>
    <r>
      <rPr>
        <sz val="9"/>
        <color rgb="FF595959"/>
        <rFont val="WenQuanYi Zen Hei"/>
        <family val="2"/>
      </rPr>
      <t xml:space="preserve">재질증명서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7.93</t>
    </r>
  </si>
  <si>
    <r>
      <rPr>
        <sz val="10"/>
        <rFont val="WenQuanYi Zen Hei"/>
        <family val="2"/>
      </rPr>
      <t xml:space="preserve">외경 </t>
    </r>
    <r>
      <rPr>
        <sz val="10"/>
        <rFont val="Malgun Gothic"/>
        <family val="0"/>
        <charset val="1"/>
      </rPr>
      <t xml:space="preserve">OD</t>
    </r>
  </si>
  <si>
    <t xml:space="preserve">mm</t>
  </si>
  <si>
    <r>
      <rPr>
        <sz val="9"/>
        <color rgb="FF595959"/>
        <rFont val="WenQuanYi Zen Hei"/>
        <family val="2"/>
      </rPr>
      <t xml:space="preserve">외경 미제공 → </t>
    </r>
    <r>
      <rPr>
        <sz val="9"/>
        <color rgb="FF595959"/>
        <rFont val="Malgun Gothic"/>
        <family val="0"/>
        <charset val="1"/>
      </rPr>
      <t xml:space="preserve">25.4mm </t>
    </r>
    <r>
      <rPr>
        <sz val="9"/>
        <color rgb="FF595959"/>
        <rFont val="WenQuanYi Zen Hei"/>
        <family val="2"/>
      </rPr>
      <t xml:space="preserve">가정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승인 도면으로 교체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25.4</t>
    </r>
  </si>
  <si>
    <r>
      <rPr>
        <sz val="10"/>
        <rFont val="WenQuanYi Zen Hei"/>
        <family val="2"/>
      </rPr>
      <t xml:space="preserve">두께 </t>
    </r>
    <r>
      <rPr>
        <sz val="10"/>
        <rFont val="Malgun Gothic"/>
        <family val="0"/>
        <charset val="1"/>
      </rPr>
      <t xml:space="preserve">t</t>
    </r>
  </si>
  <si>
    <r>
      <rPr>
        <sz val="9"/>
        <color rgb="FF595959"/>
        <rFont val="WenQuanYi Zen Hei"/>
        <family val="2"/>
      </rPr>
      <t xml:space="preserve">파이프 </t>
    </r>
    <r>
      <rPr>
        <sz val="9"/>
        <color rgb="FF595959"/>
        <rFont val="Malgun Gothic"/>
        <family val="0"/>
        <charset val="1"/>
      </rPr>
      <t xml:space="preserve">A·B </t>
    </r>
    <r>
      <rPr>
        <sz val="9"/>
        <color rgb="FF595959"/>
        <rFont val="WenQuanYi Zen Hei"/>
        <family val="2"/>
      </rPr>
      <t xml:space="preserve">공통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1.24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</si>
  <si>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 </t>
    </r>
    <r>
      <rPr>
        <sz val="10"/>
        <rFont val="WenQuanYi Zen Hei"/>
        <family val="2"/>
      </rPr>
      <t xml:space="preserve">길이</t>
    </r>
  </si>
  <si>
    <r>
      <rPr>
        <sz val="9"/>
        <color rgb="FF595959"/>
        <rFont val="WenQuanYi Zen Hei"/>
        <family val="2"/>
      </rPr>
      <t xml:space="preserve">도면 </t>
    </r>
    <r>
      <rPr>
        <sz val="9"/>
        <color rgb="FF595959"/>
        <rFont val="Malgun Gothic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435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</si>
  <si>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B </t>
    </r>
    <r>
      <rPr>
        <sz val="10"/>
        <rFont val="WenQuanYi Zen Hei"/>
        <family val="2"/>
      </rPr>
      <t xml:space="preserve">길이</t>
    </r>
  </si>
  <si>
    <r>
      <rPr>
        <sz val="9"/>
        <color rgb="FF595959"/>
        <rFont val="WenQuanYi Zen Hei"/>
        <family val="2"/>
      </rPr>
      <t xml:space="preserve">도면 </t>
    </r>
    <r>
      <rPr>
        <sz val="9"/>
        <color rgb="FF595959"/>
        <rFont val="Malgun Gothic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315</t>
    </r>
  </si>
  <si>
    <r>
      <rPr>
        <sz val="10"/>
        <rFont val="WenQuanYi Zen Hei"/>
        <family val="2"/>
      </rPr>
      <t xml:space="preserve">소재 로스율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</si>
  <si>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투입중량</t>
    </r>
    <r>
      <rPr>
        <sz val="9"/>
        <color rgb="FF595959"/>
        <rFont val="Malgun Gothic"/>
        <family val="0"/>
        <charset val="1"/>
      </rPr>
      <t xml:space="preserve">×(1+</t>
    </r>
    <r>
      <rPr>
        <sz val="9"/>
        <color rgb="FF595959"/>
        <rFont val="WenQuanYi Zen Hei"/>
        <family val="2"/>
      </rPr>
      <t xml:space="preserve">로스</t>
    </r>
    <r>
      <rPr>
        <sz val="9"/>
        <color rgb="FF595959"/>
        <rFont val="Malgun Gothic"/>
        <family val="0"/>
        <charset val="1"/>
      </rPr>
      <t xml:space="preserve">). 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3%=</t>
    </r>
    <r>
      <rPr>
        <sz val="9"/>
        <color rgb="FF595959"/>
        <rFont val="WenQuanYi Zen Hei"/>
        <family val="2"/>
      </rPr>
      <t xml:space="preserve">검토보고서 예시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0.03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</si>
  <si>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구매 부품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포장재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개당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</si>
  <si>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프랜지 개당 수량</t>
  </si>
  <si>
    <t xml:space="preserve">EA</t>
  </si>
  <si>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명칭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승인 </t>
    </r>
    <r>
      <rPr>
        <sz val="9"/>
        <color rgb="FF595959"/>
        <rFont val="Malgun Gothic"/>
        <family val="0"/>
        <charset val="1"/>
      </rPr>
      <t xml:space="preserve">BOM </t>
    </r>
    <r>
      <rPr>
        <sz val="9"/>
        <color rgb="FF595959"/>
        <rFont val="WenQuanYi Zen Hei"/>
        <family val="2"/>
      </rPr>
      <t xml:space="preserve">기준 확정 전 원문 표기</t>
    </r>
    <r>
      <rPr>
        <sz val="9"/>
        <color rgb="FF595959"/>
        <rFont val="Malgun Gothic"/>
        <family val="0"/>
        <charset val="1"/>
      </rPr>
      <t xml:space="preserve">)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</t>
    </r>
  </si>
  <si>
    <t xml:space="preserve">프랜지 단가</t>
  </si>
  <si>
    <r>
      <rPr>
        <sz val="9"/>
        <color rgb="FF595959"/>
        <rFont val="WenQuanYi Zen Hei"/>
        <family val="2"/>
      </rPr>
      <t xml:space="preserve">최근 매입명세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1600</t>
    </r>
  </si>
  <si>
    <t xml:space="preserve">다이캐스팅 개당 수량</t>
  </si>
  <si>
    <r>
      <rPr>
        <sz val="9"/>
        <color rgb="FF595959"/>
        <rFont val="WenQuanYi Zen Hei"/>
        <family val="2"/>
      </rPr>
      <t xml:space="preserve">개당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사용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2</t>
    </r>
  </si>
  <si>
    <t xml:space="preserve">다이캐스팅 단가</t>
  </si>
  <si>
    <r>
      <rPr>
        <sz val="9"/>
        <color rgb="FF595959"/>
        <rFont val="Malgun Gothic"/>
        <family val="0"/>
        <charset val="1"/>
      </rPr>
      <t xml:space="preserve">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300</t>
    </r>
  </si>
  <si>
    <t xml:space="preserve">포장지 개당 수량</t>
  </si>
  <si>
    <r>
      <rPr>
        <sz val="9"/>
        <color rgb="FF595959"/>
        <rFont val="Malgun Gothic"/>
        <family val="0"/>
        <charset val="1"/>
      </rPr>
      <t xml:space="preserve">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</t>
    </r>
  </si>
  <si>
    <t xml:space="preserve">포장지 단가</t>
  </si>
  <si>
    <r>
      <rPr>
        <sz val="9"/>
        <color rgb="FF595959"/>
        <rFont val="Malgun Gothic"/>
        <family val="0"/>
        <charset val="1"/>
      </rPr>
      <t xml:space="preserve">R1 "3</t>
    </r>
    <r>
      <rPr>
        <sz val="9"/>
        <color rgb="FF595959"/>
        <rFont val="WenQuanYi Zen Hei"/>
        <family val="2"/>
      </rPr>
      <t xml:space="preserve">월짜리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원으로 해석 — 거래품명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3</t>
    </r>
  </si>
  <si>
    <t xml:space="preserve">박스 단가</t>
  </si>
  <si>
    <r>
      <rPr>
        <sz val="9"/>
        <color rgb="FF595959"/>
        <rFont val="Malgun Gothic"/>
        <family val="0"/>
        <charset val="1"/>
      </rPr>
      <t xml:space="preserve">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120</t>
    </r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</si>
  <si>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제품 입수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</si>
  <si>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1(</t>
    </r>
    <r>
      <rPr>
        <sz val="9"/>
        <color rgb="FF595959"/>
        <rFont val="WenQuanYi Zen Hei"/>
        <family val="2"/>
      </rPr>
      <t xml:space="preserve">제품당 박스</t>
    </r>
    <r>
      <rPr>
        <sz val="9"/>
        <color rgb="FF595959"/>
        <rFont val="Malgun Gothic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Malgun Gothic"/>
        <family val="0"/>
        <charset val="1"/>
      </rPr>
      <t xml:space="preserve">)=R1,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입수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포장사양서 확인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</t>
    </r>
  </si>
  <si>
    <t xml:space="preserve">라벨 개당 수량</t>
  </si>
  <si>
    <r>
      <rPr>
        <sz val="9"/>
        <color rgb="FF595959"/>
        <rFont val="Malgun Gothic"/>
        <family val="0"/>
        <charset val="1"/>
      </rPr>
      <t xml:space="preserve">R1 "</t>
    </r>
    <r>
      <rPr>
        <sz val="9"/>
        <color rgb="FF595959"/>
        <rFont val="WenQuanYi Zen Hei"/>
        <family val="2"/>
      </rPr>
      <t xml:space="preserve">라벨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Malgun Gothic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개로 해석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2</t>
    </r>
  </si>
  <si>
    <t xml:space="preserve">라벨 단가</t>
  </si>
  <si>
    <r>
      <rPr>
        <sz val="9"/>
        <color rgb="FF595959"/>
        <rFont val="Malgun Gothic"/>
        <family val="0"/>
        <charset val="1"/>
      </rPr>
      <t xml:space="preserve">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8</t>
    </r>
  </si>
  <si>
    <r>
      <rPr>
        <b val="true"/>
        <sz val="10"/>
        <color rgb="FFFFFFFF"/>
        <rFont val="Malgun Gothic"/>
        <family val="0"/>
        <charset val="1"/>
      </rPr>
      <t xml:space="preserve">4. </t>
    </r>
    <r>
      <rPr>
        <b val="true"/>
        <sz val="10"/>
        <color rgb="FFFFFFFF"/>
        <rFont val="WenQuanYi Zen Hei"/>
        <family val="2"/>
      </rPr>
      <t xml:space="preserve">노무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경비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</si>
  <si>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월급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</si>
  <si>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인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월</t>
    </r>
  </si>
  <si>
    <r>
      <rPr>
        <sz val="9"/>
        <color rgb="FF595959"/>
        <rFont val="WenQuanYi Zen Hei"/>
        <family val="2"/>
      </rPr>
      <t xml:space="preserve">급여 총액 확인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기본급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상여 구분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</si>
  <si>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인 월 연장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 추가</t>
    </r>
  </si>
  <si>
    <r>
      <rPr>
        <sz val="9"/>
        <color rgb="FF595959"/>
        <rFont val="WenQuanYi Zen Hei"/>
        <family val="2"/>
      </rPr>
      <t xml:space="preserve">잔업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야간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. 08~19</t>
    </r>
    <r>
      <rPr>
        <sz val="9"/>
        <color rgb="FF595959"/>
        <rFont val="WenQuanYi Zen Hei"/>
        <family val="2"/>
      </rPr>
      <t xml:space="preserve">시 근무라 연장 발생 여부 확인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</t>
    </r>
  </si>
  <si>
    <r>
      <rPr>
        <sz val="10"/>
        <rFont val="WenQuanYi Zen Hei"/>
        <family val="2"/>
      </rPr>
      <t xml:space="preserve">급여 부담률 </t>
    </r>
    <r>
      <rPr>
        <sz val="10"/>
        <rFont val="Malgun Gothic"/>
        <family val="0"/>
        <charset val="1"/>
      </rPr>
      <t xml:space="preserve">(4</t>
    </r>
    <r>
      <rPr>
        <sz val="10"/>
        <rFont val="WenQuanYi Zen Hei"/>
        <family val="2"/>
      </rPr>
      <t xml:space="preserve">대보험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퇴직충당 등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</si>
  <si>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0%=R1, 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15%=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회계 승인율로 교체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0.15</t>
    </r>
  </si>
  <si>
    <r>
      <rPr>
        <sz val="9"/>
        <color rgb="FF595959"/>
        <rFont val="WenQuanYi Zen Hei"/>
        <family val="2"/>
      </rPr>
      <t xml:space="preserve">세척 경비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80</t>
    </r>
  </si>
  <si>
    <t xml:space="preserve">설비 감가상각 배부</t>
  </si>
  <si>
    <r>
      <rPr>
        <sz val="9"/>
        <color rgb="FF595959"/>
        <rFont val="WenQuanYi Zen Hei"/>
        <family val="2"/>
      </rPr>
      <t xml:space="preserve">로봇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설비 감가상각을 배부 기준으로 산정해 입력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=0)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</t>
    </r>
  </si>
  <si>
    <r>
      <rPr>
        <sz val="9"/>
        <color rgb="FF595959"/>
        <rFont val="WenQuanYi Zen Hei"/>
        <family val="2"/>
      </rPr>
      <t xml:space="preserve">설비별 사용량</t>
    </r>
    <r>
      <rPr>
        <sz val="9"/>
        <color rgb="FF595959"/>
        <rFont val="Malgun Gothic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단가 배부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</t>
    </r>
  </si>
  <si>
    <r>
      <rPr>
        <sz val="9"/>
        <color rgb="FF595959"/>
        <rFont val="Malgun Gothic"/>
        <family val="0"/>
        <charset val="1"/>
      </rPr>
      <t xml:space="preserve">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</t>
    </r>
  </si>
  <si>
    <r>
      <rPr>
        <sz val="10"/>
        <rFont val="WenQuanYi Zen Hei"/>
        <family val="2"/>
      </rPr>
      <t xml:space="preserve">기타 경비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분류 전 합계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</si>
  <si>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 </t>
    </r>
    <r>
      <rPr>
        <sz val="9"/>
        <color rgb="FF595959"/>
        <rFont val="Malgun Gothic"/>
        <family val="0"/>
        <charset val="1"/>
      </rPr>
      <t xml:space="preserve">100</t>
    </r>
    <r>
      <rPr>
        <sz val="9"/>
        <color rgb="FF595959"/>
        <rFont val="WenQuanYi Zen Hei"/>
        <family val="2"/>
      </rPr>
      <t xml:space="preserve">원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검토보고서 예시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항목 분리 전 임시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확정 시 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개 항목으로 분리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검토보고서 시나리오값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100 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</t>
    </r>
  </si>
  <si>
    <r>
      <rPr>
        <sz val="10"/>
        <rFont val="WenQuanYi Zen Hei"/>
        <family val="2"/>
      </rPr>
      <t xml:space="preserve">공정 불량률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손실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</si>
  <si>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폐기 재료비에 반영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양품 기준 재료비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재료비</t>
    </r>
    <r>
      <rPr>
        <sz val="9"/>
        <color rgb="FF595959"/>
        <rFont val="Malgun Gothic"/>
        <family val="0"/>
        <charset val="1"/>
      </rPr>
      <t xml:space="preserve">÷(1-</t>
    </r>
    <r>
      <rPr>
        <sz val="9"/>
        <color rgb="FF595959"/>
        <rFont val="WenQuanYi Zen Hei"/>
        <family val="2"/>
      </rPr>
      <t xml:space="preserve">불량률</t>
    </r>
    <r>
      <rPr>
        <sz val="9"/>
        <color rgb="FF595959"/>
        <rFont val="Malgun Gothic"/>
        <family val="0"/>
        <charset val="1"/>
      </rPr>
      <t xml:space="preserve">)). OEE</t>
    </r>
    <r>
      <rPr>
        <sz val="9"/>
        <color rgb="FF595959"/>
        <rFont val="WenQuanYi Zen Hei"/>
        <family val="2"/>
      </rPr>
      <t xml:space="preserve">가 양품률 포함값이므로 공정비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인원은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에서 이미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품질 실적 확인 전 </t>
    </r>
    <r>
      <rPr>
        <sz val="9"/>
        <color rgb="FF595959"/>
        <rFont val="Malgun Gothic"/>
        <family val="0"/>
        <charset val="1"/>
      </rPr>
      <t xml:space="preserve">0%</t>
    </r>
  </si>
  <si>
    <r>
      <rPr>
        <b val="true"/>
        <sz val="10"/>
        <color rgb="FFFFFFFF"/>
        <rFont val="Malgun Gothic"/>
        <family val="0"/>
        <charset val="1"/>
      </rPr>
      <t xml:space="preserve">5. </t>
    </r>
    <r>
      <rPr>
        <b val="true"/>
        <sz val="10"/>
        <color rgb="FFFFFFFF"/>
        <rFont val="WenQuanYi Zen Hei"/>
        <family val="2"/>
      </rPr>
      <t xml:space="preserve">가격 정책</t>
    </r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</si>
  <si>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가산율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직접원가 대비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</si>
  <si>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방식 유지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관리비와 이익 분리 정의는 영업</t>
    </r>
    <r>
      <rPr>
        <sz val="9"/>
        <color rgb="FF595959"/>
        <rFont val="Malgun Gothic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회계 확인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</si>
  <si>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목표 매출총이익률</t>
    </r>
  </si>
  <si>
    <r>
      <rPr>
        <sz val="9"/>
        <color rgb="FF595959"/>
        <rFont val="WenQuanYi Zen Hei"/>
        <family val="2"/>
      </rPr>
      <t xml:space="preserve">원가가산이 아닌 매출 기준 </t>
    </r>
    <r>
      <rPr>
        <sz val="9"/>
        <color rgb="FF595959"/>
        <rFont val="Malgun Gothic"/>
        <family val="0"/>
        <charset val="1"/>
      </rPr>
      <t xml:space="preserve">11%</t>
    </r>
    <r>
      <rPr>
        <sz val="9"/>
        <color rgb="FF595959"/>
        <rFont val="WenQuanYi Zen Hei"/>
        <family val="2"/>
      </rPr>
      <t xml:space="preserve">를 원할 때의 환산가를 참고로 표시 </t>
    </r>
    <r>
      <rPr>
        <sz val="9"/>
        <color rgb="FF595959"/>
        <rFont val="Malgun Gothic"/>
        <family val="0"/>
        <charset val="1"/>
      </rPr>
      <t xml:space="preserve">| </t>
    </r>
    <r>
      <rPr>
        <sz val="9"/>
        <color rgb="FF595959"/>
        <rFont val="WenQuanYi Zen Hei"/>
        <family val="2"/>
      </rPr>
      <t xml:space="preserve">참고</t>
    </r>
    <r>
      <rPr>
        <sz val="9"/>
        <color rgb="FF595959"/>
        <rFont val="Malgun Gothic"/>
        <family val="0"/>
        <charset val="1"/>
      </rPr>
      <t xml:space="preserve">(R1 </t>
    </r>
    <r>
      <rPr>
        <sz val="9"/>
        <color rgb="FF595959"/>
        <rFont val="WenQuanYi Zen Hei"/>
        <family val="2"/>
      </rPr>
      <t xml:space="preserve">가정값</t>
    </r>
    <r>
      <rPr>
        <sz val="9"/>
        <color rgb="FF595959"/>
        <rFont val="Malgun Gothic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미채택</t>
    </r>
    <r>
      <rPr>
        <sz val="9"/>
        <color rgb="FF595959"/>
        <rFont val="Malgun Gothic"/>
        <family val="0"/>
        <charset val="1"/>
      </rPr>
      <t xml:space="preserve">): 0.11</t>
    </r>
  </si>
  <si>
    <t xml:space="preserve">부가가치세율</t>
  </si>
  <si>
    <t xml:space="preserve">법정</t>
  </si>
  <si>
    <t xml:space="preserve">공급가와 부가세 포함가 구분 표시</t>
  </si>
  <si>
    <t xml:space="preserve">미확정</t>
  </si>
  <si>
    <r>
      <rPr>
        <sz val="9"/>
        <color rgb="FF595959"/>
        <rFont val="WenQuanYi Zen Hei"/>
        <family val="2"/>
      </rPr>
      <t xml:space="preserve">영업 기준 입력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텍스트</t>
    </r>
    <r>
      <rPr>
        <sz val="9"/>
        <color rgb="FF595959"/>
        <rFont val="Malgun Gothic"/>
        <family val="0"/>
        <charset val="1"/>
      </rPr>
      <t xml:space="preserve">)</t>
    </r>
  </si>
  <si>
    <t xml:space="preserve">필수 입력 완료 여부</t>
  </si>
  <si>
    <r>
      <rPr>
        <sz val="9"/>
        <color rgb="FF595959"/>
        <rFont val="Malgun Gothic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안은 필수 </t>
    </r>
    <r>
      <rPr>
        <sz val="9"/>
        <color rgb="FF595959"/>
        <rFont val="Malgun Gothic"/>
        <family val="0"/>
        <charset val="1"/>
      </rPr>
      <t xml:space="preserve">36</t>
    </r>
    <r>
      <rPr>
        <sz val="9"/>
        <color rgb="FF595959"/>
        <rFont val="WenQuanYi Zen Hei"/>
        <family val="2"/>
      </rPr>
      <t xml:space="preserve">개 칸이 모두 채워져야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완료</t>
    </r>
    <r>
      <rPr>
        <sz val="9"/>
        <color rgb="FF595959"/>
        <rFont val="Malgun Gothic"/>
        <family val="0"/>
        <charset val="1"/>
      </rPr>
      <t xml:space="preserve">". </t>
    </r>
    <r>
      <rPr>
        <sz val="9"/>
        <color rgb="FF595959"/>
        <rFont val="WenQuanYi Zen Hei"/>
        <family val="2"/>
      </rPr>
      <t xml:space="preserve">선택 항목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중복 휴식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세척비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경비 </t>
    </r>
    <r>
      <rPr>
        <sz val="9"/>
        <color rgb="FF595959"/>
        <rFont val="Malgun Gothic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종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기타경비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은 비워 두면 </t>
    </r>
    <r>
      <rPr>
        <sz val="9"/>
        <color rgb="FF595959"/>
        <rFont val="Malgun Gothic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원으로 계산되며 미반영 표시만 남습니다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</si>
  <si>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Malgun Gothic"/>
        <family val="0"/>
        <charset val="1"/>
      </rPr>
      <t xml:space="preserve">C/T(</t>
    </r>
    <r>
      <rPr>
        <b val="true"/>
        <sz val="14"/>
        <color rgb="FFFFFFFF"/>
        <rFont val="WenQuanYi Zen Hei"/>
        <family val="2"/>
      </rPr>
      <t xml:space="preserve">택타임</t>
    </r>
    <r>
      <rPr>
        <b val="true"/>
        <sz val="14"/>
        <color rgb="FFFFFFFF"/>
        <rFont val="Malgun Gothic"/>
        <family val="0"/>
        <charset val="1"/>
      </rPr>
      <t xml:space="preserve">) </t>
    </r>
    <r>
      <rPr>
        <b val="true"/>
        <sz val="14"/>
        <color rgb="FFFFFFFF"/>
        <rFont val="WenQuanYi Zen Hei"/>
        <family val="2"/>
      </rPr>
      <t xml:space="preserve">및 인원 계산 — </t>
    </r>
    <r>
      <rPr>
        <b val="true"/>
        <sz val="14"/>
        <color rgb="FFFFFFFF"/>
        <rFont val="Malgun Gothic"/>
        <family val="0"/>
        <charset val="1"/>
      </rPr>
      <t xml:space="preserve">R2</t>
    </r>
  </si>
  <si>
    <r>
      <rPr>
        <sz val="9"/>
        <color rgb="FF595959"/>
        <rFont val="Malgun Gothic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=R1</t>
    </r>
    <r>
      <rPr>
        <sz val="9"/>
        <color rgb="FF595959"/>
        <rFont val="WenQuanYi Zen Hei"/>
        <family val="2"/>
      </rPr>
      <t xml:space="preserve">과 동일 산식</t>
    </r>
    <r>
      <rPr>
        <sz val="9"/>
        <color rgb="FF595959"/>
        <rFont val="Malgun Gothic"/>
        <family val="0"/>
        <charset val="1"/>
      </rPr>
      <t xml:space="preserve">(OEE 100%), B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실제 확인값 반영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모든 값은 입력 시트에서 가져옵니다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초록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타 시트 참조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</si>
  <si>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rFont val="WenQuanYi Zen Hei"/>
        <family val="2"/>
      </rPr>
      <t xml:space="preserve">산식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의미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</si>
  <si>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Malgun Gothic"/>
        <family val="0"/>
        <charset val="1"/>
      </rPr>
      <t xml:space="preserve">C/T</t>
    </r>
  </si>
  <si>
    <t xml:space="preserve">총 체류시간</t>
  </si>
  <si>
    <r>
      <rPr>
        <sz val="9"/>
        <color rgb="FF595959"/>
        <rFont val="WenQuanYi Zen Hei"/>
        <family val="2"/>
      </rPr>
      <t xml:space="preserve">종료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시작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</si>
  <si>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산식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</si>
  <si>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체류시간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휴식 간격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내림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</si>
  <si>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휴식 횟수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중복 제외 후</t>
    </r>
    <r>
      <rPr>
        <sz val="10"/>
        <rFont val="Malgun Gothic"/>
        <family val="0"/>
        <charset val="1"/>
      </rPr>
      <t xml:space="preserve">)</t>
    </r>
  </si>
  <si>
    <t xml:space="preserve">식사와 겹친 휴식 제외</t>
  </si>
  <si>
    <t xml:space="preserve">휴식 합계</t>
  </si>
  <si>
    <r>
      <rPr>
        <sz val="9"/>
        <color rgb="FF595959"/>
        <rFont val="WenQuanYi Zen Hei"/>
        <family val="2"/>
      </rPr>
      <t xml:space="preserve">횟수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회 시간</t>
    </r>
  </si>
  <si>
    <t xml:space="preserve">식사 합계</t>
  </si>
  <si>
    <r>
      <rPr>
        <sz val="9"/>
        <color rgb="FF595959"/>
        <rFont val="WenQuanYi Zen Hei"/>
        <family val="2"/>
      </rPr>
      <t xml:space="preserve">점심 </t>
    </r>
    <r>
      <rPr>
        <sz val="9"/>
        <color rgb="FF595959"/>
        <rFont val="Malgun Gothic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저녁</t>
    </r>
  </si>
  <si>
    <t xml:space="preserve">실가동시간</t>
  </si>
  <si>
    <r>
      <rPr>
        <sz val="9"/>
        <color rgb="FF595959"/>
        <rFont val="WenQuanYi Zen Hei"/>
        <family val="2"/>
      </rPr>
      <t xml:space="preserve">체류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휴식 </t>
    </r>
    <r>
      <rPr>
        <sz val="9"/>
        <color rgb="FF595959"/>
        <rFont val="Malgun Gothic"/>
        <family val="0"/>
        <charset val="1"/>
      </rPr>
      <t xml:space="preserve">- </t>
    </r>
    <r>
      <rPr>
        <sz val="9"/>
        <color rgb="FF595959"/>
        <rFont val="WenQuanYi Zen Hei"/>
        <family val="2"/>
      </rPr>
      <t xml:space="preserve">식사</t>
    </r>
  </si>
  <si>
    <t xml:space="preserve">초</t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</si>
  <si>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C/T (</t>
    </r>
    <r>
      <rPr>
        <sz val="10"/>
        <rFont val="WenQuanYi Zen Hei"/>
        <family val="2"/>
      </rPr>
      <t xml:space="preserve">이론 택트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</si>
  <si>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일 생산수량</t>
    </r>
  </si>
  <si>
    <r>
      <rPr>
        <sz val="10"/>
        <rFont val="WenQuanYi Zen Hei"/>
        <family val="2"/>
      </rPr>
      <t xml:space="preserve">로봇 유효 택트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</si>
  <si>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</si>
  <si>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조립 유효 택트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조립 라인 효율 반영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</si>
  <si>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택트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조립 라인 효율 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로봇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와 분리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</si>
  <si>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2. </t>
    </r>
    <r>
      <rPr>
        <b val="true"/>
        <sz val="10"/>
        <color rgb="FFFFFFFF"/>
        <rFont val="WenQuanYi Zen Hei"/>
        <family val="2"/>
      </rPr>
      <t xml:space="preserve">로봇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코킹</t>
    </r>
    <r>
      <rPr>
        <b val="true"/>
        <sz val="10"/>
        <color rgb="FFFFFFFF"/>
        <rFont val="Malgun Gothic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공정 검토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</si>
  <si>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이론능력</t>
    </r>
  </si>
  <si>
    <r>
      <rPr>
        <sz val="9"/>
        <color rgb="FF595959"/>
        <rFont val="WenQuanYi Zen Hei"/>
        <family val="2"/>
      </rPr>
      <t xml:space="preserve">실가동초 </t>
    </r>
    <r>
      <rPr>
        <sz val="9"/>
        <color rgb="FF595959"/>
        <rFont val="Malgun Gothic"/>
        <family val="0"/>
        <charset val="1"/>
      </rPr>
      <t xml:space="preserve">÷ C/T (OEE </t>
    </r>
    <r>
      <rPr>
        <sz val="9"/>
        <color rgb="FF595959"/>
        <rFont val="WenQuanYi Zen Hei"/>
        <family val="2"/>
      </rPr>
      <t xml:space="preserve">미반영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</si>
  <si>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일 실효능력</t>
    </r>
  </si>
  <si>
    <r>
      <rPr>
        <sz val="9"/>
        <color rgb="FF595959"/>
        <rFont val="WenQuanYi Zen Hei"/>
        <family val="2"/>
      </rPr>
      <t xml:space="preserve">이론능력 </t>
    </r>
    <r>
      <rPr>
        <sz val="9"/>
        <color rgb="FF595959"/>
        <rFont val="Malgun Gothic"/>
        <family val="0"/>
        <charset val="1"/>
      </rPr>
      <t xml:space="preserve">× OEE</t>
    </r>
  </si>
  <si>
    <r>
      <rPr>
        <b val="true"/>
        <sz val="10"/>
        <rFont val="WenQuanYi Zen Hei"/>
        <family val="2"/>
      </rPr>
      <t xml:space="preserve">필요 로봇 대수 </t>
    </r>
    <r>
      <rPr>
        <b val="true"/>
        <sz val="10"/>
        <rFont val="Malgun Gothic"/>
        <family val="0"/>
        <charset val="1"/>
      </rPr>
      <t xml:space="preserve">(OEE </t>
    </r>
    <r>
      <rPr>
        <b val="true"/>
        <sz val="10"/>
        <rFont val="WenQuanYi Zen Hei"/>
        <family val="2"/>
      </rPr>
      <t xml:space="preserve">반영</t>
    </r>
    <r>
      <rPr>
        <b val="true"/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</si>
  <si>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ROUNDUP(</t>
    </r>
    <r>
      <rPr>
        <sz val="9"/>
        <color rgb="FF595959"/>
        <rFont val="WenQuanYi Zen Hei"/>
        <family val="2"/>
      </rPr>
      <t xml:space="preserve">수량 </t>
    </r>
    <r>
      <rPr>
        <sz val="9"/>
        <color rgb="FF595959"/>
        <rFont val="Malgun Gothic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실효능력</t>
    </r>
    <r>
      <rPr>
        <sz val="9"/>
        <color rgb="FF595959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</si>
  <si>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필요 로봇 대수 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R1 </t>
    </r>
    <r>
      <rPr>
        <sz val="10"/>
        <rFont val="WenQuanYi Zen Hei"/>
        <family val="2"/>
      </rPr>
      <t xml:space="preserve">방식</t>
    </r>
    <r>
      <rPr>
        <sz val="10"/>
        <rFont val="Malgun Gothic"/>
        <family val="0"/>
        <charset val="1"/>
      </rPr>
      <t xml:space="preserve">)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</si>
  <si>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산식</t>
    </r>
  </si>
  <si>
    <t xml:space="preserve">로봇 전체 일 실효능력</t>
  </si>
  <si>
    <r>
      <rPr>
        <sz val="10"/>
        <rFont val="WenQuanYi Zen Hei"/>
        <family val="2"/>
      </rPr>
      <t xml:space="preserve">설비 부하율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실효능력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</si>
  <si>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 능력 여유</t>
    </r>
    <r>
      <rPr>
        <sz val="10"/>
        <rFont val="Malgun Gothic"/>
        <family val="0"/>
        <charset val="1"/>
      </rPr>
      <t xml:space="preserve">(+)/</t>
    </r>
    <r>
      <rPr>
        <sz val="10"/>
        <rFont val="WenQuanYi Zen Hei"/>
        <family val="2"/>
      </rPr>
      <t xml:space="preserve">부족</t>
    </r>
    <r>
      <rPr>
        <sz val="10"/>
        <rFont val="Malgun Gothic"/>
        <family val="0"/>
        <charset val="1"/>
      </rPr>
      <t xml:space="preserve">(-)</t>
    </r>
  </si>
  <si>
    <t xml:space="preserve">능력 ≥ 목표면 충족</t>
  </si>
  <si>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R1 </t>
    </r>
    <r>
      <rPr>
        <sz val="10"/>
        <rFont val="WenQuanYi Zen Hei"/>
        <family val="2"/>
      </rPr>
      <t xml:space="preserve">로봇 대수 유지 시 일 과부족</t>
    </r>
  </si>
  <si>
    <r>
      <rPr>
        <sz val="9"/>
        <color rgb="FF595959"/>
        <rFont val="Malgun Gothic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로봇 대수로 </t>
    </r>
    <r>
      <rPr>
        <sz val="9"/>
        <color rgb="FF595959"/>
        <rFont val="Malgun Gothic"/>
        <family val="0"/>
        <charset val="1"/>
      </rPr>
      <t xml:space="preserve">OEE </t>
    </r>
    <r>
      <rPr>
        <sz val="9"/>
        <color rgb="FF595959"/>
        <rFont val="WenQuanYi Zen Hei"/>
        <family val="2"/>
      </rPr>
      <t xml:space="preserve">반영 시 </t>
    </r>
    <r>
      <rPr>
        <sz val="9"/>
        <color rgb="FF595959"/>
        <rFont val="Malgun Gothic"/>
        <family val="0"/>
        <charset val="1"/>
      </rPr>
      <t xml:space="preserve">(-)</t>
    </r>
    <r>
      <rPr>
        <sz val="9"/>
        <color rgb="FF595959"/>
        <rFont val="WenQuanYi Zen Hei"/>
        <family val="2"/>
      </rPr>
      <t xml:space="preserve">면 목표 미달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</si>
  <si>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노무비</t>
    </r>
  </si>
  <si>
    <t xml:space="preserve">코킹 총 인원</t>
  </si>
  <si>
    <r>
      <rPr>
        <sz val="9"/>
        <color rgb="FF595959"/>
        <rFont val="WenQuanYi Zen Hei"/>
        <family val="2"/>
      </rPr>
      <t xml:space="preserve">로봇 대수 </t>
    </r>
    <r>
      <rPr>
        <sz val="9"/>
        <color rgb="FF595959"/>
        <rFont val="Malgun Gothic"/>
        <family val="0"/>
        <charset val="1"/>
      </rPr>
      <t xml:space="preserve">× 1</t>
    </r>
    <r>
      <rPr>
        <sz val="9"/>
        <color rgb="FF595959"/>
        <rFont val="WenQuanYi Zen Hei"/>
        <family val="2"/>
      </rPr>
      <t xml:space="preserve">대당 인원</t>
    </r>
  </si>
  <si>
    <t xml:space="preserve">조립 총 인원</t>
  </si>
  <si>
    <r>
      <rPr>
        <sz val="9"/>
        <color rgb="FF595959"/>
        <rFont val="WenQuanYi Zen Hei"/>
        <family val="2"/>
      </rPr>
      <t xml:space="preserve">조당 인원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조 수</t>
    </r>
  </si>
  <si>
    <r>
      <rPr>
        <sz val="9"/>
        <color rgb="FF595959"/>
        <rFont val="WenQuanYi Zen Hei"/>
        <family val="2"/>
      </rPr>
      <t xml:space="preserve">일 생산수량 </t>
    </r>
    <r>
      <rPr>
        <sz val="9"/>
        <color rgb="FF595959"/>
        <rFont val="Malgun Gothic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월 근무일수</t>
    </r>
  </si>
  <si>
    <t xml:space="preserve">월 노무비 총액</t>
  </si>
  <si>
    <r>
      <rPr>
        <sz val="9"/>
        <color rgb="FF595959"/>
        <rFont val="WenQuanYi Zen Hei"/>
        <family val="2"/>
      </rPr>
      <t xml:space="preserve">인원 </t>
    </r>
    <r>
      <rPr>
        <sz val="9"/>
        <color rgb="FF595959"/>
        <rFont val="Malgun Gothic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월급</t>
    </r>
    <r>
      <rPr>
        <sz val="9"/>
        <color rgb="FF595959"/>
        <rFont val="Malgun Gothic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수당</t>
    </r>
    <r>
      <rPr>
        <sz val="9"/>
        <color rgb="FF595959"/>
        <rFont val="Malgun Gothic"/>
        <family val="0"/>
        <charset val="1"/>
      </rPr>
      <t xml:space="preserve">) × (1+</t>
    </r>
    <r>
      <rPr>
        <sz val="9"/>
        <color rgb="FF595959"/>
        <rFont val="WenQuanYi Zen Hei"/>
        <family val="2"/>
      </rPr>
      <t xml:space="preserve">부담률</t>
    </r>
    <r>
      <rPr>
        <sz val="9"/>
        <color rgb="FF595959"/>
        <rFont val="Malgun Gothic"/>
        <family val="0"/>
        <charset val="1"/>
      </rPr>
      <t xml:space="preserve">)</t>
    </r>
  </si>
  <si>
    <t xml:space="preserve">코킹 개당 인건비</t>
  </si>
  <si>
    <t xml:space="preserve">조립 개당 인건비</t>
  </si>
  <si>
    <r>
      <rPr>
        <b val="true"/>
        <sz val="14"/>
        <color rgb="FFFFFFFF"/>
        <rFont val="WenQuanYi Zen Hei"/>
        <family val="2"/>
      </rPr>
      <t xml:space="preserve">조립 공정별 </t>
    </r>
    <r>
      <rPr>
        <b val="true"/>
        <sz val="14"/>
        <color rgb="FFFFFFFF"/>
        <rFont val="Malgun Gothic"/>
        <family val="0"/>
        <charset val="1"/>
      </rPr>
      <t xml:space="preserve">C/T </t>
    </r>
    <r>
      <rPr>
        <b val="true"/>
        <sz val="14"/>
        <color rgb="FFFFFFFF"/>
        <rFont val="WenQuanYi Zen Hei"/>
        <family val="2"/>
      </rPr>
      <t xml:space="preserve">및 병목 판정 </t>
    </r>
    <r>
      <rPr>
        <b val="true"/>
        <sz val="14"/>
        <color rgb="FFFFFFFF"/>
        <rFont val="Malgun Gothic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신규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</si>
  <si>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공정별 실측 </t>
    </r>
    <r>
      <rPr>
        <sz val="9"/>
        <color rgb="FF595959"/>
        <rFont val="Malgun Gothic"/>
        <family val="0"/>
        <charset val="1"/>
      </rPr>
      <t xml:space="preserve">C/T(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배치 인원을 입력하면 목표 택트 대비 병목 여부와 필요 인원을 계산합니다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현재 값은 모두 미측정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빈칸</t>
    </r>
    <r>
      <rPr>
        <sz val="9"/>
        <color rgb="FF595959"/>
        <rFont val="Malgun Gothic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입니다 — 임의 값을 넣지 않았습니다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</si>
  <si>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공정</t>
  </si>
  <si>
    <r>
      <rPr>
        <b val="true"/>
        <sz val="10"/>
        <rFont val="WenQuanYi Zen Hei"/>
        <family val="2"/>
      </rPr>
      <t xml:space="preserve">실측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</si>
  <si>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배치 인원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</si>
  <si>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인당 유효 </t>
    </r>
    <r>
      <rPr>
        <b val="true"/>
        <sz val="10"/>
        <rFont val="Malgun Gothic"/>
        <family val="0"/>
        <charset val="1"/>
      </rPr>
      <t xml:space="preserve">C/T (</t>
    </r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</si>
  <si>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</si>
  <si>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인원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 택트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</si>
  <si>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(A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</si>
  <si>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 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</t>
    </r>
  </si>
  <si>
    <t xml:space="preserve">마킹</t>
  </si>
  <si>
    <t xml:space="preserve">본딩</t>
  </si>
  <si>
    <t xml:space="preserve">브라켓 체결</t>
  </si>
  <si>
    <t xml:space="preserve">검사</t>
  </si>
  <si>
    <t xml:space="preserve">포장</t>
  </si>
  <si>
    <r>
      <rPr>
        <b val="true"/>
        <sz val="10"/>
        <rFont val="WenQuanYi Zen Hei"/>
        <family val="2"/>
      </rPr>
      <t xml:space="preserve">합계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요약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</si>
  <si>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(A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</si>
  <si>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공정별 필요 인원 합 </t>
    </r>
    <r>
      <rPr>
        <sz val="10"/>
        <rFont val="Malgun Gothic"/>
        <family val="0"/>
        <charset val="1"/>
      </rPr>
      <t xml:space="preserve">(B</t>
    </r>
    <r>
      <rPr>
        <sz val="10"/>
        <rFont val="WenQuanYi Zen Hei"/>
        <family val="2"/>
      </rPr>
      <t xml:space="preserve">안 택트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</si>
  <si>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입력된 조립 인원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입력 시트 조당 인원</t>
    </r>
    <r>
      <rPr>
        <sz val="10"/>
        <rFont val="Malgun Gothic"/>
        <family val="0"/>
        <charset val="1"/>
      </rPr>
      <t xml:space="preserve">×</t>
    </r>
    <r>
      <rPr>
        <sz val="10"/>
        <rFont val="WenQuanYi Zen Hei"/>
        <family val="2"/>
      </rPr>
      <t xml:space="preserve">조 수</t>
    </r>
    <r>
      <rPr>
        <sz val="10"/>
        <rFont val="Malgun Gothic"/>
        <family val="0"/>
        <charset val="1"/>
      </rPr>
      <t xml:space="preserve">)</t>
    </r>
  </si>
  <si>
    <t xml:space="preserve">조립 인원 충분 여부</t>
  </si>
  <si>
    <r>
      <rPr>
        <sz val="9"/>
        <color rgb="FF595959"/>
        <rFont val="Malgun Gothic"/>
        <family val="0"/>
        <charset val="1"/>
      </rPr>
      <t xml:space="preserve">※ 5</t>
    </r>
    <r>
      <rPr>
        <sz val="9"/>
        <color rgb="FF595959"/>
        <rFont val="WenQuanYi Zen Hei"/>
        <family val="2"/>
      </rPr>
      <t xml:space="preserve">개 공정의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와 인원이 모두 양수로 입력되어야 합계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충분 판정이 나옵니다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일부만 입력하면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미측정</t>
    </r>
    <r>
      <rPr>
        <sz val="9"/>
        <color rgb="FF595959"/>
        <rFont val="Malgun Gothic"/>
        <family val="0"/>
        <charset val="1"/>
      </rPr>
      <t xml:space="preserve">", 0/</t>
    </r>
    <r>
      <rPr>
        <sz val="9"/>
        <color rgb="FF595959"/>
        <rFont val="WenQuanYi Zen Hei"/>
        <family val="2"/>
      </rPr>
      <t xml:space="preserve">문자는 </t>
    </r>
    <r>
      <rPr>
        <sz val="9"/>
        <color rgb="FF595959"/>
        <rFont val="Malgun Gothic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입력확인</t>
    </r>
    <r>
      <rPr>
        <sz val="9"/>
        <color rgb="FF595959"/>
        <rFont val="Malgun Gothic"/>
        <family val="0"/>
        <charset val="1"/>
      </rPr>
      <t xml:space="preserve">"). </t>
    </r>
    <r>
      <rPr>
        <sz val="9"/>
        <color rgb="FF595959"/>
        <rFont val="WenQuanYi Zen Hei"/>
        <family val="2"/>
      </rPr>
      <t xml:space="preserve">목표 택트에는 로봇 </t>
    </r>
    <r>
      <rPr>
        <sz val="9"/>
        <color rgb="FF595959"/>
        <rFont val="Malgun Gothic"/>
        <family val="0"/>
        <charset val="1"/>
      </rPr>
      <t xml:space="preserve">OEE</t>
    </r>
    <r>
      <rPr>
        <sz val="9"/>
        <color rgb="FF595959"/>
        <rFont val="WenQuanYi Zen Hei"/>
        <family val="2"/>
      </rPr>
      <t xml:space="preserve">가 아니라 조립 라인 효율을 적용합니다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</si>
  <si>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한 사람이 여러 공정을 겸하는 경우는 공정 합산 </t>
    </r>
    <r>
      <rPr>
        <sz val="9"/>
        <color rgb="FF595959"/>
        <rFont val="Malgun Gothic"/>
        <family val="0"/>
        <charset val="1"/>
      </rPr>
      <t xml:space="preserve">C/T</t>
    </r>
    <r>
      <rPr>
        <sz val="9"/>
        <color rgb="FF595959"/>
        <rFont val="WenQuanYi Zen Hei"/>
        <family val="2"/>
      </rPr>
      <t xml:space="preserve">를 한 행으로 묶어 입력하세요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이 표는 공정 간 이동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대기 손실을 반영하지 않으므로 라인밸런싱 측정으로 재확인이 필요합니다</t>
    </r>
    <r>
      <rPr>
        <sz val="9"/>
        <color rgb="FF595959"/>
        <rFont val="Malgun Gothic"/>
        <family val="0"/>
        <charset val="1"/>
      </rPr>
      <t xml:space="preserve">.</t>
    </r>
  </si>
  <si>
    <r>
      <rPr>
        <b val="true"/>
        <sz val="14"/>
        <color rgb="FFFFFFFF"/>
        <rFont val="WenQuanYi Zen Hei"/>
        <family val="2"/>
      </rPr>
      <t xml:space="preserve">민감도 분석 — </t>
    </r>
    <r>
      <rPr>
        <b val="true"/>
        <sz val="14"/>
        <color rgb="FFFFFFFF"/>
        <rFont val="Malgun Gothic"/>
        <family val="0"/>
        <charset val="1"/>
      </rPr>
      <t xml:space="preserve">R2 (</t>
    </r>
    <r>
      <rPr>
        <b val="true"/>
        <sz val="14"/>
        <color rgb="FFFFFFFF"/>
        <rFont val="WenQuanYi Zen Hei"/>
        <family val="2"/>
      </rPr>
      <t xml:space="preserve">수식 연동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</si>
  <si>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입력 시트의 값이 바뀌면 자동으로 갱신됩니다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월급 고정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 생산량 고정을 전제로 한 예시이며 휴일수당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주문 변동은 반영하지 않았습니다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실제 원가 아님</t>
    </r>
    <r>
      <rPr>
        <sz val="9"/>
        <color rgb="FF595959"/>
        <rFont val="Malgun Gothic"/>
        <family val="0"/>
        <charset val="1"/>
      </rPr>
      <t xml:space="preserve">).</t>
    </r>
  </si>
  <si>
    <r>
      <rPr>
        <b val="true"/>
        <sz val="10"/>
        <color rgb="FFFFFFFF"/>
        <rFont val="Malgun Gothic"/>
        <family val="0"/>
        <charset val="1"/>
      </rPr>
      <t xml:space="preserve">1. </t>
    </r>
    <r>
      <rPr>
        <b val="true"/>
        <sz val="10"/>
        <color rgb="FFFFFFFF"/>
        <rFont val="WenQuanYi Zen Hei"/>
        <family val="2"/>
      </rPr>
      <t xml:space="preserve">월 가동일수별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노무비 총액 고정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일 생산수량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</si>
  <si>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월 가동일수</t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</si>
  <si>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</si>
  <si>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</si>
  <si>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</si>
  <si>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월생산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</si>
  <si>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</si>
  <si>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Malgun Gothic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안 </t>
    </r>
    <r>
      <rPr>
        <b val="true"/>
        <sz val="10"/>
        <rFont val="Malgun Gothic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기준</t>
    </r>
  </si>
  <si>
    <r>
      <rPr>
        <b val="true"/>
        <sz val="10"/>
        <color rgb="FFFFFFFF"/>
        <rFont val="Malgun Gothic"/>
        <family val="0"/>
        <charset val="1"/>
      </rPr>
      <t xml:space="preserve">2. OEE</t>
    </r>
    <r>
      <rPr>
        <b val="true"/>
        <sz val="10"/>
        <color rgb="FFFFFFFF"/>
        <rFont val="WenQuanYi Zen Hei"/>
        <family val="2"/>
      </rPr>
      <t xml:space="preserve">별 필요 로봇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인원</t>
    </r>
    <r>
      <rPr>
        <b val="true"/>
        <sz val="10"/>
        <color rgb="FFFFFFFF"/>
        <rFont val="Malgun Gothic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판매가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입력 기준</t>
    </r>
    <r>
      <rPr>
        <b val="true"/>
        <sz val="10"/>
        <color rgb="FFFFFFFF"/>
        <rFont val="Malgun Gothic"/>
        <family val="0"/>
        <charset val="1"/>
      </rPr>
      <t xml:space="preserve">, OEE</t>
    </r>
    <r>
      <rPr>
        <b val="true"/>
        <sz val="10"/>
        <color rgb="FFFFFFFF"/>
        <rFont val="WenQuanYi Zen Hei"/>
        <family val="2"/>
      </rPr>
      <t xml:space="preserve">만 변경 — 참고용 가정 범위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</si>
  <si>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OEE</t>
  </si>
  <si>
    <r>
      <rPr>
        <b val="true"/>
        <sz val="10"/>
        <rFont val="WenQuanYi Zen Hei"/>
        <family val="2"/>
      </rPr>
      <t xml:space="preserve">일 가능 생산량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</si>
  <si>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목표 대비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</si>
  <si>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필요 로봇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</si>
  <si>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총 인원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</si>
  <si>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개당 노무비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</si>
  <si>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판매가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</si>
  <si>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판정</t>
    </r>
    <r>
      <rPr>
        <b val="true"/>
        <sz val="10"/>
        <rFont val="Malgun Gothic"/>
        <family val="0"/>
        <charset val="1"/>
      </rPr>
      <t xml:space="preserve">(R1 </t>
    </r>
    <r>
      <rPr>
        <b val="true"/>
        <sz val="10"/>
        <rFont val="WenQuanYi Zen Hei"/>
        <family val="2"/>
      </rPr>
      <t xml:space="preserve">로봇수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</si>
  <si>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color rgb="FFFFFFFF"/>
        <rFont val="Malgun Gothic"/>
        <family val="0"/>
        <charset val="1"/>
      </rPr>
      <t xml:space="preserve">3. </t>
    </r>
    <r>
      <rPr>
        <b val="true"/>
        <sz val="10"/>
        <color rgb="FFFFFFFF"/>
        <rFont val="WenQuanYi Zen Hei"/>
        <family val="2"/>
      </rPr>
      <t xml:space="preserve">박스 입수별 </t>
    </r>
    <r>
      <rPr>
        <b val="true"/>
        <sz val="10"/>
        <color rgb="FFFFFFFF"/>
        <rFont val="Malgun Gothic"/>
        <family val="0"/>
        <charset val="1"/>
      </rPr>
      <t xml:space="preserve">(B</t>
    </r>
    <r>
      <rPr>
        <b val="true"/>
        <sz val="10"/>
        <color rgb="FFFFFFFF"/>
        <rFont val="WenQuanYi Zen Hei"/>
        <family val="2"/>
      </rPr>
      <t xml:space="preserve">안 기준</t>
    </r>
    <r>
      <rPr>
        <b val="true"/>
        <sz val="10"/>
        <color rgb="FFFFFFFF"/>
        <rFont val="Malgun Gothic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박스 단가 유지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</si>
  <si>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 </t>
    </r>
    <r>
      <rPr>
        <b val="true"/>
        <sz val="10"/>
        <rFont val="Malgun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개당 입수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</si>
  <si>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박스비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Malgun Gothic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</si>
  <si>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기준</t>
    </r>
    <r>
      <rPr>
        <b val="true"/>
        <sz val="10"/>
        <rFont val="Malgun Gothic"/>
        <family val="0"/>
        <charset val="1"/>
      </rPr>
      <t xml:space="preserve">(B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Malgun Gothic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대비</t>
    </r>
  </si>
  <si>
    <r>
      <rPr>
        <b val="true"/>
        <sz val="14"/>
        <color rgb="FFFFFFFF"/>
        <rFont val="WenQuanYi Zen Hei"/>
        <family val="2"/>
      </rPr>
      <t xml:space="preserve">검토보고서 지적사항 반영표 </t>
    </r>
    <r>
      <rPr>
        <b val="true"/>
        <sz val="14"/>
        <color rgb="FFFFFFFF"/>
        <rFont val="Malgun Gothic"/>
        <family val="0"/>
        <charset val="1"/>
      </rPr>
      <t xml:space="preserve">(19</t>
    </r>
    <r>
      <rPr>
        <b val="true"/>
        <sz val="14"/>
        <color rgb="FFFFFFFF"/>
        <rFont val="WenQuanYi Zen Hei"/>
        <family val="2"/>
      </rPr>
      <t xml:space="preserve">건</t>
    </r>
    <r>
      <rPr>
        <b val="true"/>
        <sz val="14"/>
        <color rgb="FFFFFFFF"/>
        <rFont val="Malgun Gothic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</si>
  <si>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반영상태</t>
    </r>
    <r>
      <rPr>
        <sz val="9"/>
        <color rgb="FF595959"/>
        <rFont val="Malgun Gothic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반영완료</t>
    </r>
    <r>
      <rPr>
        <sz val="9"/>
        <color rgb="FF595959"/>
        <rFont val="Malgun Gothic"/>
        <family val="0"/>
        <charset val="1"/>
      </rPr>
      <t xml:space="preserve">=R2 </t>
    </r>
    <r>
      <rPr>
        <sz val="9"/>
        <color rgb="FF595959"/>
        <rFont val="WenQuanYi Zen Hei"/>
        <family val="2"/>
      </rPr>
      <t xml:space="preserve">파일에서 구조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산식 수정 완료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구조반영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값확인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틀은 만들었고 실제 값은 증빙 확인 필요 </t>
    </r>
    <r>
      <rPr>
        <sz val="9"/>
        <color rgb="FF595959"/>
        <rFont val="Malgun Gothic"/>
        <family val="0"/>
        <charset val="1"/>
      </rPr>
      <t xml:space="preserve">/ 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Malgun Gothic"/>
        <family val="0"/>
        <charset val="1"/>
      </rPr>
      <t xml:space="preserve">=</t>
    </r>
    <r>
      <rPr>
        <sz val="9"/>
        <color rgb="FF595959"/>
        <rFont val="WenQuanYi Zen Hei"/>
        <family val="2"/>
      </rPr>
      <t xml:space="preserve">자료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결정 필요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임의 값 미입력</t>
    </r>
    <r>
      <rPr>
        <sz val="9"/>
        <color rgb="FF595959"/>
        <rFont val="Malgun Gothic"/>
        <family val="0"/>
        <charset val="1"/>
      </rPr>
      <t xml:space="preserve">).</t>
    </r>
  </si>
  <si>
    <t xml:space="preserve">No</t>
  </si>
  <si>
    <t xml:space="preserve">우선</t>
  </si>
  <si>
    <t xml:space="preserve">분야</t>
  </si>
  <si>
    <t xml:space="preserve">검토 지적</t>
  </si>
  <si>
    <r>
      <rPr>
        <b val="true"/>
        <sz val="10"/>
        <rFont val="Malgun Gothic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반영 내용</t>
    </r>
  </si>
  <si>
    <t xml:space="preserve">반영상태</t>
  </si>
  <si>
    <r>
      <rPr>
        <b val="true"/>
        <sz val="10"/>
        <rFont val="WenQuanYi Zen Hei"/>
        <family val="2"/>
      </rPr>
      <t xml:space="preserve">남은 조치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담당</t>
    </r>
    <r>
      <rPr>
        <b val="true"/>
        <sz val="10"/>
        <rFont val="Malgun Gothic"/>
        <family val="0"/>
        <charset val="1"/>
      </rPr>
      <t xml:space="preserve">)</t>
    </r>
  </si>
  <si>
    <t xml:space="preserve">01</t>
  </si>
  <si>
    <t xml:space="preserve">P1</t>
  </si>
  <si>
    <t xml:space="preserve">소재 원가</t>
  </si>
  <si>
    <r>
      <rPr>
        <sz val="10"/>
        <rFont val="Malgun Gothic"/>
        <family val="0"/>
        <charset val="1"/>
      </rPr>
      <t xml:space="preserve">OD 25.4·t 1.24·</t>
    </r>
    <r>
      <rPr>
        <sz val="10"/>
        <rFont val="WenQuanYi Zen Hei"/>
        <family val="2"/>
      </rPr>
      <t xml:space="preserve">비중 </t>
    </r>
    <r>
      <rPr>
        <sz val="10"/>
        <rFont val="Malgun Gothic"/>
        <family val="0"/>
        <charset val="1"/>
      </rPr>
      <t xml:space="preserve">7.93 </t>
    </r>
    <r>
      <rPr>
        <sz val="10"/>
        <rFont val="WenQuanYi Zen Hei"/>
        <family val="2"/>
      </rPr>
      <t xml:space="preserve">가정값</t>
    </r>
  </si>
  <si>
    <r>
      <rPr>
        <sz val="10"/>
        <rFont val="Malgun Gothic"/>
        <family val="0"/>
        <charset val="1"/>
      </rPr>
      <t xml:space="preserve">OD·t·</t>
    </r>
    <r>
      <rPr>
        <sz val="10"/>
        <rFont val="WenQuanYi Zen Hei"/>
        <family val="2"/>
      </rPr>
      <t xml:space="preserve">길이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비중을 입력 시트 개별 셀로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가정 상태 표시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노란색</t>
    </r>
    <r>
      <rPr>
        <sz val="10"/>
        <rFont val="Malgun Gothic"/>
        <family val="0"/>
        <charset val="1"/>
      </rPr>
      <t xml:space="preserve">)·</t>
    </r>
    <r>
      <rPr>
        <sz val="10"/>
        <rFont val="WenQuanYi Zen Hei"/>
        <family val="2"/>
      </rPr>
      <t xml:space="preserve">근거 안내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값 자체는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유지</t>
    </r>
  </si>
  <si>
    <r>
      <rPr>
        <sz val="10"/>
        <rFont val="WenQuanYi Zen Hei"/>
        <family val="2"/>
      </rPr>
      <t xml:space="preserve">구조반영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값확인</t>
    </r>
  </si>
  <si>
    <r>
      <rPr>
        <sz val="10"/>
        <rFont val="WenQuanYi Zen Hei"/>
        <family val="2"/>
      </rPr>
      <t xml:space="preserve">승인 도면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실측 중량으로 교체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</si>
  <si>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02</t>
  </si>
  <si>
    <t xml:space="preserve">구매 부품비</t>
  </si>
  <si>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 검증자료 미첨부</t>
    </r>
  </si>
  <si>
    <r>
      <rPr>
        <sz val="10"/>
        <rFont val="WenQuanYi Zen Hei"/>
        <family val="2"/>
      </rPr>
      <t xml:space="preserve">부품별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단가를 입력 셀로 분리하고 각 행에 확인 필요 사유 표기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</si>
  <si>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최근 매입명세 대조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</si>
  <si>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03</t>
  </si>
  <si>
    <t xml:space="preserve">소재 로스</t>
  </si>
  <si>
    <r>
      <rPr>
        <sz val="10"/>
        <rFont val="WenQuanYi Zen Hei"/>
        <family val="2"/>
      </rPr>
      <t xml:space="preserve">로스율 </t>
    </r>
    <r>
      <rPr>
        <sz val="10"/>
        <rFont val="Malgun Gothic"/>
        <family val="0"/>
        <charset val="1"/>
      </rPr>
      <t xml:space="preserve">0% </t>
    </r>
    <r>
      <rPr>
        <sz val="10"/>
        <rFont val="WenQuanYi Zen Hei"/>
        <family val="2"/>
      </rPr>
      <t xml:space="preserve">미반영</t>
    </r>
  </si>
  <si>
    <r>
      <rPr>
        <sz val="10"/>
        <rFont val="WenQuanYi Zen Hei"/>
        <family val="2"/>
      </rPr>
      <t xml:space="preserve">로스를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추가 투입률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정의해 소재비 산식에 반영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</si>
  <si>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절단 스크랩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 실적으로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</si>
  <si>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04</t>
  </si>
  <si>
    <t xml:space="preserve">설비 부하</t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</si>
  <si>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미반영</t>
    </r>
    <r>
      <rPr>
        <sz val="10"/>
        <rFont val="Malgun Gothic"/>
        <family val="0"/>
        <charset val="1"/>
      </rPr>
      <t xml:space="preserve">, 4</t>
    </r>
    <r>
      <rPr>
        <sz val="10"/>
        <rFont val="WenQuanYi Zen Hei"/>
        <family val="2"/>
      </rPr>
      <t xml:space="preserve">대 필요 </t>
    </r>
    <r>
      <rPr>
        <sz val="10"/>
        <rFont val="Malgun Gothic"/>
        <family val="0"/>
        <charset val="1"/>
      </rPr>
      <t xml:space="preserve">OEE 91.3%</t>
    </r>
  </si>
  <si>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필요 로봇</t>
    </r>
    <r>
      <rPr>
        <sz val="10"/>
        <rFont val="Malgun Gothic"/>
        <family val="0"/>
        <charset val="1"/>
      </rPr>
      <t xml:space="preserve">=ROUNDUP(</t>
    </r>
    <r>
      <rPr>
        <sz val="10"/>
        <rFont val="WenQuanYi Zen Hei"/>
        <family val="2"/>
      </rPr>
      <t xml:space="preserve">수량</t>
    </r>
    <r>
      <rPr>
        <sz val="10"/>
        <rFont val="Malgun Gothic"/>
        <family val="0"/>
        <charset val="1"/>
      </rPr>
      <t xml:space="preserve">×C/T÷(</t>
    </r>
    <r>
      <rPr>
        <sz val="10"/>
        <rFont val="WenQuanYi Zen Hei"/>
        <family val="2"/>
      </rPr>
      <t xml:space="preserve">가동초</t>
    </r>
    <r>
      <rPr>
        <sz val="10"/>
        <rFont val="Malgun Gothic"/>
        <family val="0"/>
        <charset val="1"/>
      </rPr>
      <t xml:space="preserve">×OEE)). B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OEE </t>
    </r>
    <r>
      <rPr>
        <sz val="10"/>
        <rFont val="WenQuanYi Zen Hei"/>
        <family val="2"/>
      </rPr>
      <t xml:space="preserve">실적 입력 시 필요 대수 재산정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참고</t>
    </r>
    <r>
      <rPr>
        <sz val="10"/>
        <rFont val="Malgun Gothic"/>
        <family val="0"/>
        <charset val="1"/>
      </rPr>
      <t xml:space="preserve">: 90%</t>
    </r>
    <r>
      <rPr>
        <sz val="10"/>
        <rFont val="WenQuanYi Zen Hei"/>
        <family val="2"/>
      </rPr>
      <t xml:space="preserve">이면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</si>
  <si>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반영완료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실적은 확인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</si>
  <si>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실적 </t>
    </r>
    <r>
      <rPr>
        <sz val="10"/>
        <rFont val="Malgun Gothic"/>
        <family val="0"/>
        <charset val="1"/>
      </rPr>
      <t xml:space="preserve">OEE(</t>
    </r>
    <r>
      <rPr>
        <sz val="10"/>
        <rFont val="WenQuanYi Zen Hei"/>
        <family val="2"/>
      </rPr>
      <t xml:space="preserve">가동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성능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측정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</si>
  <si>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05</t>
  </si>
  <si>
    <t xml:space="preserve">휴게시간</t>
  </si>
  <si>
    <r>
      <rPr>
        <sz val="10"/>
        <rFont val="WenQuanYi Zen Hei"/>
        <family val="2"/>
      </rPr>
      <t xml:space="preserve">휴식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 중 점심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저녁 중복 가능</t>
    </r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</si>
  <si>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식사와 겹쳐 제외할 휴식 횟수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입력 추가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0=R1 </t>
    </r>
    <r>
      <rPr>
        <sz val="10"/>
        <rFont val="WenQuanYi Zen Hei"/>
        <family val="2"/>
      </rPr>
      <t xml:space="preserve">유지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중복 제외 후 횟수로 계산</t>
    </r>
  </si>
  <si>
    <r>
      <rPr>
        <sz val="10"/>
        <rFont val="WenQuanYi Zen Hei"/>
        <family val="2"/>
      </rPr>
      <t xml:space="preserve">실제 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시간표 입력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)</t>
    </r>
  </si>
  <si>
    <t xml:space="preserve">06</t>
  </si>
  <si>
    <t xml:space="preserve">조립 병목</t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</si>
  <si>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능력 미검증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</si>
  <si>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신설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공정별 실측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인원으로 병목 판정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필요 인원 계산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현재 미측정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</si>
  <si>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개 공정 </t>
    </r>
    <r>
      <rPr>
        <sz val="10"/>
        <rFont val="Malgun Gothic"/>
        <family val="0"/>
        <charset val="1"/>
      </rPr>
      <t xml:space="preserve">C/T </t>
    </r>
    <r>
      <rPr>
        <sz val="10"/>
        <rFont val="WenQuanYi Zen Hei"/>
        <family val="2"/>
      </rPr>
      <t xml:space="preserve">타임스터디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</si>
  <si>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07</t>
  </si>
  <si>
    <t xml:space="preserve">직접 노무비</t>
  </si>
  <si>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0%, </t>
    </r>
    <r>
      <rPr>
        <sz val="10"/>
        <rFont val="WenQuanYi Zen Hei"/>
        <family val="2"/>
      </rPr>
      <t xml:space="preserve">연장수당 누락 가능</t>
    </r>
  </si>
  <si>
    <r>
      <rPr>
        <sz val="10"/>
        <rFont val="WenQuanYi Zen Hei"/>
        <family val="2"/>
      </rPr>
      <t xml:space="preserve">급여 부담률</t>
    </r>
    <r>
      <rPr>
        <sz val="10"/>
        <rFont val="Malgun Gothic"/>
        <family val="0"/>
        <charset val="1"/>
      </rPr>
      <t xml:space="preserve">·1</t>
    </r>
    <r>
      <rPr>
        <sz val="10"/>
        <rFont val="WenQuanYi Zen Hei"/>
        <family val="2"/>
      </rPr>
      <t xml:space="preserve">인 월 연장수당 입력 분리</t>
    </r>
    <r>
      <rPr>
        <sz val="10"/>
        <rFont val="Malgun Gothic"/>
        <family val="0"/>
        <charset val="1"/>
      </rPr>
      <t xml:space="preserve">. A</t>
    </r>
    <r>
      <rPr>
        <sz val="10"/>
        <rFont val="WenQuanYi Zen Hei"/>
        <family val="2"/>
      </rPr>
      <t xml:space="preserve">안 </t>
    </r>
    <r>
      <rPr>
        <sz val="10"/>
        <rFont val="Malgun Gothic"/>
        <family val="0"/>
        <charset val="1"/>
      </rPr>
      <t xml:space="preserve">0%(R1), B</t>
    </r>
    <r>
      <rPr>
        <sz val="10"/>
        <rFont val="WenQuanYi Zen Hei"/>
        <family val="2"/>
      </rPr>
      <t xml:space="preserve">안은 실제 확인값 입력 대기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</si>
  <si>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</si>
  <si>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08</t>
  </si>
  <si>
    <t xml:space="preserve">경비 누락</t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</si>
  <si>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 등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</si>
  <si>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감가상각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전력가스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공구소모품 </t>
    </r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항목 </t>
    </r>
    <r>
      <rPr>
        <sz val="10"/>
        <rFont val="Malgun Gothic"/>
        <family val="0"/>
        <charset val="1"/>
      </rPr>
      <t xml:space="preserve">+ </t>
    </r>
    <r>
      <rPr>
        <sz val="10"/>
        <rFont val="WenQuanYi Zen Hei"/>
        <family val="2"/>
      </rPr>
      <t xml:space="preserve">기타 입력행 분리</t>
    </r>
    <r>
      <rPr>
        <sz val="10"/>
        <rFont val="Malgun Gothic"/>
        <family val="0"/>
        <charset val="1"/>
      </rPr>
      <t xml:space="preserve">, B</t>
    </r>
    <r>
      <rPr>
        <sz val="10"/>
        <rFont val="WenQuanYi Zen Hei"/>
        <family val="2"/>
      </rPr>
      <t xml:space="preserve">안은 확인된 항목별 금액 입력 대기</t>
    </r>
  </si>
  <si>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데이터로 배부액 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</si>
  <si>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09</t>
  </si>
  <si>
    <t xml:space="preserve">마진 해석</t>
  </si>
  <si>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 ≠ 매출 </t>
    </r>
    <r>
      <rPr>
        <sz val="10"/>
        <rFont val="Malgun Gothic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</si>
  <si>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매출 대비 가산액 비율</t>
    </r>
    <r>
      <rPr>
        <sz val="10"/>
        <rFont val="Malgun Gothic"/>
        <family val="0"/>
        <charset val="1"/>
      </rPr>
      <t xml:space="preserve">(9.91%) </t>
    </r>
    <r>
      <rPr>
        <sz val="10"/>
        <rFont val="WenQuanYi Zen Hei"/>
        <family val="2"/>
      </rPr>
      <t xml:space="preserve">병기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목표 매출총이익률 기준 환산 판매가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차액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이익 분리 정의는 보류</t>
    </r>
  </si>
  <si>
    <r>
      <rPr>
        <sz val="10"/>
        <rFont val="WenQuanYi Zen Hei"/>
        <family val="2"/>
      </rPr>
      <t xml:space="preserve">부분반영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정책 결정 필요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</si>
  <si>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가산율의 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이익 구성 결정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</si>
  <si>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10</t>
  </si>
  <si>
    <t xml:space="preserve">P2</t>
  </si>
  <si>
    <t xml:space="preserve">포장 단위</t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</si>
  <si>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제품 가정</t>
    </r>
  </si>
  <si>
    <r>
      <rPr>
        <sz val="10"/>
        <rFont val="WenQuanYi Zen Hei"/>
        <family val="2"/>
      </rPr>
      <t xml:space="preserve">박스 단가와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개당 입수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로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민감도 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절 추가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안은 실제 입수 입력 대기</t>
    </r>
  </si>
  <si>
    <r>
      <rPr>
        <sz val="10"/>
        <rFont val="WenQuanYi Zen Hei"/>
        <family val="2"/>
      </rPr>
      <t xml:space="preserve">포장사양서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물류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)</t>
    </r>
  </si>
  <si>
    <t xml:space="preserve">11</t>
  </si>
  <si>
    <t xml:space="preserve">품질손실</t>
  </si>
  <si>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 구분 없음</t>
    </r>
  </si>
  <si>
    <r>
      <rPr>
        <sz val="10"/>
        <rFont val="WenQuanYi Zen Hei"/>
        <family val="2"/>
      </rPr>
      <t xml:space="preserve">공정 불량률 입력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양품 기준 직접원가</t>
    </r>
    <r>
      <rPr>
        <sz val="10"/>
        <rFont val="Malgun Gothic"/>
        <family val="0"/>
        <charset val="1"/>
      </rPr>
      <t xml:space="preserve">=</t>
    </r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÷(1-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)+</t>
    </r>
    <r>
      <rPr>
        <sz val="10"/>
        <rFont val="WenQuanYi Zen Hei"/>
        <family val="2"/>
      </rPr>
      <t xml:space="preserve">공정비 </t>
    </r>
    <r>
      <rPr>
        <sz val="10"/>
        <rFont val="Malgun Gothic"/>
        <family val="0"/>
        <charset val="1"/>
      </rPr>
      <t xml:space="preserve">(OEE</t>
    </r>
    <r>
      <rPr>
        <sz val="10"/>
        <rFont val="WenQuanYi Zen Hei"/>
        <family val="2"/>
      </rPr>
      <t xml:space="preserve">가 양품률 포함 → 공정비는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로 반영해 이중 계산 방지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기본 </t>
    </r>
    <r>
      <rPr>
        <sz val="10"/>
        <rFont val="Malgun Gothic"/>
        <family val="0"/>
        <charset val="1"/>
      </rPr>
      <t xml:space="preserve">0%)</t>
    </r>
  </si>
  <si>
    <r>
      <rPr>
        <sz val="10"/>
        <rFont val="WenQuanYi Zen Hei"/>
        <family val="2"/>
      </rPr>
      <t xml:space="preserve">품질 실적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수율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)</t>
    </r>
  </si>
  <si>
    <t xml:space="preserve">12</t>
  </si>
  <si>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 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</si>
  <si>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·55,000</t>
    </r>
    <r>
      <rPr>
        <sz val="10"/>
        <rFont val="WenQuanYi Zen Hei"/>
        <family val="2"/>
      </rPr>
      <t xml:space="preserve">개 고정</t>
    </r>
  </si>
  <si>
    <r>
      <rPr>
        <sz val="10"/>
        <rFont val="WenQuanYi Zen Hei"/>
        <family val="2"/>
      </rPr>
      <t xml:space="preserve">가동일수별 판매가 민감도 표</t>
    </r>
    <r>
      <rPr>
        <sz val="10"/>
        <rFont val="Malgun Gothic"/>
        <family val="0"/>
        <charset val="1"/>
      </rPr>
      <t xml:space="preserve">(18~26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</si>
  <si>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반영완료</t>
  </si>
  <si>
    <r>
      <rPr>
        <sz val="10"/>
        <rFont val="WenQuanYi Zen Hei"/>
        <family val="2"/>
      </rPr>
      <t xml:space="preserve">월별 발주계획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</si>
  <si>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13</t>
  </si>
  <si>
    <t xml:space="preserve">설비 대수 산식</t>
  </si>
  <si>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미반영</t>
    </r>
  </si>
  <si>
    <r>
      <rPr>
        <sz val="10"/>
        <rFont val="Malgun Gothic"/>
        <family val="0"/>
        <charset val="1"/>
      </rPr>
      <t xml:space="preserve">04</t>
    </r>
    <r>
      <rPr>
        <sz val="10"/>
        <rFont val="WenQuanYi Zen Hei"/>
        <family val="2"/>
      </rPr>
      <t xml:space="preserve">번과 동일 산식 적용</t>
    </r>
    <r>
      <rPr>
        <sz val="10"/>
        <rFont val="Malgun Gothic"/>
        <family val="0"/>
        <charset val="1"/>
      </rPr>
      <t xml:space="preserve">(OEE </t>
    </r>
    <r>
      <rPr>
        <sz val="10"/>
        <rFont val="WenQuanYi Zen Hei"/>
        <family val="2"/>
      </rPr>
      <t xml:space="preserve">반영</t>
    </r>
    <r>
      <rPr>
        <sz val="10"/>
        <rFont val="Malgun Gothic"/>
        <family val="0"/>
        <charset val="1"/>
      </rPr>
      <t xml:space="preserve">). </t>
    </r>
    <r>
      <rPr>
        <sz val="10"/>
        <rFont val="WenQuanYi Zen Hei"/>
        <family val="2"/>
      </rPr>
      <t xml:space="preserve">교체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셋업 시간은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에 포함해 관리</t>
    </r>
  </si>
  <si>
    <r>
      <rPr>
        <sz val="10"/>
        <rFont val="WenQuanYi Zen Hei"/>
        <family val="2"/>
      </rPr>
      <t xml:space="preserve">목표 </t>
    </r>
    <r>
      <rPr>
        <sz val="10"/>
        <rFont val="Malgun Gothic"/>
        <family val="0"/>
        <charset val="1"/>
      </rPr>
      <t xml:space="preserve">OEE·</t>
    </r>
    <r>
      <rPr>
        <sz val="10"/>
        <rFont val="WenQuanYi Zen Hei"/>
        <family val="2"/>
      </rPr>
      <t xml:space="preserve">교체시간 정의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생산기술</t>
    </r>
    <r>
      <rPr>
        <sz val="10"/>
        <rFont val="Malgun Gothic"/>
        <family val="0"/>
        <charset val="1"/>
      </rPr>
      <t xml:space="preserve">)</t>
    </r>
  </si>
  <si>
    <t xml:space="preserve">14</t>
  </si>
  <si>
    <t xml:space="preserve">입력오류 통제</t>
  </si>
  <si>
    <t xml:space="preserve">데이터 유효성 없음</t>
  </si>
  <si>
    <r>
      <rPr>
        <sz val="10"/>
        <rFont val="WenQuanYi Zen Hei"/>
        <family val="2"/>
      </rPr>
      <t xml:space="preserve">입력 시트 전 셀 범위 검증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6</t>
    </r>
    <r>
      <rPr>
        <sz val="10"/>
        <rFont val="WenQuanYi Zen Hei"/>
        <family val="2"/>
      </rPr>
      <t xml:space="preserve">절에 </t>
    </r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입력 검증</t>
    </r>
    <r>
      <rPr>
        <sz val="10"/>
        <rFont val="Malgun Gothic"/>
        <family val="0"/>
        <charset val="1"/>
      </rPr>
      <t xml:space="preserve">" </t>
    </r>
    <r>
      <rPr>
        <sz val="10"/>
        <rFont val="WenQuanYi Zen Hei"/>
        <family val="2"/>
      </rPr>
      <t xml:space="preserve">판정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종료</t>
    </r>
    <r>
      <rPr>
        <sz val="10"/>
        <rFont val="Malgun Gothic"/>
        <family val="0"/>
        <charset val="1"/>
      </rPr>
      <t xml:space="preserve">&gt;</t>
    </r>
    <r>
      <rPr>
        <sz val="10"/>
        <rFont val="WenQuanYi Zen Hei"/>
        <family val="2"/>
      </rPr>
      <t xml:space="preserve">시작</t>
    </r>
    <r>
      <rPr>
        <sz val="10"/>
        <rFont val="Malgun Gothic"/>
        <family val="0"/>
        <charset val="1"/>
      </rPr>
      <t xml:space="preserve">, OD&gt;2t </t>
    </r>
    <r>
      <rPr>
        <sz val="10"/>
        <rFont val="WenQuanYi Zen Hei"/>
        <family val="2"/>
      </rPr>
      <t xml:space="preserve">등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추가</t>
    </r>
  </si>
  <si>
    <t xml:space="preserve">—</t>
  </si>
  <si>
    <t xml:space="preserve">15</t>
  </si>
  <si>
    <t xml:space="preserve">원가 구분</t>
  </si>
  <si>
    <r>
      <rPr>
        <sz val="10"/>
        <rFont val="WenQuanYi Zen Hei"/>
        <family val="2"/>
      </rPr>
      <t xml:space="preserve">관리비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마진 합산</t>
    </r>
  </si>
  <si>
    <r>
      <rPr>
        <sz val="10"/>
        <rFont val="WenQuanYi Zen Hei"/>
        <family val="2"/>
      </rPr>
      <t xml:space="preserve">재료비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노무비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제조경비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제조원가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가산액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판매가 계층으로 재구성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구성비 표 추가</t>
    </r>
  </si>
  <si>
    <r>
      <rPr>
        <sz val="10"/>
        <rFont val="WenQuanYi Zen Hei"/>
        <family val="2"/>
      </rPr>
      <t xml:space="preserve">판관비 계정 분류 확정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</si>
  <si>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16</t>
  </si>
  <si>
    <t xml:space="preserve">견적 기준</t>
  </si>
  <si>
    <r>
      <rPr>
        <sz val="10"/>
        <rFont val="Malgun Gothic"/>
        <family val="0"/>
        <charset val="1"/>
      </rPr>
      <t xml:space="preserve">VAT·</t>
    </r>
    <r>
      <rPr>
        <sz val="10"/>
        <rFont val="WenQuanYi Zen Hei"/>
        <family val="2"/>
      </rPr>
      <t xml:space="preserve">유효기간 미표시</t>
    </r>
  </si>
  <si>
    <r>
      <rPr>
        <sz val="10"/>
        <rFont val="WenQuanYi Zen Hei"/>
        <family val="2"/>
      </rPr>
      <t xml:space="preserve">공급가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부가세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포함가 분리 표시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 입력칸 추가</t>
    </r>
  </si>
  <si>
    <r>
      <rPr>
        <sz val="10"/>
        <rFont val="WenQuanYi Zen Hei"/>
        <family val="2"/>
      </rPr>
      <t xml:space="preserve">견적 유효기간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 양식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)</t>
    </r>
  </si>
  <si>
    <t xml:space="preserve">17</t>
  </si>
  <si>
    <t xml:space="preserve">문서 승인</t>
  </si>
  <si>
    <r>
      <rPr>
        <sz val="10"/>
        <rFont val="WenQuanYi Zen Hei"/>
        <family val="2"/>
      </rPr>
      <t xml:space="preserve">작성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·Rev </t>
    </r>
    <r>
      <rPr>
        <sz val="10"/>
        <rFont val="WenQuanYi Zen Hei"/>
        <family val="2"/>
      </rPr>
      <t xml:space="preserve">없음</t>
    </r>
  </si>
  <si>
    <r>
      <rPr>
        <sz val="10"/>
        <rFont val="WenQuanYi Zen Hei"/>
        <family val="2"/>
      </rPr>
      <t xml:space="preserve">문서정보</t>
    </r>
    <r>
      <rPr>
        <sz val="10"/>
        <rFont val="Malgun Gothic"/>
        <family val="0"/>
        <charset val="1"/>
      </rPr>
      <t xml:space="preserve">(Rev R2·</t>
    </r>
    <r>
      <rPr>
        <sz val="10"/>
        <rFont val="WenQuanYi Zen Hei"/>
        <family val="2"/>
      </rPr>
      <t xml:space="preserve">기준일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상태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와 작성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검토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승인 서명란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개정이력 시트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서명은 비워 둠</t>
    </r>
  </si>
  <si>
    <r>
      <rPr>
        <sz val="10"/>
        <rFont val="WenQuanYi Zen Hei"/>
        <family val="2"/>
      </rPr>
      <t xml:space="preserve">문서번호 부여 및 결재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)</t>
    </r>
  </si>
  <si>
    <t xml:space="preserve">18</t>
  </si>
  <si>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수식 보호</t>
    </r>
  </si>
  <si>
    <t xml:space="preserve">셀 보호 없음</t>
  </si>
  <si>
    <r>
      <rPr>
        <sz val="10"/>
        <rFont val="WenQuanYi Zen Hei"/>
        <family val="2"/>
      </rPr>
      <t xml:space="preserve">입력 셀만 잠금 해제하고 계산 시트는 보호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비밀번호 없음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검토 </t>
    </r>
    <r>
      <rPr>
        <sz val="10"/>
        <rFont val="Malgun Gothic"/>
        <family val="0"/>
        <charset val="1"/>
      </rPr>
      <t xml:space="preserve">&gt; </t>
    </r>
    <r>
      <rPr>
        <sz val="10"/>
        <rFont val="WenQuanYi Zen Hei"/>
        <family val="2"/>
      </rPr>
      <t xml:space="preserve">시트 보호 해제로 수정 가능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</si>
  <si>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시 비밀번호 지정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문서관리</t>
    </r>
    <r>
      <rPr>
        <sz val="10"/>
        <rFont val="Malgun Gothic"/>
        <family val="0"/>
        <charset val="1"/>
      </rPr>
      <t xml:space="preserve">)</t>
    </r>
  </si>
  <si>
    <t xml:space="preserve">19</t>
  </si>
  <si>
    <t xml:space="preserve">P3</t>
  </si>
  <si>
    <t xml:space="preserve">항목 표기</t>
  </si>
  <si>
    <r>
      <rPr>
        <sz val="10"/>
        <rFont val="Malgun Gothic"/>
        <family val="0"/>
        <charset val="1"/>
      </rPr>
      <t xml:space="preserve">"</t>
    </r>
    <r>
      <rPr>
        <sz val="10"/>
        <rFont val="WenQuanYi Zen Hei"/>
        <family val="2"/>
      </rPr>
      <t xml:space="preserve">프랜지</t>
    </r>
    <r>
      <rPr>
        <sz val="10"/>
        <rFont val="Malgun Gothic"/>
        <family val="0"/>
        <charset val="1"/>
      </rPr>
      <t xml:space="preserve">","3</t>
    </r>
    <r>
      <rPr>
        <sz val="10"/>
        <rFont val="WenQuanYi Zen Hei"/>
        <family val="2"/>
      </rPr>
      <t xml:space="preserve">월짜리</t>
    </r>
    <r>
      <rPr>
        <sz val="10"/>
        <rFont val="Malgun Gothic"/>
        <family val="0"/>
        <charset val="1"/>
      </rPr>
      <t xml:space="preserve">","</t>
    </r>
    <r>
      <rPr>
        <sz val="10"/>
        <rFont val="WenQuanYi Zen Hei"/>
        <family val="2"/>
      </rPr>
      <t xml:space="preserve">라벨 </t>
    </r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대</t>
    </r>
    <r>
      <rPr>
        <sz val="10"/>
        <rFont val="Malgun Gothic"/>
        <family val="0"/>
        <charset val="1"/>
      </rPr>
      <t xml:space="preserve">"</t>
    </r>
  </si>
  <si>
    <r>
      <rPr>
        <sz val="10"/>
        <rFont val="Malgun Gothic"/>
        <family val="0"/>
        <charset val="1"/>
      </rPr>
      <t xml:space="preserve">R1</t>
    </r>
    <r>
      <rPr>
        <sz val="10"/>
        <rFont val="WenQuanYi Zen Hei"/>
        <family val="2"/>
      </rPr>
      <t xml:space="preserve">의 해석</t>
    </r>
    <r>
      <rPr>
        <sz val="10"/>
        <rFont val="Malgun Gothic"/>
        <family val="0"/>
        <charset val="1"/>
      </rPr>
      <t xml:space="preserve">(3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·2</t>
    </r>
    <r>
      <rPr>
        <sz val="10"/>
        <rFont val="WenQuanYi Zen Hei"/>
        <family val="2"/>
      </rPr>
      <t xml:space="preserve">개</t>
    </r>
    <r>
      <rPr>
        <sz val="10"/>
        <rFont val="Malgun Gothic"/>
        <family val="0"/>
        <charset val="1"/>
      </rPr>
      <t xml:space="preserve">)</t>
    </r>
    <r>
      <rPr>
        <sz val="10"/>
        <rFont val="WenQuanYi Zen Hei"/>
        <family val="2"/>
      </rPr>
      <t xml:space="preserve">은 유지하고 입력 시트 비고에 해석 근거와 확인 필요를 명시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명칭은 승인 </t>
    </r>
    <r>
      <rPr>
        <sz val="10"/>
        <rFont val="Malgun Gothic"/>
        <family val="0"/>
        <charset val="1"/>
      </rPr>
      <t xml:space="preserve">BOM </t>
    </r>
    <r>
      <rPr>
        <sz val="10"/>
        <rFont val="WenQuanYi Zen Hei"/>
        <family val="2"/>
      </rPr>
      <t xml:space="preserve">확정 전 변경 안 함</t>
    </r>
  </si>
  <si>
    <t xml:space="preserve">보류</t>
  </si>
  <si>
    <r>
      <rPr>
        <sz val="10"/>
        <rFont val="WenQuanYi Zen Hei"/>
        <family val="2"/>
      </rPr>
      <t xml:space="preserve">정확한 거래품명 확인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)</t>
    </r>
  </si>
  <si>
    <t xml:space="preserve">현장 확인 및 반영 체크리스트</t>
  </si>
  <si>
    <r>
      <rPr>
        <sz val="9"/>
        <color rgb="FF595959"/>
        <rFont val="WenQuanYi Zen Hei"/>
        <family val="2"/>
      </rPr>
      <t xml:space="preserve">실제 확인값은 직접 기재하세요</t>
    </r>
    <r>
      <rPr>
        <sz val="9"/>
        <color rgb="FF595959"/>
        <rFont val="Malgun Gothic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 입력 없음</t>
    </r>
    <r>
      <rPr>
        <sz val="9"/>
        <color rgb="FF595959"/>
        <rFont val="Malgun Gothic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증빙 확보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내부 승인 후 입력 시트의 해당 안 값을 교체하고 </t>
    </r>
    <r>
      <rPr>
        <sz val="9"/>
        <color rgb="FF595959"/>
        <rFont val="Malgun Gothic"/>
        <family val="0"/>
        <charset val="1"/>
      </rPr>
      <t xml:space="preserve">Rev</t>
    </r>
    <r>
      <rPr>
        <sz val="9"/>
        <color rgb="FF595959"/>
        <rFont val="WenQuanYi Zen Hei"/>
        <family val="2"/>
      </rPr>
      <t xml:space="preserve">를 올립니다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</si>
  <si>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확인 항목</t>
  </si>
  <si>
    <r>
      <rPr>
        <b val="true"/>
        <sz val="10"/>
        <rFont val="WenQuanYi Zen Hei"/>
        <family val="2"/>
      </rPr>
      <t xml:space="preserve">현재 파일 기준 </t>
    </r>
    <r>
      <rPr>
        <b val="true"/>
        <sz val="10"/>
        <rFont val="Malgun Gothic"/>
        <family val="0"/>
        <charset val="1"/>
      </rPr>
      <t xml:space="preserve">(R1)</t>
    </r>
  </si>
  <si>
    <r>
      <rPr>
        <b val="true"/>
        <sz val="10"/>
        <rFont val="WenQuanYi Zen Hei"/>
        <family val="2"/>
      </rPr>
      <t xml:space="preserve">반영 위치 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입력 시트</t>
    </r>
    <r>
      <rPr>
        <b val="true"/>
        <sz val="10"/>
        <rFont val="Malgun Gothic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</si>
  <si>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실제 확인값 </t>
    </r>
    <r>
      <rPr>
        <b val="true"/>
        <sz val="10"/>
        <rFont val="Malgun Gothic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변경 요청</t>
    </r>
  </si>
  <si>
    <t xml:space="preserve">필요 증빙</t>
  </si>
  <si>
    <r>
      <rPr>
        <b val="true"/>
        <sz val="10"/>
        <rFont val="WenQuanYi Zen Hei"/>
        <family val="2"/>
      </rPr>
      <t xml:space="preserve">주관부서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권장</t>
    </r>
    <r>
      <rPr>
        <b val="true"/>
        <sz val="10"/>
        <rFont val="Malgun Gothic"/>
        <family val="0"/>
        <charset val="1"/>
      </rPr>
      <t xml:space="preserve">)</t>
    </r>
  </si>
  <si>
    <t xml:space="preserve">진행상태</t>
  </si>
  <si>
    <t xml:space="preserve">완료 예정일</t>
  </si>
  <si>
    <r>
      <rPr>
        <sz val="10"/>
        <rFont val="WenQuanYi Zen Hei"/>
        <family val="2"/>
      </rPr>
      <t xml:space="preserve">제품 품번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도면 </t>
    </r>
    <r>
      <rPr>
        <sz val="10"/>
        <rFont val="Malgun Gothic"/>
        <family val="0"/>
        <charset val="1"/>
      </rPr>
      <t xml:space="preserve">Rev</t>
    </r>
  </si>
  <si>
    <t xml:space="preserve">원본 미기재</t>
  </si>
  <si>
    <r>
      <rPr>
        <sz val="10"/>
        <rFont val="Malgun Gothic"/>
        <family val="0"/>
        <charset val="1"/>
      </rPr>
      <t xml:space="preserve">—(</t>
    </r>
    <r>
      <rPr>
        <sz val="10"/>
        <rFont val="WenQuanYi Zen Hei"/>
        <family val="2"/>
      </rPr>
      <t xml:space="preserve">개당원가분석 문서정보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</si>
  <si>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고객 승인도면</t>
    </r>
    <r>
      <rPr>
        <sz val="10"/>
        <rFont val="Malgun Gothic"/>
        <family val="0"/>
        <charset val="1"/>
      </rPr>
      <t xml:space="preserve">/BOM</t>
    </r>
  </si>
  <si>
    <t xml:space="preserve">생산기술</t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</si>
  <si>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A/B OD, </t>
    </r>
    <r>
      <rPr>
        <sz val="10"/>
        <rFont val="WenQuanYi Zen Hei"/>
        <family val="2"/>
      </rPr>
      <t xml:space="preserve">두께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길이</t>
    </r>
  </si>
  <si>
    <t xml:space="preserve">OD 25.4/t 1.24/L 435·315</t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</si>
  <si>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</t>
    </r>
    <r>
      <rPr>
        <sz val="10"/>
        <rFont val="Malgun Gothic"/>
        <family val="0"/>
        <charset val="1"/>
      </rPr>
      <t xml:space="preserve">OD, t, </t>
    </r>
    <r>
      <rPr>
        <sz val="10"/>
        <rFont val="WenQuanYi Zen Hei"/>
        <family val="2"/>
      </rPr>
      <t xml:space="preserve">길이</t>
    </r>
  </si>
  <si>
    <r>
      <rPr>
        <sz val="10"/>
        <rFont val="WenQuanYi Zen Hei"/>
        <family val="2"/>
      </rPr>
      <t xml:space="preserve">도면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측정성적서</t>
    </r>
  </si>
  <si>
    <r>
      <rPr>
        <sz val="10"/>
        <rFont val="WenQuanYi Zen Hei"/>
        <family val="2"/>
      </rPr>
      <t xml:space="preserve">파이프 실제 재질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비중</t>
    </r>
  </si>
  <si>
    <r>
      <rPr>
        <sz val="10"/>
        <rFont val="Malgun Gothic"/>
        <family val="0"/>
        <charset val="1"/>
      </rPr>
      <t xml:space="preserve">STS 7.93 </t>
    </r>
    <r>
      <rPr>
        <sz val="10"/>
        <rFont val="WenQuanYi Zen Hei"/>
        <family val="2"/>
      </rPr>
      <t xml:space="preserve">가정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</si>
  <si>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비중</t>
    </r>
  </si>
  <si>
    <t xml:space="preserve">재질증명서</t>
  </si>
  <si>
    <r>
      <rPr>
        <sz val="10"/>
        <rFont val="WenQuanYi Zen Hei"/>
        <family val="2"/>
      </rPr>
      <t xml:space="preserve">구매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품질</t>
    </r>
  </si>
  <si>
    <r>
      <rPr>
        <sz val="10"/>
        <rFont val="WenQuanYi Zen Hei"/>
        <family val="2"/>
      </rPr>
      <t xml:space="preserve">파이프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개 실측 중량</t>
    </r>
  </si>
  <si>
    <r>
      <rPr>
        <sz val="10"/>
        <rFont val="Malgun Gothic"/>
        <family val="0"/>
        <charset val="1"/>
      </rPr>
      <t xml:space="preserve">0.55976kg </t>
    </r>
    <r>
      <rPr>
        <sz val="10"/>
        <rFont val="WenQuanYi Zen Hei"/>
        <family val="2"/>
      </rPr>
      <t xml:space="preserve">합계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계산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</si>
  <si>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절 — 파이프 </t>
    </r>
    <r>
      <rPr>
        <sz val="10"/>
        <rFont val="Malgun Gothic"/>
        <family val="0"/>
        <charset val="1"/>
      </rPr>
      <t xml:space="preserve">A·B </t>
    </r>
    <r>
      <rPr>
        <sz val="10"/>
        <rFont val="WenQuanYi Zen Hei"/>
        <family val="2"/>
      </rPr>
      <t xml:space="preserve">중량 비교</t>
    </r>
  </si>
  <si>
    <t xml:space="preserve">무게측정 기록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</si>
  <si>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</si>
  <si>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t xml:space="preserve">파이프 최근 원재료 매입단가</t>
  </si>
  <si>
    <r>
      <rPr>
        <sz val="10"/>
        <rFont val="Malgun Gothic"/>
        <family val="0"/>
        <charset val="1"/>
      </rPr>
      <t xml:space="preserve">5200</t>
    </r>
    <r>
      <rPr>
        <sz val="10"/>
        <rFont val="WenQuanYi Zen Hei"/>
        <family val="2"/>
      </rPr>
      <t xml:space="preserve">원</t>
    </r>
    <r>
      <rPr>
        <sz val="10"/>
        <rFont val="Malgun Gothic"/>
        <family val="0"/>
        <charset val="1"/>
      </rPr>
      <t xml:space="preserve">/kg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</si>
  <si>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소재 단가</t>
    </r>
  </si>
  <si>
    <r>
      <rPr>
        <sz val="10"/>
        <rFont val="WenQuanYi Zen Hei"/>
        <family val="2"/>
      </rPr>
      <t xml:space="preserve">매입단가표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발주서</t>
    </r>
  </si>
  <si>
    <t xml:space="preserve">구매</t>
  </si>
  <si>
    <t xml:space="preserve">구매부품 및 부품수량</t>
  </si>
  <si>
    <r>
      <rPr>
        <sz val="10"/>
        <rFont val="WenQuanYi Zen Hei"/>
        <family val="2"/>
      </rPr>
      <t xml:space="preserve">프랜지 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다이캐스팅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</si>
  <si>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구매 부품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</t>
    </r>
  </si>
  <si>
    <r>
      <rPr>
        <sz val="10"/>
        <rFont val="WenQuanYi Zen Hei"/>
        <family val="2"/>
      </rPr>
      <t xml:space="preserve">품번별 </t>
    </r>
    <r>
      <rPr>
        <sz val="10"/>
        <rFont val="Malgun Gothic"/>
        <family val="0"/>
        <charset val="1"/>
      </rPr>
      <t xml:space="preserve">BOM·</t>
    </r>
    <r>
      <rPr>
        <sz val="10"/>
        <rFont val="WenQuanYi Zen Hei"/>
        <family val="2"/>
      </rPr>
      <t xml:space="preserve">단가표</t>
    </r>
  </si>
  <si>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박스 입수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포장재 단위</t>
    </r>
  </si>
  <si>
    <r>
      <rPr>
        <sz val="10"/>
        <rFont val="WenQuanYi Zen Hei"/>
        <family val="2"/>
      </rPr>
      <t xml:space="preserve">제품당 박스</t>
    </r>
    <r>
      <rPr>
        <sz val="10"/>
        <rFont val="Malgun Gothic"/>
        <family val="0"/>
        <charset val="1"/>
      </rPr>
      <t xml:space="preserve">1·</t>
    </r>
    <r>
      <rPr>
        <sz val="10"/>
        <rFont val="WenQuanYi Zen Hei"/>
        <family val="2"/>
      </rPr>
      <t xml:space="preserve">포장지</t>
    </r>
    <r>
      <rPr>
        <sz val="10"/>
        <rFont val="Malgun Gothic"/>
        <family val="0"/>
        <charset val="1"/>
      </rPr>
      <t xml:space="preserve">3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</si>
  <si>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3. </t>
    </r>
    <r>
      <rPr>
        <sz val="10"/>
        <rFont val="WenQuanYi Zen Hei"/>
        <family val="2"/>
      </rPr>
      <t xml:space="preserve">포장 — 박스 입수</t>
    </r>
  </si>
  <si>
    <t xml:space="preserve">포장사양서</t>
  </si>
  <si>
    <r>
      <rPr>
        <sz val="10"/>
        <rFont val="WenQuanYi Zen Hei"/>
        <family val="2"/>
      </rPr>
      <t xml:space="preserve">생산관리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물류</t>
    </r>
  </si>
  <si>
    <r>
      <rPr>
        <sz val="10"/>
        <rFont val="WenQuanYi Zen Hei"/>
        <family val="2"/>
      </rPr>
      <t xml:space="preserve">로봇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대 실제 가공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</si>
  <si>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Malgun Gothic"/>
        <family val="0"/>
        <charset val="1"/>
      </rPr>
      <t xml:space="preserve">46</t>
    </r>
    <r>
      <rPr>
        <sz val="10"/>
        <rFont val="WenQuanYi Zen Hei"/>
        <family val="2"/>
      </rPr>
      <t xml:space="preserve">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</si>
  <si>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로봇 </t>
    </r>
    <r>
      <rPr>
        <sz val="10"/>
        <rFont val="Malgun Gothic"/>
        <family val="0"/>
        <charset val="1"/>
      </rPr>
      <t xml:space="preserve">C/T</t>
    </r>
  </si>
  <si>
    <r>
      <rPr>
        <sz val="10"/>
        <rFont val="WenQuanYi Zen Hei"/>
        <family val="2"/>
      </rPr>
      <t xml:space="preserve">표준작업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타임스터디</t>
    </r>
  </si>
  <si>
    <r>
      <rPr>
        <sz val="10"/>
        <rFont val="WenQuanYi Zen Hei"/>
        <family val="2"/>
      </rPr>
      <t xml:space="preserve">코킹 라인 실제 </t>
    </r>
    <r>
      <rPr>
        <sz val="10"/>
        <rFont val="Malgun Gothic"/>
        <family val="0"/>
        <charset val="1"/>
      </rPr>
      <t xml:space="preserve">OEE</t>
    </r>
  </si>
  <si>
    <t xml:space="preserve">원본 미반영</t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</si>
  <si>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</t>
    </r>
    <r>
      <rPr>
        <sz val="10"/>
        <rFont val="Malgun Gothic"/>
        <family val="0"/>
        <charset val="1"/>
      </rPr>
      <t xml:space="preserve">OEE</t>
    </r>
  </si>
  <si>
    <r>
      <rPr>
        <sz val="10"/>
        <rFont val="WenQuanYi Zen Hei"/>
        <family val="2"/>
      </rPr>
      <t xml:space="preserve">설비 운전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정지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양품 실적</t>
    </r>
  </si>
  <si>
    <r>
      <rPr>
        <sz val="10"/>
        <rFont val="WenQuanYi Zen Hei"/>
        <family val="2"/>
      </rPr>
      <t xml:space="preserve">조립 공정별 </t>
    </r>
    <r>
      <rPr>
        <sz val="10"/>
        <rFont val="Malgun Gothic"/>
        <family val="0"/>
        <charset val="1"/>
      </rPr>
      <t xml:space="preserve">C/T·</t>
    </r>
    <r>
      <rPr>
        <sz val="10"/>
        <rFont val="WenQuanYi Zen Hei"/>
        <family val="2"/>
      </rPr>
      <t xml:space="preserve">병목</t>
    </r>
  </si>
  <si>
    <r>
      <rPr>
        <sz val="10"/>
        <rFont val="Malgun Gothic"/>
        <family val="0"/>
        <charset val="1"/>
      </rPr>
      <t xml:space="preserve">4</t>
    </r>
    <r>
      <rPr>
        <sz val="10"/>
        <rFont val="WenQuanYi Zen Hei"/>
        <family val="2"/>
      </rPr>
      <t xml:space="preserve">명 </t>
    </r>
    <r>
      <rPr>
        <sz val="10"/>
        <rFont val="Malgun Gothic"/>
        <family val="0"/>
        <charset val="1"/>
      </rPr>
      <t xml:space="preserve">1</t>
    </r>
    <r>
      <rPr>
        <sz val="10"/>
        <rFont val="WenQuanYi Zen Hei"/>
        <family val="2"/>
      </rPr>
      <t xml:space="preserve">조 가정</t>
    </r>
  </si>
  <si>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 </t>
    </r>
    <r>
      <rPr>
        <sz val="10"/>
        <rFont val="WenQuanYi Zen Hei"/>
        <family val="2"/>
      </rPr>
      <t xml:space="preserve">시트 입력</t>
    </r>
  </si>
  <si>
    <t xml:space="preserve">공정별 시간측정표</t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</si>
  <si>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</si>
  <si>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근무시간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휴게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식사 시간표</t>
    </r>
  </si>
  <si>
    <r>
      <rPr>
        <sz val="10"/>
        <rFont val="Malgun Gothic"/>
        <family val="0"/>
        <charset val="1"/>
      </rPr>
      <t xml:space="preserve">08:00~19:00/</t>
    </r>
    <r>
      <rPr>
        <sz val="10"/>
        <rFont val="WenQuanYi Zen Hei"/>
        <family val="2"/>
      </rPr>
      <t xml:space="preserve">휴게 </t>
    </r>
    <r>
      <rPr>
        <sz val="10"/>
        <rFont val="Malgun Gothic"/>
        <family val="0"/>
        <charset val="1"/>
      </rPr>
      <t xml:space="preserve">5</t>
    </r>
    <r>
      <rPr>
        <sz val="10"/>
        <rFont val="WenQuanYi Zen Hei"/>
        <family val="2"/>
      </rPr>
      <t xml:space="preserve">회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</si>
  <si>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시각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휴식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중복 제외</t>
    </r>
  </si>
  <si>
    <r>
      <rPr>
        <sz val="10"/>
        <rFont val="WenQuanYi Zen Hei"/>
        <family val="2"/>
      </rPr>
      <t xml:space="preserve">근무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휴게 편성표</t>
    </r>
  </si>
  <si>
    <r>
      <rPr>
        <sz val="10"/>
        <rFont val="WenQuanYi Zen Hei"/>
        <family val="2"/>
      </rPr>
      <t xml:space="preserve">생산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인사</t>
    </r>
  </si>
  <si>
    <r>
      <rPr>
        <sz val="10"/>
        <rFont val="WenQuanYi Zen Hei"/>
        <family val="2"/>
      </rPr>
      <t xml:space="preserve">급여 총액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사업주 부담비</t>
    </r>
  </si>
  <si>
    <r>
      <rPr>
        <sz val="10"/>
        <rFont val="Malgun Gothic"/>
        <family val="0"/>
        <charset val="1"/>
      </rPr>
      <t xml:space="preserve">320</t>
    </r>
    <r>
      <rPr>
        <sz val="10"/>
        <rFont val="WenQuanYi Zen Hei"/>
        <family val="2"/>
      </rPr>
      <t xml:space="preserve">만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</si>
  <si>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월급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수당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</si>
  <si>
    <t xml:space="preserve">실질 원가 인건비</t>
  </si>
  <si>
    <r>
      <rPr>
        <sz val="10"/>
        <rFont val="WenQuanYi Zen Hei"/>
        <family val="2"/>
      </rPr>
      <t xml:space="preserve">인사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</si>
  <si>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경비배부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전력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감가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</si>
  <si>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기타경비 </t>
    </r>
    <r>
      <rPr>
        <sz val="10"/>
        <rFont val="Malgun Gothic"/>
        <family val="0"/>
        <charset val="1"/>
      </rPr>
      <t xml:space="preserve">0</t>
    </r>
    <r>
      <rPr>
        <sz val="10"/>
        <rFont val="WenQuanYi Zen Hei"/>
        <family val="2"/>
      </rPr>
      <t xml:space="preserve">원</t>
    </r>
  </si>
  <si>
    <r>
      <rPr>
        <sz val="10"/>
        <rFont val="Malgun Gothic"/>
        <family val="0"/>
        <charset val="1"/>
      </rPr>
      <t xml:space="preserve">4. </t>
    </r>
    <r>
      <rPr>
        <sz val="10"/>
        <rFont val="WenQuanYi Zen Hei"/>
        <family val="2"/>
      </rPr>
      <t xml:space="preserve">노무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— 경비 항목</t>
    </r>
  </si>
  <si>
    <r>
      <rPr>
        <sz val="10"/>
        <rFont val="WenQuanYi Zen Hei"/>
        <family val="2"/>
      </rPr>
      <t xml:space="preserve">원가명세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설비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전력 데이터</t>
    </r>
  </si>
  <si>
    <r>
      <rPr>
        <sz val="10"/>
        <rFont val="WenQuanYi Zen Hei"/>
        <family val="2"/>
      </rPr>
      <t xml:space="preserve">회계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생산기술</t>
    </r>
  </si>
  <si>
    <r>
      <rPr>
        <sz val="10"/>
        <rFont val="WenQuanYi Zen Hei"/>
        <family val="2"/>
      </rPr>
      <t xml:space="preserve">공정 로스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재작업</t>
    </r>
  </si>
  <si>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0%</t>
    </r>
  </si>
  <si>
    <r>
      <rPr>
        <sz val="10"/>
        <rFont val="Malgun Gothic"/>
        <family val="0"/>
        <charset val="1"/>
      </rPr>
      <t xml:space="preserve">2. </t>
    </r>
    <r>
      <rPr>
        <sz val="10"/>
        <rFont val="WenQuanYi Zen Hei"/>
        <family val="2"/>
      </rPr>
      <t xml:space="preserve">소재 — 로스율</t>
    </r>
    <r>
      <rPr>
        <sz val="10"/>
        <rFont val="Malgun Gothic"/>
        <family val="0"/>
        <charset val="1"/>
      </rPr>
      <t xml:space="preserve">, 4. </t>
    </r>
    <r>
      <rPr>
        <sz val="10"/>
        <rFont val="WenQuanYi Zen Hei"/>
        <family val="2"/>
      </rPr>
      <t xml:space="preserve">불량률</t>
    </r>
  </si>
  <si>
    <r>
      <rPr>
        <sz val="10"/>
        <rFont val="WenQuanYi Zen Hei"/>
        <family val="2"/>
      </rPr>
      <t xml:space="preserve">양품률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불량현황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스크랩</t>
    </r>
  </si>
  <si>
    <t xml:space="preserve">품질</t>
  </si>
  <si>
    <r>
      <rPr>
        <sz val="10"/>
        <rFont val="WenQuanYi Zen Hei"/>
        <family val="2"/>
      </rPr>
      <t xml:space="preserve">월별 실제 가동일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고객발주량</t>
    </r>
  </si>
  <si>
    <r>
      <rPr>
        <sz val="10"/>
        <rFont val="Malgun Gothic"/>
        <family val="0"/>
        <charset val="1"/>
      </rPr>
      <t xml:space="preserve">22</t>
    </r>
    <r>
      <rPr>
        <sz val="10"/>
        <rFont val="WenQuanYi Zen Hei"/>
        <family val="2"/>
      </rPr>
      <t xml:space="preserve">일</t>
    </r>
    <r>
      <rPr>
        <sz val="10"/>
        <rFont val="Malgun Gothic"/>
        <family val="0"/>
        <charset val="1"/>
      </rPr>
      <t xml:space="preserve">/55,000</t>
    </r>
    <r>
      <rPr>
        <sz val="10"/>
        <rFont val="WenQuanYi Zen Hei"/>
        <family val="2"/>
      </rPr>
      <t xml:space="preserve">개</t>
    </r>
  </si>
  <si>
    <r>
      <rPr>
        <sz val="10"/>
        <rFont val="Malgun Gothic"/>
        <family val="0"/>
        <charset val="1"/>
      </rPr>
      <t xml:space="preserve">1. </t>
    </r>
    <r>
      <rPr>
        <sz val="10"/>
        <rFont val="WenQuanYi Zen Hei"/>
        <family val="2"/>
      </rPr>
      <t xml:space="preserve">생산 조건 — 수량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가동일</t>
    </r>
  </si>
  <si>
    <r>
      <rPr>
        <sz val="10"/>
        <rFont val="WenQuanYi Zen Hei"/>
        <family val="2"/>
      </rPr>
      <t xml:space="preserve">영업발주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생산계획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</si>
  <si>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생산관리</t>
    </r>
  </si>
  <si>
    <r>
      <rPr>
        <sz val="10"/>
        <rFont val="WenQuanYi Zen Hei"/>
        <family val="2"/>
      </rPr>
      <t xml:space="preserve">원가가산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목표 매출이익률 정의</t>
    </r>
  </si>
  <si>
    <r>
      <rPr>
        <sz val="10"/>
        <rFont val="WenQuanYi Zen Hei"/>
        <family val="2"/>
      </rPr>
      <t xml:space="preserve">원가에 </t>
    </r>
    <r>
      <rPr>
        <sz val="10"/>
        <rFont val="Malgun Gothic"/>
        <family val="0"/>
        <charset val="1"/>
      </rPr>
      <t xml:space="preserve">11% </t>
    </r>
    <r>
      <rPr>
        <sz val="10"/>
        <rFont val="WenQuanYi Zen Hei"/>
        <family val="2"/>
      </rPr>
      <t xml:space="preserve">가산</t>
    </r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</si>
  <si>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가산율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목표이익률</t>
    </r>
  </si>
  <si>
    <r>
      <rPr>
        <sz val="10"/>
        <rFont val="WenQuanYi Zen Hei"/>
        <family val="2"/>
      </rPr>
      <t xml:space="preserve">견적원칙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원가승인</t>
    </r>
  </si>
  <si>
    <r>
      <rPr>
        <sz val="10"/>
        <rFont val="WenQuanYi Zen Hei"/>
        <family val="2"/>
      </rPr>
      <t xml:space="preserve">영업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</si>
  <si>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r>
      <rPr>
        <sz val="10"/>
        <rFont val="WenQuanYi Zen Hei"/>
        <family val="2"/>
      </rPr>
      <t xml:space="preserve">세금 포함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별도 가격 조건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견적 유효기간</t>
    </r>
  </si>
  <si>
    <t xml:space="preserve">별도 표기 없음</t>
  </si>
  <si>
    <r>
      <rPr>
        <sz val="10"/>
        <rFont val="Malgun Gothic"/>
        <family val="0"/>
        <charset val="1"/>
      </rPr>
      <t xml:space="preserve">5. </t>
    </r>
    <r>
      <rPr>
        <sz val="10"/>
        <rFont val="WenQuanYi Zen Hei"/>
        <family val="2"/>
      </rPr>
      <t xml:space="preserve">가격 정책 — 견적 유효기간</t>
    </r>
  </si>
  <si>
    <t xml:space="preserve">고객사 견적 양식</t>
  </si>
  <si>
    <t xml:space="preserve">영업</t>
  </si>
  <si>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·Rev·</t>
    </r>
    <r>
      <rPr>
        <sz val="10"/>
        <rFont val="WenQuanYi Zen Hei"/>
        <family val="2"/>
      </rPr>
      <t xml:space="preserve">승인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개정이력</t>
    </r>
  </si>
  <si>
    <t xml:space="preserve">확인란 없음</t>
  </si>
  <si>
    <t xml:space="preserve">개당원가분석 문서정보</t>
  </si>
  <si>
    <t xml:space="preserve">내부 결재기준</t>
  </si>
  <si>
    <r>
      <rPr>
        <sz val="10"/>
        <rFont val="WenQuanYi Zen Hei"/>
        <family val="2"/>
      </rPr>
      <t xml:space="preserve">품질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회계</t>
    </r>
  </si>
  <si>
    <t xml:space="preserve">개정이력</t>
  </si>
  <si>
    <r>
      <rPr>
        <sz val="9"/>
        <color rgb="FF595959"/>
        <rFont val="Malgun Gothic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은 변경하지 않았으며 </t>
    </r>
    <r>
      <rPr>
        <sz val="9"/>
        <color rgb="FF595959"/>
        <rFont val="Malgun Gothic"/>
        <family val="0"/>
        <charset val="1"/>
      </rPr>
      <t xml:space="preserve">R2</t>
    </r>
    <r>
      <rPr>
        <sz val="9"/>
        <color rgb="FF595959"/>
        <rFont val="WenQuanYi Zen Hei"/>
        <family val="2"/>
      </rPr>
      <t xml:space="preserve">는 별도 파일입니다</t>
    </r>
    <r>
      <rPr>
        <sz val="9"/>
        <color rgb="FF595959"/>
        <rFont val="Malgun Gothic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작성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검토</t>
    </r>
    <r>
      <rPr>
        <sz val="9"/>
        <color rgb="FF595959"/>
        <rFont val="Malgun Gothic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승인 칸은 담당자가 직접 기재합니다</t>
    </r>
    <r>
      <rPr>
        <sz val="9"/>
        <color rgb="FF595959"/>
        <rFont val="Malgun Gothic"/>
        <family val="0"/>
        <charset val="1"/>
      </rPr>
      <t xml:space="preserve">.</t>
    </r>
  </si>
  <si>
    <t xml:space="preserve">Rev</t>
  </si>
  <si>
    <t xml:space="preserve">일자</t>
  </si>
  <si>
    <t xml:space="preserve">개정 내용</t>
  </si>
  <si>
    <t xml:space="preserve">R1</t>
  </si>
  <si>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원본 기재 없음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</si>
  <si>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개당원가분석표 최초 작성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일 </t>
    </r>
    <r>
      <rPr>
        <sz val="10"/>
        <rFont val="Malgun Gothic"/>
        <family val="0"/>
        <charset val="1"/>
      </rPr>
      <t xml:space="preserve">2,500</t>
    </r>
    <r>
      <rPr>
        <sz val="10"/>
        <rFont val="WenQuanYi Zen Hei"/>
        <family val="2"/>
      </rPr>
      <t xml:space="preserve">개 기준</t>
    </r>
    <r>
      <rPr>
        <sz val="10"/>
        <rFont val="Malgun Gothic"/>
        <family val="0"/>
        <charset val="1"/>
      </rPr>
      <t xml:space="preserve">)</t>
    </r>
  </si>
  <si>
    <t xml:space="preserve">R2</t>
  </si>
  <si>
    <t xml:space="preserve">2026-10-28</t>
  </si>
  <si>
    <r>
      <rPr>
        <sz val="10"/>
        <rFont val="WenQuanYi Zen Hei"/>
        <family val="2"/>
      </rPr>
      <t xml:space="preserve">검토보고서</t>
    </r>
    <r>
      <rPr>
        <sz val="10"/>
        <rFont val="Malgun Gothic"/>
        <family val="0"/>
        <charset val="1"/>
      </rPr>
      <t xml:space="preserve">(2026-10-28, </t>
    </r>
    <r>
      <rPr>
        <sz val="10"/>
        <rFont val="WenQuanYi Zen Hei"/>
        <family val="2"/>
      </rPr>
      <t xml:space="preserve">조건부 보완 필요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지적 </t>
    </r>
    <r>
      <rPr>
        <sz val="10"/>
        <rFont val="Malgun Gothic"/>
        <family val="0"/>
        <charset val="1"/>
      </rPr>
      <t xml:space="preserve">19</t>
    </r>
    <r>
      <rPr>
        <sz val="10"/>
        <rFont val="WenQuanYi Zen Hei"/>
        <family val="2"/>
      </rPr>
      <t xml:space="preserve">건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입력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계산 시트 분리</t>
    </r>
    <r>
      <rPr>
        <sz val="10"/>
        <rFont val="Malgun Gothic"/>
        <family val="0"/>
        <charset val="1"/>
      </rPr>
      <t xml:space="preserve">, A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(R1 </t>
    </r>
    <r>
      <rPr>
        <sz val="10"/>
        <rFont val="WenQuanYi Zen Hei"/>
        <family val="2"/>
      </rPr>
      <t xml:space="preserve">재현</t>
    </r>
    <r>
      <rPr>
        <sz val="10"/>
        <rFont val="Malgun Gothic"/>
        <family val="0"/>
        <charset val="1"/>
      </rPr>
      <t xml:space="preserve">)·B</t>
    </r>
    <r>
      <rPr>
        <sz val="10"/>
        <rFont val="WenQuanYi Zen Hei"/>
        <family val="2"/>
      </rPr>
      <t xml:space="preserve">안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보수 시나리오</t>
    </r>
    <r>
      <rPr>
        <sz val="10"/>
        <rFont val="Malgun Gothic"/>
        <family val="0"/>
        <charset val="1"/>
      </rPr>
      <t xml:space="preserve">) </t>
    </r>
    <r>
      <rPr>
        <sz val="10"/>
        <rFont val="WenQuanYi Zen Hei"/>
        <family val="2"/>
      </rPr>
      <t xml:space="preserve">병행</t>
    </r>
    <r>
      <rPr>
        <sz val="10"/>
        <rFont val="Malgun Gothic"/>
        <family val="0"/>
        <charset val="1"/>
      </rPr>
      <t xml:space="preserve">, OEE·</t>
    </r>
    <r>
      <rPr>
        <sz val="10"/>
        <rFont val="WenQuanYi Zen Hei"/>
        <family val="2"/>
      </rPr>
      <t xml:space="preserve">불량률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부담률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경비 항목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병목공정</t>
    </r>
    <r>
      <rPr>
        <sz val="10"/>
        <rFont val="Malgun Gothic"/>
        <family val="0"/>
        <charset val="1"/>
      </rPr>
      <t xml:space="preserve">CT·</t>
    </r>
    <r>
      <rPr>
        <sz val="10"/>
        <rFont val="WenQuanYi Zen Hei"/>
        <family val="2"/>
      </rPr>
      <t xml:space="preserve">민감도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반영표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현장확인 시트 신설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시트 보호 및 입력 검증 추가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확정 증빙이 없는 값은 </t>
    </r>
    <r>
      <rPr>
        <sz val="10"/>
        <rFont val="Malgun Gothic"/>
        <family val="0"/>
        <charset val="1"/>
      </rPr>
      <t xml:space="preserve">R1 </t>
    </r>
    <r>
      <rPr>
        <sz val="10"/>
        <rFont val="WenQuanYi Zen Hei"/>
        <family val="2"/>
      </rPr>
      <t xml:space="preserve">값 유지 또는 시나리오로 구분</t>
    </r>
  </si>
  <si>
    <r>
      <rPr>
        <sz val="10"/>
        <rFont val="Malgun Gothic"/>
        <family val="0"/>
        <charset val="1"/>
      </rPr>
      <t xml:space="preserve">R2 (</t>
    </r>
    <r>
      <rPr>
        <sz val="10"/>
        <rFont val="WenQuanYi Zen Hei"/>
        <family val="2"/>
      </rPr>
      <t xml:space="preserve">갱신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</si>
  <si>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Malgun Gothic"/>
        <family val="0"/>
        <charset val="1"/>
      </rPr>
      <t xml:space="preserve">2</t>
    </r>
    <r>
      <rPr>
        <sz val="10"/>
        <rFont val="WenQuanYi Zen Hei"/>
        <family val="2"/>
      </rPr>
      <t xml:space="preserve">차 재검토 반영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병목 합산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판정 방어</t>
    </r>
    <r>
      <rPr>
        <sz val="10"/>
        <rFont val="Malgun Gothic"/>
        <family val="0"/>
        <charset val="1"/>
      </rPr>
      <t xml:space="preserve">(5</t>
    </r>
    <r>
      <rPr>
        <sz val="10"/>
        <rFont val="WenQuanYi Zen Hei"/>
        <family val="2"/>
      </rPr>
      <t xml:space="preserve">공정 모두 양수 입력 시에만 산출</t>
    </r>
    <r>
      <rPr>
        <sz val="10"/>
        <rFont val="Malgun Gothic"/>
        <family val="0"/>
        <charset val="1"/>
      </rPr>
      <t xml:space="preserve">), </t>
    </r>
    <r>
      <rPr>
        <sz val="10"/>
        <rFont val="WenQuanYi Zen Hei"/>
        <family val="2"/>
      </rPr>
      <t xml:space="preserve">종합 생산능력 판정 및 승인된 생산가능 매출 추가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인원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월급 </t>
    </r>
    <r>
      <rPr>
        <sz val="10"/>
        <rFont val="Malgun Gothic"/>
        <family val="0"/>
        <charset val="1"/>
      </rPr>
      <t xml:space="preserve">0 </t>
    </r>
    <r>
      <rPr>
        <sz val="10"/>
        <rFont val="WenQuanYi Zen Hei"/>
        <family val="2"/>
      </rPr>
      <t xml:space="preserve">입력 차단 및 입력 검증 확대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조립 라인 효율을 로봇 </t>
    </r>
    <r>
      <rPr>
        <sz val="10"/>
        <rFont val="Malgun Gothic"/>
        <family val="0"/>
        <charset val="1"/>
      </rPr>
      <t xml:space="preserve">OEE</t>
    </r>
    <r>
      <rPr>
        <sz val="10"/>
        <rFont val="WenQuanYi Zen Hei"/>
        <family val="2"/>
      </rPr>
      <t xml:space="preserve">와 분리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결재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문서번호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품번 입력칸 잠금 해제</t>
    </r>
    <r>
      <rPr>
        <sz val="10"/>
        <rFont val="Malgun Gothic"/>
        <family val="0"/>
        <charset val="1"/>
      </rPr>
      <t xml:space="preserve">. B</t>
    </r>
    <r>
      <rPr>
        <sz val="10"/>
        <rFont val="WenQuanYi Zen Hei"/>
        <family val="2"/>
      </rPr>
      <t xml:space="preserve">안에 확인값 반영</t>
    </r>
    <r>
      <rPr>
        <sz val="10"/>
        <rFont val="Malgun Gothic"/>
        <family val="0"/>
        <charset val="1"/>
      </rPr>
      <t xml:space="preserve">(OEE 87%, </t>
    </r>
    <r>
      <rPr>
        <sz val="10"/>
        <rFont val="WenQuanYi Zen Hei"/>
        <family val="2"/>
      </rPr>
      <t xml:space="preserve">부담률 </t>
    </r>
    <r>
      <rPr>
        <sz val="10"/>
        <rFont val="Malgun Gothic"/>
        <family val="0"/>
        <charset val="1"/>
      </rPr>
      <t xml:space="preserve">18.5%, </t>
    </r>
    <r>
      <rPr>
        <sz val="10"/>
        <rFont val="WenQuanYi Zen Hei"/>
        <family val="2"/>
      </rPr>
      <t xml:space="preserve">박스 </t>
    </r>
    <r>
      <rPr>
        <sz val="10"/>
        <rFont val="Malgun Gothic"/>
        <family val="0"/>
        <charset val="1"/>
      </rPr>
      <t xml:space="preserve">20</t>
    </r>
    <r>
      <rPr>
        <sz val="10"/>
        <rFont val="WenQuanYi Zen Hei"/>
        <family val="2"/>
      </rPr>
      <t xml:space="preserve">입수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소재 로스 </t>
    </r>
    <r>
      <rPr>
        <sz val="10"/>
        <rFont val="Malgun Gothic"/>
        <family val="0"/>
        <charset val="1"/>
      </rPr>
      <t xml:space="preserve">3%, </t>
    </r>
    <r>
      <rPr>
        <sz val="10"/>
        <rFont val="WenQuanYi Zen Hei"/>
        <family val="2"/>
      </rPr>
      <t xml:space="preserve">불량률 </t>
    </r>
    <r>
      <rPr>
        <sz val="10"/>
        <rFont val="Malgun Gothic"/>
        <family val="0"/>
        <charset val="1"/>
      </rPr>
      <t xml:space="preserve">2%=</t>
    </r>
    <r>
      <rPr>
        <sz val="10"/>
        <rFont val="WenQuanYi Zen Hei"/>
        <family val="2"/>
      </rPr>
      <t xml:space="preserve">재료비에만 적용</t>
    </r>
    <r>
      <rPr>
        <sz val="10"/>
        <rFont val="Malgun Gothic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</si>
</sst>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0.0000"/>
    <numFmt numFmtId="166" formatCode="#,##0.00"/>
    <numFmt numFmtId="167" formatCode="0.0%"/>
    <numFmt numFmtId="168" formatCode="0.00%"/>
    <numFmt numFmtId="169" formatCode="#,##0"/>
    <numFmt numFmtId="170" formatCode="0"/>
    <numFmt numFmtId="171" formatCode="@"/>
    <numFmt numFmtId="172" formatCode="#,##0.0000"/>
    <numFmt numFmtId="173" formatCode="0.0"/>
    <numFmt numFmtId="174" formatCode="0.00"/>
    <numFmt numFmtId="175" formatCode="0.##"/>
    <numFmt numFmtId="176" formatCode="#,##0.##"/>
    <numFmt numFmtId="177" formatCode="#,##0.0"/>
    <numFmt numFmtId="178" formatCode="\+#,##0.00;\-#,##0.00;0.00"/>
    <numFmt numFmtId="179" formatCode="0%"/>
    <numFmt numFmtId="180" formatCode="\+#,##0.0;\-#,##0.0;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WenQuanYi Zen Hei"/>
      <family val="2"/>
    </font>
    <font>
      <b val="true"/>
      <sz val="14"/>
      <color rgb="FFFFFFFF"/>
      <name val="Malgun Gothic"/>
      <family val="0"/>
      <charset val="1"/>
    </font>
    <font>
      <sz val="9"/>
      <color rgb="FF595959"/>
      <name val="Malgun Gothic"/>
      <family val="0"/>
      <charset val="1"/>
    </font>
    <font>
      <sz val="9"/>
      <color rgb="FF595959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Malgun Gothic"/>
      <family val="0"/>
      <charset val="1"/>
    </font>
    <font>
      <b val="true"/>
      <sz val="10"/>
      <name val="Malgun Gothic"/>
      <family val="0"/>
      <charset val="1"/>
    </font>
    <font>
      <sz val="10"/>
      <color rgb="FF007A33"/>
      <name val="Malgun Gothic"/>
      <family val="0"/>
      <charset val="1"/>
    </font>
    <font>
      <b val="true"/>
      <sz val="10"/>
      <color rgb="FFFFFFFF"/>
      <name val="Malgun Gothic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Malgun Gothic"/>
      <family val="0"/>
      <charset val="1"/>
    </font>
    <font>
      <sz val="10"/>
      <color rgb="FF0000FF"/>
      <name val="WenQuanYi Zen Hei"/>
      <family val="2"/>
    </font>
    <font>
      <sz val="10"/>
      <color rgb="FF007A33"/>
      <name val="WenQuanYi Zen Hei"/>
      <family val="2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2F5496"/>
        <bgColor rgb="FF1F3864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4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7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9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4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5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6" fontId="15" fillId="0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0" fontId="15" fillId="6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71" fontId="15" fillId="4" borderId="1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15" fillId="4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Malgun Gothic"/>
        <charset val="1"/>
        <family val="0"/>
        <b val="1"/>
        <color rgb="FFC00000"/>
      </font>
    </dxf>
    <dxf>
      <font>
        <name val="Malgun Gothic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5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8" hidden="false" customHeight="true" outlineLevel="0" collapsed="false">
      <c r="A3" s="3" t="s">
        <v>2</v>
      </c>
      <c r="B3" s="4" t="s">
        <v>3</v>
      </c>
      <c r="C3" s="4"/>
      <c r="D3" s="4"/>
      <c r="E3" s="5" t="s">
        <v>4</v>
      </c>
      <c r="F3" s="5" t="s">
        <v>5</v>
      </c>
      <c r="G3" s="5" t="s">
        <v>6</v>
      </c>
    </row>
    <row r="4" customFormat="false" ht="19.5" hidden="false" customHeight="true" outlineLevel="0" collapsed="false">
      <c r="A4" s="6" t="s">
        <v>7</v>
      </c>
      <c r="B4" s="7" t="s">
        <v>8</v>
      </c>
      <c r="C4" s="7"/>
      <c r="D4" s="7"/>
      <c r="E4" s="8"/>
      <c r="F4" s="8"/>
      <c r="G4" s="8"/>
    </row>
    <row r="5" customFormat="false" ht="30" hidden="false" customHeight="true" outlineLevel="0" collapsed="false">
      <c r="A5" s="3" t="s">
        <v>9</v>
      </c>
      <c r="B5" s="9" t="s">
        <v>10</v>
      </c>
      <c r="C5" s="9"/>
      <c r="D5" s="9"/>
      <c r="E5" s="8"/>
      <c r="F5" s="8"/>
      <c r="G5" s="8"/>
    </row>
    <row r="6" customFormat="false" ht="15" hidden="false" customHeight="false" outlineLevel="0" collapsed="false">
      <c r="A6" s="6" t="s">
        <v>11</v>
      </c>
      <c r="B6" s="10" t="str">
        <f aca="false">COUNTIF(입력!G6:G54,"확인완료")&amp;" / 45 항목 확인완료"</f>
        <v>5 / 45 항목 확인완료</v>
      </c>
      <c r="C6" s="10"/>
      <c r="D6" s="10"/>
    </row>
    <row r="7" customFormat="false" ht="15" hidden="false" customHeight="false" outlineLevel="0" collapsed="false">
      <c r="A7" s="3" t="s">
        <v>12</v>
      </c>
      <c r="B7" s="8"/>
      <c r="C7" s="8"/>
      <c r="D7" s="8"/>
      <c r="E7" s="3" t="s">
        <v>13</v>
      </c>
      <c r="F7" s="10" t="str">
        <f aca="false">IF(입력!C55="","(미입력)",입력!C55)</f>
        <v>(미입력)</v>
      </c>
      <c r="G7" s="10"/>
    </row>
    <row r="8" customFormat="false" ht="15" hidden="false" customHeight="false" outlineLevel="0" collapsed="false">
      <c r="A8" s="11" t="s">
        <v>14</v>
      </c>
    </row>
    <row r="9" customFormat="false" ht="27.75" hidden="false" customHeight="true" outlineLevel="0" collapsed="false">
      <c r="A9" s="5" t="s">
        <v>15</v>
      </c>
      <c r="B9" s="5" t="s">
        <v>16</v>
      </c>
      <c r="C9" s="12" t="s">
        <v>17</v>
      </c>
      <c r="D9" s="12" t="s">
        <v>18</v>
      </c>
      <c r="E9" s="5" t="s">
        <v>19</v>
      </c>
      <c r="F9" s="5" t="s">
        <v>20</v>
      </c>
      <c r="G9" s="5" t="s">
        <v>21</v>
      </c>
    </row>
    <row r="10" customFormat="false" ht="15" hidden="false" customHeight="false" outlineLevel="0" collapsed="false">
      <c r="A10" s="13" t="s">
        <v>22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15" t="s">
        <v>23</v>
      </c>
      <c r="B11" s="16" t="s">
        <v>24</v>
      </c>
      <c r="C11" s="17" t="n">
        <f aca="false">PI()*(입력!C24-입력!C25)*입력!C25*입력!C26*입력!C23/1000000</f>
        <v>0.324661605578691</v>
      </c>
      <c r="D11" s="17" t="str">
        <f aca="false">IF(입력!$D$57&lt;&gt;"완료","입력 필요",PI()*(입력!D24-입력!D25)*입력!D25*입력!D26*입력!D23/1000000)</f>
        <v>입력 필요</v>
      </c>
      <c r="E11" s="18" t="str">
        <f aca="false">IF(ISNUMBER(D11),D11-C11,"")</f>
        <v/>
      </c>
      <c r="F11" s="19" t="str">
        <f aca="false">IF(NOT(ISNUMBER(D11)),"",IF(C11=0,"-",D11/C11-1))</f>
        <v/>
      </c>
      <c r="G11" s="16" t="s">
        <v>25</v>
      </c>
    </row>
    <row r="12" customFormat="false" ht="15" hidden="false" customHeight="false" outlineLevel="0" collapsed="false">
      <c r="A12" s="15" t="s">
        <v>26</v>
      </c>
      <c r="B12" s="16" t="s">
        <v>24</v>
      </c>
      <c r="C12" s="17" t="n">
        <f aca="false">PI()*(입력!C24-입력!C25)*입력!C25*입력!C27*입력!C23/1000000</f>
        <v>0.235099783350087</v>
      </c>
      <c r="D12" s="17" t="str">
        <f aca="false">IF(입력!$D$57&lt;&gt;"완료","입력 필요",PI()*(입력!D24-입력!D25)*입력!D25*입력!D27*입력!D23/1000000)</f>
        <v>입력 필요</v>
      </c>
      <c r="E12" s="18" t="str">
        <f aca="false">IF(ISNUMBER(D12),D12-C12,"")</f>
        <v/>
      </c>
      <c r="F12" s="19" t="str">
        <f aca="false">IF(NOT(ISNUMBER(D12)),"",IF(C12=0,"-",D12/C12-1))</f>
        <v/>
      </c>
      <c r="G12" s="16"/>
    </row>
    <row r="13" customFormat="false" ht="15" hidden="false" customHeight="false" outlineLevel="0" collapsed="false">
      <c r="A13" s="15" t="s">
        <v>27</v>
      </c>
      <c r="B13" s="20" t="s">
        <v>28</v>
      </c>
      <c r="C13" s="18" t="n">
        <f aca="false">(C11+C12)*입력!C22*(1+입력!C28)</f>
        <v>2910.75922242965</v>
      </c>
      <c r="D13" s="18" t="str">
        <f aca="false">IF(입력!$D$57&lt;&gt;"완료","입력 필요",(D11+D12)*입력!D22*(1+입력!D28))</f>
        <v>입력 필요</v>
      </c>
      <c r="E13" s="18" t="str">
        <f aca="false">IF(ISNUMBER(D13),D13-C13,"")</f>
        <v/>
      </c>
      <c r="F13" s="19" t="str">
        <f aca="false">IF(NOT(ISNUMBER(D13)),"",IF(C13=0,"-",D13/C13-1))</f>
        <v/>
      </c>
      <c r="G13" s="20" t="s">
        <v>29</v>
      </c>
    </row>
    <row r="14" customFormat="false" ht="15" hidden="false" customHeight="false" outlineLevel="0" collapsed="false">
      <c r="A14" s="15" t="s">
        <v>30</v>
      </c>
      <c r="B14" s="20" t="s">
        <v>28</v>
      </c>
      <c r="C14" s="21" t="n">
        <f aca="false">입력!C30*입력!C31</f>
        <v>1600</v>
      </c>
      <c r="D14" s="21" t="str">
        <f aca="false">IF(입력!$D$57&lt;&gt;"완료","입력 필요",입력!D30*입력!D31)</f>
        <v>입력 필요</v>
      </c>
      <c r="E14" s="18" t="str">
        <f aca="false">IF(ISNUMBER(D14),D14-C14,"")</f>
        <v/>
      </c>
      <c r="F14" s="19" t="str">
        <f aca="false">IF(NOT(ISNUMBER(D14)),"",IF(C14=0,"-",D14/C14-1))</f>
        <v/>
      </c>
      <c r="G14" s="16"/>
    </row>
    <row r="15" customFormat="false" ht="15" hidden="false" customHeight="false" outlineLevel="0" collapsed="false">
      <c r="A15" s="15" t="s">
        <v>31</v>
      </c>
      <c r="B15" s="20" t="s">
        <v>28</v>
      </c>
      <c r="C15" s="21" t="n">
        <f aca="false">입력!C32*입력!C33</f>
        <v>600</v>
      </c>
      <c r="D15" s="21" t="str">
        <f aca="false">IF(입력!$D$57&lt;&gt;"완료","입력 필요",입력!D32*입력!D33)</f>
        <v>입력 필요</v>
      </c>
      <c r="E15" s="18" t="str">
        <f aca="false">IF(ISNUMBER(D15),D15-C15,"")</f>
        <v/>
      </c>
      <c r="F15" s="19" t="str">
        <f aca="false">IF(NOT(ISNUMBER(D15)),"",IF(C15=0,"-",D15/C15-1))</f>
        <v/>
      </c>
      <c r="G15" s="16"/>
    </row>
    <row r="16" customFormat="false" ht="15" hidden="false" customHeight="false" outlineLevel="0" collapsed="false">
      <c r="A16" s="15" t="s">
        <v>32</v>
      </c>
      <c r="B16" s="20" t="s">
        <v>28</v>
      </c>
      <c r="C16" s="21" t="n">
        <f aca="false">입력!C34*입력!C35</f>
        <v>3</v>
      </c>
      <c r="D16" s="21" t="str">
        <f aca="false">IF(입력!$D$57&lt;&gt;"완료","입력 필요",입력!D34*입력!D35)</f>
        <v>입력 필요</v>
      </c>
      <c r="E16" s="18" t="str">
        <f aca="false">IF(ISNUMBER(D16),D16-C16,"")</f>
        <v/>
      </c>
      <c r="F16" s="19" t="str">
        <f aca="false">IF(NOT(ISNUMBER(D16)),"",IF(C16=0,"-",D16/C16-1))</f>
        <v/>
      </c>
      <c r="G16" s="16"/>
    </row>
    <row r="17" customFormat="false" ht="15" hidden="false" customHeight="false" outlineLevel="0" collapsed="false">
      <c r="A17" s="15" t="s">
        <v>33</v>
      </c>
      <c r="B17" s="20" t="s">
        <v>28</v>
      </c>
      <c r="C17" s="21" t="n">
        <f aca="false">입력!C36/입력!C37</f>
        <v>120</v>
      </c>
      <c r="D17" s="21" t="str">
        <f aca="false">IF(입력!$D$57&lt;&gt;"완료","입력 필요",입력!D36/입력!D37)</f>
        <v>입력 필요</v>
      </c>
      <c r="E17" s="18" t="str">
        <f aca="false">IF(ISNUMBER(D17),D17-C17,"")</f>
        <v/>
      </c>
      <c r="F17" s="19" t="str">
        <f aca="false">IF(NOT(ISNUMBER(D17)),"",IF(C17=0,"-",D17/C17-1))</f>
        <v/>
      </c>
      <c r="G17" s="20" t="s">
        <v>34</v>
      </c>
    </row>
    <row r="18" customFormat="false" ht="15" hidden="false" customHeight="false" outlineLevel="0" collapsed="false">
      <c r="A18" s="15" t="s">
        <v>35</v>
      </c>
      <c r="B18" s="20" t="s">
        <v>28</v>
      </c>
      <c r="C18" s="21" t="n">
        <f aca="false">입력!C38*입력!C39</f>
        <v>16</v>
      </c>
      <c r="D18" s="21" t="str">
        <f aca="false">IF(입력!$D$57&lt;&gt;"완료","입력 필요",입력!D38*입력!D39)</f>
        <v>입력 필요</v>
      </c>
      <c r="E18" s="18" t="str">
        <f aca="false">IF(ISNUMBER(D18),D18-C18,"")</f>
        <v/>
      </c>
      <c r="F18" s="19" t="str">
        <f aca="false">IF(NOT(ISNUMBER(D18)),"",IF(C18=0,"-",D18/C18-1))</f>
        <v/>
      </c>
      <c r="G18" s="16"/>
    </row>
    <row r="19" customFormat="false" ht="15" hidden="false" customHeight="false" outlineLevel="0" collapsed="false">
      <c r="A19" s="22" t="s">
        <v>36</v>
      </c>
      <c r="B19" s="22" t="s">
        <v>28</v>
      </c>
      <c r="C19" s="23" t="n">
        <f aca="false">C14+C15+C16+C17+C18</f>
        <v>2339</v>
      </c>
      <c r="D19" s="23" t="str">
        <f aca="false">IF(입력!$D$57&lt;&gt;"완료","입력 필요",D14+D15+D16+D17+D18)</f>
        <v>입력 필요</v>
      </c>
      <c r="E19" s="23" t="str">
        <f aca="false">IF(ISNUMBER(D19),D19-C19,"")</f>
        <v/>
      </c>
      <c r="F19" s="24" t="str">
        <f aca="false">IF(NOT(ISNUMBER(D19)),"",IF(C19=0,"-",D19/C19-1))</f>
        <v/>
      </c>
      <c r="G19" s="16"/>
    </row>
    <row r="20" customFormat="false" ht="15" hidden="false" customHeight="false" outlineLevel="0" collapsed="false">
      <c r="A20" s="25" t="s">
        <v>37</v>
      </c>
      <c r="B20" s="25" t="s">
        <v>28</v>
      </c>
      <c r="C20" s="26" t="n">
        <f aca="false">C13+C19</f>
        <v>5249.75922242965</v>
      </c>
      <c r="D20" s="26" t="str">
        <f aca="false">IF(입력!$D$57&lt;&gt;"완료","입력 필요",D13+D19)</f>
        <v>입력 필요</v>
      </c>
      <c r="E20" s="26" t="str">
        <f aca="false">IF(ISNUMBER(D20),D20-C20,"")</f>
        <v/>
      </c>
      <c r="F20" s="27" t="str">
        <f aca="false">IF(NOT(ISNUMBER(D20)),"",IF(C20=0,"-",D20/C20-1))</f>
        <v/>
      </c>
      <c r="G20" s="28" t="s">
        <v>38</v>
      </c>
    </row>
    <row r="21" customFormat="false" ht="15" hidden="false" customHeight="false" outlineLevel="0" collapsed="false">
      <c r="A21" s="13" t="s">
        <v>39</v>
      </c>
      <c r="B21" s="14"/>
      <c r="C21" s="14"/>
      <c r="D21" s="14"/>
      <c r="E21" s="14"/>
      <c r="F21" s="14"/>
      <c r="G21" s="14"/>
    </row>
    <row r="22" customFormat="false" ht="15" hidden="false" customHeight="false" outlineLevel="0" collapsed="false">
      <c r="A22" s="15" t="s">
        <v>40</v>
      </c>
      <c r="B22" s="20" t="s">
        <v>28</v>
      </c>
      <c r="C22" s="21" t="n">
        <f aca="false">CT계산!C32</f>
        <v>232.727272727273</v>
      </c>
      <c r="D22" s="21" t="str">
        <f aca="false">IF(입력!$D$57&lt;&gt;"완료","입력 필요",CT계산!D32)</f>
        <v>입력 필요</v>
      </c>
      <c r="E22" s="18" t="str">
        <f aca="false">IF(ISNUMBER(D22),D22-C22,"")</f>
        <v/>
      </c>
      <c r="F22" s="19" t="str">
        <f aca="false">IF(NOT(ISNUMBER(D22)),"",IF(C22=0,"-",D22/C22-1))</f>
        <v/>
      </c>
      <c r="G22" s="16" t="s">
        <v>41</v>
      </c>
    </row>
    <row r="23" customFormat="false" ht="15" hidden="false" customHeight="false" outlineLevel="0" collapsed="false">
      <c r="A23" s="15" t="s">
        <v>42</v>
      </c>
      <c r="B23" s="20" t="s">
        <v>28</v>
      </c>
      <c r="C23" s="21" t="n">
        <f aca="false">CT계산!C33</f>
        <v>232.727272727273</v>
      </c>
      <c r="D23" s="21" t="str">
        <f aca="false">IF(입력!$D$57&lt;&gt;"완료","입력 필요",CT계산!D33)</f>
        <v>입력 필요</v>
      </c>
      <c r="E23" s="18" t="str">
        <f aca="false">IF(ISNUMBER(D23),D23-C23,"")</f>
        <v/>
      </c>
      <c r="F23" s="19" t="str">
        <f aca="false">IF(NOT(ISNUMBER(D23)),"",IF(C23=0,"-",D23/C23-1))</f>
        <v/>
      </c>
      <c r="G23" s="16" t="s">
        <v>41</v>
      </c>
    </row>
    <row r="24" customFormat="false" ht="15" hidden="false" customHeight="false" outlineLevel="0" collapsed="false">
      <c r="A24" s="22" t="s">
        <v>43</v>
      </c>
      <c r="B24" s="22" t="s">
        <v>28</v>
      </c>
      <c r="C24" s="23" t="n">
        <f aca="false">C22+C23</f>
        <v>465.454545454545</v>
      </c>
      <c r="D24" s="23" t="str">
        <f aca="false">IF(입력!$D$57&lt;&gt;"완료","입력 필요",D22+D23)</f>
        <v>입력 필요</v>
      </c>
      <c r="E24" s="23" t="str">
        <f aca="false">IF(ISNUMBER(D24),D24-C24,"")</f>
        <v/>
      </c>
      <c r="F24" s="24" t="str">
        <f aca="false">IF(NOT(ISNUMBER(D24)),"",IF(C24=0,"-",D24/C24-1))</f>
        <v/>
      </c>
      <c r="G24" s="16"/>
    </row>
    <row r="25" customFormat="false" ht="15" hidden="false" customHeight="false" outlineLevel="0" collapsed="false">
      <c r="A25" s="15" t="s">
        <v>44</v>
      </c>
      <c r="B25" s="20" t="s">
        <v>28</v>
      </c>
      <c r="C25" s="21" t="n">
        <f aca="false">입력!C44</f>
        <v>80</v>
      </c>
      <c r="D25" s="21" t="str">
        <f aca="false">IF(입력!$D$57&lt;&gt;"완료","입력 필요",입력!D44)</f>
        <v>입력 필요</v>
      </c>
      <c r="E25" s="18" t="str">
        <f aca="false">IF(ISNUMBER(D25),D25-C25,"")</f>
        <v/>
      </c>
      <c r="F25" s="19" t="str">
        <f aca="false">IF(NOT(ISNUMBER(D25)),"",IF(C25=0,"-",D25/C25-1))</f>
        <v/>
      </c>
      <c r="G25" s="16"/>
    </row>
    <row r="26" customFormat="false" ht="15" hidden="false" customHeight="false" outlineLevel="0" collapsed="false">
      <c r="A26" s="15" t="s">
        <v>45</v>
      </c>
      <c r="B26" s="20" t="s">
        <v>28</v>
      </c>
      <c r="C26" s="21" t="n">
        <f aca="false">입력!C45</f>
        <v>0</v>
      </c>
      <c r="D26" s="21" t="str">
        <f aca="false">IF(입력!$D$57&lt;&gt;"완료","입력 필요",입력!D45)</f>
        <v>입력 필요</v>
      </c>
      <c r="E26" s="18" t="str">
        <f aca="false">IF(ISNUMBER(D26),D26-C26,"")</f>
        <v/>
      </c>
      <c r="F26" s="19" t="str">
        <f aca="false">IF(NOT(ISNUMBER(D26)),"",IF(C26=0,"-",D26/C26-1))</f>
        <v/>
      </c>
      <c r="G26" s="16"/>
    </row>
    <row r="27" customFormat="false" ht="15" hidden="false" customHeight="false" outlineLevel="0" collapsed="false">
      <c r="A27" s="15" t="s">
        <v>46</v>
      </c>
      <c r="B27" s="20" t="s">
        <v>28</v>
      </c>
      <c r="C27" s="21" t="n">
        <f aca="false">입력!C46</f>
        <v>0</v>
      </c>
      <c r="D27" s="21" t="str">
        <f aca="false">IF(입력!$D$57&lt;&gt;"완료","입력 필요",입력!D46)</f>
        <v>입력 필요</v>
      </c>
      <c r="E27" s="18" t="str">
        <f aca="false">IF(ISNUMBER(D27),D27-C27,"")</f>
        <v/>
      </c>
      <c r="F27" s="19" t="str">
        <f aca="false">IF(NOT(ISNUMBER(D27)),"",IF(C27=0,"-",D27/C27-1))</f>
        <v/>
      </c>
      <c r="G27" s="16"/>
    </row>
    <row r="28" customFormat="false" ht="15" hidden="false" customHeight="false" outlineLevel="0" collapsed="false">
      <c r="A28" s="15" t="s">
        <v>47</v>
      </c>
      <c r="B28" s="20" t="s">
        <v>28</v>
      </c>
      <c r="C28" s="21" t="n">
        <f aca="false">입력!C47</f>
        <v>0</v>
      </c>
      <c r="D28" s="21" t="str">
        <f aca="false">IF(입력!$D$57&lt;&gt;"완료","입력 필요",입력!D47)</f>
        <v>입력 필요</v>
      </c>
      <c r="E28" s="18" t="str">
        <f aca="false">IF(ISNUMBER(D28),D28-C28,"")</f>
        <v/>
      </c>
      <c r="F28" s="19" t="str">
        <f aca="false">IF(NOT(ISNUMBER(D28)),"",IF(C28=0,"-",D28/C28-1))</f>
        <v/>
      </c>
      <c r="G28" s="16"/>
    </row>
    <row r="29" customFormat="false" ht="15" hidden="false" customHeight="false" outlineLevel="0" collapsed="false">
      <c r="A29" s="15" t="s">
        <v>48</v>
      </c>
      <c r="B29" s="20" t="s">
        <v>28</v>
      </c>
      <c r="C29" s="21" t="n">
        <f aca="false">입력!C48</f>
        <v>0</v>
      </c>
      <c r="D29" s="21" t="str">
        <f aca="false">IF(입력!$D$57&lt;&gt;"완료","입력 필요",입력!D48)</f>
        <v>입력 필요</v>
      </c>
      <c r="E29" s="18" t="str">
        <f aca="false">IF(ISNUMBER(D29),D29-C29,"")</f>
        <v/>
      </c>
      <c r="F29" s="19" t="str">
        <f aca="false">IF(NOT(ISNUMBER(D29)),"",IF(C29=0,"-",D29/C29-1))</f>
        <v/>
      </c>
      <c r="G29" s="16"/>
    </row>
    <row r="30" customFormat="false" ht="15" hidden="false" customHeight="false" outlineLevel="0" collapsed="false">
      <c r="A30" s="15" t="s">
        <v>49</v>
      </c>
      <c r="B30" s="20" t="s">
        <v>28</v>
      </c>
      <c r="C30" s="21" t="n">
        <f aca="false">입력!C49</f>
        <v>0</v>
      </c>
      <c r="D30" s="21" t="str">
        <f aca="false">IF(입력!$D$57&lt;&gt;"완료","입력 필요",입력!D49)</f>
        <v>입력 필요</v>
      </c>
      <c r="E30" s="18" t="str">
        <f aca="false">IF(ISNUMBER(D30),D30-C30,"")</f>
        <v/>
      </c>
      <c r="F30" s="19" t="str">
        <f aca="false">IF(NOT(ISNUMBER(D30)),"",IF(C30=0,"-",D30/C30-1))</f>
        <v/>
      </c>
      <c r="G30" s="16"/>
    </row>
    <row r="31" customFormat="false" ht="15" hidden="false" customHeight="false" outlineLevel="0" collapsed="false">
      <c r="A31" s="22" t="s">
        <v>50</v>
      </c>
      <c r="B31" s="22" t="s">
        <v>28</v>
      </c>
      <c r="C31" s="23" t="n">
        <f aca="false">C25+C26+C27+C28+C29+C30</f>
        <v>80</v>
      </c>
      <c r="D31" s="23" t="str">
        <f aca="false">IF(입력!$D$57&lt;&gt;"완료","입력 필요",D25+D26+D27+D28+D29+D30)</f>
        <v>입력 필요</v>
      </c>
      <c r="E31" s="23" t="str">
        <f aca="false">IF(ISNUMBER(D31),D31-C31,"")</f>
        <v/>
      </c>
      <c r="F31" s="24" t="str">
        <f aca="false">IF(NOT(ISNUMBER(D31)),"",IF(C31=0,"-",D31/C31-1))</f>
        <v/>
      </c>
      <c r="G31" s="16"/>
    </row>
    <row r="32" customFormat="false" ht="15" hidden="false" customHeight="false" outlineLevel="0" collapsed="false">
      <c r="A32" s="25" t="s">
        <v>51</v>
      </c>
      <c r="B32" s="25" t="s">
        <v>28</v>
      </c>
      <c r="C32" s="26" t="n">
        <f aca="false">C24+C31</f>
        <v>545.454545454546</v>
      </c>
      <c r="D32" s="26" t="str">
        <f aca="false">IF(입력!$D$57&lt;&gt;"완료","입력 필요",D24+D31)</f>
        <v>입력 필요</v>
      </c>
      <c r="E32" s="26" t="str">
        <f aca="false">IF(ISNUMBER(D32),D32-C32,"")</f>
        <v/>
      </c>
      <c r="F32" s="27" t="str">
        <f aca="false">IF(NOT(ISNUMBER(D32)),"",IF(C32=0,"-",D32/C32-1))</f>
        <v/>
      </c>
      <c r="G32" s="29" t="s">
        <v>52</v>
      </c>
    </row>
    <row r="33" customFormat="false" ht="15" hidden="false" customHeight="false" outlineLevel="0" collapsed="false">
      <c r="A33" s="13" t="s">
        <v>53</v>
      </c>
      <c r="B33" s="14"/>
      <c r="C33" s="14"/>
      <c r="D33" s="14"/>
      <c r="E33" s="14"/>
      <c r="F33" s="14"/>
      <c r="G33" s="14"/>
    </row>
    <row r="34" customFormat="false" ht="15" hidden="false" customHeight="false" outlineLevel="0" collapsed="false">
      <c r="A34" s="25" t="s">
        <v>54</v>
      </c>
      <c r="B34" s="25" t="s">
        <v>28</v>
      </c>
      <c r="C34" s="26" t="n">
        <f aca="false">C20+C32</f>
        <v>5795.21376788419</v>
      </c>
      <c r="D34" s="26" t="str">
        <f aca="false">IF(입력!$D$57&lt;&gt;"완료","입력 필요",D20+D32)</f>
        <v>입력 필요</v>
      </c>
      <c r="E34" s="26" t="str">
        <f aca="false">IF(ISNUMBER(D34),D34-C34,"")</f>
        <v/>
      </c>
      <c r="F34" s="27" t="str">
        <f aca="false">IF(NOT(ISNUMBER(D34)),"",IF(C34=0,"-",D34/C34-1))</f>
        <v/>
      </c>
      <c r="G34" s="29" t="s">
        <v>55</v>
      </c>
    </row>
    <row r="35" customFormat="false" ht="15" hidden="false" customHeight="false" outlineLevel="0" collapsed="false">
      <c r="A35" s="25" t="s">
        <v>56</v>
      </c>
      <c r="B35" s="25" t="s">
        <v>28</v>
      </c>
      <c r="C35" s="26" t="n">
        <f aca="false">C20/(1-입력!C50)+C32</f>
        <v>5795.21376788419</v>
      </c>
      <c r="D35" s="26" t="str">
        <f aca="false">IF(입력!$D$57&lt;&gt;"완료","입력 필요",D20/(1-입력!D50)+D32)</f>
        <v>입력 필요</v>
      </c>
      <c r="E35" s="26" t="str">
        <f aca="false">IF(ISNUMBER(D35),D35-C35,"")</f>
        <v/>
      </c>
      <c r="F35" s="27" t="str">
        <f aca="false">IF(NOT(ISNUMBER(D35)),"",IF(C35=0,"-",D35/C35-1))</f>
        <v/>
      </c>
      <c r="G35" s="28" t="s">
        <v>57</v>
      </c>
    </row>
    <row r="36" customFormat="false" ht="15" hidden="false" customHeight="false" outlineLevel="0" collapsed="false">
      <c r="A36" s="15" t="s">
        <v>58</v>
      </c>
      <c r="B36" s="20" t="s">
        <v>28</v>
      </c>
      <c r="C36" s="18" t="n">
        <f aca="false">C35*입력!C52</f>
        <v>637.473514467261</v>
      </c>
      <c r="D36" s="18" t="str">
        <f aca="false">IF(입력!$D$57&lt;&gt;"완료","입력 필요",D35*입력!D52)</f>
        <v>입력 필요</v>
      </c>
      <c r="E36" s="18" t="str">
        <f aca="false">IF(ISNUMBER(D36),D36-C36,"")</f>
        <v/>
      </c>
      <c r="F36" s="19" t="str">
        <f aca="false">IF(NOT(ISNUMBER(D36)),"",IF(C36=0,"-",D36/C36-1))</f>
        <v/>
      </c>
      <c r="G36" s="20" t="s">
        <v>59</v>
      </c>
    </row>
    <row r="37" customFormat="false" ht="15" hidden="false" customHeight="false" outlineLevel="0" collapsed="false">
      <c r="A37" s="25" t="s">
        <v>60</v>
      </c>
      <c r="B37" s="25" t="s">
        <v>28</v>
      </c>
      <c r="C37" s="26" t="n">
        <f aca="false">C35+C36</f>
        <v>6432.68728235145</v>
      </c>
      <c r="D37" s="26" t="str">
        <f aca="false">IF(입력!$D$57&lt;&gt;"완료","입력 필요",D35+D36)</f>
        <v>입력 필요</v>
      </c>
      <c r="E37" s="26" t="str">
        <f aca="false">IF(ISNUMBER(D37),D37-C37,"")</f>
        <v/>
      </c>
      <c r="F37" s="27" t="str">
        <f aca="false">IF(NOT(ISNUMBER(D37)),"",IF(C37=0,"-",D37/C37-1))</f>
        <v/>
      </c>
      <c r="G37" s="29"/>
    </row>
    <row r="38" customFormat="false" ht="15" hidden="false" customHeight="false" outlineLevel="0" collapsed="false">
      <c r="A38" s="15" t="s">
        <v>61</v>
      </c>
      <c r="B38" s="20" t="s">
        <v>28</v>
      </c>
      <c r="C38" s="18" t="n">
        <f aca="false">C37*입력!C54</f>
        <v>643.268728235145</v>
      </c>
      <c r="D38" s="18" t="str">
        <f aca="false">IF(입력!$D$57&lt;&gt;"완료","입력 필요",D37*입력!D54)</f>
        <v>입력 필요</v>
      </c>
      <c r="E38" s="18" t="str">
        <f aca="false">IF(ISNUMBER(D38),D38-C38,"")</f>
        <v/>
      </c>
      <c r="F38" s="19" t="str">
        <f aca="false">IF(NOT(ISNUMBER(D38)),"",IF(C38=0,"-",D38/C38-1))</f>
        <v/>
      </c>
      <c r="G38" s="16"/>
    </row>
    <row r="39" customFormat="false" ht="15" hidden="false" customHeight="false" outlineLevel="0" collapsed="false">
      <c r="A39" s="15" t="s">
        <v>62</v>
      </c>
      <c r="B39" s="20" t="s">
        <v>28</v>
      </c>
      <c r="C39" s="18" t="n">
        <f aca="false">C37+C38</f>
        <v>7075.9560105866</v>
      </c>
      <c r="D39" s="18" t="str">
        <f aca="false">IF(입력!$D$57&lt;&gt;"완료","입력 필요",D37+D38)</f>
        <v>입력 필요</v>
      </c>
      <c r="E39" s="18" t="str">
        <f aca="false">IF(ISNUMBER(D39),D39-C39,"")</f>
        <v/>
      </c>
      <c r="F39" s="19" t="str">
        <f aca="false">IF(NOT(ISNUMBER(D39)),"",IF(C39=0,"-",D39/C39-1))</f>
        <v/>
      </c>
      <c r="G39" s="16"/>
    </row>
    <row r="40" customFormat="false" ht="15" hidden="false" customHeight="false" outlineLevel="0" collapsed="false">
      <c r="A40" s="15" t="s">
        <v>63</v>
      </c>
      <c r="B40" s="16" t="s">
        <v>64</v>
      </c>
      <c r="C40" s="30" t="n">
        <f aca="false">C36/C37</f>
        <v>0.0990990990990991</v>
      </c>
      <c r="D40" s="30" t="str">
        <f aca="false">IF(입력!$D$57&lt;&gt;"완료","입력 필요",D36/D37)</f>
        <v>입력 필요</v>
      </c>
      <c r="E40" s="19" t="str">
        <f aca="false">IF(ISNUMBER(D40),D40-C40,"")</f>
        <v/>
      </c>
      <c r="F40" s="31"/>
      <c r="G40" s="16" t="s">
        <v>65</v>
      </c>
    </row>
    <row r="41" customFormat="false" ht="15" hidden="false" customHeight="false" outlineLevel="0" collapsed="false">
      <c r="A41" s="15" t="s">
        <v>66</v>
      </c>
      <c r="B41" s="20" t="s">
        <v>28</v>
      </c>
      <c r="C41" s="18" t="n">
        <f aca="false">IF(입력!C53="","목표이익률 입력 필요",C35/(1-입력!C53))</f>
        <v>6511.4761436901</v>
      </c>
      <c r="D41" s="18" t="str">
        <f aca="false">IF(입력!$D$57&lt;&gt;"완료","입력 필요",IF(입력!D53="","목표이익률 입력 필요",D35/(1-입력!D53)))</f>
        <v>입력 필요</v>
      </c>
      <c r="E41" s="18" t="str">
        <f aca="false">IF(ISNUMBER(D41),D41-C41,"")</f>
        <v/>
      </c>
      <c r="F41" s="19" t="str">
        <f aca="false">IF(NOT(ISNUMBER(D41)),"",IF(C41=0,"-",D41/C41-1))</f>
        <v/>
      </c>
      <c r="G41" s="20" t="s">
        <v>67</v>
      </c>
    </row>
    <row r="42" customFormat="false" ht="15" hidden="false" customHeight="false" outlineLevel="0" collapsed="false">
      <c r="A42" s="15" t="s">
        <v>68</v>
      </c>
      <c r="B42" s="20" t="s">
        <v>28</v>
      </c>
      <c r="C42" s="18" t="n">
        <f aca="false">IF(ISNUMBER(C41),C41-C37,"")</f>
        <v>78.7888613386504</v>
      </c>
      <c r="D42" s="18" t="str">
        <f aca="false">IF(입력!$D$57&lt;&gt;"완료","입력 필요",IF(ISNUMBER(D41),D41-D37,""))</f>
        <v>입력 필요</v>
      </c>
      <c r="E42" s="18" t="str">
        <f aca="false">IF(ISNUMBER(D42),D42-C42,"")</f>
        <v/>
      </c>
      <c r="F42" s="19" t="str">
        <f aca="false">IF(NOT(ISNUMBER(D42)),"",IF(C42=0,"-",D42/C42-1))</f>
        <v/>
      </c>
      <c r="G42" s="16" t="s">
        <v>69</v>
      </c>
    </row>
    <row r="43" customFormat="false" ht="15" hidden="false" customHeight="false" outlineLevel="0" collapsed="false">
      <c r="A43" s="13" t="s">
        <v>70</v>
      </c>
      <c r="B43" s="14"/>
      <c r="C43" s="14"/>
      <c r="D43" s="14"/>
      <c r="E43" s="14"/>
      <c r="F43" s="14"/>
      <c r="G43" s="14"/>
    </row>
    <row r="44" customFormat="false" ht="15" hidden="false" customHeight="false" outlineLevel="0" collapsed="false">
      <c r="A44" s="15" t="s">
        <v>37</v>
      </c>
      <c r="B44" s="16" t="s">
        <v>64</v>
      </c>
      <c r="C44" s="19" t="n">
        <f aca="false">C20/C37</f>
        <v>0.816106705020893</v>
      </c>
      <c r="D44" s="19" t="str">
        <f aca="false">IF(입력!$D$57&lt;&gt;"완료","입력 필요",D20/D37)</f>
        <v>입력 필요</v>
      </c>
      <c r="E44" s="19" t="str">
        <f aca="false">IF(ISNUMBER(D44),D44-C44,"")</f>
        <v/>
      </c>
      <c r="F44" s="31"/>
      <c r="G44" s="16"/>
    </row>
    <row r="45" customFormat="false" ht="15" hidden="false" customHeight="false" outlineLevel="0" collapsed="false">
      <c r="A45" s="15" t="s">
        <v>43</v>
      </c>
      <c r="B45" s="16" t="s">
        <v>64</v>
      </c>
      <c r="C45" s="19" t="n">
        <f aca="false">C24/C37</f>
        <v>0.0723577138176068</v>
      </c>
      <c r="D45" s="19" t="str">
        <f aca="false">IF(입력!$D$57&lt;&gt;"완료","입력 필요",D24/D37)</f>
        <v>입력 필요</v>
      </c>
      <c r="E45" s="19" t="str">
        <f aca="false">IF(ISNUMBER(D45),D45-C45,"")</f>
        <v/>
      </c>
      <c r="F45" s="31"/>
      <c r="G45" s="16"/>
    </row>
    <row r="46" customFormat="false" ht="15" hidden="false" customHeight="false" outlineLevel="0" collapsed="false">
      <c r="A46" s="15" t="s">
        <v>50</v>
      </c>
      <c r="B46" s="16" t="s">
        <v>64</v>
      </c>
      <c r="C46" s="19" t="n">
        <f aca="false">C31/C37</f>
        <v>0.0124364820624012</v>
      </c>
      <c r="D46" s="19" t="str">
        <f aca="false">IF(입력!$D$57&lt;&gt;"완료","입력 필요",D31/D37)</f>
        <v>입력 필요</v>
      </c>
      <c r="E46" s="19" t="str">
        <f aca="false">IF(ISNUMBER(D46),D46-C46,"")</f>
        <v/>
      </c>
      <c r="F46" s="31"/>
      <c r="G46" s="16"/>
    </row>
    <row r="47" customFormat="false" ht="15" hidden="false" customHeight="false" outlineLevel="0" collapsed="false">
      <c r="A47" s="15" t="s">
        <v>71</v>
      </c>
      <c r="B47" s="16" t="s">
        <v>64</v>
      </c>
      <c r="C47" s="19" t="n">
        <f aca="false">(C35-C34)/C37</f>
        <v>0</v>
      </c>
      <c r="D47" s="19" t="str">
        <f aca="false">IF(입력!$D$57&lt;&gt;"완료","입력 필요",(D35-D34)/D37)</f>
        <v>입력 필요</v>
      </c>
      <c r="E47" s="19" t="str">
        <f aca="false">IF(ISNUMBER(D47),D47-C47,"")</f>
        <v/>
      </c>
      <c r="F47" s="31"/>
      <c r="G47" s="16"/>
    </row>
    <row r="48" customFormat="false" ht="15" hidden="false" customHeight="false" outlineLevel="0" collapsed="false">
      <c r="A48" s="15" t="s">
        <v>58</v>
      </c>
      <c r="B48" s="16" t="s">
        <v>64</v>
      </c>
      <c r="C48" s="19" t="n">
        <f aca="false">C36/C37</f>
        <v>0.0990990990990991</v>
      </c>
      <c r="D48" s="19" t="str">
        <f aca="false">IF(입력!$D$57&lt;&gt;"완료","입력 필요",D36/D37)</f>
        <v>입력 필요</v>
      </c>
      <c r="E48" s="19" t="str">
        <f aca="false">IF(ISNUMBER(D48),D48-C48,"")</f>
        <v/>
      </c>
      <c r="F48" s="31"/>
      <c r="G48" s="16"/>
    </row>
    <row r="49" customFormat="false" ht="15" hidden="false" customHeight="false" outlineLevel="0" collapsed="false">
      <c r="A49" s="13" t="s">
        <v>72</v>
      </c>
      <c r="B49" s="14"/>
      <c r="C49" s="14"/>
      <c r="D49" s="14"/>
      <c r="E49" s="14"/>
      <c r="F49" s="14"/>
      <c r="G49" s="14"/>
    </row>
    <row r="50" customFormat="false" ht="15" hidden="false" customHeight="false" outlineLevel="0" collapsed="false">
      <c r="A50" s="15" t="s">
        <v>73</v>
      </c>
      <c r="B50" s="20" t="s">
        <v>28</v>
      </c>
      <c r="C50" s="32" t="n">
        <f aca="false">C37*입력!C6</f>
        <v>16081718.2058786</v>
      </c>
      <c r="D50" s="32" t="str">
        <f aca="false">IF(입력!$D$57&lt;&gt;"완료","입력 필요",D37*입력!D6)</f>
        <v>입력 필요</v>
      </c>
      <c r="E50" s="18" t="str">
        <f aca="false">IF(ISNUMBER(D50),D50-C50,"")</f>
        <v/>
      </c>
      <c r="F50" s="19" t="str">
        <f aca="false">IF(NOT(ISNUMBER(D50)),"",IF(C50=0,"-",D50/C50-1))</f>
        <v/>
      </c>
      <c r="G50" s="16"/>
    </row>
    <row r="51" customFormat="false" ht="15" hidden="false" customHeight="false" outlineLevel="0" collapsed="false">
      <c r="A51" s="15" t="s">
        <v>74</v>
      </c>
      <c r="B51" s="20" t="s">
        <v>75</v>
      </c>
      <c r="C51" s="33" t="n">
        <f aca="false">CT계산!C30</f>
        <v>55000</v>
      </c>
      <c r="D51" s="33" t="str">
        <f aca="false">IF(입력!$D$57&lt;&gt;"완료","입력 필요",CT계산!D30)</f>
        <v>입력 필요</v>
      </c>
      <c r="E51" s="18" t="str">
        <f aca="false">IF(ISNUMBER(D51),D51-C51,"")</f>
        <v/>
      </c>
      <c r="F51" s="19" t="str">
        <f aca="false">IF(NOT(ISNUMBER(D51)),"",IF(C51=0,"-",D51/C51-1))</f>
        <v/>
      </c>
      <c r="G51" s="16"/>
    </row>
    <row r="52" customFormat="false" ht="15" hidden="false" customHeight="false" outlineLevel="0" collapsed="false">
      <c r="A52" s="15" t="s">
        <v>76</v>
      </c>
      <c r="B52" s="20" t="s">
        <v>28</v>
      </c>
      <c r="C52" s="32" t="n">
        <f aca="false">C37*C51</f>
        <v>353797800.52933</v>
      </c>
      <c r="D52" s="32" t="str">
        <f aca="false">IF(입력!$D$57&lt;&gt;"완료","입력 필요",D37*D51)</f>
        <v>입력 필요</v>
      </c>
      <c r="E52" s="18" t="str">
        <f aca="false">IF(ISNUMBER(D52),D52-C52,"")</f>
        <v/>
      </c>
      <c r="F52" s="19" t="str">
        <f aca="false">IF(NOT(ISNUMBER(D52)),"",IF(C52=0,"-",D52/C52-1))</f>
        <v/>
      </c>
      <c r="G52" s="20" t="s">
        <v>77</v>
      </c>
    </row>
    <row r="53" customFormat="false" ht="15" hidden="false" customHeight="false" outlineLevel="0" collapsed="false">
      <c r="A53" s="15" t="s">
        <v>78</v>
      </c>
      <c r="B53" s="20" t="s">
        <v>28</v>
      </c>
      <c r="C53" s="32" t="str">
        <f aca="false">IF(C61="전체 충족",C52,"미검증")</f>
        <v>미검증</v>
      </c>
      <c r="D53" s="32" t="str">
        <f aca="false">IF(입력!$D$57&lt;&gt;"완료","입력 필요",IF(D61="전체 충족",D52,"미검증"))</f>
        <v>입력 필요</v>
      </c>
      <c r="E53" s="31"/>
      <c r="F53" s="31"/>
      <c r="G53" s="20" t="s">
        <v>79</v>
      </c>
    </row>
    <row r="54" customFormat="false" ht="15" hidden="false" customHeight="false" outlineLevel="0" collapsed="false">
      <c r="A54" s="15" t="s">
        <v>80</v>
      </c>
      <c r="B54" s="20" t="s">
        <v>28</v>
      </c>
      <c r="C54" s="32" t="n">
        <f aca="false">C36*C51</f>
        <v>35061043.2956994</v>
      </c>
      <c r="D54" s="32" t="str">
        <f aca="false">IF(입력!$D$57&lt;&gt;"완료","입력 필요",D36*D51)</f>
        <v>입력 필요</v>
      </c>
      <c r="E54" s="18" t="str">
        <f aca="false">IF(ISNUMBER(D54),D54-C54,"")</f>
        <v/>
      </c>
      <c r="F54" s="19" t="str">
        <f aca="false">IF(NOT(ISNUMBER(D54)),"",IF(C54=0,"-",D54/C54-1))</f>
        <v/>
      </c>
      <c r="G54" s="16"/>
    </row>
    <row r="55" customFormat="false" ht="15" hidden="false" customHeight="false" outlineLevel="0" collapsed="false">
      <c r="A55" s="13" t="s">
        <v>81</v>
      </c>
      <c r="B55" s="14"/>
      <c r="C55" s="14"/>
      <c r="D55" s="14"/>
      <c r="E55" s="14"/>
      <c r="F55" s="14"/>
      <c r="G55" s="14"/>
    </row>
    <row r="56" customFormat="false" ht="15" hidden="false" customHeight="false" outlineLevel="0" collapsed="false">
      <c r="A56" s="15" t="s">
        <v>82</v>
      </c>
      <c r="B56" s="20" t="s">
        <v>83</v>
      </c>
      <c r="C56" s="34" t="n">
        <f aca="false">CT계산!C19</f>
        <v>4</v>
      </c>
      <c r="D56" s="34" t="str">
        <f aca="false">IF(입력!$D$57&lt;&gt;"완료","입력 필요",CT계산!D19)</f>
        <v>입력 필요</v>
      </c>
      <c r="E56" s="18" t="str">
        <f aca="false">IF(ISNUMBER(D56),D56-C56,"")</f>
        <v/>
      </c>
      <c r="F56" s="19" t="str">
        <f aca="false">IF(NOT(ISNUMBER(D56)),"",IF(C56=0,"-",D56/C56-1))</f>
        <v/>
      </c>
      <c r="G56" s="16" t="s">
        <v>84</v>
      </c>
    </row>
    <row r="57" customFormat="false" ht="15" hidden="false" customHeight="false" outlineLevel="0" collapsed="false">
      <c r="A57" s="15" t="s">
        <v>85</v>
      </c>
      <c r="B57" s="20" t="s">
        <v>86</v>
      </c>
      <c r="C57" s="34" t="n">
        <f aca="false">CT계산!C29</f>
        <v>8</v>
      </c>
      <c r="D57" s="34" t="str">
        <f aca="false">IF(입력!$D$57&lt;&gt;"완료","입력 필요",CT계산!D29)</f>
        <v>입력 필요</v>
      </c>
      <c r="E57" s="18" t="str">
        <f aca="false">IF(ISNUMBER(D57),D57-C57,"")</f>
        <v/>
      </c>
      <c r="F57" s="19" t="str">
        <f aca="false">IF(NOT(ISNUMBER(D57)),"",IF(C57=0,"-",D57/C57-1))</f>
        <v/>
      </c>
      <c r="G57" s="16"/>
    </row>
    <row r="58" customFormat="false" ht="15" hidden="false" customHeight="false" outlineLevel="0" collapsed="false">
      <c r="A58" s="15" t="s">
        <v>87</v>
      </c>
      <c r="B58" s="16" t="s">
        <v>64</v>
      </c>
      <c r="C58" s="35" t="n">
        <f aca="false">CT계산!C22</f>
        <v>0.912698412698413</v>
      </c>
      <c r="D58" s="35" t="str">
        <f aca="false">IF(입력!$D$57&lt;&gt;"완료","입력 필요",CT계산!D22)</f>
        <v>입력 필요</v>
      </c>
      <c r="E58" s="19" t="str">
        <f aca="false">IF(ISNUMBER(D58),D58-C58,"")</f>
        <v/>
      </c>
      <c r="F58" s="31"/>
      <c r="G58" s="16"/>
    </row>
    <row r="59" customFormat="false" ht="15" hidden="false" customHeight="false" outlineLevel="0" collapsed="false">
      <c r="A59" s="15" t="s">
        <v>88</v>
      </c>
      <c r="B59" s="16"/>
      <c r="C59" s="36" t="str">
        <f aca="false">CT계산!C24</f>
        <v>충족</v>
      </c>
      <c r="D59" s="36" t="str">
        <f aca="false">IF(입력!$D$57&lt;&gt;"완료","입력 필요",CT계산!D24)</f>
        <v>입력 필요</v>
      </c>
      <c r="E59" s="31"/>
      <c r="F59" s="31"/>
      <c r="G59" s="16" t="s">
        <v>41</v>
      </c>
    </row>
    <row r="60" customFormat="false" ht="15" hidden="false" customHeight="false" outlineLevel="0" collapsed="false">
      <c r="A60" s="15" t="s">
        <v>89</v>
      </c>
      <c r="B60" s="16"/>
      <c r="C60" s="36" t="str">
        <f aca="false">병목공정CT!E15</f>
        <v>미측정</v>
      </c>
      <c r="D60" s="36" t="str">
        <f aca="false">IF(입력!$D$57&lt;&gt;"완료","입력 필요",병목공정CT!F15)</f>
        <v>입력 필요</v>
      </c>
      <c r="E60" s="31"/>
      <c r="F60" s="31"/>
      <c r="G60" s="20" t="s">
        <v>90</v>
      </c>
    </row>
    <row r="61" customFormat="false" ht="15" hidden="false" customHeight="false" outlineLevel="0" collapsed="false">
      <c r="A61" s="15" t="s">
        <v>91</v>
      </c>
      <c r="B61" s="16"/>
      <c r="C61" s="36" t="str">
        <f aca="false">IF(C60="미측정","조립 미검증",IF(AND(C59="충족",C60="충분",C62="정상"),"전체 충족","추가 검토"))</f>
        <v>조립 미검증</v>
      </c>
      <c r="D61" s="36" t="str">
        <f aca="false">IF(입력!$D$57&lt;&gt;"완료","입력 필요",IF(D60="미측정","조립 미검증",IF(AND(D59="충족",D60="충분",D62="정상"),"전체 충족","추가 검토")))</f>
        <v>입력 필요</v>
      </c>
      <c r="E61" s="31"/>
      <c r="F61" s="31"/>
      <c r="G61" s="20" t="s">
        <v>92</v>
      </c>
    </row>
    <row r="62" customFormat="false" ht="15" hidden="false" customHeight="false" outlineLevel="0" collapsed="false">
      <c r="A62" s="15" t="s">
        <v>93</v>
      </c>
      <c r="B62" s="16"/>
      <c r="C62" s="36" t="str">
        <f aca="false">IF(AND(입력!C9&gt;입력!C8,입력!C24&gt;2*입력!C25,입력!C6&gt;0,입력!C7&gt;0,입력!C15&gt;0,입력!C15&lt;=1,입력!C20&gt;0,입력!C20&lt;=1,입력!C50&lt;1,입력!C37&gt;=1,CT계산!C11&gt;0,입력!C17&gt;0,입력!C18&gt;0,입력!C19&gt;0,입력!C41&gt;0,입력!C12&lt;=CT계산!C7),"정상","입력 확인")</f>
        <v>정상</v>
      </c>
      <c r="D62" s="36" t="str">
        <f aca="false">IF(입력!$D$57&lt;&gt;"완료","입력 필요",IF(AND(입력!D9&gt;입력!D8,입력!D24&gt;2*입력!D25,입력!D6&gt;0,입력!D7&gt;0,입력!D15&gt;0,입력!D15&lt;=1,입력!D20&gt;0,입력!D20&lt;=1,입력!D50&lt;1,입력!D37&gt;=1,CT계산!D11&gt;0,입력!D17&gt;0,입력!D18&gt;0,입력!D19&gt;0,입력!D41&gt;0,입력!D12&lt;=CT계산!D7),"정상","입력 확인"))</f>
        <v>입력 필요</v>
      </c>
      <c r="E62" s="31"/>
      <c r="F62" s="31"/>
      <c r="G62" s="20" t="s">
        <v>94</v>
      </c>
    </row>
    <row r="64" customFormat="false" ht="15" hidden="false" customHeight="false" outlineLevel="0" collapsed="false">
      <c r="A64" s="13" t="s">
        <v>95</v>
      </c>
      <c r="B64" s="14"/>
      <c r="C64" s="14"/>
      <c r="D64" s="14"/>
      <c r="E64" s="14"/>
      <c r="F64" s="14"/>
      <c r="G64" s="14"/>
    </row>
    <row r="65" customFormat="false" ht="27.75" hidden="false" customHeight="true" outlineLevel="0" collapsed="false">
      <c r="A65" s="5" t="s">
        <v>15</v>
      </c>
      <c r="B65" s="5" t="s">
        <v>16</v>
      </c>
      <c r="C65" s="12" t="s">
        <v>96</v>
      </c>
      <c r="D65" s="12" t="s">
        <v>97</v>
      </c>
      <c r="E65" s="5" t="s">
        <v>98</v>
      </c>
      <c r="F65" s="5" t="s">
        <v>99</v>
      </c>
      <c r="G65" s="5" t="s">
        <v>100</v>
      </c>
    </row>
    <row r="66" customFormat="false" ht="15" hidden="false" customHeight="false" outlineLevel="0" collapsed="false">
      <c r="A66" s="15" t="s">
        <v>37</v>
      </c>
      <c r="B66" s="20" t="s">
        <v>101</v>
      </c>
      <c r="C66" s="37" t="n">
        <f aca="false">C20</f>
        <v>5249.75922242965</v>
      </c>
      <c r="D66" s="38" t="n">
        <v>5249.75922242965</v>
      </c>
      <c r="E66" s="39" t="n">
        <f aca="false">C66-D66</f>
        <v>0</v>
      </c>
      <c r="F66" s="15" t="str">
        <f aca="false">IF(ABS(E66)&lt;0.01,"일치","재확인")</f>
        <v>일치</v>
      </c>
      <c r="G66" s="16" t="s">
        <v>102</v>
      </c>
    </row>
    <row r="67" customFormat="false" ht="15" hidden="false" customHeight="false" outlineLevel="0" collapsed="false">
      <c r="A67" s="15" t="s">
        <v>103</v>
      </c>
      <c r="B67" s="20" t="s">
        <v>101</v>
      </c>
      <c r="C67" s="37" t="n">
        <f aca="false">C32</f>
        <v>545.454545454546</v>
      </c>
      <c r="D67" s="38" t="n">
        <v>545.454545454546</v>
      </c>
      <c r="E67" s="39" t="n">
        <f aca="false">C67-D67</f>
        <v>0</v>
      </c>
      <c r="F67" s="15" t="str">
        <f aca="false">IF(ABS(E67)&lt;0.01,"일치","재확인")</f>
        <v>일치</v>
      </c>
      <c r="G67" s="16"/>
    </row>
    <row r="68" customFormat="false" ht="15" hidden="false" customHeight="false" outlineLevel="0" collapsed="false">
      <c r="A68" s="15" t="s">
        <v>104</v>
      </c>
      <c r="B68" s="20" t="s">
        <v>101</v>
      </c>
      <c r="C68" s="37" t="n">
        <f aca="false">C34</f>
        <v>5795.21376788419</v>
      </c>
      <c r="D68" s="38" t="n">
        <v>5795.21376788419</v>
      </c>
      <c r="E68" s="39" t="n">
        <f aca="false">C68-D68</f>
        <v>0</v>
      </c>
      <c r="F68" s="15" t="str">
        <f aca="false">IF(ABS(E68)&lt;0.01,"일치","재확인")</f>
        <v>일치</v>
      </c>
      <c r="G68" s="16"/>
    </row>
    <row r="69" customFormat="false" ht="15" hidden="false" customHeight="false" outlineLevel="0" collapsed="false">
      <c r="A69" s="15" t="s">
        <v>105</v>
      </c>
      <c r="B69" s="20" t="s">
        <v>101</v>
      </c>
      <c r="C69" s="37" t="n">
        <f aca="false">C37</f>
        <v>6432.68728235145</v>
      </c>
      <c r="D69" s="38" t="n">
        <v>6432.68728235145</v>
      </c>
      <c r="E69" s="39" t="n">
        <f aca="false">C69-D69</f>
        <v>0</v>
      </c>
      <c r="F69" s="15" t="str">
        <f aca="false">IF(ABS(E69)&lt;0.01,"일치","재확인")</f>
        <v>일치</v>
      </c>
      <c r="G69" s="16"/>
    </row>
    <row r="70" customFormat="false" ht="15" hidden="false" customHeight="false" outlineLevel="0" collapsed="false">
      <c r="A70" s="15" t="s">
        <v>106</v>
      </c>
      <c r="B70" s="20" t="s">
        <v>28</v>
      </c>
      <c r="C70" s="37" t="n">
        <f aca="false">C52</f>
        <v>353797800.52933</v>
      </c>
      <c r="D70" s="38" t="n">
        <v>353797800.52933</v>
      </c>
      <c r="E70" s="39" t="n">
        <f aca="false">C70-D70</f>
        <v>0</v>
      </c>
      <c r="F70" s="15" t="str">
        <f aca="false">IF(ABS(E70)&lt;0.01,"일치","재확인")</f>
        <v>일치</v>
      </c>
      <c r="G70" s="16"/>
    </row>
    <row r="72" customFormat="false" ht="27.75" hidden="false" customHeight="true" outlineLevel="0" collapsed="false">
      <c r="A72" s="2" t="s">
        <v>107</v>
      </c>
      <c r="B72" s="2"/>
      <c r="C72" s="2"/>
      <c r="D72" s="2"/>
      <c r="E72" s="2"/>
      <c r="F72" s="2"/>
      <c r="G72" s="2"/>
    </row>
    <row r="73" customFormat="false" ht="27.75" hidden="false" customHeight="true" outlineLevel="0" collapsed="false">
      <c r="A73" s="2" t="s">
        <v>108</v>
      </c>
      <c r="B73" s="2"/>
      <c r="C73" s="2"/>
      <c r="D73" s="2"/>
      <c r="E73" s="2"/>
      <c r="F73" s="2"/>
      <c r="G73" s="2"/>
    </row>
    <row r="74" customFormat="false" ht="27.75" hidden="false" customHeight="true" outlineLevel="0" collapsed="false">
      <c r="A74" s="2" t="s">
        <v>109</v>
      </c>
      <c r="B74" s="2"/>
      <c r="C74" s="2"/>
      <c r="D74" s="2"/>
      <c r="E74" s="2"/>
      <c r="F74" s="2"/>
      <c r="G74" s="2"/>
    </row>
    <row r="75" customFormat="false" ht="27.75" hidden="false" customHeight="true" outlineLevel="0" collapsed="false">
      <c r="A75" s="2" t="s">
        <v>110</v>
      </c>
      <c r="B75" s="2"/>
      <c r="C75" s="2"/>
      <c r="D75" s="2"/>
      <c r="E75" s="2"/>
      <c r="F75" s="2"/>
      <c r="G75" s="2"/>
    </row>
  </sheetData>
  <sheetProtection sheet="true"/>
  <mergeCells count="12">
    <mergeCell ref="A1:G1"/>
    <mergeCell ref="A2:G2"/>
    <mergeCell ref="B3:D3"/>
    <mergeCell ref="B4:D4"/>
    <mergeCell ref="B5:D5"/>
    <mergeCell ref="B6:D6"/>
    <mergeCell ref="B7:D7"/>
    <mergeCell ref="F7:G7"/>
    <mergeCell ref="A72:G72"/>
    <mergeCell ref="A73:G73"/>
    <mergeCell ref="A74:G74"/>
    <mergeCell ref="A75:G75"/>
  </mergeCells>
  <conditionalFormatting sqref="F66:F70">
    <cfRule type="cellIs" priority="2" operator="equal" aboveAverage="0" equalAverage="0" bottom="0" percent="0" rank="0" text="" dxfId="0">
      <formula>"재확인"</formula>
    </cfRule>
  </conditionalFormatting>
  <conditionalFormatting sqref="C59:D62">
    <cfRule type="expression" priority="3" aboveAverage="0" equalAverage="0" bottom="0" percent="0" rank="0" text="" dxfId="0">
      <formula>OR(C59="부족",C59="입력 확인",C59="조립 미검증",C59="추가 검토",C59="미측정",C59="입력 필요")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70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111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40" t="s">
        <v>112</v>
      </c>
      <c r="B2" s="40"/>
      <c r="C2" s="40"/>
      <c r="D2" s="40"/>
      <c r="E2" s="40"/>
      <c r="F2" s="40"/>
    </row>
    <row r="4" customFormat="false" ht="27.75" hidden="false" customHeight="true" outlineLevel="0" collapsed="false">
      <c r="A4" s="5" t="s">
        <v>15</v>
      </c>
      <c r="B4" s="5" t="s">
        <v>16</v>
      </c>
      <c r="C4" s="12" t="s">
        <v>17</v>
      </c>
      <c r="D4" s="12" t="s">
        <v>18</v>
      </c>
      <c r="E4" s="12" t="s">
        <v>113</v>
      </c>
      <c r="F4" s="5" t="s">
        <v>114</v>
      </c>
      <c r="G4" s="12" t="s">
        <v>115</v>
      </c>
    </row>
    <row r="5" customFormat="false" ht="15" hidden="false" customHeight="false" outlineLevel="0" collapsed="false">
      <c r="A5" s="13" t="s">
        <v>116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117</v>
      </c>
      <c r="B6" s="20" t="s">
        <v>118</v>
      </c>
      <c r="C6" s="41" t="n">
        <v>2500</v>
      </c>
      <c r="D6" s="41" t="n">
        <v>2500</v>
      </c>
      <c r="E6" s="42" t="s">
        <v>119</v>
      </c>
      <c r="F6" s="43" t="s">
        <v>120</v>
      </c>
      <c r="G6" s="44" t="s">
        <v>121</v>
      </c>
    </row>
    <row r="7" customFormat="false" ht="15" hidden="false" customHeight="false" outlineLevel="0" collapsed="false">
      <c r="A7" s="15" t="s">
        <v>122</v>
      </c>
      <c r="B7" s="20" t="s">
        <v>123</v>
      </c>
      <c r="C7" s="45" t="n">
        <v>22</v>
      </c>
      <c r="D7" s="45"/>
      <c r="E7" s="42" t="s">
        <v>121</v>
      </c>
      <c r="F7" s="43" t="s">
        <v>124</v>
      </c>
      <c r="G7" s="44" t="s">
        <v>121</v>
      </c>
    </row>
    <row r="8" customFormat="false" ht="15" hidden="false" customHeight="false" outlineLevel="0" collapsed="false">
      <c r="A8" s="15" t="s">
        <v>125</v>
      </c>
      <c r="B8" s="20" t="s">
        <v>126</v>
      </c>
      <c r="C8" s="45" t="n">
        <v>8</v>
      </c>
      <c r="D8" s="45"/>
      <c r="E8" s="42" t="s">
        <v>121</v>
      </c>
      <c r="F8" s="46" t="s">
        <v>127</v>
      </c>
      <c r="G8" s="44" t="s">
        <v>121</v>
      </c>
    </row>
    <row r="9" customFormat="false" ht="15" hidden="false" customHeight="false" outlineLevel="0" collapsed="false">
      <c r="A9" s="15" t="s">
        <v>128</v>
      </c>
      <c r="B9" s="20" t="s">
        <v>126</v>
      </c>
      <c r="C9" s="45" t="n">
        <v>19</v>
      </c>
      <c r="D9" s="45"/>
      <c r="E9" s="42" t="s">
        <v>121</v>
      </c>
      <c r="F9" s="46" t="s">
        <v>129</v>
      </c>
      <c r="G9" s="44" t="s">
        <v>121</v>
      </c>
    </row>
    <row r="10" customFormat="false" ht="15" hidden="false" customHeight="false" outlineLevel="0" collapsed="false">
      <c r="A10" s="15" t="s">
        <v>130</v>
      </c>
      <c r="B10" s="20" t="s">
        <v>131</v>
      </c>
      <c r="C10" s="47" t="n">
        <v>2</v>
      </c>
      <c r="D10" s="47"/>
      <c r="E10" s="42" t="s">
        <v>121</v>
      </c>
      <c r="F10" s="46" t="s">
        <v>132</v>
      </c>
      <c r="G10" s="44" t="s">
        <v>121</v>
      </c>
    </row>
    <row r="11" customFormat="false" ht="15" hidden="false" customHeight="false" outlineLevel="0" collapsed="false">
      <c r="A11" s="15" t="s">
        <v>133</v>
      </c>
      <c r="B11" s="20" t="s">
        <v>134</v>
      </c>
      <c r="C11" s="45" t="n">
        <v>15</v>
      </c>
      <c r="D11" s="45"/>
      <c r="E11" s="42" t="s">
        <v>121</v>
      </c>
      <c r="F11" s="43" t="s">
        <v>135</v>
      </c>
      <c r="G11" s="44" t="s">
        <v>121</v>
      </c>
    </row>
    <row r="12" customFormat="false" ht="15" hidden="false" customHeight="false" outlineLevel="0" collapsed="false">
      <c r="A12" s="15" t="s">
        <v>136</v>
      </c>
      <c r="B12" s="20" t="s">
        <v>137</v>
      </c>
      <c r="C12" s="45" t="n">
        <v>0</v>
      </c>
      <c r="D12" s="45"/>
      <c r="E12" s="42" t="s">
        <v>121</v>
      </c>
      <c r="F12" s="43" t="s">
        <v>138</v>
      </c>
      <c r="G12" s="44" t="s">
        <v>121</v>
      </c>
    </row>
    <row r="13" customFormat="false" ht="15" hidden="false" customHeight="false" outlineLevel="0" collapsed="false">
      <c r="A13" s="15" t="s">
        <v>139</v>
      </c>
      <c r="B13" s="20" t="s">
        <v>134</v>
      </c>
      <c r="C13" s="45" t="n">
        <v>40</v>
      </c>
      <c r="D13" s="45"/>
      <c r="E13" s="42" t="s">
        <v>121</v>
      </c>
      <c r="F13" s="43" t="s">
        <v>140</v>
      </c>
      <c r="G13" s="44" t="s">
        <v>121</v>
      </c>
    </row>
    <row r="14" customFormat="false" ht="15" hidden="false" customHeight="false" outlineLevel="0" collapsed="false">
      <c r="A14" s="15" t="s">
        <v>141</v>
      </c>
      <c r="B14" s="20" t="s">
        <v>134</v>
      </c>
      <c r="C14" s="45" t="n">
        <v>20</v>
      </c>
      <c r="D14" s="45"/>
      <c r="E14" s="42" t="s">
        <v>121</v>
      </c>
      <c r="F14" s="43" t="s">
        <v>142</v>
      </c>
      <c r="G14" s="44" t="s">
        <v>121</v>
      </c>
    </row>
    <row r="15" customFormat="false" ht="24.6" hidden="false" customHeight="false" outlineLevel="0" collapsed="false">
      <c r="A15" s="15" t="s">
        <v>143</v>
      </c>
      <c r="B15" s="16" t="s">
        <v>64</v>
      </c>
      <c r="C15" s="48" t="n">
        <v>1</v>
      </c>
      <c r="D15" s="49" t="n">
        <v>0.87</v>
      </c>
      <c r="E15" s="42" t="s">
        <v>144</v>
      </c>
      <c r="F15" s="46" t="s">
        <v>145</v>
      </c>
      <c r="G15" s="44" t="s">
        <v>144</v>
      </c>
    </row>
    <row r="16" customFormat="false" ht="15" hidden="false" customHeight="false" outlineLevel="0" collapsed="false">
      <c r="A16" s="15" t="s">
        <v>146</v>
      </c>
      <c r="B16" s="20" t="s">
        <v>147</v>
      </c>
      <c r="C16" s="47" t="n">
        <v>46</v>
      </c>
      <c r="D16" s="47" t="n">
        <v>46</v>
      </c>
      <c r="E16" s="42" t="s">
        <v>148</v>
      </c>
      <c r="F16" s="43" t="s">
        <v>149</v>
      </c>
      <c r="G16" s="44" t="s">
        <v>121</v>
      </c>
    </row>
    <row r="17" customFormat="false" ht="15" hidden="false" customHeight="false" outlineLevel="0" collapsed="false">
      <c r="A17" s="15" t="s">
        <v>150</v>
      </c>
      <c r="B17" s="20" t="s">
        <v>151</v>
      </c>
      <c r="C17" s="47" t="n">
        <v>1</v>
      </c>
      <c r="D17" s="47" t="n">
        <v>1</v>
      </c>
      <c r="E17" s="42" t="s">
        <v>148</v>
      </c>
      <c r="F17" s="43" t="s">
        <v>152</v>
      </c>
      <c r="G17" s="44" t="s">
        <v>121</v>
      </c>
    </row>
    <row r="18" customFormat="false" ht="15" hidden="false" customHeight="false" outlineLevel="0" collapsed="false">
      <c r="A18" s="15" t="s">
        <v>153</v>
      </c>
      <c r="B18" s="20" t="s">
        <v>154</v>
      </c>
      <c r="C18" s="45" t="n">
        <v>4</v>
      </c>
      <c r="D18" s="45"/>
      <c r="E18" s="42" t="s">
        <v>121</v>
      </c>
      <c r="F18" s="43" t="s">
        <v>155</v>
      </c>
      <c r="G18" s="44" t="s">
        <v>121</v>
      </c>
    </row>
    <row r="19" customFormat="false" ht="15" hidden="false" customHeight="false" outlineLevel="0" collapsed="false">
      <c r="A19" s="15" t="s">
        <v>156</v>
      </c>
      <c r="B19" s="20" t="s">
        <v>157</v>
      </c>
      <c r="C19" s="45" t="n">
        <v>1</v>
      </c>
      <c r="D19" s="45"/>
      <c r="E19" s="42" t="s">
        <v>121</v>
      </c>
      <c r="F19" s="43" t="s">
        <v>158</v>
      </c>
      <c r="G19" s="44" t="s">
        <v>121</v>
      </c>
    </row>
    <row r="20" customFormat="false" ht="25.35" hidden="false" customHeight="false" outlineLevel="0" collapsed="false">
      <c r="A20" s="15" t="s">
        <v>159</v>
      </c>
      <c r="B20" s="16" t="s">
        <v>64</v>
      </c>
      <c r="C20" s="48" t="n">
        <v>1</v>
      </c>
      <c r="D20" s="48"/>
      <c r="E20" s="42" t="s">
        <v>121</v>
      </c>
      <c r="F20" s="43" t="s">
        <v>160</v>
      </c>
      <c r="G20" s="44" t="s">
        <v>121</v>
      </c>
    </row>
    <row r="21" customFormat="false" ht="15" hidden="false" customHeight="false" outlineLevel="0" collapsed="false">
      <c r="A21" s="13" t="s">
        <v>161</v>
      </c>
      <c r="B21" s="14"/>
      <c r="C21" s="14"/>
      <c r="D21" s="14"/>
      <c r="E21" s="14"/>
      <c r="F21" s="14"/>
    </row>
    <row r="22" customFormat="false" ht="15" hidden="false" customHeight="false" outlineLevel="0" collapsed="false">
      <c r="A22" s="15" t="s">
        <v>162</v>
      </c>
      <c r="B22" s="20" t="s">
        <v>163</v>
      </c>
      <c r="C22" s="50" t="n">
        <v>5200</v>
      </c>
      <c r="D22" s="50" t="n">
        <v>5200</v>
      </c>
      <c r="E22" s="42" t="s">
        <v>148</v>
      </c>
      <c r="F22" s="43" t="s">
        <v>164</v>
      </c>
      <c r="G22" s="44" t="s">
        <v>121</v>
      </c>
    </row>
    <row r="23" customFormat="false" ht="15" hidden="false" customHeight="false" outlineLevel="0" collapsed="false">
      <c r="A23" s="15" t="s">
        <v>165</v>
      </c>
      <c r="B23" s="16" t="s">
        <v>166</v>
      </c>
      <c r="C23" s="51" t="n">
        <v>7.93</v>
      </c>
      <c r="D23" s="51"/>
      <c r="E23" s="42" t="s">
        <v>121</v>
      </c>
      <c r="F23" s="46" t="s">
        <v>167</v>
      </c>
      <c r="G23" s="44" t="s">
        <v>121</v>
      </c>
    </row>
    <row r="24" customFormat="false" ht="15" hidden="false" customHeight="false" outlineLevel="0" collapsed="false">
      <c r="A24" s="15" t="s">
        <v>168</v>
      </c>
      <c r="B24" s="16" t="s">
        <v>169</v>
      </c>
      <c r="C24" s="51" t="n">
        <v>25.4</v>
      </c>
      <c r="D24" s="51"/>
      <c r="E24" s="42" t="s">
        <v>121</v>
      </c>
      <c r="F24" s="43" t="s">
        <v>170</v>
      </c>
      <c r="G24" s="44" t="s">
        <v>121</v>
      </c>
    </row>
    <row r="25" customFormat="false" ht="15" hidden="false" customHeight="false" outlineLevel="0" collapsed="false">
      <c r="A25" s="15" t="s">
        <v>171</v>
      </c>
      <c r="B25" s="16" t="s">
        <v>169</v>
      </c>
      <c r="C25" s="51" t="n">
        <v>1.24</v>
      </c>
      <c r="D25" s="51"/>
      <c r="E25" s="42" t="s">
        <v>121</v>
      </c>
      <c r="F25" s="43" t="s">
        <v>172</v>
      </c>
      <c r="G25" s="44" t="s">
        <v>121</v>
      </c>
    </row>
    <row r="26" customFormat="false" ht="15" hidden="false" customHeight="false" outlineLevel="0" collapsed="false">
      <c r="A26" s="15" t="s">
        <v>173</v>
      </c>
      <c r="B26" s="16" t="s">
        <v>169</v>
      </c>
      <c r="C26" s="50" t="n">
        <v>435</v>
      </c>
      <c r="D26" s="50"/>
      <c r="E26" s="42" t="s">
        <v>121</v>
      </c>
      <c r="F26" s="43" t="s">
        <v>174</v>
      </c>
      <c r="G26" s="44" t="s">
        <v>121</v>
      </c>
    </row>
    <row r="27" customFormat="false" ht="15" hidden="false" customHeight="false" outlineLevel="0" collapsed="false">
      <c r="A27" s="15" t="s">
        <v>175</v>
      </c>
      <c r="B27" s="16" t="s">
        <v>169</v>
      </c>
      <c r="C27" s="50" t="n">
        <v>315</v>
      </c>
      <c r="D27" s="50"/>
      <c r="E27" s="42" t="s">
        <v>121</v>
      </c>
      <c r="F27" s="43" t="s">
        <v>176</v>
      </c>
      <c r="G27" s="44" t="s">
        <v>121</v>
      </c>
    </row>
    <row r="28" customFormat="false" ht="25.35" hidden="false" customHeight="false" outlineLevel="0" collapsed="false">
      <c r="A28" s="15" t="s">
        <v>177</v>
      </c>
      <c r="B28" s="16" t="s">
        <v>64</v>
      </c>
      <c r="C28" s="48" t="n">
        <v>0</v>
      </c>
      <c r="D28" s="49" t="n">
        <v>0.03</v>
      </c>
      <c r="E28" s="42" t="s">
        <v>144</v>
      </c>
      <c r="F28" s="43" t="s">
        <v>178</v>
      </c>
      <c r="G28" s="44" t="s">
        <v>144</v>
      </c>
    </row>
    <row r="29" customFormat="false" ht="15" hidden="false" customHeight="false" outlineLevel="0" collapsed="false">
      <c r="A29" s="13" t="s">
        <v>179</v>
      </c>
      <c r="B29" s="14"/>
      <c r="C29" s="14"/>
      <c r="D29" s="14"/>
      <c r="E29" s="14"/>
      <c r="F29" s="14"/>
    </row>
    <row r="30" customFormat="false" ht="15" hidden="false" customHeight="false" outlineLevel="0" collapsed="false">
      <c r="A30" s="15" t="s">
        <v>180</v>
      </c>
      <c r="B30" s="16" t="s">
        <v>181</v>
      </c>
      <c r="C30" s="52" t="n">
        <v>1</v>
      </c>
      <c r="D30" s="52"/>
      <c r="E30" s="42" t="s">
        <v>121</v>
      </c>
      <c r="F30" s="46" t="s">
        <v>182</v>
      </c>
      <c r="G30" s="44" t="s">
        <v>121</v>
      </c>
    </row>
    <row r="31" customFormat="false" ht="15" hidden="false" customHeight="false" outlineLevel="0" collapsed="false">
      <c r="A31" s="15" t="s">
        <v>183</v>
      </c>
      <c r="B31" s="20" t="s">
        <v>28</v>
      </c>
      <c r="C31" s="50" t="n">
        <v>1600</v>
      </c>
      <c r="D31" s="50"/>
      <c r="E31" s="42" t="s">
        <v>121</v>
      </c>
      <c r="F31" s="43" t="s">
        <v>184</v>
      </c>
      <c r="G31" s="44" t="s">
        <v>121</v>
      </c>
    </row>
    <row r="32" customFormat="false" ht="15" hidden="false" customHeight="false" outlineLevel="0" collapsed="false">
      <c r="A32" s="15" t="s">
        <v>185</v>
      </c>
      <c r="B32" s="16" t="s">
        <v>181</v>
      </c>
      <c r="C32" s="52" t="n">
        <v>2</v>
      </c>
      <c r="D32" s="52"/>
      <c r="E32" s="42" t="s">
        <v>121</v>
      </c>
      <c r="F32" s="43" t="s">
        <v>186</v>
      </c>
      <c r="G32" s="44" t="s">
        <v>121</v>
      </c>
    </row>
    <row r="33" customFormat="false" ht="15" hidden="false" customHeight="false" outlineLevel="0" collapsed="false">
      <c r="A33" s="15" t="s">
        <v>187</v>
      </c>
      <c r="B33" s="20" t="s">
        <v>28</v>
      </c>
      <c r="C33" s="50" t="n">
        <v>300</v>
      </c>
      <c r="D33" s="50"/>
      <c r="E33" s="42" t="s">
        <v>121</v>
      </c>
      <c r="F33" s="46" t="s">
        <v>188</v>
      </c>
      <c r="G33" s="44" t="s">
        <v>121</v>
      </c>
    </row>
    <row r="34" customFormat="false" ht="15" hidden="false" customHeight="false" outlineLevel="0" collapsed="false">
      <c r="A34" s="15" t="s">
        <v>189</v>
      </c>
      <c r="B34" s="16" t="s">
        <v>181</v>
      </c>
      <c r="C34" s="52" t="n">
        <v>1</v>
      </c>
      <c r="D34" s="52"/>
      <c r="E34" s="42" t="s">
        <v>121</v>
      </c>
      <c r="F34" s="46" t="s">
        <v>190</v>
      </c>
      <c r="G34" s="44" t="s">
        <v>121</v>
      </c>
    </row>
    <row r="35" customFormat="false" ht="15" hidden="false" customHeight="false" outlineLevel="0" collapsed="false">
      <c r="A35" s="15" t="s">
        <v>191</v>
      </c>
      <c r="B35" s="20" t="s">
        <v>28</v>
      </c>
      <c r="C35" s="53" t="n">
        <v>3</v>
      </c>
      <c r="D35" s="53"/>
      <c r="E35" s="42" t="s">
        <v>121</v>
      </c>
      <c r="F35" s="46" t="s">
        <v>192</v>
      </c>
      <c r="G35" s="44" t="s">
        <v>121</v>
      </c>
    </row>
    <row r="36" customFormat="false" ht="15" hidden="false" customHeight="false" outlineLevel="0" collapsed="false">
      <c r="A36" s="15" t="s">
        <v>193</v>
      </c>
      <c r="B36" s="20" t="s">
        <v>28</v>
      </c>
      <c r="C36" s="50" t="n">
        <v>120</v>
      </c>
      <c r="D36" s="50"/>
      <c r="E36" s="42" t="s">
        <v>121</v>
      </c>
      <c r="F36" s="46" t="s">
        <v>194</v>
      </c>
      <c r="G36" s="44" t="s">
        <v>121</v>
      </c>
    </row>
    <row r="37" customFormat="false" ht="25.35" hidden="false" customHeight="false" outlineLevel="0" collapsed="false">
      <c r="A37" s="15" t="s">
        <v>195</v>
      </c>
      <c r="B37" s="20" t="s">
        <v>75</v>
      </c>
      <c r="C37" s="45" t="n">
        <v>1</v>
      </c>
      <c r="D37" s="54" t="n">
        <v>20</v>
      </c>
      <c r="E37" s="42" t="s">
        <v>144</v>
      </c>
      <c r="F37" s="46" t="s">
        <v>196</v>
      </c>
      <c r="G37" s="44" t="s">
        <v>144</v>
      </c>
    </row>
    <row r="38" customFormat="false" ht="15" hidden="false" customHeight="false" outlineLevel="0" collapsed="false">
      <c r="A38" s="15" t="s">
        <v>197</v>
      </c>
      <c r="B38" s="16" t="s">
        <v>181</v>
      </c>
      <c r="C38" s="52" t="n">
        <v>2</v>
      </c>
      <c r="D38" s="52"/>
      <c r="E38" s="42" t="s">
        <v>121</v>
      </c>
      <c r="F38" s="46" t="s">
        <v>198</v>
      </c>
      <c r="G38" s="44" t="s">
        <v>121</v>
      </c>
    </row>
    <row r="39" customFormat="false" ht="15" hidden="false" customHeight="false" outlineLevel="0" collapsed="false">
      <c r="A39" s="15" t="s">
        <v>199</v>
      </c>
      <c r="B39" s="20" t="s">
        <v>28</v>
      </c>
      <c r="C39" s="53" t="n">
        <v>8</v>
      </c>
      <c r="D39" s="53"/>
      <c r="E39" s="42" t="s">
        <v>121</v>
      </c>
      <c r="F39" s="46" t="s">
        <v>200</v>
      </c>
      <c r="G39" s="44" t="s">
        <v>121</v>
      </c>
    </row>
    <row r="40" customFormat="false" ht="15" hidden="false" customHeight="false" outlineLevel="0" collapsed="false">
      <c r="A40" s="13" t="s">
        <v>201</v>
      </c>
      <c r="B40" s="14"/>
      <c r="C40" s="14"/>
      <c r="D40" s="14"/>
      <c r="E40" s="14"/>
      <c r="F40" s="14"/>
    </row>
    <row r="41" customFormat="false" ht="15" hidden="false" customHeight="false" outlineLevel="0" collapsed="false">
      <c r="A41" s="55" t="s">
        <v>202</v>
      </c>
      <c r="B41" s="20" t="s">
        <v>203</v>
      </c>
      <c r="C41" s="50" t="n">
        <v>3200000</v>
      </c>
      <c r="D41" s="50" t="n">
        <v>3200000</v>
      </c>
      <c r="E41" s="42" t="s">
        <v>148</v>
      </c>
      <c r="F41" s="43" t="s">
        <v>204</v>
      </c>
      <c r="G41" s="44" t="s">
        <v>121</v>
      </c>
    </row>
    <row r="42" customFormat="false" ht="24.6" hidden="false" customHeight="false" outlineLevel="0" collapsed="false">
      <c r="A42" s="55" t="s">
        <v>205</v>
      </c>
      <c r="B42" s="20" t="s">
        <v>203</v>
      </c>
      <c r="C42" s="50" t="n">
        <v>0</v>
      </c>
      <c r="D42" s="50"/>
      <c r="E42" s="42" t="s">
        <v>121</v>
      </c>
      <c r="F42" s="43" t="s">
        <v>206</v>
      </c>
      <c r="G42" s="44" t="s">
        <v>121</v>
      </c>
    </row>
    <row r="43" customFormat="false" ht="25.35" hidden="false" customHeight="false" outlineLevel="0" collapsed="false">
      <c r="A43" s="15" t="s">
        <v>207</v>
      </c>
      <c r="B43" s="16" t="s">
        <v>64</v>
      </c>
      <c r="C43" s="48" t="n">
        <v>0</v>
      </c>
      <c r="D43" s="49" t="n">
        <v>0.185</v>
      </c>
      <c r="E43" s="42" t="s">
        <v>144</v>
      </c>
      <c r="F43" s="46" t="s">
        <v>208</v>
      </c>
      <c r="G43" s="44" t="s">
        <v>144</v>
      </c>
    </row>
    <row r="44" customFormat="false" ht="15" hidden="false" customHeight="false" outlineLevel="0" collapsed="false">
      <c r="A44" s="15" t="s">
        <v>44</v>
      </c>
      <c r="B44" s="20" t="s">
        <v>101</v>
      </c>
      <c r="C44" s="50" t="n">
        <v>80</v>
      </c>
      <c r="D44" s="50"/>
      <c r="E44" s="42" t="s">
        <v>121</v>
      </c>
      <c r="F44" s="43" t="s">
        <v>209</v>
      </c>
      <c r="G44" s="44" t="s">
        <v>121</v>
      </c>
    </row>
    <row r="45" customFormat="false" ht="15" hidden="false" customHeight="false" outlineLevel="0" collapsed="false">
      <c r="A45" s="15" t="s">
        <v>210</v>
      </c>
      <c r="B45" s="20" t="s">
        <v>101</v>
      </c>
      <c r="C45" s="53" t="n">
        <v>0</v>
      </c>
      <c r="D45" s="53"/>
      <c r="E45" s="42" t="s">
        <v>121</v>
      </c>
      <c r="F45" s="43" t="s">
        <v>211</v>
      </c>
      <c r="G45" s="44" t="s">
        <v>121</v>
      </c>
    </row>
    <row r="46" customFormat="false" ht="15" hidden="false" customHeight="false" outlineLevel="0" collapsed="false">
      <c r="A46" s="15" t="s">
        <v>46</v>
      </c>
      <c r="B46" s="20" t="s">
        <v>101</v>
      </c>
      <c r="C46" s="53" t="n">
        <v>0</v>
      </c>
      <c r="D46" s="53"/>
      <c r="E46" s="42" t="s">
        <v>121</v>
      </c>
      <c r="F46" s="43" t="s">
        <v>212</v>
      </c>
      <c r="G46" s="44" t="s">
        <v>121</v>
      </c>
    </row>
    <row r="47" customFormat="false" ht="15" hidden="false" customHeight="false" outlineLevel="0" collapsed="false">
      <c r="A47" s="15" t="s">
        <v>47</v>
      </c>
      <c r="B47" s="20" t="s">
        <v>101</v>
      </c>
      <c r="C47" s="53" t="n">
        <v>0</v>
      </c>
      <c r="D47" s="53"/>
      <c r="E47" s="42" t="s">
        <v>121</v>
      </c>
      <c r="F47" s="46" t="s">
        <v>213</v>
      </c>
      <c r="G47" s="44" t="s">
        <v>121</v>
      </c>
    </row>
    <row r="48" customFormat="false" ht="15" hidden="false" customHeight="false" outlineLevel="0" collapsed="false">
      <c r="A48" s="15" t="s">
        <v>48</v>
      </c>
      <c r="B48" s="20" t="s">
        <v>101</v>
      </c>
      <c r="C48" s="53" t="n">
        <v>0</v>
      </c>
      <c r="D48" s="53"/>
      <c r="E48" s="42" t="s">
        <v>121</v>
      </c>
      <c r="F48" s="46" t="s">
        <v>213</v>
      </c>
      <c r="G48" s="44" t="s">
        <v>121</v>
      </c>
    </row>
    <row r="49" customFormat="false" ht="25.35" hidden="false" customHeight="false" outlineLevel="0" collapsed="false">
      <c r="A49" s="15" t="s">
        <v>214</v>
      </c>
      <c r="B49" s="20" t="s">
        <v>101</v>
      </c>
      <c r="C49" s="53" t="n">
        <v>0</v>
      </c>
      <c r="D49" s="53"/>
      <c r="E49" s="42" t="s">
        <v>121</v>
      </c>
      <c r="F49" s="46" t="s">
        <v>215</v>
      </c>
      <c r="G49" s="44" t="s">
        <v>121</v>
      </c>
    </row>
    <row r="50" customFormat="false" ht="25.35" hidden="false" customHeight="false" outlineLevel="0" collapsed="false">
      <c r="A50" s="15" t="s">
        <v>216</v>
      </c>
      <c r="B50" s="16" t="s">
        <v>64</v>
      </c>
      <c r="C50" s="48" t="n">
        <v>0</v>
      </c>
      <c r="D50" s="49" t="n">
        <v>0.02</v>
      </c>
      <c r="E50" s="42" t="s">
        <v>144</v>
      </c>
      <c r="F50" s="43" t="s">
        <v>217</v>
      </c>
      <c r="G50" s="44" t="s">
        <v>144</v>
      </c>
    </row>
    <row r="51" customFormat="false" ht="15" hidden="false" customHeight="false" outlineLevel="0" collapsed="false">
      <c r="A51" s="13" t="s">
        <v>218</v>
      </c>
      <c r="B51" s="14"/>
      <c r="C51" s="14"/>
      <c r="D51" s="14"/>
      <c r="E51" s="14"/>
      <c r="F51" s="14"/>
    </row>
    <row r="52" customFormat="false" ht="15" hidden="false" customHeight="false" outlineLevel="0" collapsed="false">
      <c r="A52" s="15" t="s">
        <v>219</v>
      </c>
      <c r="B52" s="16" t="s">
        <v>64</v>
      </c>
      <c r="C52" s="56" t="n">
        <v>0.11</v>
      </c>
      <c r="D52" s="56" t="n">
        <v>0.11</v>
      </c>
      <c r="E52" s="42" t="s">
        <v>119</v>
      </c>
      <c r="F52" s="46" t="s">
        <v>220</v>
      </c>
      <c r="G52" s="44" t="s">
        <v>121</v>
      </c>
    </row>
    <row r="53" customFormat="false" ht="24.6" hidden="false" customHeight="false" outlineLevel="0" collapsed="false">
      <c r="A53" s="15" t="s">
        <v>221</v>
      </c>
      <c r="B53" s="16" t="s">
        <v>64</v>
      </c>
      <c r="C53" s="48" t="n">
        <v>0.11</v>
      </c>
      <c r="D53" s="48"/>
      <c r="E53" s="42" t="s">
        <v>121</v>
      </c>
      <c r="F53" s="43" t="s">
        <v>222</v>
      </c>
      <c r="G53" s="44" t="s">
        <v>121</v>
      </c>
    </row>
    <row r="54" customFormat="false" ht="15" hidden="false" customHeight="false" outlineLevel="0" collapsed="false">
      <c r="A54" s="15" t="s">
        <v>223</v>
      </c>
      <c r="B54" s="16" t="s">
        <v>64</v>
      </c>
      <c r="C54" s="48" t="n">
        <v>0.1</v>
      </c>
      <c r="D54" s="48" t="n">
        <v>0.1</v>
      </c>
      <c r="E54" s="42" t="s">
        <v>224</v>
      </c>
      <c r="F54" s="43" t="s">
        <v>225</v>
      </c>
      <c r="G54" s="44" t="s">
        <v>121</v>
      </c>
    </row>
    <row r="55" customFormat="false" ht="15" hidden="false" customHeight="false" outlineLevel="0" collapsed="false">
      <c r="A55" s="15" t="s">
        <v>13</v>
      </c>
      <c r="B55" s="16"/>
      <c r="C55" s="57"/>
      <c r="D55" s="57"/>
      <c r="E55" s="42" t="s">
        <v>226</v>
      </c>
      <c r="F55" s="43" t="s">
        <v>227</v>
      </c>
    </row>
    <row r="57" customFormat="false" ht="15" hidden="false" customHeight="false" outlineLevel="0" collapsed="false">
      <c r="A57" s="58" t="s">
        <v>228</v>
      </c>
      <c r="C57" s="59" t="str">
        <f aca="false">IF(OR(C7="",C8="",C9="",C10="",C11="",C13="",C14="",C18="",C19="",C20="",C23="",C24="",C25="",C26="",C27="",C30="",C31="",C32="",C33="",C34="",C35="",C36="",C38="",C39="",C6="",C16="",C17="",C22="",C41="",C52="",C15="",C43="",C37="",C28="",C50="",C54=""),"입력 필요","완료")</f>
        <v>완료</v>
      </c>
      <c r="D57" s="59" t="str">
        <f aca="false">IF(OR(D7="",D8="",D9="",D10="",D11="",D13="",D14="",D18="",D19="",D20="",D23="",D24="",D25="",D26="",D27="",D30="",D31="",D32="",D33="",D34="",D35="",D36="",D38="",D39="",D6="",D16="",D17="",D22="",D41="",D52="",D15="",D43="",D37="",D28="",D50="",D54=""),"입력 필요","완료")</f>
        <v>입력 필요</v>
      </c>
      <c r="F57" s="60" t="s">
        <v>229</v>
      </c>
    </row>
  </sheetData>
  <sheetProtection sheet="true"/>
  <mergeCells count="2">
    <mergeCell ref="A1:F1"/>
    <mergeCell ref="A2:F2"/>
  </mergeCells>
  <conditionalFormatting sqref="G6:G54">
    <cfRule type="cellIs" priority="2" operator="equal" aboveAverage="0" equalAverage="0" bottom="0" percent="0" rank="0" text="" dxfId="1">
      <formula>"확인완료"</formula>
    </cfRule>
    <cfRule type="cellIs" priority="3" operator="equal" aboveAverage="0" equalAverage="0" bottom="0" percent="0" rank="0" text="" dxfId="2">
      <formula>"미확인"</formula>
    </cfRule>
  </conditionalFormatting>
  <conditionalFormatting sqref="C57:D57">
    <cfRule type="cellIs" priority="4" operator="equal" aboveAverage="0" equalAverage="0" bottom="0" percent="0" rank="0" text="" dxfId="0">
      <formula>"입력 필요"</formula>
    </cfRule>
  </conditionalFormatting>
  <dataValidations count="46">
    <dataValidation allowBlank="false" error="일 생산수량: 1 ~ 100000 범위로 입력하세요." errorStyle="stop" errorTitle="입력 범위 오류" operator="between" showDropDown="false" showErrorMessage="true" showInputMessage="false" sqref="C6:D6" type="whole">
      <formula1>1</formula1>
      <formula2>100000</formula2>
    </dataValidation>
    <dataValidation allowBlank="false" error="월 근무일수: 1 ~ 31 범위로 입력하세요." errorStyle="stop" errorTitle="입력 범위 오류" operator="between" showDropDown="false" showErrorMessage="true" showInputMessage="false" sqref="C7:D7" type="whole">
      <formula1>1</formula1>
      <formula2>31</formula2>
    </dataValidation>
    <dataValidation allowBlank="false" error="근무 시작 시각: 0 ~ 23 범위로 입력하세요." errorStyle="stop" errorTitle="입력 범위 오류" operator="between" showDropDown="false" showErrorMessage="true" showInputMessage="false" sqref="C8:D8" type="whole">
      <formula1>0</formula1>
      <formula2>23</formula2>
    </dataValidation>
    <dataValidation allowBlank="false" error="근무 종료 시각: 1 ~ 24 범위로 입력하세요." errorStyle="stop" errorTitle="입력 범위 오류" operator="between" showDropDown="false" showErrorMessage="true" showInputMessage="false" sqref="C9:D9" type="whole">
      <formula1>1</formula1>
      <formula2>24</formula2>
    </dataValidation>
    <dataValidation allowBlank="false" error="휴식 간격: 0.5 ~ 12 범위로 입력하세요." errorStyle="stop" errorTitle="입력 범위 오류" operator="between" showDropDown="false" showErrorMessage="true" showInputMessage="false" sqref="C10:D10" type="decimal">
      <formula1>0.5</formula1>
      <formula2>12</formula2>
    </dataValidation>
    <dataValidation allowBlank="false" error="휴식 시간 (1회): 0 ~ 120 범위로 입력하세요." errorStyle="stop" errorTitle="입력 범위 오류" operator="between" showDropDown="false" showErrorMessage="true" showInputMessage="false" sqref="C11:D11" type="whole">
      <formula1>0</formula1>
      <formula2>120</formula2>
    </dataValidation>
    <dataValidation allowBlank="false" error="식사와 겹쳐 제외할 휴식 횟수: 0 ~ 10 범위로 입력하세요." errorStyle="stop" errorTitle="입력 범위 오류" operator="between" showDropDown="false" showErrorMessage="true" showInputMessage="false" sqref="C12:D12" type="whole">
      <formula1>0</formula1>
      <formula2>10</formula2>
    </dataValidation>
    <dataValidation allowBlank="false" error="점심시간: 0 ~ 120 범위로 입력하세요." errorStyle="stop" errorTitle="입력 범위 오류" operator="between" showDropDown="false" showErrorMessage="true" showInputMessage="false" sqref="C13:D13" type="whole">
      <formula1>0</formula1>
      <formula2>120</formula2>
    </dataValidation>
    <dataValidation allowBlank="false" error="저녁시간: 0 ~ 120 범위로 입력하세요." errorStyle="stop" errorTitle="입력 범위 오류" operator="between" showDropDown="false" showErrorMessage="true" showInputMessage="false" sqref="C14:D14" type="whole">
      <formula1>0</formula1>
      <formula2>120</formula2>
    </dataValidation>
    <dataValidation allowBlank="false" error="설비 종합효율 OEE (가동×성능×양품): 0.01 ~ 1 범위로 입력하세요." errorStyle="stop" errorTitle="입력 범위 오류" operator="between" showDropDown="false" showErrorMessage="true" showInputMessage="false" sqref="C15:D15" type="decimal">
      <formula1>0.01</formula1>
      <formula2>1</formula2>
    </dataValidation>
    <dataValidation allowBlank="false" error="로봇 1대 C/T: 1 ~ 600 범위로 입력하세요." errorStyle="stop" errorTitle="입력 범위 오류" operator="between" showDropDown="false" showErrorMessage="true" showInputMessage="false" sqref="C16:D16" type="decimal">
      <formula1>1</formula1>
      <formula2>600</formula2>
    </dataValidation>
    <dataValidation allowBlank="false" error="로봇 1대당 작업자: 0.5 ~ 10 범위로 입력하세요." errorStyle="stop" errorTitle="입력 범위 오류" operator="between" showDropDown="false" showErrorMessage="true" showInputMessage="false" sqref="C17:D17" type="decimal">
      <formula1>0.5</formula1>
      <formula2>10</formula2>
    </dataValidation>
    <dataValidation allowBlank="false" error="조립 1조 인원: 1 ~ 50 범위로 입력하세요." errorStyle="stop" errorTitle="입력 범위 오류" operator="between" showDropDown="false" showErrorMessage="true" showInputMessage="false" sqref="C18:D18" type="whole">
      <formula1>1</formula1>
      <formula2>50</formula2>
    </dataValidation>
    <dataValidation allowBlank="false" error="조립 조 수: 1 ~ 10 범위로 입력하세요." errorStyle="stop" errorTitle="입력 범위 오류" operator="between" showDropDown="false" showErrorMessage="true" showInputMessage="false" sqref="C19:D19" type="whole">
      <formula1>1</formula1>
      <formula2>10</formula2>
    </dataValidation>
    <dataValidation allowBlank="false" error="조립 라인 효율 (로봇 OEE와 별도): 0.01 ~ 1 범위로 입력하세요." errorStyle="stop" errorTitle="입력 범위 오류" operator="between" showDropDown="false" showErrorMessage="true" showInputMessage="false" sqref="C20:D20" type="decimal">
      <formula1>0.01</formula1>
      <formula2>1</formula2>
    </dataValidation>
    <dataValidation allowBlank="false" error="소재 단가: 0 ~ 1000000 범위로 입력하세요." errorStyle="stop" errorTitle="입력 범위 오류" operator="between" showDropDown="false" showErrorMessage="true" showInputMessage="false" sqref="C22:D22" type="decimal">
      <formula1>0</formula1>
      <formula2>1000000</formula2>
    </dataValidation>
    <dataValidation allowBlank="false" error="소재 비중: 1 ~ 25 범위로 입력하세요." errorStyle="stop" errorTitle="입력 범위 오류" operator="between" showDropDown="false" showErrorMessage="true" showInputMessage="false" sqref="C23:D23" type="decimal">
      <formula1>1</formula1>
      <formula2>25</formula2>
    </dataValidation>
    <dataValidation allowBlank="false" error="외경 OD: 1 ~ 500 범위로 입력하세요." errorStyle="stop" errorTitle="입력 범위 오류" operator="between" showDropDown="false" showErrorMessage="true" showInputMessage="false" sqref="C24:D24" type="decimal">
      <formula1>1</formula1>
      <formula2>500</formula2>
    </dataValidation>
    <dataValidation allowBlank="false" error="두께 t: 0.05 ~ 50 범위로 입력하세요." errorStyle="stop" errorTitle="입력 범위 오류" operator="between" showDropDown="false" showErrorMessage="true" showInputMessage="false" sqref="C25:D25" type="decimal">
      <formula1>0.05</formula1>
      <formula2>50</formula2>
    </dataValidation>
    <dataValidation allowBlank="false" error="파이프 A 길이: 1 ~ 10000 범위로 입력하세요." errorStyle="stop" errorTitle="입력 범위 오류" operator="between" showDropDown="false" showErrorMessage="true" showInputMessage="false" sqref="C26:D26" type="decimal">
      <formula1>1</formula1>
      <formula2>10000</formula2>
    </dataValidation>
    <dataValidation allowBlank="false" error="파이프 B 길이: 1 ~ 10000 범위로 입력하세요." errorStyle="stop" errorTitle="입력 범위 오류" operator="between" showDropDown="false" showErrorMessage="true" showInputMessage="false" sqref="C27:D27" type="decimal">
      <formula1>1</formula1>
      <formula2>10000</formula2>
    </dataValidation>
    <dataValidation allowBlank="false" error="소재 로스율 (추가 투입률): 0 ~ 0.5 범위로 입력하세요." errorStyle="stop" errorTitle="입력 범위 오류" operator="between" showDropDown="false" showErrorMessage="true" showInputMessage="false" sqref="C28:D28" type="decimal">
      <formula1>0</formula1>
      <formula2>0.5</formula2>
    </dataValidation>
    <dataValidation allowBlank="false" error="프랜지 개당 수량: 0 ~ 100 범위로 입력하세요." errorStyle="stop" errorTitle="입력 범위 오류" operator="between" showDropDown="false" showErrorMessage="true" showInputMessage="false" sqref="C30:D30" type="decimal">
      <formula1>0</formula1>
      <formula2>100</formula2>
    </dataValidation>
    <dataValidation allowBlank="false" error="프랜지 단가: 0 ~ 1000000 범위로 입력하세요." errorStyle="stop" errorTitle="입력 범위 오류" operator="between" showDropDown="false" showErrorMessage="true" showInputMessage="false" sqref="C31:D31" type="decimal">
      <formula1>0</formula1>
      <formula2>1000000</formula2>
    </dataValidation>
    <dataValidation allowBlank="false" error="다이캐스팅 개당 수량: 0 ~ 100 범위로 입력하세요." errorStyle="stop" errorTitle="입력 범위 오류" operator="between" showDropDown="false" showErrorMessage="true" showInputMessage="false" sqref="C32:D32" type="decimal">
      <formula1>0</formula1>
      <formula2>100</formula2>
    </dataValidation>
    <dataValidation allowBlank="false" error="다이캐스팅 단가: 0 ~ 1000000 범위로 입력하세요." errorStyle="stop" errorTitle="입력 범위 오류" operator="between" showDropDown="false" showErrorMessage="true" showInputMessage="false" sqref="C33:D33" type="decimal">
      <formula1>0</formula1>
      <formula2>1000000</formula2>
    </dataValidation>
    <dataValidation allowBlank="false" error="포장지 개당 수량: 0 ~ 100 범위로 입력하세요." errorStyle="stop" errorTitle="입력 범위 오류" operator="between" showDropDown="false" showErrorMessage="true" showInputMessage="false" sqref="C34:D34" type="decimal">
      <formula1>0</formula1>
      <formula2>100</formula2>
    </dataValidation>
    <dataValidation allowBlank="false" error="포장지 단가: 0 ~ 100000 범위로 입력하세요." errorStyle="stop" errorTitle="입력 범위 오류" operator="between" showDropDown="false" showErrorMessage="true" showInputMessage="false" sqref="C35:D35" type="decimal">
      <formula1>0</formula1>
      <formula2>100000</formula2>
    </dataValidation>
    <dataValidation allowBlank="false" error="박스 단가: 0 ~ 100000 범위로 입력하세요." errorStyle="stop" errorTitle="입력 범위 오류" operator="between" showDropDown="false" showErrorMessage="true" showInputMessage="false" sqref="C36:D36" type="decimal">
      <formula1>0</formula1>
      <formula2>100000</formula2>
    </dataValidation>
    <dataValidation allowBlank="false" error="박스 1개당 제품 입수: 1 ~ 1000 범위로 입력하세요." errorStyle="stop" errorTitle="입력 범위 오류" operator="between" showDropDown="false" showErrorMessage="true" showInputMessage="false" sqref="C37:D37" type="whole">
      <formula1>1</formula1>
      <formula2>1000</formula2>
    </dataValidation>
    <dataValidation allowBlank="false" error="라벨 개당 수량: 0 ~ 100 범위로 입력하세요." errorStyle="stop" errorTitle="입력 범위 오류" operator="between" showDropDown="false" showErrorMessage="true" showInputMessage="false" sqref="C38:D38" type="decimal">
      <formula1>0</formula1>
      <formula2>100</formula2>
    </dataValidation>
    <dataValidation allowBlank="false" error="라벨 단가: 0 ~ 10000 범위로 입력하세요." errorStyle="stop" errorTitle="입력 범위 오류" operator="between" showDropDown="false" showErrorMessage="true" showInputMessage="false" sqref="C39:D39" type="decimal">
      <formula1>0</formula1>
      <formula2>10000</formula2>
    </dataValidation>
    <dataValidation allowBlank="false" error="1인 월급 (기본): 1 ~ 50000000 범위로 입력하세요." errorStyle="stop" errorTitle="입력 범위 오류" operator="between" showDropDown="false" showErrorMessage="true" showInputMessage="false" sqref="C41:D41" type="decimal">
      <formula1>1</formula1>
      <formula2>50000000</formula2>
    </dataValidation>
    <dataValidation allowBlank="false" error="1인 월 연장·수당 추가: 0 ~ 50000000 범위로 입력하세요." errorStyle="stop" errorTitle="입력 범위 오류" operator="between" showDropDown="false" showErrorMessage="true" showInputMessage="false" sqref="C42:D42" type="decimal">
      <formula1>0</formula1>
      <formula2>50000000</formula2>
    </dataValidation>
    <dataValidation allowBlank="false" error="급여 부담률 (4대보험·퇴직충당 등): 0 ~ 1 범위로 입력하세요." errorStyle="stop" errorTitle="입력 범위 오류" operator="between" showDropDown="false" showErrorMessage="true" showInputMessage="false" sqref="C43:D43" type="decimal">
      <formula1>0</formula1>
      <formula2>1</formula2>
    </dataValidation>
    <dataValidation allowBlank="false" error="세척비: 0 ~ 100000 범위로 입력하세요." errorStyle="stop" errorTitle="입력 범위 오류" operator="between" showDropDown="false" showErrorMessage="true" showInputMessage="false" sqref="C44:D44" type="decimal">
      <formula1>0</formula1>
      <formula2>100000</formula2>
    </dataValidation>
    <dataValidation allowBlank="false" error="설비 감가상각 배부: 0 ~ 100000 범위로 입력하세요." errorStyle="stop" errorTitle="입력 범위 오류" operator="between" showDropDown="false" showErrorMessage="true" showInputMessage="false" sqref="C45:D45" type="decimal">
      <formula1>0</formula1>
      <formula2>100000</formula2>
    </dataValidation>
    <dataValidation allowBlank="false" error="전력·가스: 0 ~ 100000 범위로 입력하세요." errorStyle="stop" errorTitle="입력 범위 오류" operator="between" showDropDown="false" showErrorMessage="true" showInputMessage="false" sqref="C46:D46" type="decimal">
      <formula1>0</formula1>
      <formula2>100000</formula2>
    </dataValidation>
    <dataValidation allowBlank="false" error="유지보수: 0 ~ 100000 범위로 입력하세요." errorStyle="stop" errorTitle="입력 범위 오류" operator="between" showDropDown="false" showErrorMessage="true" showInputMessage="false" sqref="C47:D47" type="decimal">
      <formula1>0</formula1>
      <formula2>100000</formula2>
    </dataValidation>
    <dataValidation allowBlank="false" error="공구·소모품: 0 ~ 100000 범위로 입력하세요." errorStyle="stop" errorTitle="입력 범위 오류" operator="between" showDropDown="false" showErrorMessage="true" showInputMessage="false" sqref="C48:D48" type="decimal">
      <formula1>0</formula1>
      <formula2>100000</formula2>
    </dataValidation>
    <dataValidation allowBlank="false" error="기타 경비 (분류 전 합계): 0 ~ 100000 범위로 입력하세요." errorStyle="stop" errorTitle="입력 범위 오류" operator="between" showDropDown="false" showErrorMessage="true" showInputMessage="false" sqref="C49:D49" type="decimal">
      <formula1>0</formula1>
      <formula2>100000</formula2>
    </dataValidation>
    <dataValidation allowBlank="false" error="공정 불량률 (스크랩·재작업 손실): 0 ~ 0.5 범위로 입력하세요." errorStyle="stop" errorTitle="입력 범위 오류" operator="between" showDropDown="false" showErrorMessage="true" showInputMessage="false" sqref="C50:D50" type="decimal">
      <formula1>0</formula1>
      <formula2>0.5</formula2>
    </dataValidation>
    <dataValidation allowBlank="false" error="관리비·이익 가산율 (직접원가 대비): 0 ~ 2 범위로 입력하세요." errorStyle="stop" errorTitle="입력 범위 오류" operator="between" showDropDown="false" showErrorMessage="true" showInputMessage="false" sqref="C52:D52" type="decimal">
      <formula1>0</formula1>
      <formula2>2</formula2>
    </dataValidation>
    <dataValidation allowBlank="false" error="참고: 목표 매출총이익률: 0 ~ 0.9 범위로 입력하세요." errorStyle="stop" errorTitle="입력 범위 오류" operator="between" showDropDown="false" showErrorMessage="true" showInputMessage="false" sqref="C53:D53" type="decimal">
      <formula1>0</formula1>
      <formula2>0.9</formula2>
    </dataValidation>
    <dataValidation allowBlank="false" error="부가가치세율: 0 ~ 0.5 범위로 입력하세요." errorStyle="stop" errorTitle="입력 범위 오류" operator="between" showDropDown="false" showErrorMessage="true" showInputMessage="false" sqref="C54:D54" type="decimal">
      <formula1>0</formula1>
      <formula2>0.5</formula2>
    </dataValidation>
    <dataValidation allowBlank="false" errorStyle="stop" operator="between" showDropDown="false" showErrorMessage="false" showInputMessage="false" sqref="G6:G20 G22:G28 G30:G39 G41:G50 G52:G54" type="list">
      <formula1>"미확인,확인완료"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"/>
    <col collapsed="false" customWidth="true" hidden="false" outlineLevel="0" max="4" min="3" style="0" width="16"/>
    <col collapsed="false" customWidth="true" hidden="false" outlineLevel="0" max="5" min="5" style="0" width="3"/>
    <col collapsed="false" customWidth="true" hidden="false" outlineLevel="0" max="6" min="6" style="0" width="56"/>
  </cols>
  <sheetData>
    <row r="1" customFormat="false" ht="25.5" hidden="false" customHeight="true" outlineLevel="0" collapsed="false">
      <c r="A1" s="61" t="s">
        <v>230</v>
      </c>
      <c r="B1" s="61"/>
      <c r="C1" s="61"/>
      <c r="D1" s="61"/>
      <c r="E1" s="61"/>
      <c r="F1" s="61"/>
    </row>
    <row r="2" customFormat="false" ht="30" hidden="false" customHeight="true" outlineLevel="0" collapsed="false">
      <c r="A2" s="2" t="s">
        <v>231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5" t="s">
        <v>15</v>
      </c>
      <c r="B4" s="5" t="s">
        <v>16</v>
      </c>
      <c r="C4" s="12" t="s">
        <v>17</v>
      </c>
      <c r="D4" s="12" t="s">
        <v>18</v>
      </c>
      <c r="E4" s="5"/>
      <c r="F4" s="5" t="s">
        <v>232</v>
      </c>
    </row>
    <row r="5" customFormat="false" ht="15" hidden="false" customHeight="false" outlineLevel="0" collapsed="false">
      <c r="A5" s="13" t="s">
        <v>233</v>
      </c>
      <c r="B5" s="14"/>
      <c r="C5" s="14"/>
      <c r="D5" s="14"/>
      <c r="E5" s="14"/>
      <c r="F5" s="14"/>
    </row>
    <row r="6" customFormat="false" ht="15" hidden="false" customHeight="false" outlineLevel="0" collapsed="false">
      <c r="A6" s="15" t="s">
        <v>234</v>
      </c>
      <c r="B6" s="20" t="s">
        <v>134</v>
      </c>
      <c r="C6" s="32" t="n">
        <f aca="false">(입력!C9-입력!C8)*60</f>
        <v>660</v>
      </c>
      <c r="D6" s="32" t="str">
        <f aca="false">IF(입력!$D$57&lt;&gt;"완료","입력 필요",(입력!D9-입력!D8)*60)</f>
        <v>입력 필요</v>
      </c>
      <c r="F6" s="11" t="s">
        <v>235</v>
      </c>
    </row>
    <row r="7" customFormat="false" ht="15" hidden="false" customHeight="false" outlineLevel="0" collapsed="false">
      <c r="A7" s="15" t="s">
        <v>236</v>
      </c>
      <c r="B7" s="20" t="s">
        <v>137</v>
      </c>
      <c r="C7" s="62" t="n">
        <f aca="false">ROUNDDOWN((입력!C9-입력!C8)/입력!C10,0)</f>
        <v>5</v>
      </c>
      <c r="D7" s="62" t="str">
        <f aca="false">IF(입력!$D$57&lt;&gt;"완료","입력 필요",ROUNDDOWN((입력!D9-입력!D8)/입력!D10,0))</f>
        <v>입력 필요</v>
      </c>
      <c r="F7" s="11" t="s">
        <v>237</v>
      </c>
    </row>
    <row r="8" customFormat="false" ht="15" hidden="false" customHeight="false" outlineLevel="0" collapsed="false">
      <c r="A8" s="15" t="s">
        <v>238</v>
      </c>
      <c r="B8" s="20" t="s">
        <v>137</v>
      </c>
      <c r="C8" s="62" t="n">
        <f aca="false">MAX(0,C7-입력!C12)</f>
        <v>5</v>
      </c>
      <c r="D8" s="62" t="str">
        <f aca="false">IF(입력!$D$57&lt;&gt;"완료","입력 필요",MAX(0,D7-입력!D12))</f>
        <v>입력 필요</v>
      </c>
      <c r="F8" s="11" t="s">
        <v>239</v>
      </c>
    </row>
    <row r="9" customFormat="false" ht="15" hidden="false" customHeight="false" outlineLevel="0" collapsed="false">
      <c r="A9" s="15" t="s">
        <v>240</v>
      </c>
      <c r="B9" s="20" t="s">
        <v>134</v>
      </c>
      <c r="C9" s="32" t="n">
        <f aca="false">C8*입력!C11</f>
        <v>75</v>
      </c>
      <c r="D9" s="32" t="str">
        <f aca="false">IF(입력!$D$57&lt;&gt;"완료","입력 필요",D8*입력!D11)</f>
        <v>입력 필요</v>
      </c>
      <c r="F9" s="11" t="s">
        <v>241</v>
      </c>
    </row>
    <row r="10" customFormat="false" ht="15" hidden="false" customHeight="false" outlineLevel="0" collapsed="false">
      <c r="A10" s="15" t="s">
        <v>242</v>
      </c>
      <c r="B10" s="20" t="s">
        <v>134</v>
      </c>
      <c r="C10" s="32" t="n">
        <f aca="false">입력!C13+입력!C14</f>
        <v>60</v>
      </c>
      <c r="D10" s="32" t="str">
        <f aca="false">IF(입력!$D$57&lt;&gt;"완료","입력 필요",입력!D13+입력!D14)</f>
        <v>입력 필요</v>
      </c>
      <c r="F10" s="11" t="s">
        <v>243</v>
      </c>
    </row>
    <row r="11" customFormat="false" ht="15" hidden="false" customHeight="false" outlineLevel="0" collapsed="false">
      <c r="A11" s="15" t="s">
        <v>244</v>
      </c>
      <c r="B11" s="20" t="s">
        <v>134</v>
      </c>
      <c r="C11" s="32" t="n">
        <f aca="false">C6-C9-C10</f>
        <v>525</v>
      </c>
      <c r="D11" s="32" t="str">
        <f aca="false">IF(입력!$D$57&lt;&gt;"완료","입력 필요",D6-D9-D10)</f>
        <v>입력 필요</v>
      </c>
      <c r="F11" s="11" t="s">
        <v>245</v>
      </c>
    </row>
    <row r="12" customFormat="false" ht="15" hidden="false" customHeight="false" outlineLevel="0" collapsed="false">
      <c r="A12" s="15" t="s">
        <v>244</v>
      </c>
      <c r="B12" s="20" t="s">
        <v>246</v>
      </c>
      <c r="C12" s="32" t="n">
        <f aca="false">C11*60</f>
        <v>31500</v>
      </c>
      <c r="D12" s="32" t="str">
        <f aca="false">IF(입력!$D$57&lt;&gt;"완료","입력 필요",D11*60)</f>
        <v>입력 필요</v>
      </c>
      <c r="F12" s="60"/>
    </row>
    <row r="13" customFormat="false" ht="15" hidden="false" customHeight="false" outlineLevel="0" collapsed="false">
      <c r="A13" s="15" t="s">
        <v>247</v>
      </c>
      <c r="B13" s="20" t="s">
        <v>147</v>
      </c>
      <c r="C13" s="63" t="n">
        <f aca="false">C12/입력!C6</f>
        <v>12.6</v>
      </c>
      <c r="D13" s="63" t="str">
        <f aca="false">IF(입력!$D$57&lt;&gt;"완료","입력 필요",D12/입력!D6)</f>
        <v>입력 필요</v>
      </c>
      <c r="F13" s="11" t="s">
        <v>248</v>
      </c>
    </row>
    <row r="14" customFormat="false" ht="15" hidden="false" customHeight="false" outlineLevel="0" collapsed="false">
      <c r="A14" s="15" t="s">
        <v>249</v>
      </c>
      <c r="B14" s="20" t="s">
        <v>147</v>
      </c>
      <c r="C14" s="63" t="n">
        <f aca="false">C13*입력!C15</f>
        <v>12.6</v>
      </c>
      <c r="D14" s="63" t="str">
        <f aca="false">IF(입력!$D$57&lt;&gt;"완료","입력 필요",D13*입력!D15)</f>
        <v>입력 필요</v>
      </c>
      <c r="F14" s="11" t="s">
        <v>250</v>
      </c>
    </row>
    <row r="15" customFormat="false" ht="15" hidden="false" customHeight="false" outlineLevel="0" collapsed="false">
      <c r="A15" s="15" t="s">
        <v>251</v>
      </c>
      <c r="B15" s="20" t="s">
        <v>147</v>
      </c>
      <c r="C15" s="63" t="n">
        <f aca="false">C13*입력!C20</f>
        <v>12.6</v>
      </c>
      <c r="D15" s="63" t="str">
        <f aca="false">IF(입력!$D$57&lt;&gt;"완료","입력 필요",D13*입력!D20)</f>
        <v>입력 필요</v>
      </c>
      <c r="F15" s="11" t="s">
        <v>252</v>
      </c>
    </row>
    <row r="16" customFormat="false" ht="15" hidden="false" customHeight="false" outlineLevel="0" collapsed="false">
      <c r="A16" s="13" t="s">
        <v>253</v>
      </c>
      <c r="B16" s="14"/>
      <c r="C16" s="14"/>
      <c r="D16" s="14"/>
      <c r="E16" s="14"/>
      <c r="F16" s="14"/>
    </row>
    <row r="17" customFormat="false" ht="15" hidden="false" customHeight="false" outlineLevel="0" collapsed="false">
      <c r="A17" s="15" t="s">
        <v>254</v>
      </c>
      <c r="B17" s="20" t="s">
        <v>75</v>
      </c>
      <c r="C17" s="64" t="n">
        <f aca="false">C12/입력!C16</f>
        <v>684.782608695652</v>
      </c>
      <c r="D17" s="64" t="str">
        <f aca="false">IF(입력!$D$57&lt;&gt;"완료","입력 필요",D12/입력!D16)</f>
        <v>입력 필요</v>
      </c>
      <c r="F17" s="11" t="s">
        <v>255</v>
      </c>
    </row>
    <row r="18" customFormat="false" ht="15" hidden="false" customHeight="false" outlineLevel="0" collapsed="false">
      <c r="A18" s="15" t="s">
        <v>256</v>
      </c>
      <c r="B18" s="20" t="s">
        <v>75</v>
      </c>
      <c r="C18" s="64" t="n">
        <f aca="false">C17*입력!C15</f>
        <v>684.782608695652</v>
      </c>
      <c r="D18" s="64" t="str">
        <f aca="false">IF(입력!$D$57&lt;&gt;"완료","입력 필요",D17*입력!D15)</f>
        <v>입력 필요</v>
      </c>
      <c r="F18" s="11" t="s">
        <v>257</v>
      </c>
    </row>
    <row r="19" customFormat="false" ht="15" hidden="false" customHeight="false" outlineLevel="0" collapsed="false">
      <c r="A19" s="22" t="s">
        <v>258</v>
      </c>
      <c r="B19" s="20" t="s">
        <v>83</v>
      </c>
      <c r="C19" s="65" t="n">
        <f aca="false">ROUNDUP(입력!C6/C18,0)</f>
        <v>4</v>
      </c>
      <c r="D19" s="65" t="str">
        <f aca="false">IF(입력!$D$57&lt;&gt;"완료","입력 필요",ROUNDUP(입력!D6/D18,0))</f>
        <v>입력 필요</v>
      </c>
      <c r="F19" s="60" t="s">
        <v>259</v>
      </c>
    </row>
    <row r="20" customFormat="false" ht="15" hidden="false" customHeight="false" outlineLevel="0" collapsed="false">
      <c r="A20" s="15" t="s">
        <v>260</v>
      </c>
      <c r="B20" s="20" t="s">
        <v>83</v>
      </c>
      <c r="C20" s="62" t="n">
        <f aca="false">ROUNDUP(입력!C6/C17,0)</f>
        <v>4</v>
      </c>
      <c r="D20" s="62" t="str">
        <f aca="false">IF(입력!$D$57&lt;&gt;"완료","입력 필요",ROUNDUP(입력!D6/D17,0))</f>
        <v>입력 필요</v>
      </c>
      <c r="F20" s="60" t="s">
        <v>261</v>
      </c>
    </row>
    <row r="21" customFormat="false" ht="15" hidden="false" customHeight="false" outlineLevel="0" collapsed="false">
      <c r="A21" s="15" t="s">
        <v>262</v>
      </c>
      <c r="B21" s="20" t="s">
        <v>75</v>
      </c>
      <c r="C21" s="64" t="n">
        <f aca="false">C18*C19</f>
        <v>2739.13043478261</v>
      </c>
      <c r="D21" s="64" t="str">
        <f aca="false">IF(입력!$D$57&lt;&gt;"완료","입력 필요",D18*D19)</f>
        <v>입력 필요</v>
      </c>
      <c r="F21" s="60"/>
    </row>
    <row r="22" customFormat="false" ht="15" hidden="false" customHeight="false" outlineLevel="0" collapsed="false">
      <c r="A22" s="15" t="s">
        <v>263</v>
      </c>
      <c r="B22" s="16" t="s">
        <v>64</v>
      </c>
      <c r="C22" s="19" t="n">
        <f aca="false">입력!C6/C21</f>
        <v>0.912698412698413</v>
      </c>
      <c r="D22" s="19" t="str">
        <f aca="false">IF(입력!$D$57&lt;&gt;"완료","입력 필요",입력!D6/D21)</f>
        <v>입력 필요</v>
      </c>
      <c r="F22" s="60"/>
    </row>
    <row r="23" customFormat="false" ht="15" hidden="false" customHeight="false" outlineLevel="0" collapsed="false">
      <c r="A23" s="15" t="s">
        <v>264</v>
      </c>
      <c r="B23" s="20" t="s">
        <v>75</v>
      </c>
      <c r="C23" s="64" t="n">
        <f aca="false">C21-입력!C6</f>
        <v>239.130434782609</v>
      </c>
      <c r="D23" s="64" t="str">
        <f aca="false">IF(입력!$D$57&lt;&gt;"완료","입력 필요",D21-입력!D6)</f>
        <v>입력 필요</v>
      </c>
      <c r="F23" s="60"/>
    </row>
    <row r="24" customFormat="false" ht="15" hidden="false" customHeight="false" outlineLevel="0" collapsed="false">
      <c r="A24" s="22" t="s">
        <v>99</v>
      </c>
      <c r="B24" s="16"/>
      <c r="C24" s="66" t="str">
        <f aca="false">IF(C21&gt;=입력!C6,"충족","부족")</f>
        <v>충족</v>
      </c>
      <c r="D24" s="66" t="str">
        <f aca="false">IF(입력!$D$57&lt;&gt;"완료","입력 필요",IF(D21&gt;=입력!D6,"충족","부족"))</f>
        <v>입력 필요</v>
      </c>
      <c r="F24" s="11" t="s">
        <v>265</v>
      </c>
    </row>
    <row r="25" customFormat="false" ht="15" hidden="false" customHeight="false" outlineLevel="0" collapsed="false">
      <c r="A25" s="15" t="s">
        <v>266</v>
      </c>
      <c r="B25" s="20" t="s">
        <v>75</v>
      </c>
      <c r="C25" s="64" t="n">
        <f aca="false">C20*C18-입력!C6</f>
        <v>239.130434782609</v>
      </c>
      <c r="D25" s="64" t="str">
        <f aca="false">IF(입력!$D$57&lt;&gt;"완료","입력 필요",D20*D18-입력!D6)</f>
        <v>입력 필요</v>
      </c>
      <c r="F25" s="60" t="s">
        <v>267</v>
      </c>
    </row>
    <row r="26" customFormat="false" ht="15" hidden="false" customHeight="false" outlineLevel="0" collapsed="false">
      <c r="A26" s="13" t="s">
        <v>268</v>
      </c>
      <c r="B26" s="14"/>
      <c r="C26" s="14"/>
      <c r="D26" s="14"/>
      <c r="E26" s="14"/>
      <c r="F26" s="14"/>
    </row>
    <row r="27" customFormat="false" ht="15" hidden="false" customHeight="false" outlineLevel="0" collapsed="false">
      <c r="A27" s="15" t="s">
        <v>269</v>
      </c>
      <c r="B27" s="20" t="s">
        <v>86</v>
      </c>
      <c r="C27" s="62" t="n">
        <f aca="false">입력!C17*C19</f>
        <v>4</v>
      </c>
      <c r="D27" s="62" t="str">
        <f aca="false">IF(입력!$D$57&lt;&gt;"완료","입력 필요",입력!D17*D19)</f>
        <v>입력 필요</v>
      </c>
      <c r="F27" s="11" t="s">
        <v>270</v>
      </c>
    </row>
    <row r="28" customFormat="false" ht="15" hidden="false" customHeight="false" outlineLevel="0" collapsed="false">
      <c r="A28" s="15" t="s">
        <v>271</v>
      </c>
      <c r="B28" s="20" t="s">
        <v>86</v>
      </c>
      <c r="C28" s="62" t="n">
        <f aca="false">입력!C18*입력!C19</f>
        <v>4</v>
      </c>
      <c r="D28" s="62" t="str">
        <f aca="false">IF(입력!$D$57&lt;&gt;"완료","입력 필요",입력!D18*입력!D19)</f>
        <v>입력 필요</v>
      </c>
      <c r="F28" s="11" t="s">
        <v>272</v>
      </c>
    </row>
    <row r="29" customFormat="false" ht="15" hidden="false" customHeight="false" outlineLevel="0" collapsed="false">
      <c r="A29" s="15" t="s">
        <v>85</v>
      </c>
      <c r="B29" s="20" t="s">
        <v>86</v>
      </c>
      <c r="C29" s="62" t="n">
        <f aca="false">C27+C28</f>
        <v>8</v>
      </c>
      <c r="D29" s="62" t="str">
        <f aca="false">IF(입력!$D$57&lt;&gt;"완료","입력 필요",D27+D28)</f>
        <v>입력 필요</v>
      </c>
      <c r="F29" s="60"/>
    </row>
    <row r="30" customFormat="false" ht="15" hidden="false" customHeight="false" outlineLevel="0" collapsed="false">
      <c r="A30" s="15" t="s">
        <v>74</v>
      </c>
      <c r="B30" s="20" t="s">
        <v>75</v>
      </c>
      <c r="C30" s="32" t="n">
        <f aca="false">입력!C6*입력!C7</f>
        <v>55000</v>
      </c>
      <c r="D30" s="32" t="str">
        <f aca="false">IF(입력!$D$57&lt;&gt;"완료","입력 필요",입력!D6*입력!D7)</f>
        <v>입력 필요</v>
      </c>
      <c r="F30" s="11" t="s">
        <v>273</v>
      </c>
    </row>
    <row r="31" customFormat="false" ht="15" hidden="false" customHeight="false" outlineLevel="0" collapsed="false">
      <c r="A31" s="15" t="s">
        <v>274</v>
      </c>
      <c r="B31" s="20" t="s">
        <v>28</v>
      </c>
      <c r="C31" s="32" t="n">
        <f aca="false">C29*(입력!C41+입력!C42)*(1+입력!C43)</f>
        <v>25600000</v>
      </c>
      <c r="D31" s="32" t="str">
        <f aca="false">IF(입력!$D$57&lt;&gt;"완료","입력 필요",D29*(입력!D41+입력!D42)*(1+입력!D43))</f>
        <v>입력 필요</v>
      </c>
      <c r="F31" s="11" t="s">
        <v>275</v>
      </c>
    </row>
    <row r="32" customFormat="false" ht="15" hidden="false" customHeight="false" outlineLevel="0" collapsed="false">
      <c r="A32" s="22" t="s">
        <v>276</v>
      </c>
      <c r="B32" s="20" t="s">
        <v>28</v>
      </c>
      <c r="C32" s="23" t="n">
        <f aca="false">C27*(입력!C41+입력!C42)*(1+입력!C43)/C30</f>
        <v>232.727272727273</v>
      </c>
      <c r="D32" s="23" t="str">
        <f aca="false">IF(입력!$D$57&lt;&gt;"완료","입력 필요",D27*(입력!D41+입력!D42)*(1+입력!D43)/D30)</f>
        <v>입력 필요</v>
      </c>
      <c r="F32" s="60"/>
    </row>
    <row r="33" customFormat="false" ht="15" hidden="false" customHeight="false" outlineLevel="0" collapsed="false">
      <c r="A33" s="22" t="s">
        <v>277</v>
      </c>
      <c r="B33" s="20" t="s">
        <v>28</v>
      </c>
      <c r="C33" s="23" t="n">
        <f aca="false">C28*(입력!C41+입력!C42)*(1+입력!C43)/C30</f>
        <v>232.727272727273</v>
      </c>
      <c r="D33" s="23" t="str">
        <f aca="false">IF(입력!$D$57&lt;&gt;"완료","입력 필요",D28*(입력!D41+입력!D42)*(1+입력!D43)/D30)</f>
        <v>입력 필요</v>
      </c>
      <c r="F33" s="60"/>
    </row>
  </sheetData>
  <sheetProtection sheet="true"/>
  <mergeCells count="2">
    <mergeCell ref="A1:F1"/>
    <mergeCell ref="A2:F2"/>
  </mergeCells>
  <conditionalFormatting sqref="C24:D24">
    <cfRule type="cellIs" priority="2" operator="equal" aboveAverage="0" equalAverage="0" bottom="0" percent="0" rank="0" text="" dxfId="0">
      <formula>"부족"</formula>
    </cfRule>
  </conditionalFormatting>
  <conditionalFormatting sqref="C25:D25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20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" t="s">
        <v>278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40" t="s">
        <v>279</v>
      </c>
      <c r="B2" s="40"/>
      <c r="C2" s="40"/>
      <c r="D2" s="40"/>
      <c r="E2" s="40"/>
      <c r="F2" s="40"/>
      <c r="G2" s="40"/>
      <c r="H2" s="40"/>
    </row>
    <row r="4" customFormat="false" ht="27.75" hidden="false" customHeight="true" outlineLevel="0" collapsed="false">
      <c r="A4" s="5" t="s">
        <v>280</v>
      </c>
      <c r="B4" s="5" t="s">
        <v>281</v>
      </c>
      <c r="C4" s="5" t="s">
        <v>282</v>
      </c>
      <c r="D4" s="5" t="s">
        <v>283</v>
      </c>
      <c r="E4" s="5" t="s">
        <v>284</v>
      </c>
      <c r="F4" s="5" t="s">
        <v>285</v>
      </c>
      <c r="G4" s="5" t="s">
        <v>286</v>
      </c>
      <c r="H4" s="5" t="s">
        <v>287</v>
      </c>
    </row>
    <row r="5" customFormat="false" ht="15" hidden="false" customHeight="false" outlineLevel="0" collapsed="false">
      <c r="A5" s="15" t="s">
        <v>288</v>
      </c>
      <c r="B5" s="67"/>
      <c r="C5" s="68"/>
      <c r="D5" s="69" t="str">
        <f aca="false">IF(OR(NOT(ISNUMBER(B5)),NOT(ISNUMBER(C5))),"",IF(AND(B5&gt;0,C5&gt;0),B5/C5,""))</f>
        <v/>
      </c>
      <c r="E5" s="70" t="str">
        <f aca="false">IF(AND(ISNUMBER(B5),ISNUMBER(CT계산!$C$15),B5&gt;0),ROUNDUP(B5/CT계산!$C$15,0),"")</f>
        <v/>
      </c>
      <c r="F5" s="70" t="str">
        <f aca="false">IF(AND(ISNUMBER(B5),ISNUMBER(CT계산!$D$15),B5&gt;0),ROUNDUP(B5/CT계산!$D$15,0),"")</f>
        <v/>
      </c>
      <c r="G5" s="71" t="str">
        <f aca="false">IF(AND(B5="",C5=""),"미측정",IF(OR(NOT(ISNUMBER(B5)),NOT(ISNUMBER(C5))),"입력확인",IF(OR(B5&lt;=0,C5&lt;=0),"입력확인",IF(NOT(ISNUMBER(CT계산!$C$15)),"택트 입력필요",IF(D5&lt;=CT계산!$C$15,"충족","병목")))))</f>
        <v>미측정</v>
      </c>
      <c r="H5" s="71" t="str">
        <f aca="false">IF(AND(B5="",C5=""),"미측정",IF(OR(NOT(ISNUMBER(B5)),NOT(ISNUMBER(C5))),"입력확인",IF(OR(B5&lt;=0,C5&lt;=0),"입력확인",IF(NOT(ISNUMBER(CT계산!$D$15)),"택트 입력필요",IF(D5&lt;=CT계산!$D$15,"충족","병목")))))</f>
        <v>미측정</v>
      </c>
    </row>
    <row r="6" customFormat="false" ht="15" hidden="false" customHeight="false" outlineLevel="0" collapsed="false">
      <c r="A6" s="15" t="s">
        <v>289</v>
      </c>
      <c r="B6" s="67"/>
      <c r="C6" s="68"/>
      <c r="D6" s="69" t="str">
        <f aca="false">IF(OR(NOT(ISNUMBER(B6)),NOT(ISNUMBER(C6))),"",IF(AND(B6&gt;0,C6&gt;0),B6/C6,""))</f>
        <v/>
      </c>
      <c r="E6" s="70" t="str">
        <f aca="false">IF(AND(ISNUMBER(B6),ISNUMBER(CT계산!$C$15),B6&gt;0),ROUNDUP(B6/CT계산!$C$15,0),"")</f>
        <v/>
      </c>
      <c r="F6" s="70" t="str">
        <f aca="false">IF(AND(ISNUMBER(B6),ISNUMBER(CT계산!$D$15),B6&gt;0),ROUNDUP(B6/CT계산!$D$15,0),"")</f>
        <v/>
      </c>
      <c r="G6" s="71" t="str">
        <f aca="false">IF(AND(B6="",C6=""),"미측정",IF(OR(NOT(ISNUMBER(B6)),NOT(ISNUMBER(C6))),"입력확인",IF(OR(B6&lt;=0,C6&lt;=0),"입력확인",IF(NOT(ISNUMBER(CT계산!$C$15)),"택트 입력필요",IF(D6&lt;=CT계산!$C$15,"충족","병목")))))</f>
        <v>미측정</v>
      </c>
      <c r="H6" s="71" t="str">
        <f aca="false">IF(AND(B6="",C6=""),"미측정",IF(OR(NOT(ISNUMBER(B6)),NOT(ISNUMBER(C6))),"입력확인",IF(OR(B6&lt;=0,C6&lt;=0),"입력확인",IF(NOT(ISNUMBER(CT계산!$D$15)),"택트 입력필요",IF(D6&lt;=CT계산!$D$15,"충족","병목")))))</f>
        <v>미측정</v>
      </c>
    </row>
    <row r="7" customFormat="false" ht="15" hidden="false" customHeight="false" outlineLevel="0" collapsed="false">
      <c r="A7" s="15" t="s">
        <v>290</v>
      </c>
      <c r="B7" s="67"/>
      <c r="C7" s="68"/>
      <c r="D7" s="69" t="str">
        <f aca="false">IF(OR(NOT(ISNUMBER(B7)),NOT(ISNUMBER(C7))),"",IF(AND(B7&gt;0,C7&gt;0),B7/C7,""))</f>
        <v/>
      </c>
      <c r="E7" s="70" t="str">
        <f aca="false">IF(AND(ISNUMBER(B7),ISNUMBER(CT계산!$C$15),B7&gt;0),ROUNDUP(B7/CT계산!$C$15,0),"")</f>
        <v/>
      </c>
      <c r="F7" s="70" t="str">
        <f aca="false">IF(AND(ISNUMBER(B7),ISNUMBER(CT계산!$D$15),B7&gt;0),ROUNDUP(B7/CT계산!$D$15,0),"")</f>
        <v/>
      </c>
      <c r="G7" s="71" t="str">
        <f aca="false">IF(AND(B7="",C7=""),"미측정",IF(OR(NOT(ISNUMBER(B7)),NOT(ISNUMBER(C7))),"입력확인",IF(OR(B7&lt;=0,C7&lt;=0),"입력확인",IF(NOT(ISNUMBER(CT계산!$C$15)),"택트 입력필요",IF(D7&lt;=CT계산!$C$15,"충족","병목")))))</f>
        <v>미측정</v>
      </c>
      <c r="H7" s="71" t="str">
        <f aca="false">IF(AND(B7="",C7=""),"미측정",IF(OR(NOT(ISNUMBER(B7)),NOT(ISNUMBER(C7))),"입력확인",IF(OR(B7&lt;=0,C7&lt;=0),"입력확인",IF(NOT(ISNUMBER(CT계산!$D$15)),"택트 입력필요",IF(D7&lt;=CT계산!$D$15,"충족","병목")))))</f>
        <v>미측정</v>
      </c>
    </row>
    <row r="8" customFormat="false" ht="15" hidden="false" customHeight="false" outlineLevel="0" collapsed="false">
      <c r="A8" s="15" t="s">
        <v>291</v>
      </c>
      <c r="B8" s="67"/>
      <c r="C8" s="68"/>
      <c r="D8" s="69" t="str">
        <f aca="false">IF(OR(NOT(ISNUMBER(B8)),NOT(ISNUMBER(C8))),"",IF(AND(B8&gt;0,C8&gt;0),B8/C8,""))</f>
        <v/>
      </c>
      <c r="E8" s="70" t="str">
        <f aca="false">IF(AND(ISNUMBER(B8),ISNUMBER(CT계산!$C$15),B8&gt;0),ROUNDUP(B8/CT계산!$C$15,0),"")</f>
        <v/>
      </c>
      <c r="F8" s="70" t="str">
        <f aca="false">IF(AND(ISNUMBER(B8),ISNUMBER(CT계산!$D$15),B8&gt;0),ROUNDUP(B8/CT계산!$D$15,0),"")</f>
        <v/>
      </c>
      <c r="G8" s="71" t="str">
        <f aca="false">IF(AND(B8="",C8=""),"미측정",IF(OR(NOT(ISNUMBER(B8)),NOT(ISNUMBER(C8))),"입력확인",IF(OR(B8&lt;=0,C8&lt;=0),"입력확인",IF(NOT(ISNUMBER(CT계산!$C$15)),"택트 입력필요",IF(D8&lt;=CT계산!$C$15,"충족","병목")))))</f>
        <v>미측정</v>
      </c>
      <c r="H8" s="71" t="str">
        <f aca="false">IF(AND(B8="",C8=""),"미측정",IF(OR(NOT(ISNUMBER(B8)),NOT(ISNUMBER(C8))),"입력확인",IF(OR(B8&lt;=0,C8&lt;=0),"입력확인",IF(NOT(ISNUMBER(CT계산!$D$15)),"택트 입력필요",IF(D8&lt;=CT계산!$D$15,"충족","병목")))))</f>
        <v>미측정</v>
      </c>
    </row>
    <row r="9" customFormat="false" ht="15" hidden="false" customHeight="false" outlineLevel="0" collapsed="false">
      <c r="A9" s="15" t="s">
        <v>292</v>
      </c>
      <c r="B9" s="67"/>
      <c r="C9" s="68"/>
      <c r="D9" s="69" t="str">
        <f aca="false">IF(OR(NOT(ISNUMBER(B9)),NOT(ISNUMBER(C9))),"",IF(AND(B9&gt;0,C9&gt;0),B9/C9,""))</f>
        <v/>
      </c>
      <c r="E9" s="70" t="str">
        <f aca="false">IF(AND(ISNUMBER(B9),ISNUMBER(CT계산!$C$15),B9&gt;0),ROUNDUP(B9/CT계산!$C$15,0),"")</f>
        <v/>
      </c>
      <c r="F9" s="70" t="str">
        <f aca="false">IF(AND(ISNUMBER(B9),ISNUMBER(CT계산!$D$15),B9&gt;0),ROUNDUP(B9/CT계산!$D$15,0),"")</f>
        <v/>
      </c>
      <c r="G9" s="71" t="str">
        <f aca="false">IF(AND(B9="",C9=""),"미측정",IF(OR(NOT(ISNUMBER(B9)),NOT(ISNUMBER(C9))),"입력확인",IF(OR(B9&lt;=0,C9&lt;=0),"입력확인",IF(NOT(ISNUMBER(CT계산!$C$15)),"택트 입력필요",IF(D9&lt;=CT계산!$C$15,"충족","병목")))))</f>
        <v>미측정</v>
      </c>
      <c r="H9" s="71" t="str">
        <f aca="false">IF(AND(B9="",C9=""),"미측정",IF(OR(NOT(ISNUMBER(B9)),NOT(ISNUMBER(C9))),"입력확인",IF(OR(B9&lt;=0,C9&lt;=0),"입력확인",IF(NOT(ISNUMBER(CT계산!$D$15)),"택트 입력필요",IF(D9&lt;=CT계산!$D$15,"충족","병목")))))</f>
        <v>미측정</v>
      </c>
    </row>
    <row r="11" customFormat="false" ht="15" hidden="false" customHeight="false" outlineLevel="0" collapsed="false">
      <c r="A11" s="58" t="s">
        <v>293</v>
      </c>
    </row>
    <row r="12" customFormat="false" ht="15" hidden="false" customHeight="false" outlineLevel="0" collapsed="false">
      <c r="A12" s="72" t="s">
        <v>294</v>
      </c>
      <c r="E12" s="0" t="str">
        <f aca="false">IF(OR(OR(COUNT(B5:B9)&lt;&gt;ROWS(B5:B9),COUNT(C5:C9)&lt;&gt;ROWS(C5:C9),MIN(B5:B9)&lt;=0,MIN(C5:C9)&lt;=0),NOT(ISNUMBER(CT계산!$C$15))),"미측정",SUM(E5:E9))</f>
        <v>미측정</v>
      </c>
    </row>
    <row r="13" customFormat="false" ht="15" hidden="false" customHeight="false" outlineLevel="0" collapsed="false">
      <c r="A13" s="72" t="s">
        <v>295</v>
      </c>
      <c r="F13" s="0" t="str">
        <f aca="false">IF(OR(OR(COUNT(B5:B9)&lt;&gt;ROWS(B5:B9),COUNT(C5:C9)&lt;&gt;ROWS(C5:C9),MIN(B5:B9)&lt;=0,MIN(C5:C9)&lt;=0),NOT(ISNUMBER(CT계산!$D$15))),"미측정",SUM(F5:F9))</f>
        <v>미측정</v>
      </c>
    </row>
    <row r="14" customFormat="false" ht="15" hidden="false" customHeight="false" outlineLevel="0" collapsed="false">
      <c r="A14" s="72" t="s">
        <v>296</v>
      </c>
      <c r="E14" s="73" t="n">
        <f aca="false">CT계산!C28</f>
        <v>4</v>
      </c>
      <c r="F14" s="74" t="str">
        <f aca="false">CT계산!D28</f>
        <v>입력 필요</v>
      </c>
    </row>
    <row r="15" customFormat="false" ht="15" hidden="false" customHeight="false" outlineLevel="0" collapsed="false">
      <c r="A15" s="58" t="s">
        <v>297</v>
      </c>
      <c r="E15" s="0" t="str">
        <f aca="false">IF(AND(ISNUMBER(E12),ISNUMBER(E14)),IF(E14&gt;=E12,"충분","부족 — 조 수/인원 증가 검토"),"미측정")</f>
        <v>미측정</v>
      </c>
      <c r="F15" s="0" t="str">
        <f aca="false">IF(AND(ISNUMBER(F13),ISNUMBER(F14)),IF(F14&gt;=F13,"충분","부족 — 조 수/인원 증가 검토"),"미측정")</f>
        <v>미측정</v>
      </c>
    </row>
    <row r="16" customFormat="false" ht="15" hidden="false" customHeight="false" outlineLevel="0" collapsed="false">
      <c r="A16" s="60" t="s">
        <v>298</v>
      </c>
    </row>
    <row r="17" customFormat="false" ht="15" hidden="false" customHeight="false" outlineLevel="0" collapsed="false">
      <c r="A17" s="11" t="s">
        <v>299</v>
      </c>
    </row>
  </sheetData>
  <sheetProtection sheet="true"/>
  <mergeCells count="2">
    <mergeCell ref="A1:H1"/>
    <mergeCell ref="A2:H2"/>
  </mergeCells>
  <conditionalFormatting sqref="G5:H9">
    <cfRule type="cellIs" priority="2" operator="equal" aboveAverage="0" equalAverage="0" bottom="0" percent="0" rank="0" text="" dxfId="0">
      <formula>"병목"</formula>
    </cfRule>
    <cfRule type="cellIs" priority="3" operator="equal" aboveAverage="0" equalAverage="0" bottom="0" percent="0" rank="0" text="" dxfId="0">
      <formula>"입력확인"</formula>
    </cfRule>
  </conditionalFormatting>
  <dataValidations count="2">
    <dataValidation allowBlank="true" error="0.1~3600초 범위로 입력하세요." errorStyle="stop" operator="between" showDropDown="false" showErrorMessage="true" showInputMessage="false" sqref="B5:B9" type="decimal">
      <formula1>0.1</formula1>
      <formula2>3600</formula2>
    </dataValidation>
    <dataValidation allowBlank="true" error="1~20명으로 입력하세요." errorStyle="stop" operator="between" showDropDown="false" showErrorMessage="true" showInputMessage="false" sqref="C5:C9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7" min="4" style="0" width="18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" t="s">
        <v>300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40" t="s">
        <v>301</v>
      </c>
      <c r="B2" s="40"/>
      <c r="C2" s="40"/>
      <c r="D2" s="40"/>
      <c r="E2" s="40"/>
      <c r="F2" s="40"/>
      <c r="G2" s="40"/>
      <c r="H2" s="40"/>
    </row>
    <row r="4" customFormat="false" ht="15" hidden="false" customHeight="false" outlineLevel="0" collapsed="false">
      <c r="A4" s="13" t="s">
        <v>302</v>
      </c>
      <c r="B4" s="14"/>
      <c r="C4" s="14"/>
      <c r="D4" s="14"/>
      <c r="E4" s="14"/>
      <c r="F4" s="14"/>
      <c r="G4" s="14"/>
      <c r="H4" s="14"/>
    </row>
    <row r="5" customFormat="false" ht="27.75" hidden="false" customHeight="true" outlineLevel="0" collapsed="false">
      <c r="A5" s="5" t="s">
        <v>303</v>
      </c>
      <c r="B5" s="12" t="s">
        <v>304</v>
      </c>
      <c r="C5" s="12" t="s">
        <v>305</v>
      </c>
      <c r="D5" s="12" t="s">
        <v>306</v>
      </c>
      <c r="E5" s="12" t="s">
        <v>307</v>
      </c>
      <c r="F5" s="12" t="s">
        <v>308</v>
      </c>
      <c r="G5" s="12" t="s">
        <v>309</v>
      </c>
      <c r="H5" s="5"/>
    </row>
    <row r="6" customFormat="false" ht="15" hidden="false" customHeight="false" outlineLevel="0" collapsed="false">
      <c r="A6" s="75" t="n">
        <v>18</v>
      </c>
      <c r="B6" s="76" t="n">
        <f aca="false">입력!$C$6*$A6</f>
        <v>45000</v>
      </c>
      <c r="C6" s="77" t="n">
        <f aca="false">(개당원가분석!$C$35-(CT계산!$C$32+CT계산!$C$33)+CT계산!$C$31/(입력!$C$6*$A6))*(1+입력!$C$52)</f>
        <v>6547.49940356358</v>
      </c>
      <c r="D6" s="78" t="n">
        <f aca="false">C6-개당원가분석!$C$37</f>
        <v>114.812121212121</v>
      </c>
      <c r="E6" s="79" t="str">
        <f aca="false">IF(입력!$D$57&lt;&gt;"완료","입력 필요",입력!$D$6*$A6)</f>
        <v>입력 필요</v>
      </c>
      <c r="F6" s="80" t="str">
        <f aca="false">IF(입력!$D$57&lt;&gt;"완료","입력 필요",(개당원가분석!$D$35-(CT계산!$D$32+CT계산!$D$33)+CT계산!$D$31/(입력!$D$6*$A6))*(1+입력!$D$52))</f>
        <v>입력 필요</v>
      </c>
      <c r="G6" s="81" t="str">
        <f aca="false">IF(입력!$D$57&lt;&gt;"완료","입력 필요",F6-개당원가분석!$D$37)</f>
        <v>입력 필요</v>
      </c>
    </row>
    <row r="7" customFormat="false" ht="15" hidden="false" customHeight="false" outlineLevel="0" collapsed="false">
      <c r="A7" s="75" t="n">
        <v>20</v>
      </c>
      <c r="B7" s="76" t="n">
        <f aca="false">입력!$C$6*$A7</f>
        <v>50000</v>
      </c>
      <c r="C7" s="77" t="n">
        <f aca="false">(개당원가분석!$C$35-(CT계산!$C$32+CT계산!$C$33)+CT계산!$C$31/(입력!$C$6*$A7))*(1+입력!$C$52)</f>
        <v>6484.35273689691</v>
      </c>
      <c r="D7" s="78" t="n">
        <f aca="false">C7-개당원가분석!$C$37</f>
        <v>51.6654545454558</v>
      </c>
      <c r="E7" s="79" t="str">
        <f aca="false">IF(입력!$D$57&lt;&gt;"완료","입력 필요",입력!$D$6*$A7)</f>
        <v>입력 필요</v>
      </c>
      <c r="F7" s="80" t="str">
        <f aca="false">IF(입력!$D$57&lt;&gt;"완료","입력 필요",(개당원가분석!$D$35-(CT계산!$D$32+CT계산!$D$33)+CT계산!$D$31/(입력!$D$6*$A7))*(1+입력!$D$52))</f>
        <v>입력 필요</v>
      </c>
      <c r="G7" s="81" t="str">
        <f aca="false">IF(입력!$D$57&lt;&gt;"완료","입력 필요",F7-개당원가분석!$D$37)</f>
        <v>입력 필요</v>
      </c>
    </row>
    <row r="8" customFormat="false" ht="15" hidden="false" customHeight="false" outlineLevel="0" collapsed="false">
      <c r="A8" s="82" t="n">
        <v>22</v>
      </c>
      <c r="B8" s="76" t="n">
        <f aca="false">입력!$C$6*$A8</f>
        <v>55000</v>
      </c>
      <c r="C8" s="77" t="n">
        <f aca="false">(개당원가분석!$C$35-(CT계산!$C$32+CT계산!$C$33)+CT계산!$C$31/(입력!$C$6*$A8))*(1+입력!$C$52)</f>
        <v>6432.68728235145</v>
      </c>
      <c r="D8" s="78" t="n">
        <f aca="false">C8-개당원가분석!$C$37</f>
        <v>0</v>
      </c>
      <c r="E8" s="79" t="str">
        <f aca="false">IF(입력!$D$57&lt;&gt;"완료","입력 필요",입력!$D$6*$A8)</f>
        <v>입력 필요</v>
      </c>
      <c r="F8" s="80" t="str">
        <f aca="false">IF(입력!$D$57&lt;&gt;"완료","입력 필요",(개당원가분석!$D$35-(CT계산!$D$32+CT계산!$D$33)+CT계산!$D$31/(입력!$D$6*$A8))*(1+입력!$D$52))</f>
        <v>입력 필요</v>
      </c>
      <c r="G8" s="81" t="str">
        <f aca="false">IF(입력!$D$57&lt;&gt;"완료","입력 필요",F8-개당원가분석!$D$37)</f>
        <v>입력 필요</v>
      </c>
    </row>
    <row r="9" customFormat="false" ht="15" hidden="false" customHeight="false" outlineLevel="0" collapsed="false">
      <c r="A9" s="75" t="n">
        <v>24</v>
      </c>
      <c r="B9" s="76" t="n">
        <f aca="false">입력!$C$6*$A9</f>
        <v>60000</v>
      </c>
      <c r="C9" s="77" t="n">
        <f aca="false">(개당원가분석!$C$35-(CT계산!$C$32+CT계산!$C$33)+CT계산!$C$31/(입력!$C$6*$A9))*(1+입력!$C$52)</f>
        <v>6389.63273689691</v>
      </c>
      <c r="D9" s="78" t="n">
        <f aca="false">C9-개당원가분석!$C$37</f>
        <v>-43.0545454545445</v>
      </c>
      <c r="E9" s="79" t="str">
        <f aca="false">IF(입력!$D$57&lt;&gt;"완료","입력 필요",입력!$D$6*$A9)</f>
        <v>입력 필요</v>
      </c>
      <c r="F9" s="80" t="str">
        <f aca="false">IF(입력!$D$57&lt;&gt;"완료","입력 필요",(개당원가분석!$D$35-(CT계산!$D$32+CT계산!$D$33)+CT계산!$D$31/(입력!$D$6*$A9))*(1+입력!$D$52))</f>
        <v>입력 필요</v>
      </c>
      <c r="G9" s="81" t="str">
        <f aca="false">IF(입력!$D$57&lt;&gt;"완료","입력 필요",F9-개당원가분석!$D$37)</f>
        <v>입력 필요</v>
      </c>
    </row>
    <row r="10" customFormat="false" ht="15" hidden="false" customHeight="false" outlineLevel="0" collapsed="false">
      <c r="A10" s="75" t="n">
        <v>26</v>
      </c>
      <c r="B10" s="76" t="n">
        <f aca="false">입력!$C$6*$A10</f>
        <v>65000</v>
      </c>
      <c r="C10" s="77" t="n">
        <f aca="false">(개당원가분석!$C$35-(CT계산!$C$32+CT계산!$C$33)+CT계산!$C$31/(입력!$C$6*$A10))*(1+입력!$C$52)</f>
        <v>6353.20196766614</v>
      </c>
      <c r="D10" s="78" t="n">
        <f aca="false">C10-개당원가분석!$C$37</f>
        <v>-79.4853146853138</v>
      </c>
      <c r="E10" s="79" t="str">
        <f aca="false">IF(입력!$D$57&lt;&gt;"완료","입력 필요",입력!$D$6*$A10)</f>
        <v>입력 필요</v>
      </c>
      <c r="F10" s="80" t="str">
        <f aca="false">IF(입력!$D$57&lt;&gt;"완료","입력 필요",(개당원가분석!$D$35-(CT계산!$D$32+CT계산!$D$33)+CT계산!$D$31/(입력!$D$6*$A10))*(1+입력!$D$52))</f>
        <v>입력 필요</v>
      </c>
      <c r="G10" s="81" t="str">
        <f aca="false">IF(입력!$D$57&lt;&gt;"완료","입력 필요",F10-개당원가분석!$D$37)</f>
        <v>입력 필요</v>
      </c>
    </row>
    <row r="13" customFormat="false" ht="15" hidden="false" customHeight="false" outlineLevel="0" collapsed="false">
      <c r="A13" s="13" t="s">
        <v>310</v>
      </c>
      <c r="B13" s="14"/>
      <c r="C13" s="14"/>
      <c r="D13" s="14"/>
      <c r="E13" s="14"/>
      <c r="F13" s="14"/>
      <c r="G13" s="14"/>
      <c r="H13" s="14"/>
    </row>
    <row r="14" customFormat="false" ht="27.75" hidden="false" customHeight="true" outlineLevel="0" collapsed="false">
      <c r="A14" s="12" t="s">
        <v>311</v>
      </c>
      <c r="B14" s="5" t="s">
        <v>312</v>
      </c>
      <c r="C14" s="5" t="s">
        <v>313</v>
      </c>
      <c r="D14" s="5" t="s">
        <v>314</v>
      </c>
      <c r="E14" s="5" t="s">
        <v>315</v>
      </c>
      <c r="F14" s="5" t="s">
        <v>316</v>
      </c>
      <c r="G14" s="5" t="s">
        <v>317</v>
      </c>
      <c r="H14" s="5" t="s">
        <v>318</v>
      </c>
    </row>
    <row r="15" customFormat="false" ht="15" hidden="false" customHeight="false" outlineLevel="0" collapsed="false">
      <c r="A15" s="83" t="n">
        <v>0.8</v>
      </c>
      <c r="B15" s="84" t="str">
        <f aca="false">IF(입력!$D$57&lt;&gt;"완료","입력 필요",CT계산!$D$20*CT계산!$D$12/입력!$D$16*$A15)</f>
        <v>입력 필요</v>
      </c>
      <c r="C15" s="85" t="str">
        <f aca="false">IF(입력!$D$57&lt;&gt;"완료","입력 필요",B15-입력!$D$6)</f>
        <v>입력 필요</v>
      </c>
      <c r="D15" s="86" t="str">
        <f aca="false">IF(입력!$D$57&lt;&gt;"완료","입력 필요",ROUNDUP(입력!$D$6/(CT계산!$D$12/입력!$D$16*$A15),0))</f>
        <v>입력 필요</v>
      </c>
      <c r="E15" s="86" t="str">
        <f aca="false">IF(입력!$D$57&lt;&gt;"완료","입력 필요",D15*입력!$D$17+CT계산!$D$28)</f>
        <v>입력 필요</v>
      </c>
      <c r="F15" s="80" t="str">
        <f aca="false">IF(입력!$D$57&lt;&gt;"완료","입력 필요",E15*(입력!$D$41+입력!$D$42)*(1+입력!$D$43)/CT계산!$D$30)</f>
        <v>입력 필요</v>
      </c>
      <c r="G15" s="80" t="str">
        <f aca="false">IF(입력!$D$57&lt;&gt;"완료","입력 필요",(개당원가분석!$D$35-(CT계산!$D$32+CT계산!$D$33)+F15)*(1+입력!$D$52))</f>
        <v>입력 필요</v>
      </c>
      <c r="H15" s="87" t="str">
        <f aca="false">IF(입력!$D$57&lt;&gt;"완료","입력 필요",IF(C15&gt;=0,"충족","부족"))</f>
        <v>입력 필요</v>
      </c>
    </row>
    <row r="16" customFormat="false" ht="15" hidden="false" customHeight="false" outlineLevel="0" collapsed="false">
      <c r="A16" s="83" t="n">
        <v>0.85</v>
      </c>
      <c r="B16" s="84" t="str">
        <f aca="false">IF(입력!$D$57&lt;&gt;"완료","입력 필요",CT계산!$D$20*CT계산!$D$12/입력!$D$16*$A16)</f>
        <v>입력 필요</v>
      </c>
      <c r="C16" s="85" t="str">
        <f aca="false">IF(입력!$D$57&lt;&gt;"완료","입력 필요",B16-입력!$D$6)</f>
        <v>입력 필요</v>
      </c>
      <c r="D16" s="86" t="str">
        <f aca="false">IF(입력!$D$57&lt;&gt;"완료","입력 필요",ROUNDUP(입력!$D$6/(CT계산!$D$12/입력!$D$16*$A16),0))</f>
        <v>입력 필요</v>
      </c>
      <c r="E16" s="86" t="str">
        <f aca="false">IF(입력!$D$57&lt;&gt;"완료","입력 필요",D16*입력!$D$17+CT계산!$D$28)</f>
        <v>입력 필요</v>
      </c>
      <c r="F16" s="80" t="str">
        <f aca="false">IF(입력!$D$57&lt;&gt;"완료","입력 필요",E16*(입력!$D$41+입력!$D$42)*(1+입력!$D$43)/CT계산!$D$30)</f>
        <v>입력 필요</v>
      </c>
      <c r="G16" s="80" t="str">
        <f aca="false">IF(입력!$D$57&lt;&gt;"완료","입력 필요",(개당원가분석!$D$35-(CT계산!$D$32+CT계산!$D$33)+F16)*(1+입력!$D$52))</f>
        <v>입력 필요</v>
      </c>
      <c r="H16" s="87" t="str">
        <f aca="false">IF(입력!$D$57&lt;&gt;"완료","입력 필요",IF(C16&gt;=0,"충족","부족"))</f>
        <v>입력 필요</v>
      </c>
    </row>
    <row r="17" customFormat="false" ht="15" hidden="false" customHeight="false" outlineLevel="0" collapsed="false">
      <c r="A17" s="83" t="n">
        <v>0.9</v>
      </c>
      <c r="B17" s="84" t="str">
        <f aca="false">IF(입력!$D$57&lt;&gt;"완료","입력 필요",CT계산!$D$20*CT계산!$D$12/입력!$D$16*$A17)</f>
        <v>입력 필요</v>
      </c>
      <c r="C17" s="85" t="str">
        <f aca="false">IF(입력!$D$57&lt;&gt;"완료","입력 필요",B17-입력!$D$6)</f>
        <v>입력 필요</v>
      </c>
      <c r="D17" s="86" t="str">
        <f aca="false">IF(입력!$D$57&lt;&gt;"완료","입력 필요",ROUNDUP(입력!$D$6/(CT계산!$D$12/입력!$D$16*$A17),0))</f>
        <v>입력 필요</v>
      </c>
      <c r="E17" s="86" t="str">
        <f aca="false">IF(입력!$D$57&lt;&gt;"완료","입력 필요",D17*입력!$D$17+CT계산!$D$28)</f>
        <v>입력 필요</v>
      </c>
      <c r="F17" s="80" t="str">
        <f aca="false">IF(입력!$D$57&lt;&gt;"완료","입력 필요",E17*(입력!$D$41+입력!$D$42)*(1+입력!$D$43)/CT계산!$D$30)</f>
        <v>입력 필요</v>
      </c>
      <c r="G17" s="80" t="str">
        <f aca="false">IF(입력!$D$57&lt;&gt;"완료","입력 필요",(개당원가분석!$D$35-(CT계산!$D$32+CT계산!$D$33)+F17)*(1+입력!$D$52))</f>
        <v>입력 필요</v>
      </c>
      <c r="H17" s="87" t="str">
        <f aca="false">IF(입력!$D$57&lt;&gt;"완료","입력 필요",IF(C17&gt;=0,"충족","부족"))</f>
        <v>입력 필요</v>
      </c>
    </row>
    <row r="18" customFormat="false" ht="15" hidden="false" customHeight="false" outlineLevel="0" collapsed="false">
      <c r="A18" s="83" t="n">
        <v>0.95</v>
      </c>
      <c r="B18" s="84" t="str">
        <f aca="false">IF(입력!$D$57&lt;&gt;"완료","입력 필요",CT계산!$D$20*CT계산!$D$12/입력!$D$16*$A18)</f>
        <v>입력 필요</v>
      </c>
      <c r="C18" s="85" t="str">
        <f aca="false">IF(입력!$D$57&lt;&gt;"완료","입력 필요",B18-입력!$D$6)</f>
        <v>입력 필요</v>
      </c>
      <c r="D18" s="86" t="str">
        <f aca="false">IF(입력!$D$57&lt;&gt;"완료","입력 필요",ROUNDUP(입력!$D$6/(CT계산!$D$12/입력!$D$16*$A18),0))</f>
        <v>입력 필요</v>
      </c>
      <c r="E18" s="86" t="str">
        <f aca="false">IF(입력!$D$57&lt;&gt;"완료","입력 필요",D18*입력!$D$17+CT계산!$D$28)</f>
        <v>입력 필요</v>
      </c>
      <c r="F18" s="80" t="str">
        <f aca="false">IF(입력!$D$57&lt;&gt;"완료","입력 필요",E18*(입력!$D$41+입력!$D$42)*(1+입력!$D$43)/CT계산!$D$30)</f>
        <v>입력 필요</v>
      </c>
      <c r="G18" s="80" t="str">
        <f aca="false">IF(입력!$D$57&lt;&gt;"완료","입력 필요",(개당원가분석!$D$35-(CT계산!$D$32+CT계산!$D$33)+F18)*(1+입력!$D$52))</f>
        <v>입력 필요</v>
      </c>
      <c r="H18" s="87" t="str">
        <f aca="false">IF(입력!$D$57&lt;&gt;"완료","입력 필요",IF(C18&gt;=0,"충족","부족"))</f>
        <v>입력 필요</v>
      </c>
    </row>
    <row r="19" customFormat="false" ht="15" hidden="false" customHeight="false" outlineLevel="0" collapsed="false">
      <c r="A19" s="83" t="n">
        <v>1</v>
      </c>
      <c r="B19" s="84" t="str">
        <f aca="false">IF(입력!$D$57&lt;&gt;"완료","입력 필요",CT계산!$D$20*CT계산!$D$12/입력!$D$16*$A19)</f>
        <v>입력 필요</v>
      </c>
      <c r="C19" s="85" t="str">
        <f aca="false">IF(입력!$D$57&lt;&gt;"완료","입력 필요",B19-입력!$D$6)</f>
        <v>입력 필요</v>
      </c>
      <c r="D19" s="86" t="str">
        <f aca="false">IF(입력!$D$57&lt;&gt;"완료","입력 필요",ROUNDUP(입력!$D$6/(CT계산!$D$12/입력!$D$16*$A19),0))</f>
        <v>입력 필요</v>
      </c>
      <c r="E19" s="86" t="str">
        <f aca="false">IF(입력!$D$57&lt;&gt;"완료","입력 필요",D19*입력!$D$17+CT계산!$D$28)</f>
        <v>입력 필요</v>
      </c>
      <c r="F19" s="80" t="str">
        <f aca="false">IF(입력!$D$57&lt;&gt;"완료","입력 필요",E19*(입력!$D$41+입력!$D$42)*(1+입력!$D$43)/CT계산!$D$30)</f>
        <v>입력 필요</v>
      </c>
      <c r="G19" s="80" t="str">
        <f aca="false">IF(입력!$D$57&lt;&gt;"완료","입력 필요",(개당원가분석!$D$35-(CT계산!$D$32+CT계산!$D$33)+F19)*(1+입력!$D$52))</f>
        <v>입력 필요</v>
      </c>
      <c r="H19" s="87" t="str">
        <f aca="false">IF(입력!$D$57&lt;&gt;"완료","입력 필요",IF(C19&gt;=0,"충족","부족"))</f>
        <v>입력 필요</v>
      </c>
    </row>
    <row r="21" customFormat="false" ht="15" hidden="false" customHeight="false" outlineLevel="0" collapsed="false">
      <c r="A21" s="13" t="s">
        <v>319</v>
      </c>
      <c r="B21" s="14"/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A22" s="5" t="s">
        <v>320</v>
      </c>
      <c r="B22" s="5" t="s">
        <v>321</v>
      </c>
      <c r="C22" s="5" t="s">
        <v>317</v>
      </c>
      <c r="D22" s="5" t="s">
        <v>322</v>
      </c>
      <c r="E22" s="5"/>
      <c r="F22" s="5"/>
      <c r="G22" s="5"/>
      <c r="H22" s="5"/>
    </row>
    <row r="23" customFormat="false" ht="15" hidden="false" customHeight="false" outlineLevel="0" collapsed="false">
      <c r="A23" s="82" t="n">
        <v>1</v>
      </c>
      <c r="B23" s="80" t="str">
        <f aca="false">IF(입력!$D$57&lt;&gt;"완료","입력 필요",입력!$D$36/$A23)</f>
        <v>입력 필요</v>
      </c>
      <c r="C23" s="80" t="str">
        <f aca="false">IF(입력!$D$57&lt;&gt;"완료","입력 필요",(개당원가분석!$D$35+(B23-개당원가분석!$D$17)/(1-입력!$D$50))*(1+입력!$D$52))</f>
        <v>입력 필요</v>
      </c>
      <c r="D23" s="81" t="str">
        <f aca="false">IF(입력!$D$57&lt;&gt;"완료","입력 필요",C23-개당원가분석!$D$37)</f>
        <v>입력 필요</v>
      </c>
    </row>
    <row r="24" customFormat="false" ht="15" hidden="false" customHeight="false" outlineLevel="0" collapsed="false">
      <c r="A24" s="82" t="n">
        <v>5</v>
      </c>
      <c r="B24" s="80" t="str">
        <f aca="false">IF(입력!$D$57&lt;&gt;"완료","입력 필요",입력!$D$36/$A24)</f>
        <v>입력 필요</v>
      </c>
      <c r="C24" s="80" t="str">
        <f aca="false">IF(입력!$D$57&lt;&gt;"완료","입력 필요",(개당원가분석!$D$35+(B24-개당원가분석!$D$17)/(1-입력!$D$50))*(1+입력!$D$52))</f>
        <v>입력 필요</v>
      </c>
      <c r="D24" s="81" t="str">
        <f aca="false">IF(입력!$D$57&lt;&gt;"완료","입력 필요",C24-개당원가분석!$D$37)</f>
        <v>입력 필요</v>
      </c>
    </row>
    <row r="25" customFormat="false" ht="15" hidden="false" customHeight="false" outlineLevel="0" collapsed="false">
      <c r="A25" s="82" t="n">
        <v>10</v>
      </c>
      <c r="B25" s="80" t="str">
        <f aca="false">IF(입력!$D$57&lt;&gt;"완료","입력 필요",입력!$D$36/$A25)</f>
        <v>입력 필요</v>
      </c>
      <c r="C25" s="80" t="str">
        <f aca="false">IF(입력!$D$57&lt;&gt;"완료","입력 필요",(개당원가분석!$D$35+(B25-개당원가분석!$D$17)/(1-입력!$D$50))*(1+입력!$D$52))</f>
        <v>입력 필요</v>
      </c>
      <c r="D25" s="81" t="str">
        <f aca="false">IF(입력!$D$57&lt;&gt;"완료","입력 필요",C25-개당원가분석!$D$37)</f>
        <v>입력 필요</v>
      </c>
    </row>
    <row r="26" customFormat="false" ht="15" hidden="false" customHeight="false" outlineLevel="0" collapsed="false">
      <c r="A26" s="82" t="n">
        <v>20</v>
      </c>
      <c r="B26" s="80" t="str">
        <f aca="false">IF(입력!$D$57&lt;&gt;"완료","입력 필요",입력!$D$36/$A26)</f>
        <v>입력 필요</v>
      </c>
      <c r="C26" s="80" t="str">
        <f aca="false">IF(입력!$D$57&lt;&gt;"완료","입력 필요",(개당원가분석!$D$35+(B26-개당원가분석!$D$17)/(1-입력!$D$50))*(1+입력!$D$52))</f>
        <v>입력 필요</v>
      </c>
      <c r="D26" s="81" t="str">
        <f aca="false">IF(입력!$D$57&lt;&gt;"완료","입력 필요",C26-개당원가분석!$D$37)</f>
        <v>입력 필요</v>
      </c>
    </row>
  </sheetData>
  <sheetProtection sheet="true"/>
  <mergeCells count="2">
    <mergeCell ref="A1:H1"/>
    <mergeCell ref="A2:H2"/>
  </mergeCells>
  <conditionalFormatting sqref="H15:H19">
    <cfRule type="cellIs" priority="2" operator="equal" aboveAverage="0" equalAverage="0" bottom="0" percent="0" rank="0" text="" dxfId="0">
      <formula>"부족"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2"/>
    <col collapsed="false" customWidth="true" hidden="false" outlineLevel="0" max="6" min="6" style="0" width="20"/>
    <col collapsed="false" customWidth="true" hidden="false" outlineLevel="0" max="7" min="7" style="0" width="36"/>
  </cols>
  <sheetData>
    <row r="1" customFormat="false" ht="25.5" hidden="false" customHeight="true" outlineLevel="0" collapsed="false">
      <c r="A1" s="1" t="s">
        <v>323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40" t="s">
        <v>324</v>
      </c>
      <c r="B2" s="40"/>
      <c r="C2" s="40"/>
      <c r="D2" s="40"/>
      <c r="E2" s="40"/>
      <c r="F2" s="40"/>
      <c r="G2" s="40"/>
    </row>
    <row r="4" customFormat="false" ht="27.75" hidden="false" customHeight="true" outlineLevel="0" collapsed="false">
      <c r="A4" s="12" t="s">
        <v>325</v>
      </c>
      <c r="B4" s="5" t="s">
        <v>326</v>
      </c>
      <c r="C4" s="5" t="s">
        <v>327</v>
      </c>
      <c r="D4" s="5" t="s">
        <v>328</v>
      </c>
      <c r="E4" s="12" t="s">
        <v>329</v>
      </c>
      <c r="F4" s="5" t="s">
        <v>330</v>
      </c>
      <c r="G4" s="5" t="s">
        <v>331</v>
      </c>
    </row>
    <row r="5" customFormat="false" ht="43.5" hidden="false" customHeight="true" outlineLevel="0" collapsed="false">
      <c r="A5" s="7" t="s">
        <v>332</v>
      </c>
      <c r="B5" s="7" t="s">
        <v>333</v>
      </c>
      <c r="C5" s="9" t="s">
        <v>334</v>
      </c>
      <c r="D5" s="7" t="s">
        <v>335</v>
      </c>
      <c r="E5" s="7" t="s">
        <v>336</v>
      </c>
      <c r="F5" s="88" t="s">
        <v>337</v>
      </c>
      <c r="G5" s="9" t="s">
        <v>338</v>
      </c>
    </row>
    <row r="6" customFormat="false" ht="43.5" hidden="false" customHeight="true" outlineLevel="0" collapsed="false">
      <c r="A6" s="7" t="s">
        <v>339</v>
      </c>
      <c r="B6" s="7" t="s">
        <v>333</v>
      </c>
      <c r="C6" s="9" t="s">
        <v>340</v>
      </c>
      <c r="D6" s="7" t="s">
        <v>341</v>
      </c>
      <c r="E6" s="9" t="s">
        <v>342</v>
      </c>
      <c r="F6" s="88" t="s">
        <v>337</v>
      </c>
      <c r="G6" s="9" t="s">
        <v>343</v>
      </c>
    </row>
    <row r="7" customFormat="false" ht="43.5" hidden="false" customHeight="true" outlineLevel="0" collapsed="false">
      <c r="A7" s="7" t="s">
        <v>344</v>
      </c>
      <c r="B7" s="7" t="s">
        <v>333</v>
      </c>
      <c r="C7" s="9" t="s">
        <v>345</v>
      </c>
      <c r="D7" s="9" t="s">
        <v>346</v>
      </c>
      <c r="E7" s="9" t="s">
        <v>347</v>
      </c>
      <c r="F7" s="88" t="s">
        <v>337</v>
      </c>
      <c r="G7" s="9" t="s">
        <v>348</v>
      </c>
    </row>
    <row r="8" customFormat="false" ht="43.5" hidden="false" customHeight="true" outlineLevel="0" collapsed="false">
      <c r="A8" s="7" t="s">
        <v>349</v>
      </c>
      <c r="B8" s="7" t="s">
        <v>333</v>
      </c>
      <c r="C8" s="9" t="s">
        <v>350</v>
      </c>
      <c r="D8" s="7" t="s">
        <v>351</v>
      </c>
      <c r="E8" s="7" t="s">
        <v>352</v>
      </c>
      <c r="F8" s="89" t="s">
        <v>353</v>
      </c>
      <c r="G8" s="9" t="s">
        <v>354</v>
      </c>
    </row>
    <row r="9" customFormat="false" ht="43.5" hidden="false" customHeight="true" outlineLevel="0" collapsed="false">
      <c r="A9" s="7" t="s">
        <v>355</v>
      </c>
      <c r="B9" s="7" t="s">
        <v>333</v>
      </c>
      <c r="C9" s="9" t="s">
        <v>356</v>
      </c>
      <c r="D9" s="9" t="s">
        <v>357</v>
      </c>
      <c r="E9" s="7" t="s">
        <v>358</v>
      </c>
      <c r="F9" s="88" t="s">
        <v>337</v>
      </c>
      <c r="G9" s="9" t="s">
        <v>359</v>
      </c>
    </row>
    <row r="10" customFormat="false" ht="43.5" hidden="false" customHeight="true" outlineLevel="0" collapsed="false">
      <c r="A10" s="7" t="s">
        <v>360</v>
      </c>
      <c r="B10" s="7" t="s">
        <v>333</v>
      </c>
      <c r="C10" s="9" t="s">
        <v>361</v>
      </c>
      <c r="D10" s="7" t="s">
        <v>362</v>
      </c>
      <c r="E10" s="9" t="s">
        <v>363</v>
      </c>
      <c r="F10" s="88" t="s">
        <v>337</v>
      </c>
      <c r="G10" s="7" t="s">
        <v>364</v>
      </c>
    </row>
    <row r="11" customFormat="false" ht="43.5" hidden="false" customHeight="true" outlineLevel="0" collapsed="false">
      <c r="A11" s="7" t="s">
        <v>365</v>
      </c>
      <c r="B11" s="7" t="s">
        <v>333</v>
      </c>
      <c r="C11" s="9" t="s">
        <v>366</v>
      </c>
      <c r="D11" s="9" t="s">
        <v>367</v>
      </c>
      <c r="E11" s="9" t="s">
        <v>368</v>
      </c>
      <c r="F11" s="88" t="s">
        <v>337</v>
      </c>
      <c r="G11" s="9" t="s">
        <v>369</v>
      </c>
    </row>
    <row r="12" customFormat="false" ht="43.5" hidden="false" customHeight="true" outlineLevel="0" collapsed="false">
      <c r="A12" s="7" t="s">
        <v>370</v>
      </c>
      <c r="B12" s="7" t="s">
        <v>333</v>
      </c>
      <c r="C12" s="9" t="s">
        <v>371</v>
      </c>
      <c r="D12" s="9" t="s">
        <v>372</v>
      </c>
      <c r="E12" s="9" t="s">
        <v>373</v>
      </c>
      <c r="F12" s="88" t="s">
        <v>337</v>
      </c>
      <c r="G12" s="9" t="s">
        <v>374</v>
      </c>
    </row>
    <row r="13" customFormat="false" ht="43.5" hidden="false" customHeight="true" outlineLevel="0" collapsed="false">
      <c r="A13" s="7" t="s">
        <v>375</v>
      </c>
      <c r="B13" s="7" t="s">
        <v>333</v>
      </c>
      <c r="C13" s="9" t="s">
        <v>376</v>
      </c>
      <c r="D13" s="7" t="s">
        <v>377</v>
      </c>
      <c r="E13" s="9" t="s">
        <v>378</v>
      </c>
      <c r="F13" s="90" t="s">
        <v>379</v>
      </c>
      <c r="G13" s="9" t="s">
        <v>380</v>
      </c>
    </row>
    <row r="14" customFormat="false" ht="43.5" hidden="false" customHeight="true" outlineLevel="0" collapsed="false">
      <c r="A14" s="7" t="s">
        <v>381</v>
      </c>
      <c r="B14" s="7" t="s">
        <v>382</v>
      </c>
      <c r="C14" s="9" t="s">
        <v>383</v>
      </c>
      <c r="D14" s="9" t="s">
        <v>384</v>
      </c>
      <c r="E14" s="9" t="s">
        <v>385</v>
      </c>
      <c r="F14" s="88" t="s">
        <v>337</v>
      </c>
      <c r="G14" s="9" t="s">
        <v>386</v>
      </c>
    </row>
    <row r="15" customFormat="false" ht="43.5" hidden="false" customHeight="true" outlineLevel="0" collapsed="false">
      <c r="A15" s="7" t="s">
        <v>387</v>
      </c>
      <c r="B15" s="7" t="s">
        <v>382</v>
      </c>
      <c r="C15" s="9" t="s">
        <v>388</v>
      </c>
      <c r="D15" s="9" t="s">
        <v>389</v>
      </c>
      <c r="E15" s="9" t="s">
        <v>390</v>
      </c>
      <c r="F15" s="88" t="s">
        <v>337</v>
      </c>
      <c r="G15" s="9" t="s">
        <v>391</v>
      </c>
    </row>
    <row r="16" customFormat="false" ht="43.5" hidden="false" customHeight="true" outlineLevel="0" collapsed="false">
      <c r="A16" s="7" t="s">
        <v>392</v>
      </c>
      <c r="B16" s="7" t="s">
        <v>382</v>
      </c>
      <c r="C16" s="9" t="s">
        <v>393</v>
      </c>
      <c r="D16" s="7" t="s">
        <v>394</v>
      </c>
      <c r="E16" s="9" t="s">
        <v>395</v>
      </c>
      <c r="F16" s="89" t="s">
        <v>396</v>
      </c>
      <c r="G16" s="9" t="s">
        <v>397</v>
      </c>
    </row>
    <row r="17" customFormat="false" ht="43.5" hidden="false" customHeight="true" outlineLevel="0" collapsed="false">
      <c r="A17" s="7" t="s">
        <v>398</v>
      </c>
      <c r="B17" s="7" t="s">
        <v>382</v>
      </c>
      <c r="C17" s="9" t="s">
        <v>399</v>
      </c>
      <c r="D17" s="7" t="s">
        <v>400</v>
      </c>
      <c r="E17" s="7" t="s">
        <v>401</v>
      </c>
      <c r="F17" s="89" t="s">
        <v>396</v>
      </c>
      <c r="G17" s="9" t="s">
        <v>402</v>
      </c>
    </row>
    <row r="18" customFormat="false" ht="43.5" hidden="false" customHeight="true" outlineLevel="0" collapsed="false">
      <c r="A18" s="7" t="s">
        <v>403</v>
      </c>
      <c r="B18" s="7" t="s">
        <v>382</v>
      </c>
      <c r="C18" s="9" t="s">
        <v>404</v>
      </c>
      <c r="D18" s="9" t="s">
        <v>405</v>
      </c>
      <c r="E18" s="9" t="s">
        <v>406</v>
      </c>
      <c r="F18" s="89" t="s">
        <v>396</v>
      </c>
      <c r="G18" s="7" t="s">
        <v>407</v>
      </c>
    </row>
    <row r="19" customFormat="false" ht="43.5" hidden="false" customHeight="true" outlineLevel="0" collapsed="false">
      <c r="A19" s="7" t="s">
        <v>408</v>
      </c>
      <c r="B19" s="7" t="s">
        <v>382</v>
      </c>
      <c r="C19" s="9" t="s">
        <v>409</v>
      </c>
      <c r="D19" s="9" t="s">
        <v>410</v>
      </c>
      <c r="E19" s="9" t="s">
        <v>411</v>
      </c>
      <c r="F19" s="89" t="s">
        <v>396</v>
      </c>
      <c r="G19" s="9" t="s">
        <v>412</v>
      </c>
    </row>
    <row r="20" customFormat="false" ht="43.5" hidden="false" customHeight="true" outlineLevel="0" collapsed="false">
      <c r="A20" s="7" t="s">
        <v>413</v>
      </c>
      <c r="B20" s="7" t="s">
        <v>382</v>
      </c>
      <c r="C20" s="9" t="s">
        <v>414</v>
      </c>
      <c r="D20" s="7" t="s">
        <v>415</v>
      </c>
      <c r="E20" s="9" t="s">
        <v>416</v>
      </c>
      <c r="F20" s="88" t="s">
        <v>337</v>
      </c>
      <c r="G20" s="9" t="s">
        <v>417</v>
      </c>
    </row>
    <row r="21" customFormat="false" ht="43.5" hidden="false" customHeight="true" outlineLevel="0" collapsed="false">
      <c r="A21" s="7" t="s">
        <v>418</v>
      </c>
      <c r="B21" s="7" t="s">
        <v>382</v>
      </c>
      <c r="C21" s="9" t="s">
        <v>419</v>
      </c>
      <c r="D21" s="9" t="s">
        <v>420</v>
      </c>
      <c r="E21" s="9" t="s">
        <v>421</v>
      </c>
      <c r="F21" s="88" t="s">
        <v>337</v>
      </c>
      <c r="G21" s="9" t="s">
        <v>422</v>
      </c>
    </row>
    <row r="22" customFormat="false" ht="43.5" hidden="false" customHeight="true" outlineLevel="0" collapsed="false">
      <c r="A22" s="7" t="s">
        <v>423</v>
      </c>
      <c r="B22" s="7" t="s">
        <v>382</v>
      </c>
      <c r="C22" s="9" t="s">
        <v>424</v>
      </c>
      <c r="D22" s="9" t="s">
        <v>425</v>
      </c>
      <c r="E22" s="9" t="s">
        <v>426</v>
      </c>
      <c r="F22" s="89" t="s">
        <v>396</v>
      </c>
      <c r="G22" s="9" t="s">
        <v>427</v>
      </c>
    </row>
    <row r="23" customFormat="false" ht="43.5" hidden="false" customHeight="true" outlineLevel="0" collapsed="false">
      <c r="A23" s="7" t="s">
        <v>428</v>
      </c>
      <c r="B23" s="7" t="s">
        <v>429</v>
      </c>
      <c r="C23" s="9" t="s">
        <v>430</v>
      </c>
      <c r="D23" s="7" t="s">
        <v>431</v>
      </c>
      <c r="E23" s="7" t="s">
        <v>432</v>
      </c>
      <c r="F23" s="90" t="s">
        <v>433</v>
      </c>
      <c r="G23" s="9" t="s">
        <v>434</v>
      </c>
    </row>
  </sheetData>
  <sheetProtection sheet="true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" t="s">
        <v>435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40" t="s">
        <v>436</v>
      </c>
      <c r="B2" s="40"/>
      <c r="C2" s="40"/>
      <c r="D2" s="40"/>
      <c r="E2" s="40"/>
      <c r="F2" s="40"/>
      <c r="G2" s="40"/>
      <c r="H2" s="40"/>
      <c r="I2" s="40"/>
    </row>
    <row r="4" customFormat="false" ht="27.75" hidden="false" customHeight="true" outlineLevel="0" collapsed="false">
      <c r="A4" s="12" t="s">
        <v>325</v>
      </c>
      <c r="B4" s="5" t="s">
        <v>437</v>
      </c>
      <c r="C4" s="5" t="s">
        <v>438</v>
      </c>
      <c r="D4" s="5" t="s">
        <v>439</v>
      </c>
      <c r="E4" s="5" t="s">
        <v>440</v>
      </c>
      <c r="F4" s="5" t="s">
        <v>441</v>
      </c>
      <c r="G4" s="5" t="s">
        <v>442</v>
      </c>
      <c r="H4" s="5" t="s">
        <v>443</v>
      </c>
      <c r="I4" s="5" t="s">
        <v>444</v>
      </c>
    </row>
    <row r="5" customFormat="false" ht="30" hidden="false" customHeight="true" outlineLevel="0" collapsed="false">
      <c r="A5" s="7" t="s">
        <v>332</v>
      </c>
      <c r="B5" s="9" t="s">
        <v>445</v>
      </c>
      <c r="C5" s="9" t="s">
        <v>446</v>
      </c>
      <c r="D5" s="7" t="s">
        <v>447</v>
      </c>
      <c r="E5" s="91"/>
      <c r="F5" s="9" t="s">
        <v>448</v>
      </c>
      <c r="G5" s="9" t="s">
        <v>449</v>
      </c>
      <c r="H5" s="92" t="s">
        <v>121</v>
      </c>
      <c r="I5" s="93"/>
    </row>
    <row r="6" customFormat="false" ht="30" hidden="false" customHeight="true" outlineLevel="0" collapsed="false">
      <c r="A6" s="7" t="s">
        <v>339</v>
      </c>
      <c r="B6" s="9" t="s">
        <v>450</v>
      </c>
      <c r="C6" s="7" t="s">
        <v>451</v>
      </c>
      <c r="D6" s="7" t="s">
        <v>452</v>
      </c>
      <c r="E6" s="91"/>
      <c r="F6" s="9" t="s">
        <v>453</v>
      </c>
      <c r="G6" s="9" t="s">
        <v>449</v>
      </c>
      <c r="H6" s="92" t="s">
        <v>121</v>
      </c>
      <c r="I6" s="93"/>
    </row>
    <row r="7" customFormat="false" ht="30" hidden="false" customHeight="true" outlineLevel="0" collapsed="false">
      <c r="A7" s="7" t="s">
        <v>344</v>
      </c>
      <c r="B7" s="9" t="s">
        <v>454</v>
      </c>
      <c r="C7" s="7" t="s">
        <v>455</v>
      </c>
      <c r="D7" s="7" t="s">
        <v>456</v>
      </c>
      <c r="E7" s="91"/>
      <c r="F7" s="9" t="s">
        <v>457</v>
      </c>
      <c r="G7" s="9" t="s">
        <v>458</v>
      </c>
      <c r="H7" s="92" t="s">
        <v>121</v>
      </c>
      <c r="I7" s="93"/>
    </row>
    <row r="8" customFormat="false" ht="30" hidden="false" customHeight="true" outlineLevel="0" collapsed="false">
      <c r="A8" s="7" t="s">
        <v>349</v>
      </c>
      <c r="B8" s="9" t="s">
        <v>459</v>
      </c>
      <c r="C8" s="7" t="s">
        <v>460</v>
      </c>
      <c r="D8" s="9" t="s">
        <v>461</v>
      </c>
      <c r="E8" s="91"/>
      <c r="F8" s="9" t="s">
        <v>462</v>
      </c>
      <c r="G8" s="9" t="s">
        <v>463</v>
      </c>
      <c r="H8" s="92" t="s">
        <v>121</v>
      </c>
      <c r="I8" s="93"/>
    </row>
    <row r="9" customFormat="false" ht="30" hidden="false" customHeight="true" outlineLevel="0" collapsed="false">
      <c r="A9" s="7" t="s">
        <v>355</v>
      </c>
      <c r="B9" s="9" t="s">
        <v>464</v>
      </c>
      <c r="C9" s="7" t="s">
        <v>465</v>
      </c>
      <c r="D9" s="7" t="s">
        <v>466</v>
      </c>
      <c r="E9" s="91"/>
      <c r="F9" s="9" t="s">
        <v>467</v>
      </c>
      <c r="G9" s="9" t="s">
        <v>468</v>
      </c>
      <c r="H9" s="92" t="s">
        <v>121</v>
      </c>
      <c r="I9" s="93"/>
    </row>
    <row r="10" customFormat="false" ht="30" hidden="false" customHeight="true" outlineLevel="0" collapsed="false">
      <c r="A10" s="7" t="s">
        <v>360</v>
      </c>
      <c r="B10" s="9" t="s">
        <v>469</v>
      </c>
      <c r="C10" s="9" t="s">
        <v>470</v>
      </c>
      <c r="D10" s="7" t="s">
        <v>471</v>
      </c>
      <c r="E10" s="91"/>
      <c r="F10" s="9" t="s">
        <v>472</v>
      </c>
      <c r="G10" s="9" t="s">
        <v>458</v>
      </c>
      <c r="H10" s="92" t="s">
        <v>121</v>
      </c>
      <c r="I10" s="93"/>
    </row>
    <row r="11" customFormat="false" ht="30" hidden="false" customHeight="true" outlineLevel="0" collapsed="false">
      <c r="A11" s="7" t="s">
        <v>365</v>
      </c>
      <c r="B11" s="9" t="s">
        <v>473</v>
      </c>
      <c r="C11" s="9" t="s">
        <v>474</v>
      </c>
      <c r="D11" s="7" t="s">
        <v>475</v>
      </c>
      <c r="E11" s="91"/>
      <c r="F11" s="9" t="s">
        <v>476</v>
      </c>
      <c r="G11" s="9" t="s">
        <v>477</v>
      </c>
      <c r="H11" s="92" t="s">
        <v>121</v>
      </c>
      <c r="I11" s="93"/>
    </row>
    <row r="12" customFormat="false" ht="30" hidden="false" customHeight="true" outlineLevel="0" collapsed="false">
      <c r="A12" s="7" t="s">
        <v>370</v>
      </c>
      <c r="B12" s="9" t="s">
        <v>478</v>
      </c>
      <c r="C12" s="7" t="s">
        <v>479</v>
      </c>
      <c r="D12" s="7" t="s">
        <v>480</v>
      </c>
      <c r="E12" s="91"/>
      <c r="F12" s="9" t="s">
        <v>481</v>
      </c>
      <c r="G12" s="9" t="s">
        <v>449</v>
      </c>
      <c r="H12" s="92" t="s">
        <v>121</v>
      </c>
      <c r="I12" s="93"/>
    </row>
    <row r="13" customFormat="false" ht="30" hidden="false" customHeight="true" outlineLevel="0" collapsed="false">
      <c r="A13" s="7" t="s">
        <v>375</v>
      </c>
      <c r="B13" s="9" t="s">
        <v>482</v>
      </c>
      <c r="C13" s="9" t="s">
        <v>483</v>
      </c>
      <c r="D13" s="7" t="s">
        <v>484</v>
      </c>
      <c r="E13" s="91"/>
      <c r="F13" s="9" t="s">
        <v>485</v>
      </c>
      <c r="G13" s="9" t="s">
        <v>449</v>
      </c>
      <c r="H13" s="92" t="s">
        <v>121</v>
      </c>
      <c r="I13" s="93"/>
    </row>
    <row r="14" customFormat="false" ht="30" hidden="false" customHeight="true" outlineLevel="0" collapsed="false">
      <c r="A14" s="7" t="s">
        <v>381</v>
      </c>
      <c r="B14" s="9" t="s">
        <v>486</v>
      </c>
      <c r="C14" s="7" t="s">
        <v>487</v>
      </c>
      <c r="D14" s="9" t="s">
        <v>488</v>
      </c>
      <c r="E14" s="91"/>
      <c r="F14" s="9" t="s">
        <v>489</v>
      </c>
      <c r="G14" s="9" t="s">
        <v>490</v>
      </c>
      <c r="H14" s="92" t="s">
        <v>121</v>
      </c>
      <c r="I14" s="93"/>
    </row>
    <row r="15" customFormat="false" ht="30" hidden="false" customHeight="true" outlineLevel="0" collapsed="false">
      <c r="A15" s="7" t="s">
        <v>387</v>
      </c>
      <c r="B15" s="9" t="s">
        <v>491</v>
      </c>
      <c r="C15" s="7" t="s">
        <v>492</v>
      </c>
      <c r="D15" s="7" t="s">
        <v>493</v>
      </c>
      <c r="E15" s="91"/>
      <c r="F15" s="9" t="s">
        <v>494</v>
      </c>
      <c r="G15" s="9" t="s">
        <v>495</v>
      </c>
      <c r="H15" s="92" t="s">
        <v>121</v>
      </c>
      <c r="I15" s="93"/>
    </row>
    <row r="16" customFormat="false" ht="30" hidden="false" customHeight="true" outlineLevel="0" collapsed="false">
      <c r="A16" s="7" t="s">
        <v>392</v>
      </c>
      <c r="B16" s="9" t="s">
        <v>496</v>
      </c>
      <c r="C16" s="7" t="s">
        <v>497</v>
      </c>
      <c r="D16" s="7" t="s">
        <v>498</v>
      </c>
      <c r="E16" s="91"/>
      <c r="F16" s="9" t="s">
        <v>499</v>
      </c>
      <c r="G16" s="9" t="s">
        <v>500</v>
      </c>
      <c r="H16" s="92" t="s">
        <v>121</v>
      </c>
      <c r="I16" s="93"/>
    </row>
    <row r="17" customFormat="false" ht="30" hidden="false" customHeight="true" outlineLevel="0" collapsed="false">
      <c r="A17" s="7" t="s">
        <v>398</v>
      </c>
      <c r="B17" s="9" t="s">
        <v>501</v>
      </c>
      <c r="C17" s="9" t="s">
        <v>502</v>
      </c>
      <c r="D17" s="7" t="s">
        <v>503</v>
      </c>
      <c r="E17" s="91"/>
      <c r="F17" s="9" t="s">
        <v>504</v>
      </c>
      <c r="G17" s="9" t="s">
        <v>505</v>
      </c>
      <c r="H17" s="92" t="s">
        <v>121</v>
      </c>
      <c r="I17" s="93"/>
    </row>
    <row r="18" customFormat="false" ht="30" hidden="false" customHeight="true" outlineLevel="0" collapsed="false">
      <c r="A18" s="7" t="s">
        <v>403</v>
      </c>
      <c r="B18" s="9" t="s">
        <v>506</v>
      </c>
      <c r="C18" s="9" t="s">
        <v>507</v>
      </c>
      <c r="D18" s="7" t="s">
        <v>508</v>
      </c>
      <c r="E18" s="91"/>
      <c r="F18" s="9" t="s">
        <v>509</v>
      </c>
      <c r="G18" s="9" t="s">
        <v>510</v>
      </c>
      <c r="H18" s="92" t="s">
        <v>121</v>
      </c>
      <c r="I18" s="93"/>
    </row>
    <row r="19" customFormat="false" ht="30" hidden="false" customHeight="true" outlineLevel="0" collapsed="false">
      <c r="A19" s="7" t="s">
        <v>408</v>
      </c>
      <c r="B19" s="9" t="s">
        <v>511</v>
      </c>
      <c r="C19" s="7" t="s">
        <v>512</v>
      </c>
      <c r="D19" s="7" t="s">
        <v>513</v>
      </c>
      <c r="E19" s="91"/>
      <c r="F19" s="9" t="s">
        <v>514</v>
      </c>
      <c r="G19" s="9" t="s">
        <v>515</v>
      </c>
      <c r="H19" s="92" t="s">
        <v>121</v>
      </c>
      <c r="I19" s="93"/>
    </row>
    <row r="20" customFormat="false" ht="30" hidden="false" customHeight="true" outlineLevel="0" collapsed="false">
      <c r="A20" s="7" t="s">
        <v>413</v>
      </c>
      <c r="B20" s="9" t="s">
        <v>516</v>
      </c>
      <c r="C20" s="9" t="s">
        <v>517</v>
      </c>
      <c r="D20" s="7" t="s">
        <v>518</v>
      </c>
      <c r="E20" s="91"/>
      <c r="F20" s="9" t="s">
        <v>519</v>
      </c>
      <c r="G20" s="9" t="s">
        <v>520</v>
      </c>
      <c r="H20" s="92" t="s">
        <v>121</v>
      </c>
      <c r="I20" s="93"/>
    </row>
    <row r="21" customFormat="false" ht="30" hidden="false" customHeight="true" outlineLevel="0" collapsed="false">
      <c r="A21" s="7" t="s">
        <v>418</v>
      </c>
      <c r="B21" s="9" t="s">
        <v>521</v>
      </c>
      <c r="C21" s="9" t="s">
        <v>522</v>
      </c>
      <c r="D21" s="7" t="s">
        <v>523</v>
      </c>
      <c r="E21" s="91"/>
      <c r="F21" s="9" t="s">
        <v>524</v>
      </c>
      <c r="G21" s="9" t="s">
        <v>525</v>
      </c>
      <c r="H21" s="92" t="s">
        <v>121</v>
      </c>
      <c r="I21" s="93"/>
    </row>
    <row r="22" customFormat="false" ht="30" hidden="false" customHeight="true" outlineLevel="0" collapsed="false">
      <c r="A22" s="7" t="s">
        <v>423</v>
      </c>
      <c r="B22" s="9" t="s">
        <v>526</v>
      </c>
      <c r="C22" s="9" t="s">
        <v>527</v>
      </c>
      <c r="D22" s="9" t="s">
        <v>528</v>
      </c>
      <c r="E22" s="91"/>
      <c r="F22" s="9" t="s">
        <v>529</v>
      </c>
      <c r="G22" s="9" t="s">
        <v>530</v>
      </c>
      <c r="H22" s="92" t="s">
        <v>121</v>
      </c>
      <c r="I22" s="93"/>
    </row>
  </sheetData>
  <sheetProtection sheet="true"/>
  <mergeCells count="2">
    <mergeCell ref="A1:I1"/>
    <mergeCell ref="A2:I2"/>
  </mergeCells>
  <dataValidations count="1">
    <dataValidation allowBlank="true" errorStyle="stop" operator="between" showDropDown="false" showErrorMessage="false" showInputMessage="false" sqref="H5:H22" type="list">
      <formula1>"미확인,확인중,확인완료,반영완료"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6" min="4" style="0" width="14"/>
  </cols>
  <sheetData>
    <row r="1" customFormat="false" ht="25.5" hidden="false" customHeight="true" outlineLevel="0" collapsed="false">
      <c r="A1" s="1" t="s">
        <v>531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532</v>
      </c>
      <c r="B2" s="2"/>
      <c r="C2" s="2"/>
      <c r="D2" s="2"/>
      <c r="E2" s="2"/>
      <c r="F2" s="2"/>
    </row>
    <row r="4" customFormat="false" ht="27.75" hidden="false" customHeight="true" outlineLevel="0" collapsed="false">
      <c r="A4" s="12" t="s">
        <v>533</v>
      </c>
      <c r="B4" s="5" t="s">
        <v>534</v>
      </c>
      <c r="C4" s="5" t="s">
        <v>535</v>
      </c>
      <c r="D4" s="5" t="s">
        <v>4</v>
      </c>
      <c r="E4" s="5" t="s">
        <v>5</v>
      </c>
      <c r="F4" s="5" t="s">
        <v>6</v>
      </c>
    </row>
    <row r="5" customFormat="false" ht="19.5" hidden="false" customHeight="true" outlineLevel="0" collapsed="false">
      <c r="A5" s="7" t="s">
        <v>536</v>
      </c>
      <c r="B5" s="7" t="s">
        <v>537</v>
      </c>
      <c r="C5" s="9" t="s">
        <v>538</v>
      </c>
      <c r="D5" s="93"/>
      <c r="E5" s="93"/>
      <c r="F5" s="93"/>
    </row>
    <row r="6" customFormat="false" ht="60" hidden="false" customHeight="true" outlineLevel="0" collapsed="false">
      <c r="A6" s="7" t="s">
        <v>539</v>
      </c>
      <c r="B6" s="7" t="s">
        <v>540</v>
      </c>
      <c r="C6" s="9" t="s">
        <v>541</v>
      </c>
      <c r="D6" s="93"/>
      <c r="E6" s="93"/>
      <c r="F6" s="93"/>
    </row>
    <row r="7" customFormat="false" ht="60" hidden="false" customHeight="true" outlineLevel="0" collapsed="false">
      <c r="A7" s="7" t="s">
        <v>542</v>
      </c>
      <c r="B7" s="7" t="s">
        <v>540</v>
      </c>
      <c r="C7" s="7" t="s">
        <v>543</v>
      </c>
      <c r="D7" s="93"/>
      <c r="E7" s="93"/>
      <c r="F7" s="93"/>
    </row>
  </sheetData>
  <sheetProtection sheet="true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&amp;C&amp;A  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2026-10-28T05:27:50Z</dcterms:created>
  <dc:creator>openpyxl</dc:creator>
  <dc:description/>
  <dc:language>en-US</dc:language>
  <cp:lastModifiedBy/>
  <dcterms:modified xsi:type="dcterms:W3CDTF">2026-10-28T05:27:50Z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