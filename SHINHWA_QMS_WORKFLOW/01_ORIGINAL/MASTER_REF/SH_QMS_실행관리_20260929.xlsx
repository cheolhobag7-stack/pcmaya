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599740e779a4aa6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진행순서" sheetId="1" r:id="R3c182061210b453c"/>
    <x:sheet xmlns:r="http://schemas.openxmlformats.org/officeDocument/2006/relationships" name="02_AP승인확인" sheetId="2" r:id="Re22beac674014793"/>
    <x:sheet xmlns:r="http://schemas.openxmlformats.org/officeDocument/2006/relationships" name="03_기록보존확정" sheetId="3" r:id="Reb847fef0033476f"/>
    <x:sheet xmlns:r="http://schemas.openxmlformats.org/officeDocument/2006/relationships" name="04_LOT시행준비" sheetId="4" r:id="R5dd1d0575c2c449a"/>
    <x:sheet xmlns:r="http://schemas.openxmlformats.org/officeDocument/2006/relationships" name="05_LOT추적시험" sheetId="5" r:id="R3486e8d4ea654a57"/>
    <x:sheet xmlns:r="http://schemas.openxmlformats.org/officeDocument/2006/relationships" name="06_현장연계확인" sheetId="6" r:id="R55fd1cc4dcc844d8"/>
    <x:sheet xmlns:r="http://schemas.openxmlformats.org/officeDocument/2006/relationships" name="07_심사증빙" sheetId="7" r:id="Rfa8d7bcd402e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"/>
  </x:numFmts>
  <x:fonts count="5">
    <x:font>
      <x:sz val="11"/>
      <x:name val="Carlito"/>
    </x:font>
    <x:font>
      <x:b/>
      <x:sz val="22"/>
      <x:name val="맑은 고딕"/>
    </x:font>
    <x:font>
      <x:sz val="13"/>
      <x:color rgb="FF172B3A"/>
      <x:name val="맑은 고딕"/>
    </x:font>
    <x:font>
      <x:b/>
      <x:sz val="13"/>
      <x:color rgb="FFFFFFFF"/>
      <x:name val="맑은 고딕"/>
    </x:font>
    <x:font>
      <x:sz val="13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244C6B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4bc1f2369c5b4fb5"/><Relationship Type="http://schemas.openxmlformats.org/officeDocument/2006/relationships/theme" Target="/xl/theme/theme1.xml" Id="Rb1b9feb273834ebe"/><Relationship Type="http://schemas.openxmlformats.org/officeDocument/2006/relationships/sharedStrings" Target="/xl/sharedStrings.xml" Id="R8382768f377f4790"/><Relationship Type="http://schemas.openxmlformats.org/officeDocument/2006/relationships/worksheet" Target="/xl/worksheets/sheet1.xml" Id="R3c182061210b453c"/><Relationship Type="http://schemas.openxmlformats.org/officeDocument/2006/relationships/worksheet" Target="/xl/worksheets/sheet2.xml" Id="Re22beac674014793"/><Relationship Type="http://schemas.openxmlformats.org/officeDocument/2006/relationships/worksheet" Target="/xl/worksheets/sheet3.xml" Id="Reb847fef0033476f"/><Relationship Type="http://schemas.openxmlformats.org/officeDocument/2006/relationships/worksheet" Target="/xl/worksheets/sheet4.xml" Id="R5dd1d0575c2c449a"/><Relationship Type="http://schemas.openxmlformats.org/officeDocument/2006/relationships/worksheet" Target="/xl/worksheets/sheet5.xml" Id="R3486e8d4ea654a57"/><Relationship Type="http://schemas.openxmlformats.org/officeDocument/2006/relationships/worksheet" Target="/xl/worksheets/sheet6.xml" Id="R55fd1cc4dcc844d8"/><Relationship Type="http://schemas.openxmlformats.org/officeDocument/2006/relationships/worksheet" Target="/xl/worksheets/sheet7.xml" Id="Rfa8d7bcd402e466a"/></Relationships>
</file>

<file path=xl/tables/table1.xml><?xml version="1.0" encoding="utf-8"?>
<x:table xmlns:x="http://schemas.openxmlformats.org/spreadsheetml/2006/main" id="1" name="T_01_ho9od" displayName="T_01_ho9od" ref="A5:I10" headerRowCount="1" totalsRowCount="0" totalsRowShown="0">
  <x:tableColumns count="9">
    <x:tableColumn id="1" name="순서"/>
    <x:tableColumn id="2" name="단계"/>
    <x:tableColumn id="3" name="이번 반영"/>
    <x:tableColumn id="4" name="남은 실행"/>
    <x:tableColumn id="5" name="담당 제안"/>
    <x:tableColumn id="6" name="목표일 제안"/>
    <x:tableColumn id="7" name="실행 상태"/>
    <x:tableColumn id="8" name="종결 근거"/>
    <x:tableColumn id="9" name="종결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02AP_nk6kp" displayName="T_02AP_nk6kp" ref="A5:K9" headerRowCount="1" totalsRowCount="0" totalsRowShown="0">
  <x:tableColumns count="11">
    <x:tableColumn id="1" name="Gate"/>
    <x:tableColumn id="2" name="대상"/>
    <x:tableColumn id="3" name="공식 FM"/>
    <x:tableColumn id="4" name="결정서 표시일"/>
    <x:tableColumn id="5" name="Master 기준일"/>
    <x:tableColumn id="6" name="현재 근거"/>
    <x:tableColumn id="7" name="실제 승인근거"/>
    <x:tableColumn id="8" name="승인자"/>
    <x:tableColumn id="9" name="승인일"/>
    <x:tableColumn id="10" name="날짜차이 설명"/>
    <x:tableColumn id="11" name="완료 판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03_qlufl" displayName="T_03_qlufl" ref="A5:L49" headerRowCount="1" totalsRowCount="0" totalsRowShown="0">
  <x:tableColumns count="12">
    <x:tableColumn id="1" name="FM"/>
    <x:tableColumn id="2" name="기록명"/>
    <x:tableColumn id="3" name="담당부서 안"/>
    <x:tableColumn id="4" name="작성주기 기준"/>
    <x:tableColumn id="5" name="실제 담당자"/>
    <x:tableColumn id="6" name="고객·법규 근거"/>
    <x:tableColumn id="7" name="보존기간·조건"/>
    <x:tableColumn id="8" name="기산점"/>
    <x:tableColumn id="9" name="보관위치"/>
    <x:tableColumn id="10" name="폐기 승인권자"/>
    <x:tableColumn id="11" name="승인근거"/>
    <x:tableColumn id="12" name="확정 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4LOT_g1a6b" displayName="T_04LOT_g1a6b" ref="A5:J15" headerRowCount="1" totalsRowCount="0" totalsRowShown="0">
  <x:tableColumns count="10">
    <x:tableColumn id="1" name="ID"/>
    <x:tableColumn id="2" name="항목"/>
    <x:tableColumn id="3" name="확정할 내용"/>
    <x:tableColumn id="4" name="근거"/>
    <x:tableColumn id="5" name="담당 역할 안"/>
    <x:tableColumn id="6" name="확정값·기준"/>
    <x:tableColumn id="7" name="근거파일·기록"/>
    <x:tableColumn id="8" name="확인자"/>
    <x:tableColumn id="9" name="확인일"/>
    <x:tableColumn id="10" name="준비 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05LOT_4htow" displayName="T_05LOT_4htow" ref="A5:Q15" headerRowCount="1" totalsRowCount="0" totalsRowShown="0">
  <x:tableColumns count="17">
    <x:tableColumn id="1" name="NO"/>
    <x:tableColumn id="2" name="방향"/>
    <x:tableColumn id="3" name="품번"/>
    <x:tableColumn id="4" name="기준 LOT·배치"/>
    <x:tableColumn id="5" name="연결기록 번호"/>
    <x:tableColumn id="6" name="기준수량"/>
    <x:tableColumn id="7" name="확인수량"/>
    <x:tableColumn id="8" name="차이 사유"/>
    <x:tableColumn id="9" name="시작일시"/>
    <x:tableColumn id="10" name="완료일시"/>
    <x:tableColumn id="11" name="소요분"/>
    <x:tableColumn id="12" name="승인 목표분"/>
    <x:tableColumn id="13" name="누락건수"/>
    <x:tableColumn id="14" name="담당자"/>
    <x:tableColumn id="15" name="검토근거"/>
    <x:tableColumn id="16" name="판정"/>
    <x:tableColumn id="17" name="조치·재시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06_pvmey" displayName="T_06_pvmey" ref="A5:J9" headerRowCount="1" totalsRowCount="0" totalsRowShown="0">
  <x:tableColumns count="10">
    <x:tableColumn id="1" name="품번"/>
    <x:tableColumn id="2" name="적용 공정"/>
    <x:tableColumn id="3" name="PFMEA 개정·행"/>
    <x:tableColumn id="4" name="Control Plan 개정·행"/>
    <x:tableColumn id="5" name="WI 번호·개정"/>
    <x:tableColumn id="6" name="특수특성·기준"/>
    <x:tableColumn id="7" name="MSA·SPC 근거"/>
    <x:tableColumn id="8" name="실제 검사·LOT 기록"/>
    <x:tableColumn id="9" name="담당자"/>
    <x:tableColumn id="10" name="검토결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07_w3gjm" displayName="T_07_w3gjm" ref="A5:J17" headerRowCount="1" totalsRowCount="0" totalsRowShown="0">
  <x:tableColumns count="10">
    <x:tableColumn id="1" name="ID"/>
    <x:tableColumn id="2" name="항목"/>
    <x:tableColumn id="3" name="필요 증빙"/>
    <x:tableColumn id="4" name="연계 기준"/>
    <x:tableColumn id="5" name="담당 역할 안"/>
    <x:tableColumn id="6" name="실제 증빙번호"/>
    <x:tableColumn id="7" name="확인결과"/>
    <x:tableColumn id="8" name="확인자"/>
    <x:tableColumn id="9" name="확인일"/>
    <x:tableColumn id="10" name="종결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6562a5a2561b4c84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4ca5eb55134443c9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e9be6514fba04d2f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ddd3885b93ea406d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5.xml" Id="R36621f63adfb4fa5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table" Target="/xl/tables/table6.xml" Id="R2c12cc0cd22b419f"/></Relationships>
</file>

<file path=xl/worksheets/_rels/sheet7.xml.rels><?xml version='1.0' encoding='UTF-8' standalone='yes'?>
<Relationships xmlns="http://schemas.openxmlformats.org/package/2006/relationships"><Relationship Type="http://schemas.openxmlformats.org/officeDocument/2006/relationships/table" Target="/xl/tables/table7.xml" Id="Re867a5e4976b49bc"/></Relationships>
</file>

<file path=xl/worksheets/sheet1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30" hidden="0" customWidth="1"/>
    <x:col min="3" max="3" width="43" hidden="0" customWidth="1"/>
    <x:col min="4" max="4" width="46" hidden="0" customWidth="1"/>
    <x:col min="5" max="5" width="29" hidden="0" customWidth="1"/>
    <x:col min="6" max="6" width="18" hidden="0" customWidth="1"/>
    <x:col min="7" max="7" width="24" hidden="0" customWidth="1"/>
    <x:col min="8" max="8" width="35" hidden="0" customWidth="1"/>
    <x:col min="9" max="9" width="17" hidden="0" customWidth="1"/>
  </x:cols>
  <x:sheetData>
    <x:row r="2" ht="38" customHeight="1">
      <x:c r="A2" s="1" t="str">
        <x:v>QMS 구축 후속 실행</x:v>
      </x:c>
    </x:row>
    <x:row r="3" ht="28" customHeight="1">
      <x:c r="A3" s="2" t="str">
        <x:v>2026-09-28 기준. 노란 칸은 실제 확인 후 입력합니다. 담당·목표일은 제안입니다.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7" t="str">
        <x:v>순서</x:v>
      </x:c>
      <x:c r="B5" s="7" t="str">
        <x:v>단계</x:v>
      </x:c>
      <x:c r="C5" s="7" t="str">
        <x:v>이번 반영</x:v>
      </x:c>
      <x:c r="D5" s="7" t="str">
        <x:v>남은 실행</x:v>
      </x:c>
      <x:c r="E5" s="7" t="str">
        <x:v>담당 제안</x:v>
      </x:c>
      <x:c r="F5" s="7" t="str">
        <x:v>목표일 제안</x:v>
      </x:c>
      <x:c r="G5" s="7" t="str">
        <x:v>실행 상태</x:v>
      </x:c>
      <x:c r="H5" s="7" t="str">
        <x:v>종결 근거</x:v>
      </x:c>
      <x:c r="I5" s="7" t="str">
        <x:v>종결일</x:v>
      </x:c>
    </x:row>
    <x:row r="6" ht="56" customHeight="1">
      <x:c r="A6" s="5" t="n">
        <x:v>1</x:v>
      </x:c>
      <x:c r="B6" s="5" t="str">
        <x:v>기준문서와 대장 정합</x:v>
      </x:c>
      <x:c r="C6" s="5" t="str">
        <x:v>Rev.03 56종 반영 및 김흥수 일치 확인</x:v>
      </x:c>
      <x:c r="D6" s="5" t="str">
        <x:v>실제 승인증빙 확인 후 배포·구본 회수</x:v>
      </x:c>
      <x:c r="E6" s="5" t="str">
        <x:v>박철호 / 김흥수</x:v>
      </x:c>
      <x:c r="F6" s="9" t="n">
        <x:v>46295</x:v>
      </x:c>
      <x:c r="G6" s="8" t="str">
        <x:v>자료 보완 완료</x:v>
      </x:c>
      <x:c r="H6" s="8"/>
      <x:c r="I6" s="10"/>
    </x:row>
    <x:row r="7" ht="56" customHeight="1">
      <x:c r="A7" s="5" t="n">
        <x:v>2</x:v>
      </x:c>
      <x:c r="B7" s="5" t="str">
        <x:v>FM 공식명·보존기준</x:v>
      </x:c>
      <x:c r="C7" s="5" t="str">
        <x:v>100개 근거 대조 및 명칭 후보 보완</x:v>
      </x:c>
      <x:c r="D7" s="5" t="str">
        <x:v>미확정 명칭·원본·기록별 보존조건 확정</x:v>
      </x:c>
      <x:c r="E7" s="5" t="str">
        <x:v>품질·문서관리</x:v>
      </x:c>
      <x:c r="F7" s="9" t="n">
        <x:v>46297</x:v>
      </x:c>
      <x:c r="G7" s="8" t="str">
        <x:v>실제 확인 필요</x:v>
      </x:c>
      <x:c r="H7" s="8"/>
      <x:c r="I7" s="10"/>
    </x:row>
    <x:row r="8" ht="56" customHeight="1">
      <x:c r="A8" s="5" t="n">
        <x:v>3</x:v>
      </x:c>
      <x:c r="B8" s="5" t="str">
        <x:v>LOT 시행 준비</x:v>
      </x:c>
      <x:c r="C8" s="5" t="str">
        <x:v>시행 전 확정사항·시험기록 준비</x:v>
      </x:c>
      <x:c r="D8" s="5" t="str">
        <x:v>조건 승인 후 대표 LOT 정추적·역추적 실시</x:v>
      </x:c>
      <x:c r="E8" s="5" t="str">
        <x:v>품질·생산·자재·출하</x:v>
      </x:c>
      <x:c r="F8" s="9" t="n">
        <x:v>46297</x:v>
      </x:c>
      <x:c r="G8" s="8" t="str">
        <x:v>실제 확인 필요</x:v>
      </x:c>
      <x:c r="H8" s="8"/>
      <x:c r="I8" s="10"/>
    </x:row>
    <x:row r="9" ht="56" customHeight="1">
      <x:c r="A9" s="5" t="n">
        <x:v>4</x:v>
      </x:c>
      <x:c r="B9" s="5" t="str">
        <x:v>현장 운영 시작</x:v>
      </x:c>
      <x:c r="C9" s="5" t="str">
        <x:v>양식 연결과 운영 증빙 목록 정리</x:v>
      </x:c>
      <x:c r="D9" s="5" t="str">
        <x:v>담당자 지정·교육·실제 기록 작성</x:v>
      </x:c>
      <x:c r="E9" s="5" t="str">
        <x:v>품질·생산·설비</x:v>
      </x:c>
      <x:c r="F9" s="9" t="n">
        <x:v>46300</x:v>
      </x:c>
      <x:c r="G9" s="8" t="str">
        <x:v>실제 확인 필요</x:v>
      </x:c>
      <x:c r="H9" s="8"/>
      <x:c r="I9" s="10"/>
    </x:row>
    <x:row r="10" ht="56" customHeight="1">
      <x:c r="A10" s="5" t="n">
        <x:v>5</x:v>
      </x:c>
      <x:c r="B10" s="5" t="str">
        <x:v>심사 준비 종결</x:v>
      </x:c>
      <x:c r="C10" s="5" t="str">
        <x:v>내부심사·경영검토·효과성 증빙 기준 정리</x:v>
      </x:c>
      <x:c r="D10" s="5" t="str">
        <x:v>심사 실시 및 조치 효과 확인 후 종결</x:v>
      </x:c>
      <x:c r="E10" s="5" t="str">
        <x:v>품질책임자·프로세스 책임자</x:v>
      </x:c>
      <x:c r="F10" s="9" t="n">
        <x:v>46300</x:v>
      </x:c>
      <x:c r="G10" s="8" t="str">
        <x:v>실제 확인 필요</x:v>
      </x:c>
      <x:c r="H10" s="8"/>
      <x:c r="I10" s="10"/>
    </x:row>
    <x:row r="13" ht="38" customHeight="1">
      <x:c r="A13" s="11" t="str">
        <x:v>최신 문서</x:v>
      </x:c>
      <x:c r="B13" s="12" t="str">
        <x:v>SH_QMS_통합문서_Rev03_20260929.docx</x:v>
      </x:c>
      <x:c r="C13" s="12"/>
      <x:c r="D13" s="12"/>
      <x:c r="E13" s="12"/>
      <x:c r="F13" s="12"/>
    </x:row>
    <x:row r="14" ht="38" customHeight="1">
      <x:c r="A14" s="11"/>
      <x:c r="B14" s="12"/>
      <x:c r="C14" s="12"/>
      <x:c r="D14" s="12"/>
      <x:c r="E14" s="12"/>
      <x:c r="F14" s="12"/>
    </x:row>
    <x:row r="15" ht="38" customHeight="1">
      <x:c r="A15" s="11" t="str">
        <x:v>확인된 변경</x:v>
      </x:c>
      <x:c r="B15" s="12" t="str">
        <x:v>오전 지적한 검토자 불일치는 Rev.03에서 해소됨. 문서정보 기준은 Rev.03 2026-09-23.</x:v>
      </x:c>
      <x:c r="C15" s="12"/>
      <x:c r="D15" s="12"/>
      <x:c r="E15" s="12"/>
      <x:c r="F15" s="12"/>
    </x:row>
    <x:row r="16" ht="38" customHeight="1">
      <x:c r="A16" s="11"/>
      <x:c r="B16" s="12"/>
      <x:c r="C16" s="12"/>
      <x:c r="D16" s="12"/>
      <x:c r="E16" s="12"/>
      <x:c r="F16" s="12"/>
    </x:row>
    <x:row r="17" ht="38" customHeight="1">
      <x:c r="A17" s="11" t="str">
        <x:v>본문 참조 정정</x:v>
      </x:c>
      <x:c r="B17" s="12" t="str">
        <x:v>부록 C의 SH-QP-021 (Rev.00 2026-09-04)를 (Rev.03 2026-09-23)로 정정.</x:v>
      </x:c>
      <x:c r="C17" s="12"/>
      <x:c r="D17" s="12"/>
      <x:c r="E17" s="12"/>
      <x:c r="F17" s="12"/>
    </x:row>
    <x:row r="18" ht="38" customHeight="1">
      <x:c r="A18" s="11"/>
      <x:c r="B18" s="12" t="str">
        <x:v>QP 제5권 연계표 제목을 “관련기록 / 상태”로 정정. 통합문서 참조정정본 2026-09-28에 반영.</x:v>
      </x:c>
      <x:c r="C18" s="12"/>
      <x:c r="D18" s="12"/>
      <x:c r="E18" s="12"/>
      <x:c r="F18" s="12"/>
    </x:row>
  </x:sheetData>
  <x:mergeCells>
    <x:mergeCell ref="B13:F13"/>
    <x:mergeCell ref="B15:F15"/>
    <x:mergeCell ref="B17:F17"/>
    <x:mergeCell ref="B18:F18"/>
  </x:mergeCells>
  <x:pageMargins left="0.7" right="0.7" top="0.75" bottom="0.75" header="0.3" footer="0.3"/>
  <x:tableParts count="1">
    <x:tablePart xmlns:r="http://schemas.openxmlformats.org/officeDocument/2006/relationships" r:id="R6562a5a2561b4c84"/>
  </x:tableParts>
</x:worksheet>
</file>

<file path=xl/worksheets/sheet2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4" hidden="0" customWidth="1"/>
    <x:col min="4" max="4" width="18" hidden="0" customWidth="1"/>
    <x:col min="5" max="5" width="18" hidden="0" customWidth="1"/>
    <x:col min="6" max="6" width="36" hidden="0" customWidth="1"/>
    <x:col min="7" max="7" width="33" hidden="0" customWidth="1"/>
    <x:col min="8" max="8" width="18" hidden="0" customWidth="1"/>
    <x:col min="9" max="9" width="18" hidden="0" customWidth="1"/>
    <x:col min="10" max="10" width="40" hidden="0" customWidth="1"/>
    <x:col min="11" max="11" width="25" hidden="0" customWidth="1"/>
  </x:cols>
  <x:sheetData>
    <x:row r="2" ht="38" customHeight="1">
      <x:c r="A2" s="1" t="str">
        <x:v>AP 승인 증빙 연결</x:v>
      </x:c>
    </x:row>
    <x:row r="3" ht="28" customHeight="1">
      <x:c r="A3" s="2" t="str">
        <x:v>번호 반영은 확인됨. 승인결정서·전자결재·발행기준일을 대조한 뒤 입력합니다.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8" customHeight="1">
      <x:c r="A5" s="7" t="str">
        <x:v>Gate</x:v>
      </x:c>
      <x:c r="B5" s="7" t="str">
        <x:v>대상</x:v>
      </x:c>
      <x:c r="C5" s="7" t="str">
        <x:v>공식 FM</x:v>
      </x:c>
      <x:c r="D5" s="7" t="str">
        <x:v>결정서 표시일</x:v>
      </x:c>
      <x:c r="E5" s="7" t="str">
        <x:v>Master 기준일</x:v>
      </x:c>
      <x:c r="F5" s="7" t="str">
        <x:v>현재 근거</x:v>
      </x:c>
      <x:c r="G5" s="7" t="str">
        <x:v>실제 승인근거</x:v>
      </x:c>
      <x:c r="H5" s="7" t="str">
        <x:v>승인자</x:v>
      </x:c>
      <x:c r="I5" s="7" t="str">
        <x:v>승인일</x:v>
      </x:c>
      <x:c r="J5" s="7" t="str">
        <x:v>날짜차이 설명</x:v>
      </x:c>
      <x:c r="K5" s="7" t="str">
        <x:v>완료 판단</x:v>
      </x:c>
    </x:row>
    <x:row r="6" ht="56" customHeight="1">
      <x:c r="A6" s="5" t="str">
        <x:v>AP-01</x:v>
      </x:c>
      <x:c r="B6" s="5" t="str">
        <x:v>제품안전</x:v>
      </x:c>
      <x:c r="C6" s="5" t="str">
        <x:v>SH-FM-066~069</x:v>
      </x:c>
      <x:c r="D6" s="9" t="n">
        <x:v>46268</x:v>
      </x:c>
      <x:c r="E6" s="9" t="n">
        <x:v>46269</x:v>
      </x:c>
      <x:c r="F6" s="5" t="str">
        <x:v>승인 표기 / 현장목록과 상태 차이</x:v>
      </x:c>
      <x:c r="G6" s="8"/>
      <x:c r="H6" s="8"/>
      <x:c r="I6" s="10"/>
      <x:c r="J6" s="8"/>
      <x:c r="K6" s="5" t="str">
        <x:f>IF(AND(G6&lt;&gt;"",H6&lt;&gt;"",ISNUMBER(I6),J6&lt;&gt;""),"확인 기록 입력","증빙 확인 필요")</x:f>
        <x:v>증빙 확인 필요</x:v>
      </x:c>
    </x:row>
    <x:row r="7" ht="56" customHeight="1">
      <x:c r="A7" s="5" t="str">
        <x:v>AP-02</x:v>
      </x:c>
      <x:c r="B7" s="5" t="str">
        <x:v>SPC</x:v>
      </x:c>
      <x:c r="C7" s="5" t="str">
        <x:v>SH-FM-078~080</x:v>
      </x:c>
      <x:c r="D7" s="9" t="n">
        <x:v>46268</x:v>
      </x:c>
      <x:c r="E7" s="9" t="n">
        <x:v>46269</x:v>
      </x:c>
      <x:c r="F7" s="5" t="str">
        <x:v>승인 표기 / 현장목록과 상태 차이</x:v>
      </x:c>
      <x:c r="G7" s="8"/>
      <x:c r="H7" s="8"/>
      <x:c r="I7" s="10"/>
      <x:c r="J7" s="8"/>
      <x:c r="K7" s="5" t="str">
        <x:f>IF(AND(G7&lt;&gt;"",H7&lt;&gt;"",ISNUMBER(I7),J7&lt;&gt;""),"확인 기록 입력","증빙 확인 필요")</x:f>
        <x:v>증빙 확인 필요</x:v>
      </x:c>
    </x:row>
    <x:row r="8" ht="56" customHeight="1">
      <x:c r="A8" s="5" t="str">
        <x:v>AP-03</x:v>
      </x:c>
      <x:c r="B8" s="5" t="str">
        <x:v>COPQ</x:v>
      </x:c>
      <x:c r="C8" s="5" t="str">
        <x:v>SH-FM-096</x:v>
      </x:c>
      <x:c r="D8" s="9" t="n">
        <x:v>46268</x:v>
      </x:c>
      <x:c r="E8" s="9" t="n">
        <x:v>46269</x:v>
      </x:c>
      <x:c r="F8" s="5" t="str">
        <x:v>승인 표기 / 현장목록과 상태 차이</x:v>
      </x:c>
      <x:c r="G8" s="8"/>
      <x:c r="H8" s="8"/>
      <x:c r="I8" s="10"/>
      <x:c r="J8" s="8"/>
      <x:c r="K8" s="5" t="str">
        <x:f>IF(AND(G8&lt;&gt;"",H8&lt;&gt;"",ISNUMBER(I8),J8&lt;&gt;""),"확인 기록 입력","증빙 확인 필요")</x:f>
        <x:v>증빙 확인 필요</x:v>
      </x:c>
    </x:row>
    <x:row r="9" ht="56" customHeight="1">
      <x:c r="A9" s="5" t="str">
        <x:v>AP-04</x:v>
      </x:c>
      <x:c r="B9" s="5" t="str">
        <x:v>지속적개선</x:v>
      </x:c>
      <x:c r="C9" s="5" t="str">
        <x:v>SH-FM-094</x:v>
      </x:c>
      <x:c r="D9" s="9" t="n">
        <x:v>46268</x:v>
      </x:c>
      <x:c r="E9" s="9" t="n">
        <x:v>46269</x:v>
      </x:c>
      <x:c r="F9" s="5" t="str">
        <x:v>승인 표기 / 현장목록과 상태 차이</x:v>
      </x:c>
      <x:c r="G9" s="8"/>
      <x:c r="H9" s="8"/>
      <x:c r="I9" s="10"/>
      <x:c r="J9" s="8"/>
      <x:c r="K9" s="5" t="str">
        <x:f>IF(AND(G9&lt;&gt;"",H9&lt;&gt;"",ISNUMBER(I9),J9&lt;&gt;""),"확인 기록 입력","증빙 확인 필요")</x:f>
        <x:v>증빙 확인 필요</x:v>
      </x:c>
    </x:row>
  </x:sheetData>
  <x:pageMargins left="0.7" right="0.7" top="0.75" bottom="0.75" header="0.3" footer="0.3"/>
  <x:tableParts count="1">
    <x:tablePart xmlns:r="http://schemas.openxmlformats.org/officeDocument/2006/relationships" r:id="R4ca5eb55134443c9"/>
  </x:tableParts>
</x:worksheet>
</file>

<file path=xl/worksheets/sheet3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35" hidden="0" customWidth="1"/>
    <x:col min="3" max="3" width="24" hidden="0" customWidth="1"/>
    <x:col min="4" max="4" width="35" hidden="0" customWidth="1"/>
    <x:col min="5" max="5" width="18" hidden="0" customWidth="1"/>
    <x:col min="6" max="6" width="35" hidden="0" customWidth="1"/>
    <x:col min="7" max="7" width="28" hidden="0" customWidth="1"/>
    <x:col min="8" max="8" width="25" hidden="0" customWidth="1"/>
    <x:col min="9" max="9" width="28" hidden="0" customWidth="1"/>
    <x:col min="10" max="10" width="22" hidden="0" customWidth="1"/>
    <x:col min="11" max="11" width="28" hidden="0" customWidth="1"/>
    <x:col min="12" max="12" width="24" hidden="0" customWidth="1"/>
  </x:cols>
  <x:sheetData>
    <x:row r="2" ht="38" customHeight="1">
      <x:c r="A2" s="1" t="str">
        <x:v>현장 기록별 보존기준 확정</x:v>
      </x:c>
    </x:row>
    <x:row r="3" ht="28" customHeight="1">
      <x:c r="A3" s="2" t="str">
        <x:v>출처: SH-FM-122 작성계획 및 LOT Rev.04 6절. 근거 확정 전 관련 기록은 임의 폐기하지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8" customHeight="1">
      <x:c r="A5" s="7" t="str">
        <x:v>FM</x:v>
      </x:c>
      <x:c r="B5" s="7" t="str">
        <x:v>기록명</x:v>
      </x:c>
      <x:c r="C5" s="7" t="str">
        <x:v>담당부서 안</x:v>
      </x:c>
      <x:c r="D5" s="7" t="str">
        <x:v>작성주기 기준</x:v>
      </x:c>
      <x:c r="E5" s="7" t="str">
        <x:v>실제 담당자</x:v>
      </x:c>
      <x:c r="F5" s="7" t="str">
        <x:v>고객·법규 근거</x:v>
      </x:c>
      <x:c r="G5" s="7" t="str">
        <x:v>보존기간·조건</x:v>
      </x:c>
      <x:c r="H5" s="7" t="str">
        <x:v>기산점</x:v>
      </x:c>
      <x:c r="I5" s="7" t="str">
        <x:v>보관위치</x:v>
      </x:c>
      <x:c r="J5" s="7" t="str">
        <x:v>폐기 승인권자</x:v>
      </x:c>
      <x:c r="K5" s="7" t="str">
        <x:v>승인근거</x:v>
      </x:c>
      <x:c r="L5" s="7" t="str">
        <x:v>확정 상태</x:v>
      </x:c>
    </x:row>
    <x:row r="6" ht="56" customHeight="1">
      <x:c r="A6" s="5" t="str">
        <x:v>SH-FM-033</x:v>
      </x:c>
      <x:c r="B6" s="5" t="str">
        <x:v>생산조건 및 초품확인표</x:v>
      </x:c>
      <x:c r="C6" s="5" t="str">
        <x:v>생산부서</x:v>
      </x:c>
      <x:c r="D6" s="5" t="str">
        <x:v>생산 시작·교대·셋업·품번전환 후</x:v>
      </x:c>
      <x:c r="E6" s="8"/>
      <x:c r="F6" s="8"/>
      <x:c r="G6" s="8"/>
      <x:c r="H6" s="8"/>
      <x:c r="I6" s="8"/>
      <x:c r="J6" s="8"/>
      <x:c r="K6" s="8"/>
      <x:c r="L6" s="5" t="str">
        <x:f>IF(COUNTA(E6:K6)=7,"확정 기록 입력","기준 미확정")</x:f>
        <x:v>기준 미확정</x:v>
      </x:c>
    </x:row>
    <x:row r="7" ht="56" customHeight="1">
      <x:c r="A7" s="5" t="str">
        <x:v>SH-FM-034</x:v>
      </x:c>
      <x:c r="B7" s="5" t="str">
        <x:v>공정검사 기록표</x:v>
      </x:c>
      <x:c r="C7" s="5" t="str">
        <x:v>품질부서</x:v>
      </x:c>
      <x:c r="D7" s="5" t="str">
        <x:v>Control Plan에 정한 검사주기</x:v>
      </x:c>
      <x:c r="E7" s="8"/>
      <x:c r="F7" s="8"/>
      <x:c r="G7" s="8"/>
      <x:c r="H7" s="8"/>
      <x:c r="I7" s="8"/>
      <x:c r="J7" s="8"/>
      <x:c r="K7" s="8"/>
      <x:c r="L7" s="5" t="str">
        <x:f>IF(COUNTA(E7:K7)=7,"확정 기록 입력","기준 미확정")</x:f>
        <x:v>기준 미확정</x:v>
      </x:c>
    </x:row>
    <x:row r="8" ht="56" customHeight="1">
      <x:c r="A8" s="5" t="str">
        <x:v>SH-FM-071</x:v>
      </x:c>
      <x:c r="B8" s="5" t="str">
        <x:v>부적합품 관련 관리기록</x:v>
      </x:c>
      <x:c r="C8" s="5" t="str">
        <x:v>품질부서</x:v>
      </x:c>
      <x:c r="D8" s="5" t="str">
        <x:v>부적합 발생·처리 시</x:v>
      </x:c>
      <x:c r="E8" s="8"/>
      <x:c r="F8" s="8"/>
      <x:c r="G8" s="8"/>
      <x:c r="H8" s="8"/>
      <x:c r="I8" s="8"/>
      <x:c r="J8" s="8"/>
      <x:c r="K8" s="8"/>
      <x:c r="L8" s="5" t="str">
        <x:f>IF(COUNTA(E8:K8)=7,"확정 기록 입력","기준 미확정")</x:f>
        <x:v>기준 미확정</x:v>
      </x:c>
    </x:row>
    <x:row r="9" ht="56" customHeight="1">
      <x:c r="A9" s="5" t="str">
        <x:v>SH-FM-101</x:v>
      </x:c>
      <x:c r="B9" s="5" t="str">
        <x:v>설비 일상점검 및 고장이력</x:v>
      </x:c>
      <x:c r="C9" s="5" t="str">
        <x:v>설비관리 담당부서</x:v>
      </x:c>
      <x:c r="D9" s="5" t="str">
        <x:v>작업 전 점검 / 고장 발생 시</x:v>
      </x:c>
      <x:c r="E9" s="8"/>
      <x:c r="F9" s="8"/>
      <x:c r="G9" s="8"/>
      <x:c r="H9" s="8"/>
      <x:c r="I9" s="8"/>
      <x:c r="J9" s="8"/>
      <x:c r="K9" s="8"/>
      <x:c r="L9" s="5" t="str">
        <x:f>IF(COUNTA(E9:K9)=7,"확정 기록 입력","기준 미확정")</x:f>
        <x:v>기준 미확정</x:v>
      </x:c>
    </x:row>
    <x:row r="10" ht="56" customHeight="1">
      <x:c r="A10" s="5" t="str">
        <x:v>SH-FM-102</x:v>
      </x:c>
      <x:c r="B10" s="5" t="str">
        <x:v>생산·검사·출하 LOT 이력</x:v>
      </x:c>
      <x:c r="C10" s="5" t="str">
        <x:v>생산관리부서</x:v>
      </x:c>
      <x:c r="D10" s="5" t="str">
        <x:v>생산 LOT·검사·출하마다</x:v>
      </x:c>
      <x:c r="E10" s="8"/>
      <x:c r="F10" s="8"/>
      <x:c r="G10" s="8"/>
      <x:c r="H10" s="8"/>
      <x:c r="I10" s="8"/>
      <x:c r="J10" s="8"/>
      <x:c r="K10" s="8"/>
      <x:c r="L10" s="5" t="str">
        <x:f>IF(COUNTA(E10:K10)=7,"확정 기록 입력","기준 미확정")</x:f>
        <x:v>기준 미확정</x:v>
      </x:c>
    </x:row>
    <x:row r="11" ht="56" customHeight="1">
      <x:c r="A11" s="5" t="str">
        <x:v>SH-FM-059</x:v>
      </x:c>
      <x:c r="B11" s="5" t="str">
        <x:v>구매품추적관리대장</x:v>
      </x:c>
      <x:c r="C11" s="5" t="str">
        <x:v>자재구매부서</x:v>
      </x:c>
      <x:c r="D11" s="5" t="str">
        <x:v>구매품 입고·불출 시</x:v>
      </x:c>
      <x:c r="E11" s="8"/>
      <x:c r="F11" s="8"/>
      <x:c r="G11" s="8"/>
      <x:c r="H11" s="8"/>
      <x:c r="I11" s="8"/>
      <x:c r="J11" s="8"/>
      <x:c r="K11" s="8"/>
      <x:c r="L11" s="5" t="str">
        <x:f>IF(COUNTA(E11:K11)=7,"확정 기록 입력","기준 미확정")</x:f>
        <x:v>기준 미확정</x:v>
      </x:c>
    </x:row>
    <x:row r="12" ht="56" customHeight="1">
      <x:c r="A12" s="5" t="str">
        <x:v>SH-FM-023</x:v>
      </x:c>
      <x:c r="B12" s="5" t="str">
        <x:v>계측기대장 및 교정기록</x:v>
      </x:c>
      <x:c r="C12" s="5" t="str">
        <x:v>품질부서</x:v>
      </x:c>
      <x:c r="D12" s="5" t="str">
        <x:v>등록·사용 전 확인·교정 시</x:v>
      </x:c>
      <x:c r="E12" s="8"/>
      <x:c r="F12" s="8"/>
      <x:c r="G12" s="8"/>
      <x:c r="H12" s="8"/>
      <x:c r="I12" s="8"/>
      <x:c r="J12" s="8"/>
      <x:c r="K12" s="8"/>
      <x:c r="L12" s="5" t="str">
        <x:f>IF(COUNTA(E12:K12)=7,"확정 기록 입력","기준 미확정")</x:f>
        <x:v>기준 미확정</x:v>
      </x:c>
    </x:row>
    <x:row r="13" ht="56" customHeight="1">
      <x:c r="A13" s="5" t="str">
        <x:v>SH-FM-024</x:v>
      </x:c>
      <x:c r="B13" s="5" t="str">
        <x:v>MSA 및 Gauge R&amp;R 기록</x:v>
      </x:c>
      <x:c r="C13" s="5" t="str">
        <x:v>품질부서</x:v>
      </x:c>
      <x:c r="D13" s="5" t="str">
        <x:v>측정시스템 도입·변경 및 계획 시</x:v>
      </x:c>
      <x:c r="E13" s="8"/>
      <x:c r="F13" s="8"/>
      <x:c r="G13" s="8"/>
      <x:c r="H13" s="8"/>
      <x:c r="I13" s="8"/>
      <x:c r="J13" s="8"/>
      <x:c r="K13" s="8"/>
      <x:c r="L13" s="5" t="str">
        <x:f>IF(COUNTA(E13:K13)=7,"확정 기록 입력","기준 미확정")</x:f>
        <x:v>기준 미확정</x:v>
      </x:c>
    </x:row>
    <x:row r="14" ht="56" customHeight="1">
      <x:c r="A14" s="5" t="str">
        <x:v>SH-FM-103</x:v>
      </x:c>
      <x:c r="B14" s="5" t="str">
        <x:v>금형·치공구 관리이력</x:v>
      </x:c>
      <x:c r="C14" s="5" t="str">
        <x:v>설비관리 담당부서</x:v>
      </x:c>
      <x:c r="D14" s="5" t="str">
        <x:v>등록·교환·수리·점검 시</x:v>
      </x:c>
      <x:c r="E14" s="8"/>
      <x:c r="F14" s="8"/>
      <x:c r="G14" s="8"/>
      <x:c r="H14" s="8"/>
      <x:c r="I14" s="8"/>
      <x:c r="J14" s="8"/>
      <x:c r="K14" s="8"/>
      <x:c r="L14" s="5" t="str">
        <x:f>IF(COUNTA(E14:K14)=7,"확정 기록 입력","기준 미확정")</x:f>
        <x:v>기준 미확정</x:v>
      </x:c>
    </x:row>
    <x:row r="15" ht="56" customHeight="1">
      <x:c r="A15" s="5" t="str">
        <x:v>SH-FM-104</x:v>
      </x:c>
      <x:c r="B15" s="5" t="str">
        <x:v>자재 입고·보관·불출 기록</x:v>
      </x:c>
      <x:c r="C15" s="5" t="str">
        <x:v>자재구매부서</x:v>
      </x:c>
      <x:c r="D15" s="5" t="str">
        <x:v>입고·불출 시 / 재고점검 계획 시</x:v>
      </x:c>
      <x:c r="E15" s="8"/>
      <x:c r="F15" s="8"/>
      <x:c r="G15" s="8"/>
      <x:c r="H15" s="8"/>
      <x:c r="I15" s="8"/>
      <x:c r="J15" s="8"/>
      <x:c r="K15" s="8"/>
      <x:c r="L15" s="5" t="str">
        <x:f>IF(COUNTA(E15:K15)=7,"확정 기록 입력","기준 미확정")</x:f>
        <x:v>기준 미확정</x:v>
      </x:c>
    </x:row>
    <x:row r="16" ht="56" customHeight="1">
      <x:c r="A16" s="5" t="str">
        <x:v>SH-FM-105</x:v>
      </x:c>
      <x:c r="B16" s="5" t="str">
        <x:v>포장·라벨 및 출하검증 기록</x:v>
      </x:c>
      <x:c r="C16" s="5" t="str">
        <x:v>생산관리부서</x:v>
      </x:c>
      <x:c r="D16" s="5" t="str">
        <x:v>출하 건별</x:v>
      </x:c>
      <x:c r="E16" s="8"/>
      <x:c r="F16" s="8"/>
      <x:c r="G16" s="8"/>
      <x:c r="H16" s="8"/>
      <x:c r="I16" s="8"/>
      <x:c r="J16" s="8"/>
      <x:c r="K16" s="8"/>
      <x:c r="L16" s="5" t="str">
        <x:f>IF(COUNTA(E16:K16)=7,"확정 기록 입력","기준 미확정")</x:f>
        <x:v>기준 미확정</x:v>
      </x:c>
    </x:row>
    <x:row r="17" ht="56" customHeight="1">
      <x:c r="A17" s="5" t="str">
        <x:v>SH-FM-106</x:v>
      </x:c>
      <x:c r="B17" s="5" t="str">
        <x:v>공정조건 설정 및 확인기록</x:v>
      </x:c>
      <x:c r="C17" s="5" t="str">
        <x:v>생산부서</x:v>
      </x:c>
      <x:c r="D17" s="5" t="str">
        <x:v>작업 시작·교대·조건변경 후</x:v>
      </x:c>
      <x:c r="E17" s="8"/>
      <x:c r="F17" s="8"/>
      <x:c r="G17" s="8"/>
      <x:c r="H17" s="8"/>
      <x:c r="I17" s="8"/>
      <x:c r="J17" s="8"/>
      <x:c r="K17" s="8"/>
      <x:c r="L17" s="5" t="str">
        <x:f>IF(COUNTA(E17:K17)=7,"확정 기록 입력","기준 미확정")</x:f>
        <x:v>기준 미확정</x:v>
      </x:c>
    </x:row>
    <x:row r="18" ht="56" customHeight="1">
      <x:c r="A18" s="5" t="str">
        <x:v>SH-FM-107</x:v>
      </x:c>
      <x:c r="B18" s="5" t="str">
        <x:v>오류방지 장치 점검기록</x:v>
      </x:c>
      <x:c r="C18" s="5" t="str">
        <x:v>생산부서</x:v>
      </x:c>
      <x:c r="D18" s="5" t="str">
        <x:v>작업·교대 시작 전 및 정해진 시점</x:v>
      </x:c>
      <x:c r="E18" s="8"/>
      <x:c r="F18" s="8"/>
      <x:c r="G18" s="8"/>
      <x:c r="H18" s="8"/>
      <x:c r="I18" s="8"/>
      <x:c r="J18" s="8"/>
      <x:c r="K18" s="8"/>
      <x:c r="L18" s="5" t="str">
        <x:f>IF(COUNTA(E18:K18)=7,"확정 기록 입력","기준 미확정")</x:f>
        <x:v>기준 미확정</x:v>
      </x:c>
    </x:row>
    <x:row r="19" ht="56" customHeight="1">
      <x:c r="A19" s="5" t="str">
        <x:v>SH-FM-108</x:v>
      </x:c>
      <x:c r="B19" s="5" t="str">
        <x:v>품번전환 및 라인 클리어런스 기록</x:v>
      </x:c>
      <x:c r="C19" s="5" t="str">
        <x:v>생산부서</x:v>
      </x:c>
      <x:c r="D19" s="5" t="str">
        <x:v>품번전환 시</x:v>
      </x:c>
      <x:c r="E19" s="8"/>
      <x:c r="F19" s="8"/>
      <x:c r="G19" s="8"/>
      <x:c r="H19" s="8"/>
      <x:c r="I19" s="8"/>
      <x:c r="J19" s="8"/>
      <x:c r="K19" s="8"/>
      <x:c r="L19" s="5" t="str">
        <x:f>IF(COUNTA(E19:K19)=7,"확정 기록 입력","기준 미확정")</x:f>
        <x:v>기준 미확정</x:v>
      </x:c>
    </x:row>
    <x:row r="20" ht="56" customHeight="1">
      <x:c r="A20" s="5" t="str">
        <x:v>SH-FM-109</x:v>
      </x:c>
      <x:c r="B20" s="5" t="str">
        <x:v>선별검사 결과기록</x:v>
      </x:c>
      <x:c r="C20" s="5" t="str">
        <x:v>품질부서</x:v>
      </x:c>
      <x:c r="D20" s="5" t="str">
        <x:v>선별·특별검사 실시 시</x:v>
      </x:c>
      <x:c r="E20" s="8"/>
      <x:c r="F20" s="8"/>
      <x:c r="G20" s="8"/>
      <x:c r="H20" s="8"/>
      <x:c r="I20" s="8"/>
      <x:c r="J20" s="8"/>
      <x:c r="K20" s="8"/>
      <x:c r="L20" s="5" t="str">
        <x:f>IF(COUNTA(E20:K20)=7,"확정 기록 입력","기준 미확정")</x:f>
        <x:v>기준 미확정</x:v>
      </x:c>
    </x:row>
    <x:row r="21" ht="56" customHeight="1">
      <x:c r="A21" s="5" t="str">
        <x:v>SH-FM-110</x:v>
      </x:c>
      <x:c r="B21" s="5" t="str">
        <x:v>교대 인수인계 기록</x:v>
      </x:c>
      <x:c r="C21" s="5" t="str">
        <x:v>생산부서</x:v>
      </x:c>
      <x:c r="D21" s="5" t="str">
        <x:v>교대 시</x:v>
      </x:c>
      <x:c r="E21" s="8"/>
      <x:c r="F21" s="8"/>
      <x:c r="G21" s="8"/>
      <x:c r="H21" s="8"/>
      <x:c r="I21" s="8"/>
      <x:c r="J21" s="8"/>
      <x:c r="K21" s="8"/>
      <x:c r="L21" s="5" t="str">
        <x:f>IF(COUNTA(E21:K21)=7,"확정 기록 입력","기준 미확정")</x:f>
        <x:v>기준 미확정</x:v>
      </x:c>
    </x:row>
    <x:row r="22" ht="56" customHeight="1">
      <x:c r="A22" s="5" t="str">
        <x:v>SH-FM-022</x:v>
      </x:c>
      <x:c r="B22" s="5" t="str">
        <x:v>예방보전 계획 및 실시기록</x:v>
      </x:c>
      <x:c r="C22" s="5" t="str">
        <x:v>설비관리 담당부서</x:v>
      </x:c>
      <x:c r="D22" s="5" t="str">
        <x:v>설비별 승인 보전계획에 따라</x:v>
      </x:c>
      <x:c r="E22" s="8"/>
      <x:c r="F22" s="8"/>
      <x:c r="G22" s="8"/>
      <x:c r="H22" s="8"/>
      <x:c r="I22" s="8"/>
      <x:c r="J22" s="8"/>
      <x:c r="K22" s="8"/>
      <x:c r="L22" s="5" t="str">
        <x:f>IF(COUNTA(E22:K22)=7,"확정 기록 입력","기준 미확정")</x:f>
        <x:v>기준 미확정</x:v>
      </x:c>
    </x:row>
    <x:row r="23" ht="56" customHeight="1">
      <x:c r="A23" s="5" t="str">
        <x:v>SH-FM-111</x:v>
      </x:c>
      <x:c r="B23" s="5" t="str">
        <x:v>청정도·청소 및 이물점검 기록</x:v>
      </x:c>
      <x:c r="C23" s="5" t="str">
        <x:v>생산부서</x:v>
      </x:c>
      <x:c r="D23" s="5" t="str">
        <x:v>공정별 청소·점검 기준에 따라</x:v>
      </x:c>
      <x:c r="E23" s="8"/>
      <x:c r="F23" s="8"/>
      <x:c r="G23" s="8"/>
      <x:c r="H23" s="8"/>
      <x:c r="I23" s="8"/>
      <x:c r="J23" s="8"/>
      <x:c r="K23" s="8"/>
      <x:c r="L23" s="5" t="str">
        <x:f>IF(COUNTA(E23:K23)=7,"확정 기록 입력","기준 미확정")</x:f>
        <x:v>기준 미확정</x:v>
      </x:c>
    </x:row>
    <x:row r="24" ht="56" customHeight="1">
      <x:c r="A24" s="5" t="str">
        <x:v>SH-FM-037</x:v>
      </x:c>
      <x:c r="B24" s="5" t="str">
        <x:v>재작업·수리 전후 검사기록</x:v>
      </x:c>
      <x:c r="C24" s="5" t="str">
        <x:v>품질부서</x:v>
      </x:c>
      <x:c r="D24" s="5" t="str">
        <x:v>승인된 재작업·수리 건별</x:v>
      </x:c>
      <x:c r="E24" s="8"/>
      <x:c r="F24" s="8"/>
      <x:c r="G24" s="8"/>
      <x:c r="H24" s="8"/>
      <x:c r="I24" s="8"/>
      <x:c r="J24" s="8"/>
      <x:c r="K24" s="8"/>
      <x:c r="L24" s="5" t="str">
        <x:f>IF(COUNTA(E24:K24)=7,"확정 기록 입력","기준 미확정")</x:f>
        <x:v>기준 미확정</x:v>
      </x:c>
    </x:row>
    <x:row r="25" ht="56" customHeight="1">
      <x:c r="A25" s="5" t="str">
        <x:v>SH-FM-066</x:v>
      </x:c>
      <x:c r="B25" s="5" t="str">
        <x:v>제품안전 요구사항대장</x:v>
      </x:c>
      <x:c r="C25" s="5" t="str">
        <x:v>품질부서</x:v>
      </x:c>
      <x:c r="D25" s="5" t="str">
        <x:v>신규 요구·변경 및 계획 검토 시</x:v>
      </x:c>
      <x:c r="E25" s="8"/>
      <x:c r="F25" s="8"/>
      <x:c r="G25" s="8"/>
      <x:c r="H25" s="8"/>
      <x:c r="I25" s="8"/>
      <x:c r="J25" s="8"/>
      <x:c r="K25" s="8"/>
      <x:c r="L25" s="5" t="str">
        <x:f>IF(COUNTA(E25:K25)=7,"확정 기록 입력","기준 미확정")</x:f>
        <x:v>기준 미확정</x:v>
      </x:c>
    </x:row>
    <x:row r="26" ht="56" customHeight="1">
      <x:c r="A26" s="5" t="str">
        <x:v>SH-FM-067</x:v>
      </x:c>
      <x:c r="B26" s="5" t="str">
        <x:v>제품안전 특성관리대장</x:v>
      </x:c>
      <x:c r="C26" s="5" t="str">
        <x:v>품질부서</x:v>
      </x:c>
      <x:c r="D26" s="5" t="str">
        <x:v>특성 지정·변경 시</x:v>
      </x:c>
      <x:c r="E26" s="8"/>
      <x:c r="F26" s="8"/>
      <x:c r="G26" s="8"/>
      <x:c r="H26" s="8"/>
      <x:c r="I26" s="8"/>
      <x:c r="J26" s="8"/>
      <x:c r="K26" s="8"/>
      <x:c r="L26" s="5" t="str">
        <x:f>IF(COUNTA(E26:K26)=7,"확정 기록 입력","기준 미확정")</x:f>
        <x:v>기준 미확정</x:v>
      </x:c>
    </x:row>
    <x:row r="27" ht="56" customHeight="1">
      <x:c r="A27" s="5" t="str">
        <x:v>SH-FM-068</x:v>
      </x:c>
      <x:c r="B27" s="5" t="str">
        <x:v>제품안전 에스컬레이션 보고서</x:v>
      </x:c>
      <x:c r="C27" s="5" t="str">
        <x:v>품질부서</x:v>
      </x:c>
      <x:c r="D27" s="5" t="str">
        <x:v>제품안전 이상 발생 시</x:v>
      </x:c>
      <x:c r="E27" s="8"/>
      <x:c r="F27" s="8"/>
      <x:c r="G27" s="8"/>
      <x:c r="H27" s="8"/>
      <x:c r="I27" s="8"/>
      <x:c r="J27" s="8"/>
      <x:c r="K27" s="8"/>
      <x:c r="L27" s="5" t="str">
        <x:f>IF(COUNTA(E27:K27)=7,"확정 기록 입력","기준 미확정")</x:f>
        <x:v>기준 미확정</x:v>
      </x:c>
    </x:row>
    <x:row r="28" ht="56" customHeight="1">
      <x:c r="A28" s="5" t="str">
        <x:v>SH-FM-069</x:v>
      </x:c>
      <x:c r="B28" s="5" t="str">
        <x:v>제품안전 연간점검표</x:v>
      </x:c>
      <x:c r="C28" s="5" t="str">
        <x:v>품질부서</x:v>
      </x:c>
      <x:c r="D28" s="5" t="str">
        <x:v>연간 점검계획에 따라</x:v>
      </x:c>
      <x:c r="E28" s="8"/>
      <x:c r="F28" s="8"/>
      <x:c r="G28" s="8"/>
      <x:c r="H28" s="8"/>
      <x:c r="I28" s="8"/>
      <x:c r="J28" s="8"/>
      <x:c r="K28" s="8"/>
      <x:c r="L28" s="5" t="str">
        <x:f>IF(COUNTA(E28:K28)=7,"확정 기록 입력","기준 미확정")</x:f>
        <x:v>기준 미확정</x:v>
      </x:c>
    </x:row>
    <x:row r="29" ht="56" customHeight="1">
      <x:c r="A29" s="5" t="str">
        <x:v>SH-FM-112</x:v>
      </x:c>
      <x:c r="B29" s="5" t="str">
        <x:v>비상계획·훈련 및 복구검증 기록</x:v>
      </x:c>
      <x:c r="C29" s="5" t="str">
        <x:v>생산관리부서</x:v>
      </x:c>
      <x:c r="D29" s="5" t="str">
        <x:v>훈련계획 시 / 실제 비상 발생 시</x:v>
      </x:c>
      <x:c r="E29" s="8"/>
      <x:c r="F29" s="8"/>
      <x:c r="G29" s="8"/>
      <x:c r="H29" s="8"/>
      <x:c r="I29" s="8"/>
      <x:c r="J29" s="8"/>
      <x:c r="K29" s="8"/>
      <x:c r="L29" s="5" t="str">
        <x:f>IF(COUNTA(E29:K29)=7,"확정 기록 입력","기준 미확정")</x:f>
        <x:v>기준 미확정</x:v>
      </x:c>
    </x:row>
    <x:row r="30" ht="56" customHeight="1">
      <x:c r="A30" s="5" t="str">
        <x:v>SH-FM-113</x:v>
      </x:c>
      <x:c r="B30" s="5" t="str">
        <x:v>공정감사 및 LPA 기록</x:v>
      </x:c>
      <x:c r="C30" s="5" t="str">
        <x:v>품질부서</x:v>
      </x:c>
      <x:c r="D30" s="5" t="str">
        <x:v>승인된 공정·계층별 감사계획</x:v>
      </x:c>
      <x:c r="E30" s="8"/>
      <x:c r="F30" s="8"/>
      <x:c r="G30" s="8"/>
      <x:c r="H30" s="8"/>
      <x:c r="I30" s="8"/>
      <x:c r="J30" s="8"/>
      <x:c r="K30" s="8"/>
      <x:c r="L30" s="5" t="str">
        <x:f>IF(COUNTA(E30:K30)=7,"확정 기록 입력","기준 미확정")</x:f>
        <x:v>기준 미확정</x:v>
      </x:c>
    </x:row>
    <x:row r="31" ht="56" customHeight="1">
      <x:c r="A31" s="5" t="str">
        <x:v>SH-FM-043</x:v>
      </x:c>
      <x:c r="B31" s="5" t="str">
        <x:v>제품공정변경검토서</x:v>
      </x:c>
      <x:c r="C31" s="5" t="str">
        <x:v>기술·공정 담당부서</x:v>
      </x:c>
      <x:c r="D31" s="5" t="str">
        <x:v>제품·공정·공급자 변경 검토 시</x:v>
      </x:c>
      <x:c r="E31" s="8"/>
      <x:c r="F31" s="8"/>
      <x:c r="G31" s="8"/>
      <x:c r="H31" s="8"/>
      <x:c r="I31" s="8"/>
      <x:c r="J31" s="8"/>
      <x:c r="K31" s="8"/>
      <x:c r="L31" s="5" t="str">
        <x:f>IF(COUNTA(E31:K31)=7,"확정 기록 입력","기준 미확정")</x:f>
        <x:v>기준 미확정</x:v>
      </x:c>
    </x:row>
    <x:row r="32" ht="56" customHeight="1">
      <x:c r="A32" s="5" t="str">
        <x:v>SH-FM-052</x:v>
      </x:c>
      <x:c r="B32" s="5" t="str">
        <x:v>초기유동관리계획서</x:v>
      </x:c>
      <x:c r="C32" s="5" t="str">
        <x:v>품질부서</x:v>
      </x:c>
      <x:c r="D32" s="5" t="str">
        <x:v>변경품·신규품 초기유동 시</x:v>
      </x:c>
      <x:c r="E32" s="8"/>
      <x:c r="F32" s="8"/>
      <x:c r="G32" s="8"/>
      <x:c r="H32" s="8"/>
      <x:c r="I32" s="8"/>
      <x:c r="J32" s="8"/>
      <x:c r="K32" s="8"/>
      <x:c r="L32" s="5" t="str">
        <x:f>IF(COUNTA(E32:K32)=7,"확정 기록 입력","기준 미확정")</x:f>
        <x:v>기준 미확정</x:v>
      </x:c>
    </x:row>
    <x:row r="33" ht="56" customHeight="1">
      <x:c r="A33" s="5" t="str">
        <x:v>SH-FM-040</x:v>
      </x:c>
      <x:c r="B33" s="5" t="str">
        <x:v>고객불만 및 8D 기록</x:v>
      </x:c>
      <x:c r="C33" s="5" t="str">
        <x:v>품질부서</x:v>
      </x:c>
      <x:c r="D33" s="5" t="str">
        <x:v>불만 접수 시 / 고객 회신기한</x:v>
      </x:c>
      <x:c r="E33" s="8"/>
      <x:c r="F33" s="8"/>
      <x:c r="G33" s="8"/>
      <x:c r="H33" s="8"/>
      <x:c r="I33" s="8"/>
      <x:c r="J33" s="8"/>
      <x:c r="K33" s="8"/>
      <x:c r="L33" s="5" t="str">
        <x:f>IF(COUNTA(E33:K33)=7,"확정 기록 입력","기준 미확정")</x:f>
        <x:v>기준 미확정</x:v>
      </x:c>
    </x:row>
    <x:row r="34" ht="56" customHeight="1">
      <x:c r="A34" s="5" t="str">
        <x:v>SH-FM-044</x:v>
      </x:c>
      <x:c r="B34" s="5" t="str">
        <x:v>고객승인관리대장</x:v>
      </x:c>
      <x:c r="C34" s="5" t="str">
        <x:v>품질부서</x:v>
      </x:c>
      <x:c r="D34" s="5" t="str">
        <x:v>고객 승인·통보 필요 시</x:v>
      </x:c>
      <x:c r="E34" s="8"/>
      <x:c r="F34" s="8"/>
      <x:c r="G34" s="8"/>
      <x:c r="H34" s="8"/>
      <x:c r="I34" s="8"/>
      <x:c r="J34" s="8"/>
      <x:c r="K34" s="8"/>
      <x:c r="L34" s="5" t="str">
        <x:f>IF(COUNTA(E34:K34)=7,"확정 기록 입력","기준 미확정")</x:f>
        <x:v>기준 미확정</x:v>
      </x:c>
    </x:row>
    <x:row r="35" ht="56" customHeight="1">
      <x:c r="A35" s="5" t="str">
        <x:v>SH-FM-114</x:v>
      </x:c>
      <x:c r="B35" s="5" t="str">
        <x:v>공급자 입고품 이상·시정조치 기록</x:v>
      </x:c>
      <x:c r="C35" s="5" t="str">
        <x:v>자재구매부서</x:v>
      </x:c>
      <x:c r="D35" s="5" t="str">
        <x:v>입고 이상 및 공급자 조치 시</x:v>
      </x:c>
      <x:c r="E35" s="8"/>
      <x:c r="F35" s="8"/>
      <x:c r="G35" s="8"/>
      <x:c r="H35" s="8"/>
      <x:c r="I35" s="8"/>
      <x:c r="J35" s="8"/>
      <x:c r="K35" s="8"/>
      <x:c r="L35" s="5" t="str">
        <x:f>IF(COUNTA(E35:K35)=7,"확정 기록 입력","기준 미확정")</x:f>
        <x:v>기준 미확정</x:v>
      </x:c>
    </x:row>
    <x:row r="36" ht="56" customHeight="1">
      <x:c r="A36" s="5" t="str">
        <x:v>SH-FM-115</x:v>
      </x:c>
      <x:c r="B36" s="5" t="str">
        <x:v>품질이상 정지·보고·재가동 기록</x:v>
      </x:c>
      <x:c r="C36" s="5" t="str">
        <x:v>생산부서</x:v>
      </x:c>
      <x:c r="D36" s="5" t="str">
        <x:v>이상정지·재가동 시</x:v>
      </x:c>
      <x:c r="E36" s="8"/>
      <x:c r="F36" s="8"/>
      <x:c r="G36" s="8"/>
      <x:c r="H36" s="8"/>
      <x:c r="I36" s="8"/>
      <x:c r="J36" s="8"/>
      <x:c r="K36" s="8"/>
      <x:c r="L36" s="5" t="str">
        <x:f>IF(COUNTA(E36:K36)=7,"확정 기록 입력","기준 미확정")</x:f>
        <x:v>기준 미확정</x:v>
      </x:c>
    </x:row>
    <x:row r="37" ht="56" customHeight="1">
      <x:c r="A37" s="5" t="str">
        <x:v>SH-FM-116</x:v>
      </x:c>
      <x:c r="B37" s="5" t="str">
        <x:v>고객특별상태 및 강화관리 기록</x:v>
      </x:c>
      <x:c r="C37" s="5" t="str">
        <x:v>품질부서</x:v>
      </x:c>
      <x:c r="D37" s="5" t="str">
        <x:v>고객특별상태 통보·해제 시</x:v>
      </x:c>
      <x:c r="E37" s="8"/>
      <x:c r="F37" s="8"/>
      <x:c r="G37" s="8"/>
      <x:c r="H37" s="8"/>
      <x:c r="I37" s="8"/>
      <x:c r="J37" s="8"/>
      <x:c r="K37" s="8"/>
      <x:c r="L37" s="5" t="str">
        <x:f>IF(COUNTA(E37:K37)=7,"확정 기록 입력","기준 미확정")</x:f>
        <x:v>기준 미확정</x:v>
      </x:c>
    </x:row>
    <x:row r="38" ht="56" customHeight="1">
      <x:c r="A38" s="5" t="str">
        <x:v>SH-FM-117</x:v>
      </x:c>
      <x:c r="B38" s="5" t="str">
        <x:v>검사성적서 및 품질기록</x:v>
      </x:c>
      <x:c r="C38" s="5" t="str">
        <x:v>품질부서</x:v>
      </x:c>
      <x:c r="D38" s="5" t="str">
        <x:v>검사 건별 / 성적서 발행 시</x:v>
      </x:c>
      <x:c r="E38" s="8"/>
      <x:c r="F38" s="8"/>
      <x:c r="G38" s="8"/>
      <x:c r="H38" s="8"/>
      <x:c r="I38" s="8"/>
      <x:c r="J38" s="8"/>
      <x:c r="K38" s="8"/>
      <x:c r="L38" s="5" t="str">
        <x:f>IF(COUNTA(E38:K38)=7,"확정 기록 입력","기준 미확정")</x:f>
        <x:v>기준 미확정</x:v>
      </x:c>
    </x:row>
    <x:row r="39" ht="56" customHeight="1">
      <x:c r="A39" s="5" t="str">
        <x:v>SH-FM-118</x:v>
      </x:c>
      <x:c r="B39" s="5" t="str">
        <x:v>장기재고·유효기간 점검기록</x:v>
      </x:c>
      <x:c r="C39" s="5" t="str">
        <x:v>자재구매부서</x:v>
      </x:c>
      <x:c r="D39" s="5" t="str">
        <x:v>재고점검 계획 및 사용·출하 전</x:v>
      </x:c>
      <x:c r="E39" s="8"/>
      <x:c r="F39" s="8"/>
      <x:c r="G39" s="8"/>
      <x:c r="H39" s="8"/>
      <x:c r="I39" s="8"/>
      <x:c r="J39" s="8"/>
      <x:c r="K39" s="8"/>
      <x:c r="L39" s="5" t="str">
        <x:f>IF(COUNTA(E39:K39)=7,"확정 기록 입력","기준 미확정")</x:f>
        <x:v>기준 미확정</x:v>
      </x:c>
    </x:row>
    <x:row r="40" ht="56" customHeight="1">
      <x:c r="A40" s="5" t="str">
        <x:v>SH-FM-119</x:v>
      </x:c>
      <x:c r="B40" s="5" t="str">
        <x:v>공급자 변경품·초도품 확인기록</x:v>
      </x:c>
      <x:c r="C40" s="5" t="str">
        <x:v>품질부서</x:v>
      </x:c>
      <x:c r="D40" s="5" t="str">
        <x:v>변경품·초도품 입고 시</x:v>
      </x:c>
      <x:c r="E40" s="8"/>
      <x:c r="F40" s="8"/>
      <x:c r="G40" s="8"/>
      <x:c r="H40" s="8"/>
      <x:c r="I40" s="8"/>
      <x:c r="J40" s="8"/>
      <x:c r="K40" s="8"/>
      <x:c r="L40" s="5" t="str">
        <x:f>IF(COUNTA(E40:K40)=7,"확정 기록 입력","기준 미확정")</x:f>
        <x:v>기준 미확정</x:v>
      </x:c>
    </x:row>
    <x:row r="41" ht="56" customHeight="1">
      <x:c r="A41" s="5" t="str">
        <x:v>SH-FM-120</x:v>
      </x:c>
      <x:c r="B41" s="5" t="str">
        <x:v>고객감사·인증심사 대응기록</x:v>
      </x:c>
      <x:c r="C41" s="5" t="str">
        <x:v>품질부서</x:v>
      </x:c>
      <x:c r="D41" s="5" t="str">
        <x:v>심사계획·실시·후속조치 시</x:v>
      </x:c>
      <x:c r="E41" s="8"/>
      <x:c r="F41" s="8"/>
      <x:c r="G41" s="8"/>
      <x:c r="H41" s="8"/>
      <x:c r="I41" s="8"/>
      <x:c r="J41" s="8"/>
      <x:c r="K41" s="8"/>
      <x:c r="L41" s="5" t="str">
        <x:f>IF(COUNTA(E41:K41)=7,"확정 기록 입력","기준 미확정")</x:f>
        <x:v>기준 미확정</x:v>
      </x:c>
    </x:row>
    <x:row r="42" ht="56" customHeight="1">
      <x:c r="A42" s="5" t="str">
        <x:v>SH-FM-121</x:v>
      </x:c>
      <x:c r="B42" s="5" t="str">
        <x:v>교육일지·참석 및 역량평가 기록</x:v>
      </x:c>
      <x:c r="C42" s="5" t="str">
        <x:v>교육 주관부서</x:v>
      </x:c>
      <x:c r="D42" s="5" t="str">
        <x:v>입사·업무변경·문서교육·평가 시</x:v>
      </x:c>
      <x:c r="E42" s="8"/>
      <x:c r="F42" s="8"/>
      <x:c r="G42" s="8"/>
      <x:c r="H42" s="8"/>
      <x:c r="I42" s="8"/>
      <x:c r="J42" s="8"/>
      <x:c r="K42" s="8"/>
      <x:c r="L42" s="5" t="str">
        <x:f>IF(COUNTA(E42:K42)=7,"확정 기록 입력","기준 미확정")</x:f>
        <x:v>기준 미확정</x:v>
      </x:c>
    </x:row>
    <x:row r="43" ht="56" customHeight="1">
      <x:c r="A43" s="5" t="str">
        <x:v>SH-FM-078</x:v>
      </x:c>
      <x:c r="B43" s="5" t="str">
        <x:v>SPC 대상특성 관리대장</x:v>
      </x:c>
      <x:c r="C43" s="5" t="str">
        <x:v>품질부서</x:v>
      </x:c>
      <x:c r="D43" s="5" t="str">
        <x:v>대상특성 선정·변경 시</x:v>
      </x:c>
      <x:c r="E43" s="8"/>
      <x:c r="F43" s="8"/>
      <x:c r="G43" s="8"/>
      <x:c r="H43" s="8"/>
      <x:c r="I43" s="8"/>
      <x:c r="J43" s="8"/>
      <x:c r="K43" s="8"/>
      <x:c r="L43" s="5" t="str">
        <x:f>IF(COUNTA(E43:K43)=7,"확정 기록 입력","기준 미확정")</x:f>
        <x:v>기준 미확정</x:v>
      </x:c>
    </x:row>
    <x:row r="44" ht="56" customHeight="1">
      <x:c r="A44" s="5" t="str">
        <x:v>SH-FM-079</x:v>
      </x:c>
      <x:c r="B44" s="5" t="str">
        <x:v>공정능력 분석대장</x:v>
      </x:c>
      <x:c r="C44" s="5" t="str">
        <x:v>품질부서</x:v>
      </x:c>
      <x:c r="D44" s="5" t="str">
        <x:v>Control Plan·고객요구에 따른 분석 시</x:v>
      </x:c>
      <x:c r="E44" s="8"/>
      <x:c r="F44" s="8"/>
      <x:c r="G44" s="8"/>
      <x:c r="H44" s="8"/>
      <x:c r="I44" s="8"/>
      <x:c r="J44" s="8"/>
      <x:c r="K44" s="8"/>
      <x:c r="L44" s="5" t="str">
        <x:f>IF(COUNTA(E44:K44)=7,"확정 기록 입력","기준 미확정")</x:f>
        <x:v>기준 미확정</x:v>
      </x:c>
    </x:row>
    <x:row r="45" ht="56" customHeight="1">
      <x:c r="A45" s="5" t="str">
        <x:v>SH-FM-080</x:v>
      </x:c>
      <x:c r="B45" s="5" t="str">
        <x:v>SPC 이상반응·개선보고서</x:v>
      </x:c>
      <x:c r="C45" s="5" t="str">
        <x:v>품질부서</x:v>
      </x:c>
      <x:c r="D45" s="5" t="str">
        <x:v>관리도 이상·능력 미달 시</x:v>
      </x:c>
      <x:c r="E45" s="8"/>
      <x:c r="F45" s="8"/>
      <x:c r="G45" s="8"/>
      <x:c r="H45" s="8"/>
      <x:c r="I45" s="8"/>
      <x:c r="J45" s="8"/>
      <x:c r="K45" s="8"/>
      <x:c r="L45" s="5" t="str">
        <x:f>IF(COUNTA(E45:K45)=7,"확정 기록 입력","기준 미확정")</x:f>
        <x:v>기준 미확정</x:v>
      </x:c>
    </x:row>
    <x:row r="46" ht="56" customHeight="1">
      <x:c r="A46" s="5" t="str">
        <x:v>SH-FM-001</x:v>
      </x:c>
      <x:c r="B46" s="5" t="str">
        <x:v>품질목표관리대장</x:v>
      </x:c>
      <x:c r="C46" s="5" t="str">
        <x:v>품질부서</x:v>
      </x:c>
      <x:c r="D46" s="5" t="str">
        <x:v>연간 목표 수립 / 월별 실적 취합</x:v>
      </x:c>
      <x:c r="E46" s="8"/>
      <x:c r="F46" s="8"/>
      <x:c r="G46" s="8"/>
      <x:c r="H46" s="8"/>
      <x:c r="I46" s="8"/>
      <x:c r="J46" s="8"/>
      <x:c r="K46" s="8"/>
      <x:c r="L46" s="5" t="str">
        <x:f>IF(COUNTA(E46:K46)=7,"확정 기록 입력","기준 미확정")</x:f>
        <x:v>기준 미확정</x:v>
      </x:c>
    </x:row>
    <x:row r="47" ht="56" customHeight="1">
      <x:c r="A47" s="5" t="str">
        <x:v>SH-FM-041</x:v>
      </x:c>
      <x:c r="B47" s="5" t="str">
        <x:v>고객특정요구사항목록</x:v>
      </x:c>
      <x:c r="C47" s="5" t="str">
        <x:v>품질부서</x:v>
      </x:c>
      <x:c r="D47" s="5" t="str">
        <x:v>고객요구 접수·변경 시</x:v>
      </x:c>
      <x:c r="E47" s="8"/>
      <x:c r="F47" s="8"/>
      <x:c r="G47" s="8"/>
      <x:c r="H47" s="8"/>
      <x:c r="I47" s="8"/>
      <x:c r="J47" s="8"/>
      <x:c r="K47" s="8"/>
      <x:c r="L47" s="5" t="str">
        <x:f>IF(COUNTA(E47:K47)=7,"확정 기록 입력","기준 미확정")</x:f>
        <x:v>기준 미확정</x:v>
      </x:c>
    </x:row>
    <x:row r="48" ht="56" customHeight="1">
      <x:c r="A48" s="5" t="str">
        <x:v>SH-FM-096</x:v>
      </x:c>
      <x:c r="B48" s="5" t="str">
        <x:v>COPQ 월간 집계표</x:v>
      </x:c>
      <x:c r="C48" s="5" t="str">
        <x:v>품질부서</x:v>
      </x:c>
      <x:c r="D48" s="5" t="str">
        <x:v>월별 마감 시</x:v>
      </x:c>
      <x:c r="E48" s="8"/>
      <x:c r="F48" s="8"/>
      <x:c r="G48" s="8"/>
      <x:c r="H48" s="8"/>
      <x:c r="I48" s="8"/>
      <x:c r="J48" s="8"/>
      <x:c r="K48" s="8"/>
      <x:c r="L48" s="5" t="str">
        <x:f>IF(COUNTA(E48:K48)=7,"확정 기록 입력","기준 미확정")</x:f>
        <x:v>기준 미확정</x:v>
      </x:c>
    </x:row>
    <x:row r="49" ht="56" customHeight="1">
      <x:c r="A49" s="5" t="str">
        <x:v>SH-FM-094</x:v>
      </x:c>
      <x:c r="B49" s="5" t="str">
        <x:v>지속적개선 과제관리표</x:v>
      </x:c>
      <x:c r="C49" s="5" t="str">
        <x:v>품질부서</x:v>
      </x:c>
      <x:c r="D49" s="5" t="str">
        <x:v>과제 등록·진척 점검·종결 시</x:v>
      </x:c>
      <x:c r="E49" s="8"/>
      <x:c r="F49" s="8"/>
      <x:c r="G49" s="8"/>
      <x:c r="H49" s="8"/>
      <x:c r="I49" s="8"/>
      <x:c r="J49" s="8"/>
      <x:c r="K49" s="8"/>
      <x:c r="L49" s="5" t="str">
        <x:f>IF(COUNTA(E49:K49)=7,"확정 기록 입력","기준 미확정")</x:f>
        <x:v>기준 미확정</x:v>
      </x:c>
    </x:row>
  </x:sheetData>
  <x:pageMargins left="0.7" right="0.7" top="0.75" bottom="0.75" header="0.3" footer="0.3"/>
  <x:tableParts count="1">
    <x:tablePart xmlns:r="http://schemas.openxmlformats.org/officeDocument/2006/relationships" r:id="Re9be6514fba04d2f"/>
  </x:tableParts>
</x:worksheet>
</file>

<file path=xl/worksheets/sheet4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50" hidden="0" customWidth="1"/>
    <x:col min="4" max="4" width="30" hidden="0" customWidth="1"/>
    <x:col min="5" max="5" width="26" hidden="0" customWidth="1"/>
    <x:col min="6" max="6" width="42" hidden="0" customWidth="1"/>
    <x:col min="7" max="7" width="34" hidden="0" customWidth="1"/>
    <x:col min="8" max="8" width="18" hidden="0" customWidth="1"/>
    <x:col min="9" max="9" width="18" hidden="0" customWidth="1"/>
    <x:col min="10" max="10" width="22" hidden="0" customWidth="1"/>
  </x:cols>
  <x:sheetData>
    <x:row r="2" ht="38" customHeight="1">
      <x:c r="A2" s="1" t="str">
        <x:v>LOT 시행 전 확정사항</x:v>
      </x:c>
    </x:row>
    <x:row r="3" ht="28" customHeight="1">
      <x:c r="A3" s="2" t="str">
        <x:v>기준서 Rev.04의 미결사항을 실행 순서로 배치했습니다. 실제 코드·시간·기간은 승인값을 입력합니다.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8" customHeight="1">
      <x:c r="A5" s="7" t="str">
        <x:v>ID</x:v>
      </x:c>
      <x:c r="B5" s="7" t="str">
        <x:v>항목</x:v>
      </x:c>
      <x:c r="C5" s="7" t="str">
        <x:v>확정할 내용</x:v>
      </x:c>
      <x:c r="D5" s="7" t="str">
        <x:v>근거</x:v>
      </x:c>
      <x:c r="E5" s="7" t="str">
        <x:v>담당 역할 안</x:v>
      </x:c>
      <x:c r="F5" s="7" t="str">
        <x:v>확정값·기준</x:v>
      </x:c>
      <x:c r="G5" s="7" t="str">
        <x:v>근거파일·기록</x:v>
      </x:c>
      <x:c r="H5" s="7" t="str">
        <x:v>확인자</x:v>
      </x:c>
      <x:c r="I5" s="7" t="str">
        <x:v>확인일</x:v>
      </x:c>
      <x:c r="J5" s="7" t="str">
        <x:v>준비 상태</x:v>
      </x:c>
    </x:row>
    <x:row r="6" ht="56" customHeight="1">
      <x:c r="A6" s="5" t="str">
        <x:v>L01</x:v>
      </x:c>
      <x:c r="B6" s="5" t="str">
        <x:v>문서 식별</x:v>
      </x:c>
      <x:c r="C6" s="5" t="str">
        <x:v>문서번호·시행일·작성검토승인 연결</x:v>
      </x:c>
      <x:c r="D6" s="5" t="str">
        <x:v>기준서 표지와 7절</x:v>
      </x:c>
      <x:c r="E6" s="5" t="str">
        <x:v>문서관리 / 품질</x:v>
      </x:c>
      <x:c r="F6" s="8"/>
      <x:c r="G6" s="8"/>
      <x:c r="H6" s="8"/>
      <x:c r="I6" s="10"/>
      <x:c r="J6" s="5" t="str">
        <x:f>IF(AND(F6&lt;&gt;"",G6&lt;&gt;"",H6&lt;&gt;"",ISNUMBER(I6)),"확인 기록 입력","확정 필요")</x:f>
        <x:v>확정 필요</x:v>
      </x:c>
    </x:row>
    <x:row r="7" ht="56" customHeight="1">
      <x:c r="A7" s="5" t="str">
        <x:v>L02</x:v>
      </x:c>
      <x:c r="B7" s="5" t="str">
        <x:v>코드 대응표</x:v>
      </x:c>
      <x:c r="C7" s="5" t="str">
        <x:v>I/O/Q 제외 연월일 코드·연도범위·소진 시 규칙</x:v>
      </x:c>
      <x:c r="D7" s="5" t="str">
        <x:v>기준서 1절</x:v>
      </x:c>
      <x:c r="E7" s="5" t="str">
        <x:v>품질 / 생산</x:v>
      </x:c>
      <x:c r="F7" s="8"/>
      <x:c r="G7" s="8"/>
      <x:c r="H7" s="8"/>
      <x:c r="I7" s="10"/>
      <x:c r="J7" s="5" t="str">
        <x:f>IF(AND(F7&lt;&gt;"",G7&lt;&gt;"",H7&lt;&gt;"",ISNUMBER(I7)),"확인 기록 입력","확정 필요")</x:f>
        <x:v>확정 필요</x:v>
      </x:c>
    </x:row>
    <x:row r="8" ht="56" customHeight="1">
      <x:c r="A8" s="5" t="str">
        <x:v>L03</x:v>
      </x:c>
      <x:c r="B8" s="5" t="str">
        <x:v>전환일</x:v>
      </x:c>
      <x:c r="C8" s="5" t="str">
        <x:v>LEGACY/NEW 구분·전환일·기존재고 유지</x:v>
      </x:c>
      <x:c r="D8" s="5" t="str">
        <x:v>기준서 1절</x:v>
      </x:c>
      <x:c r="E8" s="5" t="str">
        <x:v>생산관리</x:v>
      </x:c>
      <x:c r="F8" s="8"/>
      <x:c r="G8" s="8"/>
      <x:c r="H8" s="8"/>
      <x:c r="I8" s="10"/>
      <x:c r="J8" s="5" t="str">
        <x:f>IF(AND(F8&lt;&gt;"",G8&lt;&gt;"",H8&lt;&gt;"",ISNUMBER(I8)),"확인 기록 입력","확정 필요")</x:f>
        <x:v>확정 필요</x:v>
      </x:c>
    </x:row>
    <x:row r="9" ht="56" customHeight="1">
      <x:c r="A9" s="5" t="str">
        <x:v>L04</x:v>
      </x:c>
      <x:c r="B9" s="5" t="str">
        <x:v>배치 분리</x:v>
      </x:c>
      <x:c r="C9" s="5" t="str">
        <x:v>자재·조건·설비·중단재개별 분리 또는 이력연결 기준</x:v>
      </x:c>
      <x:c r="D9" s="5" t="str">
        <x:v>기준서 1절</x:v>
      </x:c>
      <x:c r="E9" s="5" t="str">
        <x:v>생산 / 품질</x:v>
      </x:c>
      <x:c r="F9" s="8"/>
      <x:c r="G9" s="8"/>
      <x:c r="H9" s="8"/>
      <x:c r="I9" s="10"/>
      <x:c r="J9" s="5" t="str">
        <x:f>IF(AND(F9&lt;&gt;"",G9&lt;&gt;"",H9&lt;&gt;"",ISNUMBER(I9)),"확인 기록 입력","확정 필요")</x:f>
        <x:v>확정 필요</x:v>
      </x:c>
    </x:row>
    <x:row r="10" ht="56" customHeight="1">
      <x:c r="A10" s="5" t="str">
        <x:v>L05</x:v>
      </x:c>
      <x:c r="B10" s="5" t="str">
        <x:v>추적시간</x:v>
      </x:c>
      <x:c r="C10" s="5" t="str">
        <x:v>고객 근거 확인 후 정추적·역추적 목표시간 승인</x:v>
      </x:c>
      <x:c r="D10" s="5" t="str">
        <x:v>기준서 5절</x:v>
      </x:c>
      <x:c r="E10" s="5" t="str">
        <x:v>품질</x:v>
      </x:c>
      <x:c r="F10" s="8"/>
      <x:c r="G10" s="8"/>
      <x:c r="H10" s="8"/>
      <x:c r="I10" s="10"/>
      <x:c r="J10" s="5" t="str">
        <x:f>IF(AND(F10&lt;&gt;"",G10&lt;&gt;"",H10&lt;&gt;"",ISNUMBER(I10)),"확인 기록 입력","확정 필요")</x:f>
        <x:v>확정 필요</x:v>
      </x:c>
    </x:row>
    <x:row r="11" ht="56" customHeight="1">
      <x:c r="A11" s="5" t="str">
        <x:v>L06</x:v>
      </x:c>
      <x:c r="B11" s="5" t="str">
        <x:v>기록보존</x:v>
      </x:c>
      <x:c r="C11" s="5" t="str">
        <x:v>기간·기산점·위치·폐기권한 확정</x:v>
      </x:c>
      <x:c r="D11" s="5" t="str">
        <x:v>기준서 6절 / 03 시트</x:v>
      </x:c>
      <x:c r="E11" s="5" t="str">
        <x:v>품질 / 고객담당</x:v>
      </x:c>
      <x:c r="F11" s="8"/>
      <x:c r="G11" s="8"/>
      <x:c r="H11" s="8"/>
      <x:c r="I11" s="10"/>
      <x:c r="J11" s="5" t="str">
        <x:f>IF(AND(F11&lt;&gt;"",G11&lt;&gt;"",H11&lt;&gt;"",ISNUMBER(I11)),"확인 기록 입력","확정 필요")</x:f>
        <x:v>확정 필요</x:v>
      </x:c>
    </x:row>
    <x:row r="12" ht="56" customHeight="1">
      <x:c r="A12" s="5" t="str">
        <x:v>L07</x:v>
      </x:c>
      <x:c r="B12" s="5" t="str">
        <x:v>전산 통제</x:v>
      </x:c>
      <x:c r="C12" s="5" t="str">
        <x:v>접근권한·정정이력·백업·복구주기·위치</x:v>
      </x:c>
      <x:c r="D12" s="5" t="str">
        <x:v>기준서 6절</x:v>
      </x:c>
      <x:c r="E12" s="5" t="str">
        <x:v>시스템 담당</x:v>
      </x:c>
      <x:c r="F12" s="8"/>
      <x:c r="G12" s="8"/>
      <x:c r="H12" s="8"/>
      <x:c r="I12" s="10"/>
      <x:c r="J12" s="5" t="str">
        <x:f>IF(AND(F12&lt;&gt;"",G12&lt;&gt;"",H12&lt;&gt;"",ISNUMBER(I12)),"확인 기록 입력","확정 필요")</x:f>
        <x:v>확정 필요</x:v>
      </x:c>
    </x:row>
    <x:row r="13" ht="56" customHeight="1">
      <x:c r="A13" s="5" t="str">
        <x:v>L08</x:v>
      </x:c>
      <x:c r="B13" s="5" t="str">
        <x:v>고객 요구</x:v>
      </x:c>
      <x:c r="C13" s="5" t="str">
        <x:v>한온 품번별 라벨·재작업수리·기록보존 원문 연결</x:v>
      </x:c>
      <x:c r="D13" s="5" t="str">
        <x:v>기준서 7절</x:v>
      </x:c>
      <x:c r="E13" s="5" t="str">
        <x:v>고객담당 / 품질</x:v>
      </x:c>
      <x:c r="F13" s="8"/>
      <x:c r="G13" s="8"/>
      <x:c r="H13" s="8"/>
      <x:c r="I13" s="10"/>
      <x:c r="J13" s="5" t="str">
        <x:f>IF(AND(F13&lt;&gt;"",G13&lt;&gt;"",H13&lt;&gt;"",ISNUMBER(I13)),"확인 기록 입력","확정 필요")</x:f>
        <x:v>확정 필요</x:v>
      </x:c>
    </x:row>
    <x:row r="14" ht="56" customHeight="1">
      <x:c r="A14" s="5" t="str">
        <x:v>L09</x:v>
      </x:c>
      <x:c r="B14" s="5" t="str">
        <x:v>추적 검증</x:v>
      </x:c>
      <x:c r="C14" s="5" t="str">
        <x:v>대표 LOT 선정 후 05 시트 시험·누락조치</x:v>
      </x:c>
      <x:c r="D14" s="5" t="str">
        <x:v>기준서 5절</x:v>
      </x:c>
      <x:c r="E14" s="5" t="str">
        <x:v>품질 / 현장</x:v>
      </x:c>
      <x:c r="F14" s="8"/>
      <x:c r="G14" s="8"/>
      <x:c r="H14" s="8"/>
      <x:c r="I14" s="10"/>
      <x:c r="J14" s="5" t="str">
        <x:f>IF(AND(F14&lt;&gt;"",G14&lt;&gt;"",H14&lt;&gt;"",ISNUMBER(I14)),"확인 기록 입력","확정 필요")</x:f>
        <x:v>확정 필요</x:v>
      </x:c>
    </x:row>
    <x:row r="15" ht="56" customHeight="1">
      <x:c r="A15" s="5" t="str">
        <x:v>L10</x:v>
      </x:c>
      <x:c r="B15" s="5" t="str">
        <x:v>시행 배포</x:v>
      </x:c>
      <x:c r="C15" s="5" t="str">
        <x:v>승인·교육·배포·구본회수 결과 연결</x:v>
      </x:c>
      <x:c r="D15" s="5" t="str">
        <x:v>기준서 7절</x:v>
      </x:c>
      <x:c r="E15" s="5" t="str">
        <x:v>문서관리 / 부서장</x:v>
      </x:c>
      <x:c r="F15" s="8"/>
      <x:c r="G15" s="8"/>
      <x:c r="H15" s="8"/>
      <x:c r="I15" s="10"/>
      <x:c r="J15" s="5" t="str">
        <x:f>IF(AND(F15&lt;&gt;"",G15&lt;&gt;"",H15&lt;&gt;"",ISNUMBER(I15)),"확인 기록 입력","확정 필요")</x:f>
        <x:v>확정 필요</x:v>
      </x:c>
    </x:row>
  </x:sheetData>
  <x:pageMargins left="0.7" right="0.7" top="0.75" bottom="0.75" header="0.3" footer="0.3"/>
  <x:tableParts count="1">
    <x:tablePart xmlns:r="http://schemas.openxmlformats.org/officeDocument/2006/relationships" r:id="Rddd3885b93ea406d"/>
  </x:tableParts>
</x:worksheet>
</file>

<file path=xl/worksheets/sheet5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16" hidden="0" customWidth="1"/>
    <x:col min="3" max="3" width="24" hidden="0" customWidth="1"/>
    <x:col min="4" max="4" width="28" hidden="0" customWidth="1"/>
    <x:col min="5" max="5" width="30" hidden="0" customWidth="1"/>
    <x:col min="6" max="6" width="17" hidden="0" customWidth="1"/>
    <x:col min="7" max="7" width="17" hidden="0" customWidth="1"/>
    <x:col min="8" max="8" width="35" hidden="0" customWidth="1"/>
    <x:col min="9" max="9" width="23" hidden="0" customWidth="1"/>
    <x:col min="10" max="10" width="23" hidden="0" customWidth="1"/>
    <x:col min="11" max="11" width="16" hidden="0" customWidth="1"/>
    <x:col min="12" max="12" width="17" hidden="0" customWidth="1"/>
    <x:col min="13" max="13" width="17" hidden="0" customWidth="1"/>
    <x:col min="14" max="14" width="18" hidden="0" customWidth="1"/>
    <x:col min="15" max="15" width="30" hidden="0" customWidth="1"/>
    <x:col min="16" max="16" width="23" hidden="0" customWidth="1"/>
    <x:col min="17" max="17" width="35" hidden="0" customWidth="1"/>
  </x:cols>
  <x:sheetData>
    <x:row r="2" ht="38" customHeight="1">
      <x:c r="A2" s="1" t="str">
        <x:v>LOT 양방향 추적 시험기록</x:v>
      </x:c>
    </x:row>
    <x:row r="3" ht="28" customHeight="1">
      <x:c r="A3" s="2" t="str">
        <x:v>자재·투입·생산·검사·포장·출하 기록을 연결합니다. 차이 사유만으로 합격 처리하지 않고 검토근거를 남깁니다.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8" customHeight="1">
      <x:c r="A5" s="7" t="str">
        <x:v>NO</x:v>
      </x:c>
      <x:c r="B5" s="7" t="str">
        <x:v>방향</x:v>
      </x:c>
      <x:c r="C5" s="7" t="str">
        <x:v>품번</x:v>
      </x:c>
      <x:c r="D5" s="7" t="str">
        <x:v>기준 LOT·배치</x:v>
      </x:c>
      <x:c r="E5" s="7" t="str">
        <x:v>연결기록 번호</x:v>
      </x:c>
      <x:c r="F5" s="7" t="str">
        <x:v>기준수량</x:v>
      </x:c>
      <x:c r="G5" s="7" t="str">
        <x:v>확인수량</x:v>
      </x:c>
      <x:c r="H5" s="7" t="str">
        <x:v>차이 사유</x:v>
      </x:c>
      <x:c r="I5" s="7" t="str">
        <x:v>시작일시</x:v>
      </x:c>
      <x:c r="J5" s="7" t="str">
        <x:v>완료일시</x:v>
      </x:c>
      <x:c r="K5" s="7" t="str">
        <x:v>소요분</x:v>
      </x:c>
      <x:c r="L5" s="7" t="str">
        <x:v>승인 목표분</x:v>
      </x:c>
      <x:c r="M5" s="7" t="str">
        <x:v>누락건수</x:v>
      </x:c>
      <x:c r="N5" s="7" t="str">
        <x:v>담당자</x:v>
      </x:c>
      <x:c r="O5" s="7" t="str">
        <x:v>검토근거</x:v>
      </x:c>
      <x:c r="P5" s="7" t="str">
        <x:v>판정</x:v>
      </x:c>
      <x:c r="Q5" s="7" t="str">
        <x:v>조치·재시험</x:v>
      </x:c>
    </x:row>
    <x:row r="6" ht="56" customHeight="1">
      <x:c r="A6" s="5" t="n">
        <x:v>1</x:v>
      </x:c>
      <x:c r="B6" s="8" t="str">
        <x:v>역추적</x:v>
      </x:c>
      <x:c r="C6" s="8"/>
      <x:c r="D6" s="8"/>
      <x:c r="E6" s="8"/>
      <x:c r="F6" s="8"/>
      <x:c r="G6" s="8"/>
      <x:c r="H6" s="8"/>
      <x:c r="I6" s="13"/>
      <x:c r="J6" s="13"/>
      <x:c r="K6" s="14" t="str">
        <x:f>IF(AND(ISNUMBER(I6),ISNUMBER(J6)),(J6-I6)*1440,"")</x:f>
      </x:c>
      <x:c r="L6" s="15"/>
      <x:c r="M6" s="8"/>
      <x:c r="N6" s="8"/>
      <x:c r="O6" s="8"/>
      <x:c r="P6" s="5" t="str">
        <x:f>IF(OR(C6="",D6="",E6="",NOT(ISNUMBER(F6)),NOT(ISNUMBER(G6)),NOT(ISNUMBER(K6)),NOT(ISNUMBER(L6)),NOT(ISNUMBER(M6)),N6="",O6=""),"기록 미완료",IF(OR(K6&lt;0,L6&lt;=0,F6&lt;0,G6&lt;0,M6&lt;0),"입력 확인",IF(OR(M6&gt;0,K6&gt;L6,AND(F6&lt;&gt;G6,H6="")),"조치·재시험","합격")))</x:f>
        <x:v>기록 미완료</x:v>
      </x:c>
      <x:c r="Q6" s="8"/>
    </x:row>
    <x:row r="7" ht="56" customHeight="1">
      <x:c r="A7" s="5" t="n">
        <x:v>2</x:v>
      </x:c>
      <x:c r="B7" s="8" t="str">
        <x:v>정추적</x:v>
      </x:c>
      <x:c r="C7" s="8"/>
      <x:c r="D7" s="8"/>
      <x:c r="E7" s="8"/>
      <x:c r="F7" s="8"/>
      <x:c r="G7" s="8"/>
      <x:c r="H7" s="8"/>
      <x:c r="I7" s="13"/>
      <x:c r="J7" s="13"/>
      <x:c r="K7" s="14" t="str">
        <x:f>IF(AND(ISNUMBER(I7),ISNUMBER(J7)),(J7-I7)*1440,"")</x:f>
      </x:c>
      <x:c r="L7" s="15"/>
      <x:c r="M7" s="8"/>
      <x:c r="N7" s="8"/>
      <x:c r="O7" s="8"/>
      <x:c r="P7" s="5" t="str">
        <x:f>IF(OR(C7="",D7="",E7="",NOT(ISNUMBER(F7)),NOT(ISNUMBER(G7)),NOT(ISNUMBER(K7)),NOT(ISNUMBER(L7)),NOT(ISNUMBER(M7)),N7="",O7=""),"기록 미완료",IF(OR(K7&lt;0,L7&lt;=0,F7&lt;0,G7&lt;0,M7&lt;0),"입력 확인",IF(OR(M7&gt;0,K7&gt;L7,AND(F7&lt;&gt;G7,H7="")),"조치·재시험","합격")))</x:f>
        <x:v>기록 미완료</x:v>
      </x:c>
      <x:c r="Q7" s="8"/>
    </x:row>
    <x:row r="8" ht="56" customHeight="1">
      <x:c r="A8" s="5" t="n">
        <x:v>3</x:v>
      </x:c>
      <x:c r="B8" s="8" t="str">
        <x:v>역추적</x:v>
      </x:c>
      <x:c r="C8" s="8"/>
      <x:c r="D8" s="8"/>
      <x:c r="E8" s="8"/>
      <x:c r="F8" s="8"/>
      <x:c r="G8" s="8"/>
      <x:c r="H8" s="8"/>
      <x:c r="I8" s="13"/>
      <x:c r="J8" s="13"/>
      <x:c r="K8" s="14" t="str">
        <x:f>IF(AND(ISNUMBER(I8),ISNUMBER(J8)),(J8-I8)*1440,"")</x:f>
      </x:c>
      <x:c r="L8" s="15"/>
      <x:c r="M8" s="8"/>
      <x:c r="N8" s="8"/>
      <x:c r="O8" s="8"/>
      <x:c r="P8" s="5" t="str">
        <x:f>IF(OR(C8="",D8="",E8="",NOT(ISNUMBER(F8)),NOT(ISNUMBER(G8)),NOT(ISNUMBER(K8)),NOT(ISNUMBER(L8)),NOT(ISNUMBER(M8)),N8="",O8=""),"기록 미완료",IF(OR(K8&lt;0,L8&lt;=0,F8&lt;0,G8&lt;0,M8&lt;0),"입력 확인",IF(OR(M8&gt;0,K8&gt;L8,AND(F8&lt;&gt;G8,H8="")),"조치·재시험","합격")))</x:f>
        <x:v>기록 미완료</x:v>
      </x:c>
      <x:c r="Q8" s="8"/>
    </x:row>
    <x:row r="9" ht="56" customHeight="1">
      <x:c r="A9" s="5" t="n">
        <x:v>4</x:v>
      </x:c>
      <x:c r="B9" s="8" t="str">
        <x:v>정추적</x:v>
      </x:c>
      <x:c r="C9" s="8"/>
      <x:c r="D9" s="8"/>
      <x:c r="E9" s="8"/>
      <x:c r="F9" s="8"/>
      <x:c r="G9" s="8"/>
      <x:c r="H9" s="8"/>
      <x:c r="I9" s="13"/>
      <x:c r="J9" s="13"/>
      <x:c r="K9" s="14" t="str">
        <x:f>IF(AND(ISNUMBER(I9),ISNUMBER(J9)),(J9-I9)*1440,"")</x:f>
      </x:c>
      <x:c r="L9" s="15"/>
      <x:c r="M9" s="8"/>
      <x:c r="N9" s="8"/>
      <x:c r="O9" s="8"/>
      <x:c r="P9" s="5" t="str">
        <x:f>IF(OR(C9="",D9="",E9="",NOT(ISNUMBER(F9)),NOT(ISNUMBER(G9)),NOT(ISNUMBER(K9)),NOT(ISNUMBER(L9)),NOT(ISNUMBER(M9)),N9="",O9=""),"기록 미완료",IF(OR(K9&lt;0,L9&lt;=0,F9&lt;0,G9&lt;0,M9&lt;0),"입력 확인",IF(OR(M9&gt;0,K9&gt;L9,AND(F9&lt;&gt;G9,H9="")),"조치·재시험","합격")))</x:f>
        <x:v>기록 미완료</x:v>
      </x:c>
      <x:c r="Q9" s="8"/>
    </x:row>
    <x:row r="10" ht="56" customHeight="1">
      <x:c r="A10" s="5" t="n">
        <x:v>5</x:v>
      </x:c>
      <x:c r="B10" s="8" t="str">
        <x:v>역추적</x:v>
      </x:c>
      <x:c r="C10" s="8"/>
      <x:c r="D10" s="8"/>
      <x:c r="E10" s="8"/>
      <x:c r="F10" s="8"/>
      <x:c r="G10" s="8"/>
      <x:c r="H10" s="8"/>
      <x:c r="I10" s="13"/>
      <x:c r="J10" s="13"/>
      <x:c r="K10" s="14" t="str">
        <x:f>IF(AND(ISNUMBER(I10),ISNUMBER(J10)),(J10-I10)*1440,"")</x:f>
      </x:c>
      <x:c r="L10" s="15"/>
      <x:c r="M10" s="8"/>
      <x:c r="N10" s="8"/>
      <x:c r="O10" s="8"/>
      <x:c r="P10" s="5" t="str">
        <x:f>IF(OR(C10="",D10="",E10="",NOT(ISNUMBER(F10)),NOT(ISNUMBER(G10)),NOT(ISNUMBER(K10)),NOT(ISNUMBER(L10)),NOT(ISNUMBER(M10)),N10="",O10=""),"기록 미완료",IF(OR(K10&lt;0,L10&lt;=0,F10&lt;0,G10&lt;0,M10&lt;0),"입력 확인",IF(OR(M10&gt;0,K10&gt;L10,AND(F10&lt;&gt;G10,H10="")),"조치·재시험","합격")))</x:f>
        <x:v>기록 미완료</x:v>
      </x:c>
      <x:c r="Q10" s="8"/>
    </x:row>
    <x:row r="11" ht="56" customHeight="1">
      <x:c r="A11" s="5" t="n">
        <x:v>6</x:v>
      </x:c>
      <x:c r="B11" s="8" t="str">
        <x:v>정추적</x:v>
      </x:c>
      <x:c r="C11" s="8"/>
      <x:c r="D11" s="8"/>
      <x:c r="E11" s="8"/>
      <x:c r="F11" s="8"/>
      <x:c r="G11" s="8"/>
      <x:c r="H11" s="8"/>
      <x:c r="I11" s="13"/>
      <x:c r="J11" s="13"/>
      <x:c r="K11" s="14" t="str">
        <x:f>IF(AND(ISNUMBER(I11),ISNUMBER(J11)),(J11-I11)*1440,"")</x:f>
      </x:c>
      <x:c r="L11" s="15"/>
      <x:c r="M11" s="8"/>
      <x:c r="N11" s="8"/>
      <x:c r="O11" s="8"/>
      <x:c r="P11" s="5" t="str">
        <x:f>IF(OR(C11="",D11="",E11="",NOT(ISNUMBER(F11)),NOT(ISNUMBER(G11)),NOT(ISNUMBER(K11)),NOT(ISNUMBER(L11)),NOT(ISNUMBER(M11)),N11="",O11=""),"기록 미완료",IF(OR(K11&lt;0,L11&lt;=0,F11&lt;0,G11&lt;0,M11&lt;0),"입력 확인",IF(OR(M11&gt;0,K11&gt;L11,AND(F11&lt;&gt;G11,H11="")),"조치·재시험","합격")))</x:f>
        <x:v>기록 미완료</x:v>
      </x:c>
      <x:c r="Q11" s="8"/>
    </x:row>
    <x:row r="12" ht="56" customHeight="1">
      <x:c r="A12" s="5" t="n">
        <x:v>7</x:v>
      </x:c>
      <x:c r="B12" s="8" t="str">
        <x:v>역추적</x:v>
      </x:c>
      <x:c r="C12" s="8"/>
      <x:c r="D12" s="8"/>
      <x:c r="E12" s="8"/>
      <x:c r="F12" s="8"/>
      <x:c r="G12" s="8"/>
      <x:c r="H12" s="8"/>
      <x:c r="I12" s="13"/>
      <x:c r="J12" s="13"/>
      <x:c r="K12" s="14" t="str">
        <x:f>IF(AND(ISNUMBER(I12),ISNUMBER(J12)),(J12-I12)*1440,"")</x:f>
      </x:c>
      <x:c r="L12" s="15"/>
      <x:c r="M12" s="8"/>
      <x:c r="N12" s="8"/>
      <x:c r="O12" s="8"/>
      <x:c r="P12" s="5" t="str">
        <x:f>IF(OR(C12="",D12="",E12="",NOT(ISNUMBER(F12)),NOT(ISNUMBER(G12)),NOT(ISNUMBER(K12)),NOT(ISNUMBER(L12)),NOT(ISNUMBER(M12)),N12="",O12=""),"기록 미완료",IF(OR(K12&lt;0,L12&lt;=0,F12&lt;0,G12&lt;0,M12&lt;0),"입력 확인",IF(OR(M12&gt;0,K12&gt;L12,AND(F12&lt;&gt;G12,H12="")),"조치·재시험","합격")))</x:f>
        <x:v>기록 미완료</x:v>
      </x:c>
      <x:c r="Q12" s="8"/>
    </x:row>
    <x:row r="13" ht="56" customHeight="1">
      <x:c r="A13" s="5" t="n">
        <x:v>8</x:v>
      </x:c>
      <x:c r="B13" s="8" t="str">
        <x:v>정추적</x:v>
      </x:c>
      <x:c r="C13" s="8"/>
      <x:c r="D13" s="8"/>
      <x:c r="E13" s="8"/>
      <x:c r="F13" s="8"/>
      <x:c r="G13" s="8"/>
      <x:c r="H13" s="8"/>
      <x:c r="I13" s="13"/>
      <x:c r="J13" s="13"/>
      <x:c r="K13" s="14" t="str">
        <x:f>IF(AND(ISNUMBER(I13),ISNUMBER(J13)),(J13-I13)*1440,"")</x:f>
      </x:c>
      <x:c r="L13" s="15"/>
      <x:c r="M13" s="8"/>
      <x:c r="N13" s="8"/>
      <x:c r="O13" s="8"/>
      <x:c r="P13" s="5" t="str">
        <x:f>IF(OR(C13="",D13="",E13="",NOT(ISNUMBER(F13)),NOT(ISNUMBER(G13)),NOT(ISNUMBER(K13)),NOT(ISNUMBER(L13)),NOT(ISNUMBER(M13)),N13="",O13=""),"기록 미완료",IF(OR(K13&lt;0,L13&lt;=0,F13&lt;0,G13&lt;0,M13&lt;0),"입력 확인",IF(OR(M13&gt;0,K13&gt;L13,AND(F13&lt;&gt;G13,H13="")),"조치·재시험","합격")))</x:f>
        <x:v>기록 미완료</x:v>
      </x:c>
      <x:c r="Q13" s="8"/>
    </x:row>
    <x:row r="14" ht="56" customHeight="1">
      <x:c r="A14" s="5" t="n">
        <x:v>9</x:v>
      </x:c>
      <x:c r="B14" s="8" t="str">
        <x:v>역추적</x:v>
      </x:c>
      <x:c r="C14" s="8"/>
      <x:c r="D14" s="8"/>
      <x:c r="E14" s="8"/>
      <x:c r="F14" s="8"/>
      <x:c r="G14" s="8"/>
      <x:c r="H14" s="8"/>
      <x:c r="I14" s="13"/>
      <x:c r="J14" s="13"/>
      <x:c r="K14" s="14" t="str">
        <x:f>IF(AND(ISNUMBER(I14),ISNUMBER(J14)),(J14-I14)*1440,"")</x:f>
      </x:c>
      <x:c r="L14" s="15"/>
      <x:c r="M14" s="8"/>
      <x:c r="N14" s="8"/>
      <x:c r="O14" s="8"/>
      <x:c r="P14" s="5" t="str">
        <x:f>IF(OR(C14="",D14="",E14="",NOT(ISNUMBER(F14)),NOT(ISNUMBER(G14)),NOT(ISNUMBER(K14)),NOT(ISNUMBER(L14)),NOT(ISNUMBER(M14)),N14="",O14=""),"기록 미완료",IF(OR(K14&lt;0,L14&lt;=0,F14&lt;0,G14&lt;0,M14&lt;0),"입력 확인",IF(OR(M14&gt;0,K14&gt;L14,AND(F14&lt;&gt;G14,H14="")),"조치·재시험","합격")))</x:f>
        <x:v>기록 미완료</x:v>
      </x:c>
      <x:c r="Q14" s="8"/>
    </x:row>
    <x:row r="15" ht="56" customHeight="1">
      <x:c r="A15" s="5" t="n">
        <x:v>10</x:v>
      </x:c>
      <x:c r="B15" s="8" t="str">
        <x:v>정추적</x:v>
      </x:c>
      <x:c r="C15" s="8"/>
      <x:c r="D15" s="8"/>
      <x:c r="E15" s="8"/>
      <x:c r="F15" s="8"/>
      <x:c r="G15" s="8"/>
      <x:c r="H15" s="8"/>
      <x:c r="I15" s="13"/>
      <x:c r="J15" s="13"/>
      <x:c r="K15" s="14" t="str">
        <x:f>IF(AND(ISNUMBER(I15),ISNUMBER(J15)),(J15-I15)*1440,"")</x:f>
      </x:c>
      <x:c r="L15" s="15"/>
      <x:c r="M15" s="8"/>
      <x:c r="N15" s="8"/>
      <x:c r="O15" s="8"/>
      <x:c r="P15" s="5" t="str">
        <x:f>IF(OR(C15="",D15="",E15="",NOT(ISNUMBER(F15)),NOT(ISNUMBER(G15)),NOT(ISNUMBER(K15)),NOT(ISNUMBER(L15)),NOT(ISNUMBER(M15)),N15="",O15=""),"기록 미완료",IF(OR(K15&lt;0,L15&lt;=0,F15&lt;0,G15&lt;0,M15&lt;0),"입력 확인",IF(OR(M15&gt;0,K15&gt;L15,AND(F15&lt;&gt;G15,H15="")),"조치·재시험","합격")))</x:f>
        <x:v>기록 미완료</x:v>
      </x:c>
      <x:c r="Q15" s="8"/>
    </x:row>
  </x:sheetData>
  <x:pageMargins left="0.7" right="0.7" top="0.75" bottom="0.75" header="0.3" footer="0.3"/>
  <x:tableParts count="1">
    <x:tablePart xmlns:r="http://schemas.openxmlformats.org/officeDocument/2006/relationships" r:id="R36621f63adfb4fa5"/>
  </x:tableParts>
</x:worksheet>
</file>

<file path=xl/worksheets/sheet6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0" hidden="0" customWidth="1"/>
    <x:col min="4" max="4" width="34" hidden="0" customWidth="1"/>
    <x:col min="5" max="5" width="28" hidden="0" customWidth="1"/>
    <x:col min="6" max="6" width="35" hidden="0" customWidth="1"/>
    <x:col min="7" max="7" width="34" hidden="0" customWidth="1"/>
    <x:col min="8" max="8" width="35" hidden="0" customWidth="1"/>
    <x:col min="9" max="9" width="20" hidden="0" customWidth="1"/>
    <x:col min="10" max="10" width="26" hidden="0" customWidth="1"/>
  </x:cols>
  <x:sheetData>
    <x:row r="2" ht="38" customHeight="1">
      <x:c r="A2" s="1" t="str">
        <x:v>품번별 현장 문서와 기록 연결</x:v>
      </x:c>
    </x:row>
    <x:row r="3" ht="28" customHeight="1">
      <x:c r="A3" s="2" t="str">
        <x:v>품번은 기존 프로젝트 구분 기준입니다. 적용 공정과 문서·기록은 실제 자료로 연결합니다.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8" customHeight="1">
      <x:c r="A5" s="7" t="str">
        <x:v>품번</x:v>
      </x:c>
      <x:c r="B5" s="7" t="str">
        <x:v>적용 공정</x:v>
      </x:c>
      <x:c r="C5" s="7" t="str">
        <x:v>PFMEA 개정·행</x:v>
      </x:c>
      <x:c r="D5" s="7" t="str">
        <x:v>Control Plan 개정·행</x:v>
      </x:c>
      <x:c r="E5" s="7" t="str">
        <x:v>WI 번호·개정</x:v>
      </x:c>
      <x:c r="F5" s="7" t="str">
        <x:v>특수특성·기준</x:v>
      </x:c>
      <x:c r="G5" s="7" t="str">
        <x:v>MSA·SPC 근거</x:v>
      </x:c>
      <x:c r="H5" s="7" t="str">
        <x:v>실제 검사·LOT 기록</x:v>
      </x:c>
      <x:c r="I5" s="7" t="str">
        <x:v>담당자</x:v>
      </x:c>
      <x:c r="J5" s="7" t="str">
        <x:v>검토결과</x:v>
      </x:c>
    </x:row>
    <x:row r="6" ht="56" customHeight="1">
      <x:c r="A6" s="5" t="str">
        <x:v>HH260N5XLA</x:v>
      </x:c>
      <x:c r="B6" s="8"/>
      <x:c r="C6" s="8"/>
      <x:c r="D6" s="8"/>
      <x:c r="E6" s="8"/>
      <x:c r="F6" s="8"/>
      <x:c r="G6" s="8"/>
      <x:c r="H6" s="8"/>
      <x:c r="I6" s="8"/>
      <x:c r="J6" s="8"/>
    </x:row>
    <x:row r="7" ht="56" customHeight="1">
      <x:c r="A7" s="5" t="str">
        <x:v>HH261N5XLA</x:v>
      </x:c>
      <x:c r="B7" s="8"/>
      <x:c r="C7" s="8"/>
      <x:c r="D7" s="8"/>
      <x:c r="E7" s="8"/>
      <x:c r="F7" s="8"/>
      <x:c r="G7" s="8"/>
      <x:c r="H7" s="8"/>
      <x:c r="I7" s="8"/>
      <x:c r="J7" s="8"/>
    </x:row>
    <x:row r="8" ht="56" customHeight="1">
      <x:c r="A8" s="5" t="str">
        <x:v>HH271N5XLA</x:v>
      </x:c>
      <x:c r="B8" s="8"/>
      <x:c r="C8" s="8"/>
      <x:c r="D8" s="8"/>
      <x:c r="E8" s="8"/>
      <x:c r="F8" s="8"/>
      <x:c r="G8" s="8"/>
      <x:c r="H8" s="8"/>
      <x:c r="I8" s="8"/>
      <x:c r="J8" s="8"/>
    </x:row>
    <x:row r="9" ht="56" customHeight="1">
      <x:c r="A9" s="5" t="str">
        <x:v>HH271N5XLB</x:v>
      </x:c>
      <x:c r="B9" s="8"/>
      <x:c r="C9" s="8"/>
      <x:c r="D9" s="8"/>
      <x:c r="E9" s="8"/>
      <x:c r="F9" s="8"/>
      <x:c r="G9" s="8"/>
      <x:c r="H9" s="8"/>
      <x:c r="I9" s="8"/>
      <x:c r="J9" s="8"/>
    </x:row>
  </x:sheetData>
  <x:pageMargins left="0.7" right="0.7" top="0.75" bottom="0.75" header="0.3" footer="0.3"/>
  <x:tableParts count="1">
    <x:tablePart xmlns:r="http://schemas.openxmlformats.org/officeDocument/2006/relationships" r:id="R2c12cc0cd22b419f"/>
  </x:tableParts>
</x:worksheet>
</file>

<file path=xl/worksheets/sheet7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50" hidden="0" customWidth="1"/>
    <x:col min="4" max="4" width="34" hidden="0" customWidth="1"/>
    <x:col min="5" max="5" width="30" hidden="0" customWidth="1"/>
    <x:col min="6" max="6" width="32" hidden="0" customWidth="1"/>
    <x:col min="7" max="7" width="23" hidden="0" customWidth="1"/>
    <x:col min="8" max="8" width="20" hidden="0" customWidth="1"/>
    <x:col min="9" max="9" width="18" hidden="0" customWidth="1"/>
    <x:col min="10" max="10" width="24" hidden="0" customWidth="1"/>
  </x:cols>
  <x:sheetData>
    <x:row r="2" ht="38" customHeight="1">
      <x:c r="A2" s="1" t="str">
        <x:v>심사 준비 증빙 및 종결</x:v>
      </x:c>
    </x:row>
    <x:row r="3" ht="28" customHeight="1">
      <x:c r="A3" s="2" t="str">
        <x:v>양식 존재와 실제 실시 결과를 구분합니다. 지적이 있으면 시정조치 효과를 확인한 뒤 종결합니다.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8" customHeight="1">
      <x:c r="A5" s="7" t="str">
        <x:v>ID</x:v>
      </x:c>
      <x:c r="B5" s="7" t="str">
        <x:v>항목</x:v>
      </x:c>
      <x:c r="C5" s="7" t="str">
        <x:v>필요 증빙</x:v>
      </x:c>
      <x:c r="D5" s="7" t="str">
        <x:v>연계 기준</x:v>
      </x:c>
      <x:c r="E5" s="7" t="str">
        <x:v>담당 역할 안</x:v>
      </x:c>
      <x:c r="F5" s="7" t="str">
        <x:v>실제 증빙번호</x:v>
      </x:c>
      <x:c r="G5" s="7" t="str">
        <x:v>확인결과</x:v>
      </x:c>
      <x:c r="H5" s="7" t="str">
        <x:v>확인자</x:v>
      </x:c>
      <x:c r="I5" s="7" t="str">
        <x:v>확인일</x:v>
      </x:c>
      <x:c r="J5" s="7" t="str">
        <x:v>종결 상태</x:v>
      </x:c>
    </x:row>
    <x:row r="6" ht="56" customHeight="1">
      <x:c r="A6" s="5" t="str">
        <x:v>A01</x:v>
      </x:c>
      <x:c r="B6" s="5" t="str">
        <x:v>QMS 내부심사</x:v>
      </x:c>
      <x:c r="C6" s="5" t="str">
        <x:v>프로세스·적용요구·이전 결과를 반영한 계획 및 보고서</x:v>
      </x:c>
      <x:c r="D6" s="5" t="str">
        <x:v>SH-QP-005</x:v>
      </x:c>
      <x:c r="E6" s="5" t="str">
        <x:v>품질</x:v>
      </x:c>
      <x:c r="F6" s="8"/>
      <x:c r="G6" s="8"/>
      <x:c r="H6" s="8"/>
      <x:c r="I6" s="10"/>
      <x:c r="J6" s="5" t="str">
        <x:f>IF(AND(F6&lt;&gt;"",G6="적합",H6&lt;&gt;"",ISNUMBER(I6)),"종결 기록 입력","증빙·조치 확인")</x:f>
        <x:v>증빙·조치 확인</x:v>
      </x:c>
    </x:row>
    <x:row r="7" ht="56" customHeight="1">
      <x:c r="A7" s="5" t="str">
        <x:v>A02</x:v>
      </x:c>
      <x:c r="B7" s="5" t="str">
        <x:v>제조공정 심사</x:v>
      </x:c>
      <x:c r="C7" s="5" t="str">
        <x:v>교대·공정 범위, PFMEA·CP·WI 현장 일치 확인</x:v>
      </x:c>
      <x:c r="D7" s="5" t="str">
        <x:v>SH-QP-005 / SH-WI-021</x:v>
      </x:c>
      <x:c r="E7" s="5" t="str">
        <x:v>품질 / 공정책임자</x:v>
      </x:c>
      <x:c r="F7" s="8"/>
      <x:c r="G7" s="8"/>
      <x:c r="H7" s="8"/>
      <x:c r="I7" s="10"/>
      <x:c r="J7" s="5" t="str">
        <x:f>IF(AND(F7&lt;&gt;"",G7="적합",H7&lt;&gt;"",ISNUMBER(I7)),"종결 기록 입력","증빙·조치 확인")</x:f>
        <x:v>증빙·조치 확인</x:v>
      </x:c>
    </x:row>
    <x:row r="8" ht="56" customHeight="1">
      <x:c r="A8" s="5" t="str">
        <x:v>A03</x:v>
      </x:c>
      <x:c r="B8" s="5" t="str">
        <x:v>제품 심사</x:v>
      </x:c>
      <x:c r="C8" s="5" t="str">
        <x:v>도면·검사기준·라벨·포장 검증 결과</x:v>
      </x:c>
      <x:c r="D8" s="5" t="str">
        <x:v>SH-QP-005 / SH-QP-013</x:v>
      </x:c>
      <x:c r="E8" s="5" t="str">
        <x:v>품질</x:v>
      </x:c>
      <x:c r="F8" s="8"/>
      <x:c r="G8" s="8"/>
      <x:c r="H8" s="8"/>
      <x:c r="I8" s="10"/>
      <x:c r="J8" s="5" t="str">
        <x:f>IF(AND(F8&lt;&gt;"",G8="적합",H8&lt;&gt;"",ISNUMBER(I8)),"종결 기록 입력","증빙·조치 확인")</x:f>
        <x:v>증빙·조치 확인</x:v>
      </x:c>
    </x:row>
    <x:row r="9" ht="56" customHeight="1">
      <x:c r="A9" s="5" t="str">
        <x:v>A04</x:v>
      </x:c>
      <x:c r="B9" s="5" t="str">
        <x:v>심사원 적격성</x:v>
      </x:c>
      <x:c r="C9" s="5" t="str">
        <x:v>자격·교육·평가·독립성 증빙</x:v>
      </x:c>
      <x:c r="D9" s="5" t="str">
        <x:v>SH-QP-005 / SH-QP-006</x:v>
      </x:c>
      <x:c r="E9" s="5" t="str">
        <x:v>품질 / 교육</x:v>
      </x:c>
      <x:c r="F9" s="8"/>
      <x:c r="G9" s="8"/>
      <x:c r="H9" s="8"/>
      <x:c r="I9" s="10"/>
      <x:c r="J9" s="5" t="str">
        <x:f>IF(AND(F9&lt;&gt;"",G9="적합",H9&lt;&gt;"",ISNUMBER(I9)),"종결 기록 입력","증빙·조치 확인")</x:f>
        <x:v>증빙·조치 확인</x:v>
      </x:c>
    </x:row>
    <x:row r="10" ht="56" customHeight="1">
      <x:c r="A10" s="5" t="str">
        <x:v>A05</x:v>
      </x:c>
      <x:c r="B10" s="5" t="str">
        <x:v>시정조치</x:v>
      </x:c>
      <x:c r="C10" s="5" t="str">
        <x:v>지적·봉쇄·원인·조치·책임·기한 연결</x:v>
      </x:c>
      <x:c r="D10" s="5" t="str">
        <x:v>SH-QP-016</x:v>
      </x:c>
      <x:c r="E10" s="5" t="str">
        <x:v>해당 프로세스</x:v>
      </x:c>
      <x:c r="F10" s="8"/>
      <x:c r="G10" s="8"/>
      <x:c r="H10" s="8"/>
      <x:c r="I10" s="10"/>
      <x:c r="J10" s="5" t="str">
        <x:f>IF(AND(F10&lt;&gt;"",G10="적합",H10&lt;&gt;"",ISNUMBER(I10)),"종결 기록 입력","증빙·조치 확인")</x:f>
        <x:v>증빙·조치 확인</x:v>
      </x:c>
    </x:row>
    <x:row r="11" ht="56" customHeight="1">
      <x:c r="A11" s="5" t="str">
        <x:v>A06</x:v>
      </x:c>
      <x:c r="B11" s="5" t="str">
        <x:v>효과성 검증</x:v>
      </x:c>
      <x:c r="C11" s="5" t="str">
        <x:v>조치 전후 지표·재발 여부·재시험 근거</x:v>
      </x:c>
      <x:c r="D11" s="5" t="str">
        <x:v>SH-QP-016 / SH-WI-030</x:v>
      </x:c>
      <x:c r="E11" s="5" t="str">
        <x:v>품질</x:v>
      </x:c>
      <x:c r="F11" s="8"/>
      <x:c r="G11" s="8"/>
      <x:c r="H11" s="8"/>
      <x:c r="I11" s="10"/>
      <x:c r="J11" s="5" t="str">
        <x:f>IF(AND(F11&lt;&gt;"",G11="적합",H11&lt;&gt;"",ISNUMBER(I11)),"종결 기록 입력","증빙·조치 확인")</x:f>
        <x:v>증빙·조치 확인</x:v>
      </x:c>
    </x:row>
    <x:row r="12" ht="56" customHeight="1">
      <x:c r="A12" s="5" t="str">
        <x:v>A07</x:v>
      </x:c>
      <x:c r="B12" s="5" t="str">
        <x:v>경영검토 입력</x:v>
      </x:c>
      <x:c r="C12" s="5" t="str">
        <x:v>KPI·고객·COPQ·심사·리스크·자원 검토자료</x:v>
      </x:c>
      <x:c r="D12" s="5" t="str">
        <x:v>SH-QP-001 / SH-QP-021 / SH-QP-024</x:v>
      </x:c>
      <x:c r="E12" s="5" t="str">
        <x:v>품질 / 부서장</x:v>
      </x:c>
      <x:c r="F12" s="8"/>
      <x:c r="G12" s="8"/>
      <x:c r="H12" s="8"/>
      <x:c r="I12" s="10"/>
      <x:c r="J12" s="5" t="str">
        <x:f>IF(AND(F12&lt;&gt;"",G12="적합",H12&lt;&gt;"",ISNUMBER(I12)),"종결 기록 입력","증빙·조치 확인")</x:f>
        <x:v>증빙·조치 확인</x:v>
      </x:c>
    </x:row>
    <x:row r="13" ht="56" customHeight="1">
      <x:c r="A13" s="5" t="str">
        <x:v>A08</x:v>
      </x:c>
      <x:c r="B13" s="5" t="str">
        <x:v>경영검토 결정</x:v>
      </x:c>
      <x:c r="C13" s="5" t="str">
        <x:v>개선·자원·변경 결정, 담당·기한·후속확인</x:v>
      </x:c>
      <x:c r="D13" s="5" t="str">
        <x:v>SH-QP-001</x:v>
      </x:c>
      <x:c r="E13" s="5" t="str">
        <x:v>경영층 / 품질</x:v>
      </x:c>
      <x:c r="F13" s="8"/>
      <x:c r="G13" s="8"/>
      <x:c r="H13" s="8"/>
      <x:c r="I13" s="10"/>
      <x:c r="J13" s="5" t="str">
        <x:f>IF(AND(F13&lt;&gt;"",G13="적합",H13&lt;&gt;"",ISNUMBER(I13)),"종결 기록 입력","증빙·조치 확인")</x:f>
        <x:v>증빙·조치 확인</x:v>
      </x:c>
    </x:row>
    <x:row r="14" ht="56" customHeight="1">
      <x:c r="A14" s="5" t="str">
        <x:v>A09</x:v>
      </x:c>
      <x:c r="B14" s="5" t="str">
        <x:v>제품안전</x:v>
      </x:c>
      <x:c r="C14" s="5" t="str">
        <x:v>SH-FM-066~069 적용성과·보고·교육 기록</x:v>
      </x:c>
      <x:c r="D14" s="5" t="str">
        <x:v>SH-QP-022</x:v>
      </x:c>
      <x:c r="E14" s="5" t="str">
        <x:v>제품안전 담당</x:v>
      </x:c>
      <x:c r="F14" s="8"/>
      <x:c r="G14" s="8"/>
      <x:c r="H14" s="8"/>
      <x:c r="I14" s="10"/>
      <x:c r="J14" s="5" t="str">
        <x:f>IF(AND(F14&lt;&gt;"",G14="적합",H14&lt;&gt;"",ISNUMBER(I14)),"종결 기록 입력","증빙·조치 확인")</x:f>
        <x:v>증빙·조치 확인</x:v>
      </x:c>
    </x:row>
    <x:row r="15" ht="56" customHeight="1">
      <x:c r="A15" s="5" t="str">
        <x:v>A10</x:v>
      </x:c>
      <x:c r="B15" s="5" t="str">
        <x:v>SPC 및 MSA</x:v>
      </x:c>
      <x:c r="C15" s="5" t="str">
        <x:v>특성 선정·측정 적합성·분석·이상반응 기록</x:v>
      </x:c>
      <x:c r="D15" s="5" t="str">
        <x:v>SH-QP-008 / SH-QP-023</x:v>
      </x:c>
      <x:c r="E15" s="5" t="str">
        <x:v>품질 / 생산</x:v>
      </x:c>
      <x:c r="F15" s="8"/>
      <x:c r="G15" s="8"/>
      <x:c r="H15" s="8"/>
      <x:c r="I15" s="10"/>
      <x:c r="J15" s="5" t="str">
        <x:f>IF(AND(F15&lt;&gt;"",G15="적합",H15&lt;&gt;"",ISNUMBER(I15)),"종결 기록 입력","증빙·조치 확인")</x:f>
        <x:v>증빙·조치 확인</x:v>
      </x:c>
    </x:row>
    <x:row r="16" ht="56" customHeight="1">
      <x:c r="A16" s="5" t="str">
        <x:v>A11</x:v>
      </x:c>
      <x:c r="B16" s="5" t="str">
        <x:v>교육·배포</x:v>
      </x:c>
      <x:c r="C16" s="5" t="str">
        <x:v>Rev.03 변경교육·수령·구본 회수 기록</x:v>
      </x:c>
      <x:c r="D16" s="5" t="str">
        <x:v>SH-QP-002 / SH-QP-006</x:v>
      </x:c>
      <x:c r="E16" s="5" t="str">
        <x:v>문서관리 / 각 부서</x:v>
      </x:c>
      <x:c r="F16" s="8"/>
      <x:c r="G16" s="8"/>
      <x:c r="H16" s="8"/>
      <x:c r="I16" s="10"/>
      <x:c r="J16" s="5" t="str">
        <x:f>IF(AND(F16&lt;&gt;"",G16="적합",H16&lt;&gt;"",ISNUMBER(I16)),"종결 기록 입력","증빙·조치 확인")</x:f>
        <x:v>증빙·조치 확인</x:v>
      </x:c>
    </x:row>
    <x:row r="17" ht="56" customHeight="1">
      <x:c r="A17" s="5" t="str">
        <x:v>A12</x:v>
      </x:c>
      <x:c r="B17" s="5" t="str">
        <x:v>최종 준비 확인</x:v>
      </x:c>
      <x:c r="C17" s="5" t="str">
        <x:v>미결 종결 근거·실제 기록·승인본 접근 확인</x:v>
      </x:c>
      <x:c r="D17" s="5" t="str">
        <x:v>SH-WI-030</x:v>
      </x:c>
      <x:c r="E17" s="5" t="str">
        <x:v>김흥수 검토 / 사내 승인권자</x:v>
      </x:c>
      <x:c r="F17" s="8"/>
      <x:c r="G17" s="8"/>
      <x:c r="H17" s="8"/>
      <x:c r="I17" s="10"/>
      <x:c r="J17" s="5" t="str">
        <x:f>IF(AND(F17&lt;&gt;"",G17="적합",H17&lt;&gt;"",ISNUMBER(I17)),"종결 기록 입력","증빙·조치 확인")</x:f>
        <x:v>증빙·조치 확인</x:v>
      </x:c>
    </x:row>
  </x:sheetData>
  <x:dataValidations count="1">
    <x:dataValidation type="list" sqref="G6:G17">
      <x:formula1>"적합,조치 필요,미확인"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7a5e4976b49bc"/>
  </x:tableParts>
</x:worksheet>
</file>