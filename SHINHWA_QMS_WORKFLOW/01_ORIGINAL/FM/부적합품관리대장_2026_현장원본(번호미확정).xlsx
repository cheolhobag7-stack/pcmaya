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NHWA 업무\1.점검CheckSheet\"/>
    </mc:Choice>
  </mc:AlternateContent>
  <xr:revisionPtr revIDLastSave="0" documentId="13_ncr:1_{812D5E7C-5ADB-4398-ABC8-9A5F7ADAFDB9}" xr6:coauthVersionLast="47" xr6:coauthVersionMax="47" xr10:uidLastSave="{00000000-0000-0000-0000-000000000000}"/>
  <bookViews>
    <workbookView xWindow="-120" yWindow="-120" windowWidth="29040" windowHeight="15720" tabRatio="827" firstSheet="1" activeTab="3" xr2:uid="{C33BB79E-D21C-422E-A445-885E4EF048E2}"/>
  </bookViews>
  <sheets>
    <sheet name="양식" sheetId="1" r:id="rId1"/>
    <sheet name="양식 (260818) 품번항목삭제,불량명항목추가" sheetId="4" r:id="rId2"/>
    <sheet name="양식 (260909) 문서번호부여" sheetId="6" r:id="rId3"/>
    <sheet name="DATA" sheetId="3" r:id="rId4"/>
    <sheet name="Sheet1" sheetId="5" r:id="rId5"/>
    <sheet name="Sheet2" sheetId="2" r:id="rId6"/>
  </sheets>
  <definedNames>
    <definedName name="_xlnm._FilterDatabase" localSheetId="3" hidden="1">DATA!$B$4:$I$4</definedName>
    <definedName name="_xlnm.Print_Area" localSheetId="3">DATA!$A$1:$I$27</definedName>
    <definedName name="_xlnm.Print_Area" localSheetId="0">양식!$A$1:$H$26</definedName>
    <definedName name="_xlnm.Print_Area" localSheetId="1">'양식 (260818) 품번항목삭제,불량명항목추가'!$A$1:$H$26</definedName>
    <definedName name="_xlnm.Print_Area" localSheetId="2">'양식 (260909) 문서번호부여'!$A$1:$H$26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3" i="3" l="1"/>
  <c r="E592" i="3"/>
  <c r="E591" i="3"/>
  <c r="E590" i="3"/>
  <c r="E589" i="3"/>
  <c r="E588" i="3"/>
  <c r="E587" i="3"/>
  <c r="E586" i="3"/>
  <c r="E585" i="3"/>
  <c r="E584" i="3"/>
  <c r="E601" i="3"/>
  <c r="E600" i="3"/>
  <c r="E599" i="3"/>
  <c r="E598" i="3"/>
  <c r="E597" i="3"/>
  <c r="E596" i="3"/>
  <c r="E595" i="3"/>
  <c r="E594" i="3"/>
  <c r="E583" i="3"/>
  <c r="E582" i="3"/>
  <c r="E578" i="3"/>
  <c r="E577" i="3"/>
  <c r="E576" i="3"/>
  <c r="E575" i="3"/>
  <c r="E574" i="3"/>
  <c r="E573" i="3"/>
  <c r="E572" i="3"/>
  <c r="E571" i="3"/>
  <c r="E570" i="3"/>
  <c r="E569" i="3"/>
  <c r="E561" i="3"/>
  <c r="E560" i="3"/>
  <c r="E559" i="3"/>
  <c r="E558" i="3"/>
  <c r="E557" i="3"/>
  <c r="E556" i="3"/>
  <c r="E542" i="3"/>
  <c r="E581" i="3"/>
  <c r="E580" i="3"/>
  <c r="E579" i="3"/>
  <c r="E568" i="3"/>
  <c r="E567" i="3"/>
  <c r="E566" i="3"/>
  <c r="E555" i="3"/>
  <c r="E565" i="3"/>
  <c r="E564" i="3"/>
  <c r="E563" i="3"/>
  <c r="E562" i="3"/>
  <c r="E545" i="3"/>
  <c r="E546" i="3"/>
  <c r="E547" i="3"/>
  <c r="E548" i="3"/>
  <c r="E549" i="3"/>
  <c r="E550" i="3"/>
  <c r="E551" i="3"/>
  <c r="E552" i="3"/>
  <c r="E553" i="3"/>
  <c r="E554" i="3"/>
  <c r="E544" i="3"/>
  <c r="E543" i="3"/>
  <c r="E541" i="3"/>
  <c r="E540" i="3"/>
  <c r="E539" i="3"/>
  <c r="E538" i="3"/>
  <c r="E537" i="3"/>
  <c r="E536" i="3"/>
  <c r="E535" i="3"/>
  <c r="E534" i="3"/>
  <c r="E533" i="3"/>
  <c r="E507" i="3"/>
  <c r="E506" i="3"/>
  <c r="E505" i="3"/>
  <c r="E504" i="3"/>
  <c r="E503" i="3"/>
  <c r="E494" i="3"/>
  <c r="E493" i="3"/>
  <c r="E492" i="3"/>
  <c r="E491" i="3"/>
  <c r="E502" i="3"/>
  <c r="E501" i="3"/>
  <c r="E500" i="3"/>
  <c r="E499" i="3"/>
  <c r="E498" i="3"/>
  <c r="E497" i="3"/>
  <c r="E490" i="3"/>
  <c r="E524" i="3"/>
  <c r="E532" i="3"/>
  <c r="E520" i="3"/>
  <c r="E521" i="3"/>
  <c r="E522" i="3"/>
  <c r="E523" i="3"/>
  <c r="E525" i="3"/>
  <c r="E526" i="3"/>
  <c r="E527" i="3"/>
  <c r="E528" i="3"/>
  <c r="E529" i="3"/>
  <c r="E530" i="3"/>
  <c r="E531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496" i="3"/>
  <c r="E495" i="3"/>
  <c r="E489" i="3"/>
  <c r="E488" i="3"/>
  <c r="E487" i="3"/>
  <c r="E486" i="3"/>
  <c r="E485" i="3"/>
  <c r="E484" i="3"/>
  <c r="E483" i="3"/>
  <c r="E482" i="3"/>
  <c r="E481" i="3" l="1"/>
  <c r="E480" i="3"/>
  <c r="E479" i="3"/>
  <c r="E478" i="3"/>
  <c r="E477" i="3"/>
  <c r="E476" i="3"/>
  <c r="E475" i="3"/>
  <c r="E474" i="3"/>
  <c r="E473" i="3"/>
  <c r="E469" i="3"/>
  <c r="E468" i="3"/>
  <c r="E467" i="3"/>
  <c r="E462" i="3"/>
  <c r="E461" i="3"/>
  <c r="E460" i="3"/>
  <c r="E459" i="3"/>
  <c r="E458" i="3"/>
  <c r="E453" i="3"/>
  <c r="E452" i="3"/>
  <c r="E451" i="3"/>
  <c r="E450" i="3"/>
  <c r="E445" i="3"/>
  <c r="E443" i="3"/>
  <c r="E444" i="3"/>
  <c r="E442" i="3"/>
  <c r="E441" i="3"/>
  <c r="E440" i="3"/>
  <c r="E439" i="3"/>
  <c r="E472" i="3"/>
  <c r="E471" i="3"/>
  <c r="E470" i="3"/>
  <c r="E466" i="3"/>
  <c r="E465" i="3"/>
  <c r="E463" i="3"/>
  <c r="E464" i="3"/>
  <c r="E457" i="3"/>
  <c r="E456" i="3"/>
  <c r="E455" i="3"/>
  <c r="E454" i="3"/>
  <c r="E449" i="3"/>
  <c r="E448" i="3"/>
  <c r="E447" i="3"/>
  <c r="E446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66" i="3"/>
  <c r="E365" i="3"/>
  <c r="E364" i="3"/>
  <c r="E363" i="3"/>
  <c r="E362" i="3"/>
  <c r="E361" i="3"/>
  <c r="E360" i="3"/>
  <c r="E309" i="3"/>
  <c r="E308" i="3"/>
  <c r="E303" i="3"/>
  <c r="E417" i="3"/>
  <c r="E416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75" i="3"/>
  <c r="E374" i="3"/>
  <c r="E373" i="3"/>
  <c r="E372" i="3"/>
  <c r="E371" i="3"/>
  <c r="E370" i="3"/>
  <c r="E369" i="3"/>
  <c r="E368" i="3"/>
  <c r="E367" i="3"/>
  <c r="E346" i="3"/>
  <c r="E345" i="3"/>
  <c r="E344" i="3"/>
  <c r="E343" i="3"/>
  <c r="E342" i="3"/>
  <c r="E341" i="3"/>
  <c r="E332" i="3"/>
  <c r="E331" i="3"/>
  <c r="E330" i="3"/>
  <c r="E329" i="3"/>
  <c r="E328" i="3"/>
  <c r="E327" i="3"/>
  <c r="E326" i="3"/>
  <c r="E325" i="3"/>
  <c r="E324" i="3"/>
  <c r="E323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0" i="3"/>
  <c r="E339" i="3"/>
  <c r="E338" i="3"/>
  <c r="E337" i="3"/>
  <c r="E336" i="3"/>
  <c r="E335" i="3"/>
  <c r="E334" i="3"/>
  <c r="E333" i="3"/>
  <c r="E322" i="3"/>
  <c r="E321" i="3"/>
  <c r="E320" i="3"/>
  <c r="E319" i="3"/>
  <c r="E318" i="3"/>
  <c r="E317" i="3"/>
  <c r="E316" i="3"/>
  <c r="E315" i="3"/>
  <c r="E314" i="3"/>
  <c r="E302" i="3"/>
  <c r="E301" i="3"/>
  <c r="E300" i="3"/>
  <c r="E299" i="3"/>
  <c r="E298" i="3"/>
  <c r="E297" i="3"/>
  <c r="E296" i="3"/>
  <c r="E295" i="3"/>
  <c r="E294" i="3"/>
  <c r="E285" i="3"/>
  <c r="E284" i="3"/>
  <c r="E283" i="3"/>
  <c r="E282" i="3"/>
  <c r="E281" i="3"/>
  <c r="E280" i="3"/>
  <c r="E279" i="3"/>
  <c r="E278" i="3"/>
  <c r="E267" i="3"/>
  <c r="E307" i="3"/>
  <c r="E306" i="3"/>
  <c r="E305" i="3"/>
  <c r="E304" i="3"/>
  <c r="E252" i="3"/>
  <c r="E251" i="3"/>
  <c r="E250" i="3"/>
  <c r="E249" i="3"/>
  <c r="E242" i="3"/>
  <c r="E241" i="3"/>
  <c r="E313" i="3"/>
  <c r="E312" i="3"/>
  <c r="E311" i="3"/>
  <c r="E310" i="3"/>
  <c r="E293" i="3"/>
  <c r="E292" i="3"/>
  <c r="E291" i="3"/>
  <c r="E290" i="3"/>
  <c r="E289" i="3"/>
  <c r="E288" i="3"/>
  <c r="E287" i="3"/>
  <c r="E286" i="3"/>
  <c r="E277" i="3"/>
  <c r="E276" i="3"/>
  <c r="E275" i="3"/>
  <c r="E274" i="3"/>
  <c r="E273" i="3"/>
  <c r="E272" i="3"/>
  <c r="E271" i="3"/>
  <c r="E270" i="3"/>
  <c r="E269" i="3"/>
  <c r="E268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48" i="3"/>
  <c r="E247" i="3"/>
  <c r="E246" i="3"/>
  <c r="E245" i="3"/>
  <c r="E244" i="3"/>
  <c r="E243" i="3"/>
  <c r="E240" i="3"/>
  <c r="E239" i="3"/>
  <c r="E238" i="3"/>
  <c r="E237" i="3"/>
  <c r="E236" i="3"/>
  <c r="E235" i="3"/>
  <c r="E234" i="3"/>
  <c r="E233" i="3"/>
  <c r="E232" i="3"/>
  <c r="E231" i="3"/>
  <c r="E164" i="3" l="1"/>
  <c r="E163" i="3"/>
  <c r="E162" i="3"/>
  <c r="E161" i="3"/>
  <c r="E160" i="3"/>
  <c r="E148" i="3"/>
  <c r="E147" i="3"/>
  <c r="E146" i="3"/>
  <c r="E145" i="3"/>
  <c r="E144" i="3"/>
  <c r="E127" i="3"/>
  <c r="E126" i="3"/>
  <c r="E125" i="3"/>
  <c r="E124" i="3"/>
  <c r="E123" i="3"/>
  <c r="E122" i="3"/>
  <c r="E121" i="3"/>
  <c r="E39" i="3"/>
  <c r="E38" i="3"/>
  <c r="E37" i="3"/>
  <c r="E36" i="3"/>
  <c r="E35" i="3"/>
  <c r="E194" i="3"/>
  <c r="E193" i="3"/>
  <c r="E192" i="3"/>
  <c r="E191" i="3"/>
  <c r="E143" i="3"/>
  <c r="E179" i="3"/>
  <c r="E178" i="3"/>
  <c r="E177" i="3"/>
  <c r="E176" i="3"/>
  <c r="E175" i="3"/>
  <c r="E174" i="3"/>
  <c r="E173" i="3"/>
  <c r="E172" i="3"/>
  <c r="E171" i="3"/>
  <c r="E170" i="3"/>
  <c r="E159" i="3"/>
  <c r="E158" i="3"/>
  <c r="E157" i="3"/>
  <c r="E156" i="3"/>
  <c r="E155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9" i="3"/>
  <c r="E150" i="3"/>
  <c r="E151" i="3"/>
  <c r="E152" i="3"/>
  <c r="E165" i="3"/>
  <c r="E166" i="3"/>
  <c r="E167" i="3"/>
  <c r="E168" i="3"/>
  <c r="E169" i="3"/>
  <c r="E180" i="3"/>
  <c r="E181" i="3"/>
  <c r="E182" i="3"/>
  <c r="E183" i="3"/>
  <c r="E184" i="3"/>
  <c r="E185" i="3"/>
  <c r="E195" i="3"/>
  <c r="E196" i="3"/>
  <c r="E197" i="3"/>
  <c r="E198" i="3"/>
  <c r="E199" i="3"/>
  <c r="E210" i="3"/>
  <c r="E211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186" i="3"/>
  <c r="E187" i="3"/>
  <c r="E188" i="3"/>
  <c r="E189" i="3"/>
  <c r="E190" i="3"/>
  <c r="E200" i="3"/>
  <c r="E201" i="3"/>
  <c r="E202" i="3"/>
  <c r="E203" i="3"/>
  <c r="E204" i="3"/>
  <c r="E205" i="3"/>
  <c r="E206" i="3"/>
  <c r="E207" i="3"/>
  <c r="E208" i="3"/>
  <c r="E209" i="3"/>
  <c r="E212" i="3"/>
  <c r="E213" i="3"/>
  <c r="E226" i="3"/>
  <c r="E227" i="3"/>
  <c r="E228" i="3"/>
  <c r="E229" i="3"/>
  <c r="E230" i="3"/>
  <c r="E153" i="3"/>
  <c r="E154" i="3"/>
  <c r="E6" i="3"/>
  <c r="E7" i="3"/>
  <c r="E8" i="3"/>
  <c r="E9" i="3"/>
  <c r="E10" i="3"/>
  <c r="E11" i="3"/>
  <c r="E5" i="3"/>
  <c r="G2" i="3" l="1"/>
</calcChain>
</file>

<file path=xl/sharedStrings.xml><?xml version="1.0" encoding="utf-8"?>
<sst xmlns="http://schemas.openxmlformats.org/spreadsheetml/2006/main" count="2440" uniqueCount="404">
  <si>
    <t>■ 부적합품 관리대장</t>
    <phoneticPr fontId="1" type="noConversion"/>
  </si>
  <si>
    <t>결재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</si>
  <si>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</si>
  <si>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</si>
  <si>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</si>
  <si>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일자</t>
    <phoneticPr fontId="1" type="noConversion"/>
  </si>
  <si>
    <t>차종</t>
    <phoneticPr fontId="1" type="noConversion"/>
  </si>
  <si>
    <t>품명</t>
    <phoneticPr fontId="1" type="noConversion"/>
  </si>
  <si>
    <t>품번</t>
    <phoneticPr fontId="1" type="noConversion"/>
  </si>
  <si>
    <t xml:space="preserve">수량 </t>
    <phoneticPr fontId="1" type="noConversion"/>
  </si>
  <si>
    <t>확인</t>
    <phoneticPr fontId="1" type="noConversion"/>
  </si>
  <si>
    <t>비고</t>
    <phoneticPr fontId="1" type="noConversion"/>
  </si>
  <si>
    <t>P702</t>
    <phoneticPr fontId="1" type="noConversion"/>
  </si>
  <si>
    <t>셋팅</t>
    <phoneticPr fontId="1" type="noConversion"/>
  </si>
  <si>
    <t>V710 EVAP OUT AA</t>
    <phoneticPr fontId="1" type="noConversion"/>
  </si>
  <si>
    <t>찍힘</t>
    <phoneticPr fontId="1" type="noConversion"/>
  </si>
  <si>
    <t>CN8 HTR OUT AA</t>
    <phoneticPr fontId="1" type="noConversion"/>
  </si>
  <si>
    <t>포밍</t>
    <phoneticPr fontId="1" type="noConversion"/>
  </si>
  <si>
    <t>밴딩</t>
    <phoneticPr fontId="1" type="noConversion"/>
  </si>
  <si>
    <t>JLR ZA</t>
    <phoneticPr fontId="1" type="noConversion"/>
  </si>
  <si>
    <t>칼라 역조립</t>
    <phoneticPr fontId="1" type="noConversion"/>
  </si>
  <si>
    <t>찌그러짐</t>
    <phoneticPr fontId="1" type="noConversion"/>
  </si>
  <si>
    <t>NEaW AMD</t>
    <phoneticPr fontId="1" type="noConversion"/>
  </si>
  <si>
    <t>NX5 JUMP TUBE AA</t>
    <phoneticPr fontId="1" type="noConversion"/>
  </si>
  <si>
    <t>밴딩,찍힘,작불</t>
    <phoneticPr fontId="1" type="noConversion"/>
  </si>
  <si>
    <t>V710 HTR OUT AA</t>
    <phoneticPr fontId="1" type="noConversion"/>
  </si>
  <si>
    <t>V710 HTR IN AA</t>
    <phoneticPr fontId="1" type="noConversion"/>
  </si>
  <si>
    <t>치수</t>
    <phoneticPr fontId="1" type="noConversion"/>
  </si>
  <si>
    <t>NX5 JUMP TUBE CA</t>
    <phoneticPr fontId="1" type="noConversion"/>
  </si>
  <si>
    <t>JLR CA</t>
    <phoneticPr fontId="1" type="noConversion"/>
  </si>
  <si>
    <t>SG2</t>
    <phoneticPr fontId="1" type="noConversion"/>
  </si>
  <si>
    <t>JLR BA</t>
    <phoneticPr fontId="1" type="noConversion"/>
  </si>
  <si>
    <t>낙하(찌그러짐)</t>
    <phoneticPr fontId="1" type="noConversion"/>
  </si>
  <si>
    <t>CN8 HTR IN LA</t>
    <phoneticPr fontId="1" type="noConversion"/>
  </si>
  <si>
    <t>CN8 HTR IN AA</t>
    <phoneticPr fontId="1" type="noConversion"/>
  </si>
  <si>
    <t>밴딩불량</t>
    <phoneticPr fontId="1" type="noConversion"/>
  </si>
  <si>
    <t>개발</t>
    <phoneticPr fontId="1" type="noConversion"/>
  </si>
  <si>
    <t>길이 짧음</t>
    <phoneticPr fontId="1" type="noConversion"/>
  </si>
  <si>
    <t>NEaW AAA</t>
    <phoneticPr fontId="1" type="noConversion"/>
  </si>
  <si>
    <t>용접,세척</t>
    <phoneticPr fontId="1" type="noConversion"/>
  </si>
  <si>
    <t>이물(플랜지 본드 이물)</t>
    <phoneticPr fontId="1" type="noConversion"/>
  </si>
  <si>
    <t>NEaW AMB</t>
    <phoneticPr fontId="1" type="noConversion"/>
  </si>
  <si>
    <t>NEaW AMC</t>
    <phoneticPr fontId="1" type="noConversion"/>
  </si>
  <si>
    <t>NX5 HTR OUT AA</t>
    <phoneticPr fontId="1" type="noConversion"/>
  </si>
  <si>
    <t>V710 HTR IN RA</t>
    <phoneticPr fontId="1" type="noConversion"/>
  </si>
  <si>
    <t>치수미달</t>
    <phoneticPr fontId="1" type="noConversion"/>
  </si>
  <si>
    <t>V710 EVAP OUT RA</t>
    <phoneticPr fontId="1" type="noConversion"/>
  </si>
  <si>
    <t>NX5 HTR IN AA</t>
    <phoneticPr fontId="1" type="noConversion"/>
  </si>
  <si>
    <t>변형</t>
    <phoneticPr fontId="1" type="noConversion"/>
  </si>
  <si>
    <t>JLR AA</t>
    <phoneticPr fontId="1" type="noConversion"/>
  </si>
  <si>
    <t>찍힘,치수</t>
    <phoneticPr fontId="1" type="noConversion"/>
  </si>
  <si>
    <t>V710 HTR OUT RA</t>
    <phoneticPr fontId="1" type="noConversion"/>
  </si>
  <si>
    <t>포밍누락</t>
    <phoneticPr fontId="1" type="noConversion"/>
  </si>
  <si>
    <t>US4</t>
    <phoneticPr fontId="1" type="noConversion"/>
  </si>
  <si>
    <t>KU</t>
    <phoneticPr fontId="1" type="noConversion"/>
  </si>
  <si>
    <t>용접물과다</t>
    <phoneticPr fontId="1" type="noConversion"/>
  </si>
  <si>
    <t>핀홀</t>
    <phoneticPr fontId="1" type="noConversion"/>
  </si>
  <si>
    <t>플랜지 이탈</t>
    <phoneticPr fontId="1" type="noConversion"/>
  </si>
  <si>
    <t>SX3</t>
    <phoneticPr fontId="1" type="noConversion"/>
  </si>
  <si>
    <t>작업불량</t>
    <phoneticPr fontId="1" type="noConversion"/>
  </si>
  <si>
    <t>작업불량(찍힘)</t>
    <phoneticPr fontId="1" type="noConversion"/>
  </si>
  <si>
    <t>용접</t>
    <phoneticPr fontId="1" type="noConversion"/>
  </si>
  <si>
    <t>용접과열,핀홀</t>
    <phoneticPr fontId="1" type="noConversion"/>
  </si>
  <si>
    <t>작업불량(찌그러짐)</t>
    <phoneticPr fontId="1" type="noConversion"/>
  </si>
  <si>
    <t>JK1</t>
    <phoneticPr fontId="1" type="noConversion"/>
  </si>
  <si>
    <t>CN8 HTR</t>
    <phoneticPr fontId="1" type="noConversion"/>
  </si>
  <si>
    <t>작업불량(변형)</t>
    <phoneticPr fontId="1" type="noConversion"/>
  </si>
  <si>
    <t>NX5</t>
    <phoneticPr fontId="1" type="noConversion"/>
  </si>
  <si>
    <t>V710 HTR AA</t>
    <phoneticPr fontId="1" type="noConversion"/>
  </si>
  <si>
    <t>V710 EVAP IN</t>
    <phoneticPr fontId="1" type="noConversion"/>
  </si>
  <si>
    <t>CN8 HTR OUT</t>
    <phoneticPr fontId="1" type="noConversion"/>
  </si>
  <si>
    <t>V710 EVAP IN AA</t>
    <phoneticPr fontId="1" type="noConversion"/>
  </si>
  <si>
    <t>컷팅</t>
    <phoneticPr fontId="1" type="noConversion"/>
  </si>
  <si>
    <t>NEaW AMA</t>
    <phoneticPr fontId="1" type="noConversion"/>
  </si>
  <si>
    <t>용접과열</t>
    <phoneticPr fontId="1" type="noConversion"/>
  </si>
  <si>
    <t>CN8</t>
    <phoneticPr fontId="1" type="noConversion"/>
  </si>
  <si>
    <t>플랜지 역조립</t>
    <phoneticPr fontId="1" type="noConversion"/>
  </si>
  <si>
    <t>눌림</t>
    <phoneticPr fontId="1" type="noConversion"/>
  </si>
  <si>
    <t>CN8 AA</t>
    <phoneticPr fontId="1" type="noConversion"/>
  </si>
  <si>
    <t>코킹</t>
    <phoneticPr fontId="1" type="noConversion"/>
  </si>
  <si>
    <t>■ 부적합품 관리대장_2026년</t>
    <phoneticPr fontId="1" type="noConversion"/>
  </si>
  <si>
    <t>NEaW AAA</t>
    <phoneticPr fontId="1" type="noConversion"/>
  </si>
  <si>
    <t>작업불량</t>
    <phoneticPr fontId="1" type="noConversion"/>
  </si>
  <si>
    <t>교정 작업 시 찌그러짐</t>
    <phoneticPr fontId="1" type="noConversion"/>
  </si>
  <si>
    <t>JLR ZA</t>
    <phoneticPr fontId="1" type="noConversion"/>
  </si>
  <si>
    <t>밴딩</t>
    <phoneticPr fontId="1" type="noConversion"/>
  </si>
  <si>
    <t>찍힘</t>
    <phoneticPr fontId="1" type="noConversion"/>
  </si>
  <si>
    <t>낙하</t>
    <phoneticPr fontId="1" type="noConversion"/>
  </si>
  <si>
    <t>NEaW AMA</t>
    <phoneticPr fontId="1" type="noConversion"/>
  </si>
  <si>
    <t>개발불량</t>
    <phoneticPr fontId="1" type="noConversion"/>
  </si>
  <si>
    <t>V710 HTR IN AA</t>
    <phoneticPr fontId="1" type="noConversion"/>
  </si>
  <si>
    <t>CN8 EVAP AA</t>
    <phoneticPr fontId="1" type="noConversion"/>
  </si>
  <si>
    <t>지그 눌림</t>
    <phoneticPr fontId="1" type="noConversion"/>
  </si>
  <si>
    <t>원자재</t>
    <phoneticPr fontId="1" type="noConversion"/>
  </si>
  <si>
    <t>CN8 HTR IN AA</t>
    <phoneticPr fontId="1" type="noConversion"/>
  </si>
  <si>
    <t>V710 EVAP OUT RA</t>
    <phoneticPr fontId="1" type="noConversion"/>
  </si>
  <si>
    <t>USK</t>
    <phoneticPr fontId="1" type="noConversion"/>
  </si>
  <si>
    <t>V710 EVAP OUT AA</t>
    <phoneticPr fontId="1" type="noConversion"/>
  </si>
  <si>
    <t>JLR CA</t>
    <phoneticPr fontId="1" type="noConversion"/>
  </si>
  <si>
    <t>NX5 EVAP LA</t>
    <phoneticPr fontId="1" type="noConversion"/>
  </si>
  <si>
    <t>플랜지 역조립</t>
    <phoneticPr fontId="1" type="noConversion"/>
  </si>
  <si>
    <t>불량명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</si>
  <si>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</si>
  <si>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</si>
  <si>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</si>
  <si>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</si>
  <si>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박미광</t>
    <phoneticPr fontId="1" type="noConversion"/>
  </si>
  <si>
    <t>박철호</t>
    <phoneticPr fontId="1" type="noConversion"/>
  </si>
  <si>
    <t>조현우</t>
    <phoneticPr fontId="1" type="noConversion"/>
  </si>
  <si>
    <t>V710 HTR IN AA</t>
    <phoneticPr fontId="1" type="noConversion"/>
  </si>
  <si>
    <t>밴딩</t>
    <phoneticPr fontId="1" type="noConversion"/>
  </si>
  <si>
    <t>포밍</t>
    <phoneticPr fontId="1" type="noConversion"/>
  </si>
  <si>
    <t>JLR ZA</t>
    <phoneticPr fontId="1" type="noConversion"/>
  </si>
  <si>
    <t>JLR CA</t>
    <phoneticPr fontId="1" type="noConversion"/>
  </si>
  <si>
    <t>찍힘</t>
    <phoneticPr fontId="1" type="noConversion"/>
  </si>
  <si>
    <t>이물</t>
    <phoneticPr fontId="1" type="noConversion"/>
  </si>
  <si>
    <t>NX5 JUMP TUBE AA</t>
    <phoneticPr fontId="1" type="noConversion"/>
  </si>
  <si>
    <t>작업불량</t>
    <phoneticPr fontId="1" type="noConversion"/>
  </si>
  <si>
    <t>NX5 JUMP TUBE CA</t>
    <phoneticPr fontId="1" type="noConversion"/>
  </si>
  <si>
    <t>JX1 HEV 16T</t>
    <phoneticPr fontId="1" type="noConversion"/>
  </si>
  <si>
    <t>교정 작업 시 플랜지 빠짐</t>
    <phoneticPr fontId="1" type="noConversion"/>
  </si>
  <si>
    <t>COOLANT SPOUT-WCAC</t>
  </si>
  <si>
    <t>OUTLET TUBE-HTR</t>
  </si>
  <si>
    <t>INLET TUBE-HTR</t>
  </si>
  <si>
    <t>FT-ASY-A/C JUMPER</t>
  </si>
  <si>
    <t>공정</t>
    <phoneticPr fontId="1" type="noConversion"/>
  </si>
  <si>
    <t>1동</t>
    <phoneticPr fontId="1" type="noConversion"/>
  </si>
  <si>
    <t>6동</t>
    <phoneticPr fontId="1" type="noConversion"/>
  </si>
  <si>
    <t>JLR CA</t>
    <phoneticPr fontId="1" type="noConversion"/>
  </si>
  <si>
    <t>포밍부 외경 치수 미달</t>
    <phoneticPr fontId="1" type="noConversion"/>
  </si>
  <si>
    <t>NX5 JUMP TUBE AA</t>
    <phoneticPr fontId="1" type="noConversion"/>
  </si>
  <si>
    <r>
      <t xml:space="preserve">셋팅 </t>
    </r>
    <r>
      <rPr>
        <sz val="11"/>
        <color theme="1"/>
        <rFont val="맑은 고딕"/>
        <family val="3"/>
        <charset val="129"/>
      </rPr>
      <t>Ø17</t>
    </r>
    <phoneticPr fontId="1" type="noConversion"/>
  </si>
  <si>
    <t>Ø15</t>
  </si>
  <si>
    <t>Ø8</t>
  </si>
  <si>
    <t>Ø12</t>
  </si>
  <si>
    <t>Ø12 플랜지 역조립</t>
  </si>
  <si>
    <t>Ø9 플랜지 설삽</t>
  </si>
  <si>
    <r>
      <t xml:space="preserve">셋팅 </t>
    </r>
    <r>
      <rPr>
        <sz val="11"/>
        <color theme="1"/>
        <rFont val="맑은 고딕"/>
        <family val="3"/>
        <charset val="129"/>
      </rPr>
      <t>Ø9</t>
    </r>
    <phoneticPr fontId="1" type="noConversion"/>
  </si>
  <si>
    <t>셋팅</t>
  </si>
  <si>
    <t>셋팅</t>
    <phoneticPr fontId="1" type="noConversion"/>
  </si>
  <si>
    <t>JLR ZA</t>
  </si>
  <si>
    <t>JLR ZA</t>
    <phoneticPr fontId="1" type="noConversion"/>
  </si>
  <si>
    <t>V710 HTR IN AA</t>
    <phoneticPr fontId="1" type="noConversion"/>
  </si>
  <si>
    <t>공급이슈</t>
    <phoneticPr fontId="1" type="noConversion"/>
  </si>
  <si>
    <t>NX5 EVAP AA</t>
    <phoneticPr fontId="1" type="noConversion"/>
  </si>
  <si>
    <t>TUBE INLET-EVAP CORE</t>
  </si>
  <si>
    <r>
      <t xml:space="preserve">밴딩 </t>
    </r>
    <r>
      <rPr>
        <sz val="11"/>
        <color theme="1"/>
        <rFont val="맑은 고딕"/>
        <family val="3"/>
        <charset val="129"/>
      </rPr>
      <t>Ø15.88</t>
    </r>
    <phoneticPr fontId="1" type="noConversion"/>
  </si>
  <si>
    <t>TUBE OUTLET-EVAP CORE</t>
  </si>
  <si>
    <t>NX5 HOSE LA</t>
    <phoneticPr fontId="1" type="noConversion"/>
  </si>
  <si>
    <t>HOSE ASS'Y</t>
  </si>
  <si>
    <t>V710 EVAP IN RA</t>
    <phoneticPr fontId="1" type="noConversion"/>
  </si>
  <si>
    <t>JLR CA</t>
  </si>
  <si>
    <t>JLR CA</t>
    <phoneticPr fontId="1" type="noConversion"/>
  </si>
  <si>
    <t>NX5 JUMP TUBE AA</t>
    <phoneticPr fontId="1" type="noConversion"/>
  </si>
  <si>
    <r>
      <t xml:space="preserve">포밍 불량 </t>
    </r>
    <r>
      <rPr>
        <sz val="11"/>
        <color theme="1"/>
        <rFont val="맑은 고딕"/>
        <family val="3"/>
        <charset val="129"/>
      </rPr>
      <t>Ø9</t>
    </r>
    <phoneticPr fontId="1" type="noConversion"/>
  </si>
  <si>
    <t>V710 EVAP OUT AA</t>
    <phoneticPr fontId="1" type="noConversion"/>
  </si>
  <si>
    <t>CN8 HTR IN AA</t>
    <phoneticPr fontId="1" type="noConversion"/>
  </si>
  <si>
    <t>NX5 EVAP LA</t>
    <phoneticPr fontId="1" type="noConversion"/>
  </si>
  <si>
    <t>한온</t>
    <phoneticPr fontId="1" type="noConversion"/>
  </si>
  <si>
    <t>FA1A8HEAAA01</t>
    <phoneticPr fontId="1" type="noConversion"/>
  </si>
  <si>
    <t>NEaW</t>
    <phoneticPr fontId="1" type="noConversion"/>
  </si>
  <si>
    <t>FA1A8HEAMD01</t>
    <phoneticPr fontId="1" type="noConversion"/>
  </si>
  <si>
    <t>FA1A8HEAMC01</t>
    <phoneticPr fontId="1" type="noConversion"/>
  </si>
  <si>
    <t>FA1A8HEAMB01</t>
    <phoneticPr fontId="1" type="noConversion"/>
  </si>
  <si>
    <t>FA1A8HEAMA01</t>
    <phoneticPr fontId="1" type="noConversion"/>
  </si>
  <si>
    <t>HR469X5HAA</t>
  </si>
  <si>
    <t>NX5 HOSE</t>
    <phoneticPr fontId="1" type="noConversion"/>
  </si>
  <si>
    <t>NX5 HOSE AA</t>
    <phoneticPr fontId="1" type="noConversion"/>
  </si>
  <si>
    <t>ICE TOC</t>
  </si>
  <si>
    <t>HS304N5XBA</t>
  </si>
  <si>
    <t>NX5 TOC</t>
    <phoneticPr fontId="1" type="noConversion"/>
  </si>
  <si>
    <t>NX5 TOC BA</t>
    <phoneticPr fontId="1" type="noConversion"/>
  </si>
  <si>
    <t>HTR OUT RHD</t>
  </si>
  <si>
    <t>HH271N5XLB</t>
  </si>
  <si>
    <t>NX5 HTR</t>
    <phoneticPr fontId="1" type="noConversion"/>
  </si>
  <si>
    <t>NX5 HTR OUT LA</t>
    <phoneticPr fontId="1" type="noConversion"/>
  </si>
  <si>
    <t>HTR IN RHD</t>
  </si>
  <si>
    <t>HH270N5XLA</t>
  </si>
  <si>
    <t>NX5 HTR IN LA</t>
    <phoneticPr fontId="1" type="noConversion"/>
  </si>
  <si>
    <t>HTR OUT LHD</t>
  </si>
  <si>
    <t>HH261N5XAA</t>
  </si>
  <si>
    <t>HTR IN LHD</t>
  </si>
  <si>
    <t>HH260N5XAA</t>
  </si>
  <si>
    <t>JUMP TUBE CB 핀유</t>
    <phoneticPr fontId="1" type="noConversion"/>
  </si>
  <si>
    <t>FA1A8N5XCB</t>
  </si>
  <si>
    <t>NX5 JUMP TUBE</t>
    <phoneticPr fontId="1" type="noConversion"/>
  </si>
  <si>
    <t>NX5 JUMP TUBE CB</t>
    <phoneticPr fontId="1" type="noConversion"/>
  </si>
  <si>
    <t>JUMP TUBE CA 핀무</t>
    <phoneticPr fontId="1" type="noConversion"/>
  </si>
  <si>
    <t>FA1A8N5XCA</t>
  </si>
  <si>
    <t>JUMP TUBE AB 핀유</t>
    <phoneticPr fontId="1" type="noConversion"/>
  </si>
  <si>
    <t>FA1A8N5XAB</t>
  </si>
  <si>
    <t>NX5 JUMP TUBE AB</t>
    <phoneticPr fontId="1" type="noConversion"/>
  </si>
  <si>
    <t>JUMP TUBE AA 핀무</t>
    <phoneticPr fontId="1" type="noConversion"/>
  </si>
  <si>
    <t>FA1A8N5XAA</t>
  </si>
  <si>
    <t>EVAP RHD</t>
  </si>
  <si>
    <t>HE333N5XLA</t>
  </si>
  <si>
    <t>NX5 EVAP</t>
    <phoneticPr fontId="1" type="noConversion"/>
  </si>
  <si>
    <t>EVAP LHD</t>
  </si>
  <si>
    <t>HE333N5XAA</t>
  </si>
  <si>
    <t>HTR PIPE OUT RHD</t>
  </si>
  <si>
    <t>HH261HCNLA</t>
  </si>
  <si>
    <t>CN8 HTR OUT LA</t>
    <phoneticPr fontId="1" type="noConversion"/>
  </si>
  <si>
    <t>HTR PIPE IN RHD</t>
  </si>
  <si>
    <t>HH260HCNLA</t>
  </si>
  <si>
    <t>EVAP PIPE RHD</t>
  </si>
  <si>
    <t>HE333HCNLA</t>
  </si>
  <si>
    <t>CN8 EVAP</t>
    <phoneticPr fontId="1" type="noConversion"/>
  </si>
  <si>
    <t>CN8 EVAP LA</t>
    <phoneticPr fontId="1" type="noConversion"/>
  </si>
  <si>
    <t>HEV HTR PIPE OUT LHD</t>
  </si>
  <si>
    <t>HH261L8FAA</t>
  </si>
  <si>
    <t>CN8 HEV HTR</t>
    <phoneticPr fontId="1" type="noConversion"/>
  </si>
  <si>
    <t>CN8 HEV HTR OUT AA</t>
    <phoneticPr fontId="1" type="noConversion"/>
  </si>
  <si>
    <t>HEV HTR PIPE IN LHD</t>
  </si>
  <si>
    <t>HH260L8FAA</t>
  </si>
  <si>
    <t>CN8 HEV HTR IN AA</t>
    <phoneticPr fontId="1" type="noConversion"/>
  </si>
  <si>
    <t>HTR OUT PIPE LHD</t>
  </si>
  <si>
    <t>HH261HCNAA</t>
  </si>
  <si>
    <t>HTR PIPE IN LHD</t>
  </si>
  <si>
    <t>HH260HCNAA</t>
  </si>
  <si>
    <t>EVAP PIPE LHD</t>
  </si>
  <si>
    <t>HE333HCNAA</t>
  </si>
  <si>
    <t>HH261G7FRA01</t>
  </si>
  <si>
    <t>V710 HTR</t>
    <phoneticPr fontId="1" type="noConversion"/>
  </si>
  <si>
    <t>HH260G7FRA01</t>
  </si>
  <si>
    <t>HE331G7FRA02</t>
  </si>
  <si>
    <t>V710 EVAP</t>
    <phoneticPr fontId="1" type="noConversion"/>
  </si>
  <si>
    <t>HE330G7FRA02</t>
  </si>
  <si>
    <t>V710 EVAP IN RA</t>
    <phoneticPr fontId="1" type="noConversion"/>
  </si>
  <si>
    <t>HH261G7FAA01</t>
  </si>
  <si>
    <t>HH260G7FAA01</t>
  </si>
  <si>
    <t>HE331G7FAA01</t>
  </si>
  <si>
    <t>HE330G7FAA01</t>
  </si>
  <si>
    <t>JX1 20T</t>
    <phoneticPr fontId="1" type="noConversion"/>
  </si>
  <si>
    <t>JX1 20T AA</t>
    <phoneticPr fontId="1" type="noConversion"/>
  </si>
  <si>
    <t>FA-ASY-A/C-JUMPER</t>
    <phoneticPr fontId="1" type="noConversion"/>
  </si>
  <si>
    <t>FA1A8L9SAA03</t>
    <phoneticPr fontId="1" type="noConversion"/>
  </si>
  <si>
    <t>JX1 16T</t>
    <phoneticPr fontId="1" type="noConversion"/>
  </si>
  <si>
    <t>JX1 HEV 16T AA</t>
    <phoneticPr fontId="1" type="noConversion"/>
  </si>
  <si>
    <t>HW741D5LZA01</t>
  </si>
  <si>
    <t>JLR</t>
    <phoneticPr fontId="1" type="noConversion"/>
  </si>
  <si>
    <t>HW741D5LCA02</t>
  </si>
  <si>
    <t>HW741D5LBA01</t>
  </si>
  <si>
    <t>JLR BA</t>
  </si>
  <si>
    <t>HW741D5LAA01</t>
  </si>
  <si>
    <t>JLR AA</t>
  </si>
  <si>
    <t>JLR</t>
  </si>
  <si>
    <t>고객사</t>
    <phoneticPr fontId="1" type="noConversion"/>
  </si>
  <si>
    <t>차종 Ⅱ</t>
    <phoneticPr fontId="1" type="noConversion"/>
  </si>
  <si>
    <t>차종Ⅰ</t>
    <phoneticPr fontId="1" type="noConversion"/>
  </si>
  <si>
    <t>밴딩,셋팅</t>
    <phoneticPr fontId="1" type="noConversion"/>
  </si>
  <si>
    <t>포밍 Ø9</t>
    <phoneticPr fontId="1" type="noConversion"/>
  </si>
  <si>
    <t>A2XX EVAP OUT</t>
    <phoneticPr fontId="1" type="noConversion"/>
  </si>
  <si>
    <t>밴딩</t>
    <phoneticPr fontId="1" type="noConversion"/>
  </si>
  <si>
    <r>
      <t xml:space="preserve">셋팅 </t>
    </r>
    <r>
      <rPr>
        <sz val="11"/>
        <color theme="1"/>
        <rFont val="맑은 고딕"/>
        <family val="3"/>
        <charset val="129"/>
      </rPr>
      <t>Ø12</t>
    </r>
    <phoneticPr fontId="1" type="noConversion"/>
  </si>
  <si>
    <t>낙하</t>
    <phoneticPr fontId="1" type="noConversion"/>
  </si>
  <si>
    <t>V710 HTR IN RA</t>
    <phoneticPr fontId="1" type="noConversion"/>
  </si>
  <si>
    <t>KU</t>
    <phoneticPr fontId="1" type="noConversion"/>
  </si>
  <si>
    <t>셋팅,클램프 끼임</t>
    <phoneticPr fontId="1" type="noConversion"/>
  </si>
  <si>
    <t>V710 HTR OUT RA</t>
    <phoneticPr fontId="1" type="noConversion"/>
  </si>
  <si>
    <t>설비</t>
    <phoneticPr fontId="1" type="noConversion"/>
  </si>
  <si>
    <r>
      <t xml:space="preserve">파스피다 고장 에러 </t>
    </r>
    <r>
      <rPr>
        <sz val="11"/>
        <color theme="1"/>
        <rFont val="맑은 고딕"/>
        <family val="3"/>
        <charset val="129"/>
      </rPr>
      <t>Ø12</t>
    </r>
    <phoneticPr fontId="1" type="noConversion"/>
  </si>
  <si>
    <t>Ø9</t>
    <phoneticPr fontId="1" type="noConversion"/>
  </si>
  <si>
    <t>셋팅,공급이슈</t>
    <phoneticPr fontId="1" type="noConversion"/>
  </si>
  <si>
    <t>CN8 HTR OUT AA</t>
    <phoneticPr fontId="1" type="noConversion"/>
  </si>
  <si>
    <t>셋팅,공급이슈,포밍</t>
    <phoneticPr fontId="1" type="noConversion"/>
  </si>
  <si>
    <t>NX5 JUMP TUBE</t>
    <phoneticPr fontId="1" type="noConversion"/>
  </si>
  <si>
    <t>Ø12</t>
    <phoneticPr fontId="1" type="noConversion"/>
  </si>
  <si>
    <t>NX5 EVAP AA</t>
    <phoneticPr fontId="1" type="noConversion"/>
  </si>
  <si>
    <t>찍힘</t>
    <phoneticPr fontId="1" type="noConversion"/>
  </si>
  <si>
    <t>V710 HTR IN AA</t>
    <phoneticPr fontId="1" type="noConversion"/>
  </si>
  <si>
    <t>컷팅</t>
    <phoneticPr fontId="1" type="noConversion"/>
  </si>
  <si>
    <t>JLR ZA</t>
    <phoneticPr fontId="1" type="noConversion"/>
  </si>
  <si>
    <t>치수</t>
    <phoneticPr fontId="1" type="noConversion"/>
  </si>
  <si>
    <t>포밍,공급이슈</t>
    <phoneticPr fontId="1" type="noConversion"/>
  </si>
  <si>
    <t>V710 EVAP IN AA</t>
    <phoneticPr fontId="1" type="noConversion"/>
  </si>
  <si>
    <t>밴딩</t>
    <phoneticPr fontId="1" type="noConversion"/>
  </si>
  <si>
    <t>지그 안착 X</t>
    <phoneticPr fontId="1" type="noConversion"/>
  </si>
  <si>
    <t>컷팅 단면 불균형</t>
    <phoneticPr fontId="1" type="noConversion"/>
  </si>
  <si>
    <t>NX5 HTR OUT LA</t>
    <phoneticPr fontId="1" type="noConversion"/>
  </si>
  <si>
    <t>셋팅</t>
    <phoneticPr fontId="1" type="noConversion"/>
  </si>
  <si>
    <t>1동</t>
  </si>
  <si>
    <t>NX5 JUMP TUBE CA</t>
    <phoneticPr fontId="1" type="noConversion"/>
  </si>
  <si>
    <t>플랜지 빠짐</t>
    <phoneticPr fontId="1" type="noConversion"/>
  </si>
  <si>
    <t>찍힘</t>
    <phoneticPr fontId="1" type="noConversion"/>
  </si>
  <si>
    <t>Ø8 코킹</t>
    <phoneticPr fontId="1" type="noConversion"/>
  </si>
  <si>
    <t>V710 HTR OUT AA</t>
    <phoneticPr fontId="1" type="noConversion"/>
  </si>
  <si>
    <t>진원</t>
    <phoneticPr fontId="1" type="noConversion"/>
  </si>
  <si>
    <t>V710 HTR OUT RA</t>
    <phoneticPr fontId="1" type="noConversion"/>
  </si>
  <si>
    <t>변형</t>
    <phoneticPr fontId="1" type="noConversion"/>
  </si>
  <si>
    <t>RG3</t>
    <phoneticPr fontId="1" type="noConversion"/>
  </si>
  <si>
    <t>용접불량</t>
    <phoneticPr fontId="1" type="noConversion"/>
  </si>
  <si>
    <t>용접시 홀 축소</t>
    <phoneticPr fontId="1" type="noConversion"/>
  </si>
  <si>
    <t>파이프 찍힘</t>
    <phoneticPr fontId="1" type="noConversion"/>
  </si>
  <si>
    <t>포밍 누락</t>
    <phoneticPr fontId="1" type="noConversion"/>
  </si>
  <si>
    <t>SU2i</t>
    <phoneticPr fontId="1" type="noConversion"/>
  </si>
  <si>
    <t>최영철</t>
    <phoneticPr fontId="1" type="noConversion"/>
  </si>
  <si>
    <t>오영희</t>
    <phoneticPr fontId="1" type="noConversion"/>
  </si>
  <si>
    <t>오현정</t>
    <phoneticPr fontId="1" type="noConversion"/>
  </si>
  <si>
    <t>포밍역방향</t>
    <phoneticPr fontId="1" type="noConversion"/>
  </si>
  <si>
    <t>공정누락</t>
    <phoneticPr fontId="1" type="noConversion"/>
  </si>
  <si>
    <t>토라</t>
    <phoneticPr fontId="1" type="noConversion"/>
  </si>
  <si>
    <t>이두혁</t>
    <phoneticPr fontId="1" type="noConversion"/>
  </si>
  <si>
    <t>교정 시 찌그러짐</t>
    <phoneticPr fontId="1" type="noConversion"/>
  </si>
  <si>
    <t>문이순</t>
    <phoneticPr fontId="1" type="noConversion"/>
  </si>
  <si>
    <t>역밴딩</t>
    <phoneticPr fontId="1" type="noConversion"/>
  </si>
  <si>
    <t>이민엽</t>
    <phoneticPr fontId="1" type="noConversion"/>
  </si>
  <si>
    <t>칩</t>
    <phoneticPr fontId="1" type="noConversion"/>
  </si>
  <si>
    <t>RG3 HEV</t>
    <phoneticPr fontId="1" type="noConversion"/>
  </si>
  <si>
    <t>6동</t>
  </si>
  <si>
    <t>장지승</t>
    <phoneticPr fontId="1" type="noConversion"/>
  </si>
  <si>
    <t>확관불량</t>
    <phoneticPr fontId="1" type="noConversion"/>
  </si>
  <si>
    <t>치수미달,찍힘</t>
    <phoneticPr fontId="1" type="noConversion"/>
  </si>
  <si>
    <t>치수미달,변형,찍힘</t>
    <phoneticPr fontId="1" type="noConversion"/>
  </si>
  <si>
    <t>지그불량</t>
    <phoneticPr fontId="1" type="noConversion"/>
  </si>
  <si>
    <t>확관</t>
    <phoneticPr fontId="1" type="noConversion"/>
  </si>
  <si>
    <t>지그,변형</t>
    <phoneticPr fontId="1" type="noConversion"/>
  </si>
  <si>
    <t>지그 안착 X / 밴딩 시 찢어짐</t>
    <phoneticPr fontId="1" type="noConversion"/>
  </si>
  <si>
    <t>편심</t>
    <phoneticPr fontId="1" type="noConversion"/>
  </si>
  <si>
    <t>치수미달,비드누락</t>
    <phoneticPr fontId="1" type="noConversion"/>
  </si>
  <si>
    <t>찍힘,셋팅</t>
    <phoneticPr fontId="1" type="noConversion"/>
  </si>
  <si>
    <t>포밍찍힘</t>
    <phoneticPr fontId="1" type="noConversion"/>
  </si>
  <si>
    <t>플랜지 흔들림</t>
    <phoneticPr fontId="1" type="noConversion"/>
  </si>
  <si>
    <t>플랜지 찍힘</t>
    <phoneticPr fontId="1" type="noConversion"/>
  </si>
  <si>
    <t>파이프 짧음 Ø9</t>
    <phoneticPr fontId="1" type="noConversion"/>
  </si>
  <si>
    <t>파이프 짧음 Ø12</t>
    <phoneticPr fontId="1" type="noConversion"/>
  </si>
  <si>
    <t>플랜지 긁힘</t>
    <phoneticPr fontId="1" type="noConversion"/>
  </si>
  <si>
    <t>찍힘,찌그러짐</t>
    <phoneticPr fontId="1" type="noConversion"/>
  </si>
  <si>
    <t>셋팅,포밍미완</t>
    <phoneticPr fontId="1" type="noConversion"/>
  </si>
  <si>
    <t>외관,변형</t>
    <phoneticPr fontId="1" type="noConversion"/>
  </si>
  <si>
    <t>치수미달,밴딩</t>
    <phoneticPr fontId="1" type="noConversion"/>
  </si>
  <si>
    <t>치수미달,찍힘,찌그러짐</t>
    <phoneticPr fontId="1" type="noConversion"/>
  </si>
  <si>
    <t>낙하(찍힘)</t>
    <phoneticPr fontId="1" type="noConversion"/>
  </si>
  <si>
    <t>찍힘,역밴딩,변형</t>
    <phoneticPr fontId="1" type="noConversion"/>
  </si>
  <si>
    <t>코킹찍힘</t>
    <phoneticPr fontId="1" type="noConversion"/>
  </si>
  <si>
    <t>이두혁</t>
  </si>
  <si>
    <t>파이프 짧음</t>
    <phoneticPr fontId="1" type="noConversion"/>
  </si>
  <si>
    <t>찍힘,이물</t>
    <phoneticPr fontId="1" type="noConversion"/>
  </si>
  <si>
    <t>치수미달,누락</t>
    <phoneticPr fontId="1" type="noConversion"/>
  </si>
  <si>
    <t>찍힘,눌림</t>
    <phoneticPr fontId="1" type="noConversion"/>
  </si>
  <si>
    <t>치수미달,밴딩,진원</t>
    <phoneticPr fontId="1" type="noConversion"/>
  </si>
  <si>
    <t>코킹치수미달</t>
    <phoneticPr fontId="1" type="noConversion"/>
  </si>
  <si>
    <t>치수미달,포밍누락</t>
    <phoneticPr fontId="1" type="noConversion"/>
  </si>
  <si>
    <t>찍힘,편심,밴딩,셋팅</t>
    <phoneticPr fontId="1" type="noConversion"/>
  </si>
  <si>
    <t>치수미달,찍힘,미완품</t>
    <phoneticPr fontId="1" type="noConversion"/>
  </si>
  <si>
    <t>자동로봇</t>
    <phoneticPr fontId="1" type="noConversion"/>
  </si>
  <si>
    <t>찍힘,비드부중첩</t>
    <phoneticPr fontId="1" type="noConversion"/>
  </si>
  <si>
    <t>지그안착불량</t>
    <phoneticPr fontId="1" type="noConversion"/>
  </si>
  <si>
    <t>치수미달,찍힘,셋팅</t>
    <phoneticPr fontId="1" type="noConversion"/>
  </si>
  <si>
    <t>찍힘,컷팅</t>
    <phoneticPr fontId="1" type="noConversion"/>
  </si>
  <si>
    <t>찍힘,공급이슈</t>
    <phoneticPr fontId="1" type="noConversion"/>
  </si>
  <si>
    <t>공정역순 끼임</t>
    <phoneticPr fontId="1" type="noConversion"/>
  </si>
  <si>
    <t>밴딩,확관불량</t>
    <phoneticPr fontId="1" type="noConversion"/>
  </si>
  <si>
    <t>치수미달,비드부중첩</t>
    <phoneticPr fontId="1" type="noConversion"/>
  </si>
  <si>
    <t>치수미달,찍힘,밴딩</t>
    <phoneticPr fontId="1" type="noConversion"/>
  </si>
  <si>
    <t>핀 절단</t>
    <phoneticPr fontId="1" type="noConversion"/>
  </si>
  <si>
    <t>교정불량(찌그러짐)</t>
    <phoneticPr fontId="1" type="noConversion"/>
  </si>
  <si>
    <t>용접핀홀</t>
    <phoneticPr fontId="1" type="noConversion"/>
  </si>
  <si>
    <t>작업불량(차압 미삽입)</t>
    <phoneticPr fontId="1" type="noConversion"/>
  </si>
  <si>
    <t>DEGAS 볼 불량</t>
    <phoneticPr fontId="1" type="noConversion"/>
  </si>
  <si>
    <t>JX1</t>
    <phoneticPr fontId="1" type="noConversion"/>
  </si>
  <si>
    <t>플랜지 불순물</t>
    <phoneticPr fontId="1" type="noConversion"/>
  </si>
  <si>
    <t>낙하,칩눌림,홀변형</t>
    <phoneticPr fontId="1" type="noConversion"/>
  </si>
  <si>
    <t>깡라피</t>
    <phoneticPr fontId="1" type="noConversion"/>
  </si>
  <si>
    <t>렛티</t>
    <phoneticPr fontId="1" type="noConversion"/>
  </si>
  <si>
    <t>첸</t>
    <phoneticPr fontId="1" type="noConversion"/>
  </si>
  <si>
    <r>
      <t xml:space="preserve">파이프 짧음 </t>
    </r>
    <r>
      <rPr>
        <sz val="11"/>
        <color theme="1"/>
        <rFont val="맑은 고딕"/>
        <family val="3"/>
        <charset val="129"/>
      </rPr>
      <t>Ø9</t>
    </r>
    <phoneticPr fontId="1" type="noConversion"/>
  </si>
  <si>
    <t>포밍불량</t>
    <phoneticPr fontId="1" type="noConversion"/>
  </si>
  <si>
    <t>JK1 HEV</t>
    <phoneticPr fontId="1" type="noConversion"/>
  </si>
  <si>
    <t>단면불량</t>
    <phoneticPr fontId="1" type="noConversion"/>
  </si>
  <si>
    <t>김은지</t>
    <phoneticPr fontId="1" type="noConversion"/>
  </si>
  <si>
    <t>김은주</t>
    <phoneticPr fontId="1" type="noConversion"/>
  </si>
  <si>
    <t>JK1 HEV</t>
    <phoneticPr fontId="9" type="noConversion"/>
  </si>
  <si>
    <t>FA1A8JKHAA02</t>
    <phoneticPr fontId="9" type="noConversion"/>
  </si>
  <si>
    <t>FT-ASY-A/C JUMPER</t>
    <phoneticPr fontId="9" type="noConversion"/>
  </si>
  <si>
    <t>JK1 EREV</t>
    <phoneticPr fontId="9" type="noConversion"/>
  </si>
  <si>
    <t>JKa EREV</t>
    <phoneticPr fontId="9" type="noConversion"/>
  </si>
  <si>
    <t>FA1A8JVRAA02</t>
    <phoneticPr fontId="9" type="noConversion"/>
  </si>
  <si>
    <t>JK1 EREV</t>
    <phoneticPr fontId="1" type="noConversion"/>
  </si>
  <si>
    <t>교정불량(찍힘)</t>
    <phoneticPr fontId="1" type="noConversion"/>
  </si>
  <si>
    <t>볼트 휨</t>
    <phoneticPr fontId="1" type="noConversion"/>
  </si>
  <si>
    <t>칩눌림</t>
    <phoneticPr fontId="1" type="noConversion"/>
  </si>
  <si>
    <t>파이프</t>
    <phoneticPr fontId="1" type="noConversion"/>
  </si>
  <si>
    <t>원자재(플랜지 너비 작음)</t>
    <phoneticPr fontId="1" type="noConversion"/>
  </si>
  <si>
    <t>칩찍힘</t>
    <phoneticPr fontId="1" type="noConversion"/>
  </si>
  <si>
    <t>역밴딩,찍힘,낙하</t>
    <phoneticPr fontId="1" type="noConversion"/>
  </si>
  <si>
    <t>치수미달,포밍누락,찍힘,변형</t>
    <phoneticPr fontId="1" type="noConversion"/>
  </si>
  <si>
    <t>교정불량(플랜지 휨)</t>
    <phoneticPr fontId="1" type="noConversion"/>
  </si>
  <si>
    <t>칩눌림(포밍 갈라짐)</t>
    <phoneticPr fontId="1" type="noConversion"/>
  </si>
  <si>
    <t>코킹불량</t>
    <phoneticPr fontId="1" type="noConversion"/>
  </si>
  <si>
    <t>찍힘,낙하,이물,성형불량</t>
    <phoneticPr fontId="1" type="noConversion"/>
  </si>
  <si>
    <t>칩눌림,밴딩</t>
    <phoneticPr fontId="1" type="noConversion"/>
  </si>
  <si>
    <t>확관부 사선</t>
    <phoneticPr fontId="1" type="noConversion"/>
  </si>
  <si>
    <t>치수,찍힘,셋팅</t>
    <phoneticPr fontId="1" type="noConversion"/>
  </si>
  <si>
    <t>밴딩,코킹</t>
    <phoneticPr fontId="1" type="noConversion"/>
  </si>
  <si>
    <r>
      <t xml:space="preserve">플랜지 역조립 </t>
    </r>
    <r>
      <rPr>
        <sz val="11"/>
        <color theme="1"/>
        <rFont val="맑은 고딕"/>
        <family val="3"/>
        <charset val="129"/>
      </rPr>
      <t>Ø9</t>
    </r>
    <phoneticPr fontId="1" type="noConversion"/>
  </si>
  <si>
    <r>
      <t>플랜지 흔들림</t>
    </r>
    <r>
      <rPr>
        <sz val="11"/>
        <color theme="1"/>
        <rFont val="맑은 고딕"/>
        <family val="3"/>
        <charset val="129"/>
      </rPr>
      <t>Ø</t>
    </r>
    <r>
      <rPr>
        <sz val="9.35"/>
        <color theme="1"/>
        <rFont val="맑은 고딕"/>
        <family val="3"/>
        <charset val="129"/>
      </rPr>
      <t>12</t>
    </r>
    <phoneticPr fontId="1" type="noConversion"/>
  </si>
  <si>
    <t>스크래치</t>
    <phoneticPr fontId="1" type="noConversion"/>
  </si>
  <si>
    <t>유운재</t>
    <phoneticPr fontId="1" type="noConversion"/>
  </si>
  <si>
    <t>코킹,밴딩</t>
    <phoneticPr fontId="1" type="noConversion"/>
  </si>
  <si>
    <t>MMA HTR IN AA</t>
    <phoneticPr fontId="1" type="noConversion"/>
  </si>
  <si>
    <t>찍힘,휨</t>
    <phoneticPr fontId="1" type="noConversion"/>
  </si>
  <si>
    <t>휨</t>
    <phoneticPr fontId="1" type="noConversion"/>
  </si>
  <si>
    <t>찌그러짐,찍힘</t>
    <phoneticPr fontId="1" type="noConversion"/>
  </si>
  <si>
    <t>확관 미완품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</si>
</sst>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8"/>
      <name val="현대하모니 M"/>
      <family val="2"/>
      <charset val="129"/>
    </font>
    <font>
      <sz val="9.35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2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>
      <alignment vertical="center"/>
    </xf>
    <xf numFmtId="41" fontId="0" fillId="2" borderId="0" xfId="1" applyFont="1" applyFill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6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41" fontId="2" fillId="2" borderId="1" xfId="1" applyFont="1" applyFill="1" applyBorder="1">
      <alignment vertical="center"/>
    </xf>
    <xf numFmtId="41" fontId="2" fillId="2" borderId="0" xfId="1" applyFont="1" applyFill="1">
      <alignment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41" fontId="2" fillId="2" borderId="0" xfId="1" applyFont="1" applyFill="1" applyBorder="1">
      <alignment vertical="center"/>
    </xf>
    <xf numFmtId="0" fontId="2" fillId="2" borderId="13" xfId="2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textRotation="255"/>
    </xf>
    <xf numFmtId="0" fontId="0" fillId="0" borderId="3" xfId="0" applyBorder="1" applyAlignment="1">
      <alignment horizontal="center" vertical="center" textRotation="255"/>
    </xf>
  </cellXfs>
  <cellStyles count="3">
    <cellStyle name="쉼표 [0]" xfId="1" builtinId="6"/>
    <cellStyle name="표준" xfId="0" builtinId="0"/>
    <cellStyle name="표준 8" xfId="2" xr:uid="{62E969E2-6170-416D-ABA1-6CD51C4876EF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fill>
        <patternFill patternType="solid">
          <fgColor indexed="64"/>
          <bgColor theme="0"/>
        </patternFill>
      </fill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맑은 고딕"/>
        <family val="3"/>
        <charset val="129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46657</xdr:rowOff>
    </xdr:from>
    <xdr:to>
      <xdr:col>8</xdr:col>
      <xdr:colOff>13939</xdr:colOff>
      <xdr:row>2</xdr:row>
      <xdr:rowOff>968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F7044CC-B84A-CECB-B95D-F24177E8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657"/>
          <a:ext cx="2176114" cy="61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46657</xdr:rowOff>
    </xdr:from>
    <xdr:to>
      <xdr:col>8</xdr:col>
      <xdr:colOff>13939</xdr:colOff>
      <xdr:row>2</xdr:row>
      <xdr:rowOff>968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555EA8-5D44-471D-8291-9BD8E8704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657"/>
          <a:ext cx="2176114" cy="61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0</xdr:row>
      <xdr:rowOff>46657</xdr:rowOff>
    </xdr:from>
    <xdr:to>
      <xdr:col>8</xdr:col>
      <xdr:colOff>13939</xdr:colOff>
      <xdr:row>2</xdr:row>
      <xdr:rowOff>968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57F7DE-644F-4361-B074-011BD0E1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657"/>
          <a:ext cx="2176114" cy="61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46657</xdr:rowOff>
    </xdr:from>
    <xdr:to>
      <xdr:col>9</xdr:col>
      <xdr:colOff>13939</xdr:colOff>
      <xdr:row>2</xdr:row>
      <xdr:rowOff>968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2E1B821-E23E-442F-88C0-81596A1D0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46657"/>
          <a:ext cx="2176114" cy="61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</xdr:colOff>
      <xdr:row>241</xdr:row>
      <xdr:rowOff>47625</xdr:rowOff>
    </xdr:from>
    <xdr:to>
      <xdr:col>11</xdr:col>
      <xdr:colOff>599850</xdr:colOff>
      <xdr:row>246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07356F-1315-F9FB-3E1B-1BCA3D0A9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7832" y="20644037"/>
          <a:ext cx="1795518" cy="12970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41D49-96A7-48BB-9782-2ADD0E239AAC}" name="표1" displayName="표1" ref="B4:I601" headerRowDxfId="24" dataDxfId="22" totalsRowDxfId="20" headerRowBorderDxfId="23" tableBorderDxfId="21">
  <autoFilter ref="B4:I601" xr:uid="{F5E41D49-96A7-48BB-9782-2ADD0E239AAC}"/>
  <sortState xmlns:xlrd2="http://schemas.microsoft.com/office/spreadsheetml/2017/richdata2" ref="B5:I601">
    <sortCondition ref="B4:B601"/>
  </sortState>
  <tableColumns count="8">
    <tableColumn id="1" xr3:uid="{C6263D9A-74E8-41FF-9FDC-FD794A6C93C2}" name="일자" dataDxfId="19" totalsRowDxfId="18"/>
    <tableColumn id="2" xr3:uid="{2029F9BD-5752-44BE-ACC5-7E90D3DF93B2}" name="공정" dataDxfId="17" totalsRowDxfId="16"/>
    <tableColumn id="3" xr3:uid="{09ACDA37-CBE0-4CCD-AFE7-AEDEA5450AA6}" name="차종" dataDxfId="15" totalsRowDxfId="14"/>
    <tableColumn id="4" xr3:uid="{EF61B10C-7485-4F77-9AD1-495F45F0A157}" name="품명" totalsRowFunction="custom" dataDxfId="13" totalsRowDxfId="12">
      <calculatedColumnFormula>IFERROR(VLOOKUP(D5,Sheet1!B:F,4,0),"")</calculatedColumnFormula>
      <totalsRowFormula>IFERROR(VLOOKUP(#REF!,Sheet1!B:F,4,0),"")</totalsRowFormula>
    </tableColumn>
    <tableColumn id="5" xr3:uid="{32430841-7ACE-4B8C-9DD5-DCD0190BED14}" name="불량명" dataDxfId="11" totalsRowDxfId="10"/>
    <tableColumn id="6" xr3:uid="{5199D70A-082E-4F5D-AA2C-0D79F6F7FC79}" name="수량 " dataDxfId="9" totalsRowDxfId="8" dataCellStyle="쉼표 [0]"/>
    <tableColumn id="7" xr3:uid="{8F4C0BE5-DCDA-45E2-8077-306A13B6782B}" name="확인" dataDxfId="7" totalsRowDxfId="6"/>
    <tableColumn id="8" xr3:uid="{6A3CC8C1-6F26-4C5E-8AC6-CFE66E44E4C2}" name="비고" dataDxfId="5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7E74-5DB9-4235-A3DB-ED803C1CBF4D}">
  <dimension ref="B2:H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7" sqref="I7"/>
    </sheetView>
  </sheetViews>
  <sheetFormatPr defaultRowHeight="21" customHeight="1"/>
  <cols>
    <col min="1" max="1" width="1.625" style="3" customWidth="1"/>
    <col min="2" max="2" width="12.625" style="3" customWidth="1"/>
    <col min="3" max="3" width="15.625" style="3" customWidth="1"/>
    <col min="4" max="4" width="25.625" style="3" customWidth="1"/>
    <col min="5" max="5" width="21.625" style="3" customWidth="1"/>
    <col min="6" max="7" width="11.625" style="3" customWidth="1"/>
    <col min="8" max="8" width="30.625" style="3" customWidth="1"/>
    <col min="9" max="16384" width="9" style="3"/>
  </cols>
  <sheetData>
    <row r="2" spans="2:8" ht="30.75" customHeight="1">
      <c r="B2" s="6" t="s">
        <v>0</v>
      </c>
    </row>
    <row r="3" spans="2:8" ht="3" customHeight="1"/>
    <row r="4" spans="2:8" ht="21" customHeight="1"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spans="2:8" ht="21" customHeight="1">
      <c r="B5" s="5"/>
      <c r="C5" s="5"/>
      <c r="D5" s="5"/>
      <c r="E5" s="5"/>
      <c r="F5" s="5"/>
      <c r="G5" s="5"/>
      <c r="H5" s="5"/>
    </row>
    <row r="6" spans="2:8" ht="21" customHeight="1">
      <c r="B6" s="5"/>
      <c r="C6" s="5"/>
      <c r="D6" s="5"/>
      <c r="E6" s="5"/>
      <c r="F6" s="5"/>
      <c r="G6" s="5"/>
      <c r="H6" s="5"/>
    </row>
    <row r="7" spans="2:8" ht="21" customHeight="1">
      <c r="B7" s="5"/>
      <c r="C7" s="5"/>
      <c r="D7" s="5"/>
      <c r="E7" s="5"/>
      <c r="F7" s="5"/>
      <c r="G7" s="5"/>
      <c r="H7" s="5"/>
    </row>
    <row r="8" spans="2:8" ht="21" customHeight="1">
      <c r="B8" s="5"/>
      <c r="C8" s="5"/>
      <c r="D8" s="5"/>
      <c r="E8" s="5"/>
      <c r="F8" s="5"/>
      <c r="G8" s="5"/>
      <c r="H8" s="5"/>
    </row>
    <row r="9" spans="2:8" ht="21" customHeight="1">
      <c r="B9" s="5"/>
      <c r="C9" s="5"/>
      <c r="D9" s="5"/>
      <c r="E9" s="5"/>
      <c r="F9" s="5"/>
      <c r="G9" s="5"/>
      <c r="H9" s="5"/>
    </row>
    <row r="10" spans="2:8" ht="21" customHeight="1">
      <c r="B10" s="5"/>
      <c r="C10" s="5"/>
      <c r="D10" s="5"/>
      <c r="E10" s="5"/>
      <c r="F10" s="5"/>
      <c r="G10" s="5"/>
      <c r="H10" s="5"/>
    </row>
    <row r="11" spans="2:8" ht="21" customHeight="1">
      <c r="B11" s="5"/>
      <c r="C11" s="5"/>
      <c r="D11" s="5"/>
      <c r="E11" s="5"/>
      <c r="F11" s="5"/>
      <c r="G11" s="5"/>
      <c r="H11" s="5"/>
    </row>
    <row r="12" spans="2:8" ht="21" customHeight="1">
      <c r="B12" s="5"/>
      <c r="C12" s="5"/>
      <c r="D12" s="5"/>
      <c r="E12" s="5"/>
      <c r="F12" s="5"/>
      <c r="G12" s="5"/>
      <c r="H12" s="5"/>
    </row>
    <row r="13" spans="2:8" ht="21" customHeight="1">
      <c r="B13" s="5"/>
      <c r="C13" s="5"/>
      <c r="D13" s="5"/>
      <c r="E13" s="5"/>
      <c r="F13" s="5"/>
      <c r="G13" s="5"/>
      <c r="H13" s="5"/>
    </row>
    <row r="14" spans="2:8" ht="21" customHeight="1">
      <c r="B14" s="5"/>
      <c r="C14" s="5"/>
      <c r="D14" s="5"/>
      <c r="E14" s="5"/>
      <c r="F14" s="5"/>
      <c r="G14" s="5"/>
      <c r="H14" s="5"/>
    </row>
    <row r="15" spans="2:8" ht="21" customHeight="1">
      <c r="B15" s="5"/>
      <c r="C15" s="5"/>
      <c r="D15" s="5"/>
      <c r="E15" s="5"/>
      <c r="F15" s="5"/>
      <c r="G15" s="5"/>
      <c r="H15" s="5"/>
    </row>
    <row r="16" spans="2:8" ht="21" customHeight="1">
      <c r="B16" s="5"/>
      <c r="C16" s="5"/>
      <c r="D16" s="5"/>
      <c r="E16" s="5"/>
      <c r="F16" s="5"/>
      <c r="G16" s="5"/>
      <c r="H16" s="5"/>
    </row>
    <row r="17" spans="2:8" ht="21" customHeight="1">
      <c r="B17" s="5"/>
      <c r="C17" s="5"/>
      <c r="D17" s="5"/>
      <c r="E17" s="5"/>
      <c r="F17" s="5"/>
      <c r="G17" s="5"/>
      <c r="H17" s="5"/>
    </row>
    <row r="18" spans="2:8" ht="21" customHeight="1">
      <c r="B18" s="5"/>
      <c r="C18" s="5"/>
      <c r="D18" s="5"/>
      <c r="E18" s="5"/>
      <c r="F18" s="5"/>
      <c r="G18" s="5"/>
      <c r="H18" s="5"/>
    </row>
    <row r="19" spans="2:8" ht="21" customHeight="1">
      <c r="B19" s="5"/>
      <c r="C19" s="5"/>
      <c r="D19" s="5"/>
      <c r="E19" s="5"/>
      <c r="F19" s="5"/>
      <c r="G19" s="5"/>
      <c r="H19" s="5"/>
    </row>
    <row r="20" spans="2:8" ht="21" customHeight="1">
      <c r="B20" s="5"/>
      <c r="C20" s="5"/>
      <c r="D20" s="5"/>
      <c r="E20" s="5"/>
      <c r="F20" s="5"/>
      <c r="G20" s="5"/>
      <c r="H20" s="5"/>
    </row>
    <row r="21" spans="2:8" ht="21" customHeight="1">
      <c r="B21" s="5"/>
      <c r="C21" s="5"/>
      <c r="D21" s="5"/>
      <c r="E21" s="5"/>
      <c r="F21" s="5"/>
      <c r="G21" s="5"/>
      <c r="H21" s="5"/>
    </row>
    <row r="22" spans="2:8" ht="21" customHeight="1">
      <c r="B22" s="5"/>
      <c r="C22" s="5"/>
      <c r="D22" s="5"/>
      <c r="E22" s="5"/>
      <c r="F22" s="5"/>
      <c r="G22" s="5"/>
      <c r="H22" s="5"/>
    </row>
    <row r="23" spans="2:8" ht="21" customHeight="1">
      <c r="B23" s="5"/>
      <c r="C23" s="5"/>
      <c r="D23" s="5"/>
      <c r="E23" s="5"/>
      <c r="F23" s="5"/>
      <c r="G23" s="5"/>
      <c r="H23" s="5"/>
    </row>
    <row r="24" spans="2:8" ht="21" customHeight="1">
      <c r="B24" s="5"/>
      <c r="C24" s="5"/>
      <c r="D24" s="5"/>
      <c r="E24" s="5"/>
      <c r="F24" s="5"/>
      <c r="G24" s="5"/>
      <c r="H24" s="5"/>
    </row>
    <row r="25" spans="2:8" ht="21" customHeight="1">
      <c r="B25" s="5"/>
      <c r="C25" s="5"/>
      <c r="D25" s="5"/>
      <c r="E25" s="5"/>
      <c r="F25" s="5"/>
      <c r="G25" s="5"/>
      <c r="H25" s="5"/>
    </row>
    <row r="26" spans="2:8" ht="21" customHeight="1">
      <c r="B26" s="5"/>
      <c r="C26" s="5"/>
      <c r="D26" s="5"/>
      <c r="E26" s="5"/>
      <c r="F26" s="5"/>
      <c r="G26" s="5"/>
      <c r="H26" s="5"/>
    </row>
  </sheetData>
  <phoneticPr fontId="1" type="noConversion"/>
  <printOptions horizontalCentered="1" verticalCentered="1"/>
  <pageMargins left="0.23622047244094491" right="0.15748031496062992" top="0.31496062992125984" bottom="0.34" header="0.15748031496062992" footer="0.1574803149606299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1629-B56E-4E74-B6F9-53788CC076CC}">
  <dimension ref="B2:H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5" sqref="H5"/>
    </sheetView>
  </sheetViews>
  <sheetFormatPr defaultRowHeight="21" customHeight="1"/>
  <cols>
    <col min="1" max="1" width="1.625" style="3" customWidth="1"/>
    <col min="2" max="2" width="12.625" style="3" customWidth="1"/>
    <col min="3" max="3" width="15.625" style="3" customWidth="1"/>
    <col min="4" max="4" width="25.625" style="3" customWidth="1"/>
    <col min="5" max="5" width="21.625" style="3" customWidth="1"/>
    <col min="6" max="7" width="11.625" style="3" customWidth="1"/>
    <col min="8" max="8" width="30.625" style="3" customWidth="1"/>
    <col min="9" max="16384" width="9" style="3"/>
  </cols>
  <sheetData>
    <row r="2" spans="2:8" ht="30.75" customHeight="1">
      <c r="B2" s="6" t="s">
        <v>0</v>
      </c>
    </row>
    <row r="3" spans="2:8" ht="3" customHeight="1"/>
    <row r="4" spans="2:8" ht="21" customHeight="1">
      <c r="B4" s="4" t="s">
        <v>5</v>
      </c>
      <c r="C4" s="4" t="s">
        <v>6</v>
      </c>
      <c r="D4" s="4" t="s">
        <v>7</v>
      </c>
      <c r="E4" s="4" t="s">
        <v>101</v>
      </c>
      <c r="F4" s="4" t="s">
        <v>102</v>
      </c>
      <c r="G4" s="4" t="s">
        <v>10</v>
      </c>
      <c r="H4" s="4" t="s">
        <v>11</v>
      </c>
    </row>
    <row r="5" spans="2:8" ht="21" customHeight="1">
      <c r="B5" s="5"/>
      <c r="C5" s="5"/>
      <c r="D5" s="5"/>
      <c r="E5" s="5"/>
      <c r="F5" s="5"/>
      <c r="G5" s="5"/>
      <c r="H5" s="5"/>
    </row>
    <row r="6" spans="2:8" ht="21" customHeight="1">
      <c r="B6" s="5"/>
      <c r="C6" s="5"/>
      <c r="D6" s="5"/>
      <c r="E6" s="5"/>
      <c r="F6" s="5"/>
      <c r="G6" s="5"/>
      <c r="H6" s="5"/>
    </row>
    <row r="7" spans="2:8" ht="21" customHeight="1">
      <c r="B7" s="5"/>
      <c r="C7" s="5"/>
      <c r="D7" s="5"/>
      <c r="E7" s="5"/>
      <c r="F7" s="5"/>
      <c r="G7" s="5"/>
      <c r="H7" s="5"/>
    </row>
    <row r="8" spans="2:8" ht="21" customHeight="1">
      <c r="B8" s="5"/>
      <c r="C8" s="5"/>
      <c r="D8" s="5"/>
      <c r="E8" s="5"/>
      <c r="F8" s="5"/>
      <c r="G8" s="5"/>
      <c r="H8" s="5"/>
    </row>
    <row r="9" spans="2:8" ht="21" customHeight="1">
      <c r="B9" s="5"/>
      <c r="C9" s="5"/>
      <c r="D9" s="5"/>
      <c r="E9" s="5"/>
      <c r="F9" s="5"/>
      <c r="G9" s="5"/>
      <c r="H9" s="5"/>
    </row>
    <row r="10" spans="2:8" ht="21" customHeight="1">
      <c r="B10" s="5"/>
      <c r="C10" s="5"/>
      <c r="D10" s="5"/>
      <c r="E10" s="5"/>
      <c r="F10" s="5"/>
      <c r="G10" s="5"/>
      <c r="H10" s="5"/>
    </row>
    <row r="11" spans="2:8" ht="21" customHeight="1">
      <c r="B11" s="5"/>
      <c r="C11" s="5"/>
      <c r="D11" s="5"/>
      <c r="E11" s="5"/>
      <c r="F11" s="5"/>
      <c r="G11" s="5"/>
      <c r="H11" s="5"/>
    </row>
    <row r="12" spans="2:8" ht="21" customHeight="1">
      <c r="B12" s="5"/>
      <c r="C12" s="5"/>
      <c r="D12" s="5"/>
      <c r="E12" s="5"/>
      <c r="F12" s="5"/>
      <c r="G12" s="5"/>
      <c r="H12" s="5"/>
    </row>
    <row r="13" spans="2:8" ht="21" customHeight="1">
      <c r="B13" s="5"/>
      <c r="C13" s="5"/>
      <c r="D13" s="5"/>
      <c r="E13" s="5"/>
      <c r="F13" s="5"/>
      <c r="G13" s="5"/>
      <c r="H13" s="5"/>
    </row>
    <row r="14" spans="2:8" ht="21" customHeight="1">
      <c r="B14" s="5"/>
      <c r="C14" s="5"/>
      <c r="D14" s="5"/>
      <c r="E14" s="5"/>
      <c r="F14" s="5"/>
      <c r="G14" s="5"/>
      <c r="H14" s="5"/>
    </row>
    <row r="15" spans="2:8" ht="21" customHeight="1">
      <c r="B15" s="5"/>
      <c r="C15" s="5"/>
      <c r="D15" s="5"/>
      <c r="E15" s="5"/>
      <c r="F15" s="5"/>
      <c r="G15" s="5"/>
      <c r="H15" s="5"/>
    </row>
    <row r="16" spans="2:8" ht="21" customHeight="1">
      <c r="B16" s="5"/>
      <c r="C16" s="5"/>
      <c r="D16" s="5"/>
      <c r="E16" s="5"/>
      <c r="F16" s="5"/>
      <c r="G16" s="5"/>
      <c r="H16" s="5"/>
    </row>
    <row r="17" spans="2:8" ht="21" customHeight="1">
      <c r="B17" s="5"/>
      <c r="C17" s="5"/>
      <c r="D17" s="5"/>
      <c r="E17" s="5"/>
      <c r="F17" s="5"/>
      <c r="G17" s="5"/>
      <c r="H17" s="5"/>
    </row>
    <row r="18" spans="2:8" ht="21" customHeight="1">
      <c r="B18" s="5"/>
      <c r="C18" s="5"/>
      <c r="D18" s="5"/>
      <c r="E18" s="5"/>
      <c r="F18" s="5"/>
      <c r="G18" s="5"/>
      <c r="H18" s="5"/>
    </row>
    <row r="19" spans="2:8" ht="21" customHeight="1">
      <c r="B19" s="5"/>
      <c r="C19" s="5"/>
      <c r="D19" s="5"/>
      <c r="E19" s="5"/>
      <c r="F19" s="5"/>
      <c r="G19" s="5"/>
      <c r="H19" s="5"/>
    </row>
    <row r="20" spans="2:8" ht="21" customHeight="1">
      <c r="B20" s="5"/>
      <c r="C20" s="5"/>
      <c r="D20" s="5"/>
      <c r="E20" s="5"/>
      <c r="F20" s="5"/>
      <c r="G20" s="5"/>
      <c r="H20" s="5"/>
    </row>
    <row r="21" spans="2:8" ht="21" customHeight="1">
      <c r="B21" s="5"/>
      <c r="C21" s="5"/>
      <c r="D21" s="5"/>
      <c r="E21" s="5"/>
      <c r="F21" s="5"/>
      <c r="G21" s="5"/>
      <c r="H21" s="5"/>
    </row>
    <row r="22" spans="2:8" ht="21" customHeight="1">
      <c r="B22" s="5"/>
      <c r="C22" s="5"/>
      <c r="D22" s="5"/>
      <c r="E22" s="5"/>
      <c r="F22" s="5"/>
      <c r="G22" s="5"/>
      <c r="H22" s="5"/>
    </row>
    <row r="23" spans="2:8" ht="21" customHeight="1">
      <c r="B23" s="5"/>
      <c r="C23" s="5"/>
      <c r="D23" s="5"/>
      <c r="E23" s="5"/>
      <c r="F23" s="5"/>
      <c r="G23" s="5"/>
      <c r="H23" s="5"/>
    </row>
    <row r="24" spans="2:8" ht="21" customHeight="1">
      <c r="B24" s="5"/>
      <c r="C24" s="5"/>
      <c r="D24" s="5"/>
      <c r="E24" s="5"/>
      <c r="F24" s="5"/>
      <c r="G24" s="5"/>
      <c r="H24" s="5"/>
    </row>
    <row r="25" spans="2:8" ht="21" customHeight="1">
      <c r="B25" s="5"/>
      <c r="C25" s="5"/>
      <c r="D25" s="5"/>
      <c r="E25" s="5"/>
      <c r="F25" s="5"/>
      <c r="G25" s="5"/>
      <c r="H25" s="5"/>
    </row>
    <row r="26" spans="2:8" ht="21" customHeight="1">
      <c r="B26" s="5"/>
      <c r="C26" s="5"/>
      <c r="D26" s="5"/>
      <c r="E26" s="5"/>
      <c r="F26" s="5"/>
      <c r="G26" s="5"/>
      <c r="H26" s="5"/>
    </row>
  </sheetData>
  <phoneticPr fontId="1" type="noConversion"/>
  <printOptions horizontalCentered="1" verticalCentered="1"/>
  <pageMargins left="0.23622047244094491" right="0.15748031496062992" top="0.31496062992125984" bottom="0.34" header="0.15748031496062992" footer="0.1574803149606299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C4E7-16E0-4240-B468-33E60DF0D999}">
  <dimension ref="B2:H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21" customHeight="1"/>
  <cols>
    <col min="1" max="1" width="1.625" style="3" customWidth="1"/>
    <col min="2" max="2" width="12.625" style="3" customWidth="1"/>
    <col min="3" max="3" width="15.625" style="3" customWidth="1"/>
    <col min="4" max="4" width="25.625" style="3" customWidth="1"/>
    <col min="5" max="5" width="21.625" style="3" customWidth="1"/>
    <col min="6" max="7" width="11.625" style="3" customWidth="1"/>
    <col min="8" max="8" width="30.625" style="3" customWidth="1"/>
    <col min="9" max="16384" width="9" style="3"/>
  </cols>
  <sheetData>
    <row r="2" spans="2:8" ht="30.75" customHeight="1">
      <c r="B2" s="6" t="s">
        <v>0</v>
      </c>
    </row>
    <row r="3" spans="2:8" ht="3" customHeight="1"/>
    <row r="4" spans="2:8" ht="21" customHeight="1">
      <c r="B4" s="4" t="s">
        <v>5</v>
      </c>
      <c r="C4" s="4" t="s">
        <v>6</v>
      </c>
      <c r="D4" s="4" t="s">
        <v>7</v>
      </c>
      <c r="E4" s="4" t="s">
        <v>101</v>
      </c>
      <c r="F4" s="4" t="s">
        <v>102</v>
      </c>
      <c r="G4" s="4" t="s">
        <v>10</v>
      </c>
      <c r="H4" s="4" t="s">
        <v>11</v>
      </c>
    </row>
    <row r="5" spans="2:8" ht="21" customHeight="1">
      <c r="B5" s="5"/>
      <c r="C5" s="5"/>
      <c r="D5" s="5"/>
      <c r="E5" s="5"/>
      <c r="F5" s="5"/>
      <c r="G5" s="5"/>
      <c r="H5" s="5"/>
    </row>
    <row r="6" spans="2:8" ht="21" customHeight="1">
      <c r="B6" s="5"/>
      <c r="C6" s="5"/>
      <c r="D6" s="5"/>
      <c r="E6" s="5"/>
      <c r="F6" s="5"/>
      <c r="G6" s="5"/>
      <c r="H6" s="5"/>
    </row>
    <row r="7" spans="2:8" ht="21" customHeight="1">
      <c r="B7" s="5"/>
      <c r="C7" s="5"/>
      <c r="D7" s="5"/>
      <c r="E7" s="5"/>
      <c r="F7" s="5"/>
      <c r="G7" s="5"/>
      <c r="H7" s="5"/>
    </row>
    <row r="8" spans="2:8" ht="21" customHeight="1">
      <c r="B8" s="5"/>
      <c r="C8" s="5"/>
      <c r="D8" s="5"/>
      <c r="E8" s="5"/>
      <c r="F8" s="5"/>
      <c r="G8" s="5"/>
      <c r="H8" s="5"/>
    </row>
    <row r="9" spans="2:8" ht="21" customHeight="1">
      <c r="B9" s="5"/>
      <c r="C9" s="5"/>
      <c r="D9" s="5"/>
      <c r="E9" s="5"/>
      <c r="F9" s="5"/>
      <c r="G9" s="5"/>
      <c r="H9" s="5"/>
    </row>
    <row r="10" spans="2:8" ht="21" customHeight="1">
      <c r="B10" s="5"/>
      <c r="C10" s="5"/>
      <c r="D10" s="5"/>
      <c r="E10" s="5"/>
      <c r="F10" s="5"/>
      <c r="G10" s="5"/>
      <c r="H10" s="5"/>
    </row>
    <row r="11" spans="2:8" ht="21" customHeight="1">
      <c r="B11" s="5"/>
      <c r="C11" s="5"/>
      <c r="D11" s="5"/>
      <c r="E11" s="5"/>
      <c r="F11" s="5"/>
      <c r="G11" s="5"/>
      <c r="H11" s="5"/>
    </row>
    <row r="12" spans="2:8" ht="21" customHeight="1">
      <c r="B12" s="5"/>
      <c r="C12" s="5"/>
      <c r="D12" s="5"/>
      <c r="E12" s="5"/>
      <c r="F12" s="5"/>
      <c r="G12" s="5"/>
      <c r="H12" s="5"/>
    </row>
    <row r="13" spans="2:8" ht="21" customHeight="1">
      <c r="B13" s="5"/>
      <c r="C13" s="5"/>
      <c r="D13" s="5"/>
      <c r="E13" s="5"/>
      <c r="F13" s="5"/>
      <c r="G13" s="5"/>
      <c r="H13" s="5"/>
    </row>
    <row r="14" spans="2:8" ht="21" customHeight="1">
      <c r="B14" s="5"/>
      <c r="C14" s="5"/>
      <c r="D14" s="5"/>
      <c r="E14" s="5"/>
      <c r="F14" s="5"/>
      <c r="G14" s="5"/>
      <c r="H14" s="5"/>
    </row>
    <row r="15" spans="2:8" ht="21" customHeight="1">
      <c r="B15" s="5"/>
      <c r="C15" s="5"/>
      <c r="D15" s="5"/>
      <c r="E15" s="5"/>
      <c r="F15" s="5"/>
      <c r="G15" s="5"/>
      <c r="H15" s="5"/>
    </row>
    <row r="16" spans="2:8" ht="21" customHeight="1">
      <c r="B16" s="5"/>
      <c r="C16" s="5"/>
      <c r="D16" s="5"/>
      <c r="E16" s="5"/>
      <c r="F16" s="5"/>
      <c r="G16" s="5"/>
      <c r="H16" s="5"/>
    </row>
    <row r="17" spans="2:8" ht="21" customHeight="1">
      <c r="B17" s="5"/>
      <c r="C17" s="5"/>
      <c r="D17" s="5"/>
      <c r="E17" s="5"/>
      <c r="F17" s="5"/>
      <c r="G17" s="5"/>
      <c r="H17" s="5"/>
    </row>
    <row r="18" spans="2:8" ht="21" customHeight="1">
      <c r="B18" s="5"/>
      <c r="C18" s="5"/>
      <c r="D18" s="5"/>
      <c r="E18" s="5"/>
      <c r="F18" s="5"/>
      <c r="G18" s="5"/>
      <c r="H18" s="5"/>
    </row>
    <row r="19" spans="2:8" ht="21" customHeight="1">
      <c r="B19" s="5"/>
      <c r="C19" s="5"/>
      <c r="D19" s="5"/>
      <c r="E19" s="5"/>
      <c r="F19" s="5"/>
      <c r="G19" s="5"/>
      <c r="H19" s="5"/>
    </row>
    <row r="20" spans="2:8" ht="21" customHeight="1">
      <c r="B20" s="5"/>
      <c r="C20" s="5"/>
      <c r="D20" s="5"/>
      <c r="E20" s="5"/>
      <c r="F20" s="5"/>
      <c r="G20" s="5"/>
      <c r="H20" s="5"/>
    </row>
    <row r="21" spans="2:8" ht="21" customHeight="1">
      <c r="B21" s="5"/>
      <c r="C21" s="5"/>
      <c r="D21" s="5"/>
      <c r="E21" s="5"/>
      <c r="F21" s="5"/>
      <c r="G21" s="5"/>
      <c r="H21" s="5"/>
    </row>
    <row r="22" spans="2:8" ht="21" customHeight="1">
      <c r="B22" s="5"/>
      <c r="C22" s="5"/>
      <c r="D22" s="5"/>
      <c r="E22" s="5"/>
      <c r="F22" s="5"/>
      <c r="G22" s="5"/>
      <c r="H22" s="5"/>
    </row>
    <row r="23" spans="2:8" ht="21" customHeight="1">
      <c r="B23" s="5"/>
      <c r="C23" s="5"/>
      <c r="D23" s="5"/>
      <c r="E23" s="5"/>
      <c r="F23" s="5"/>
      <c r="G23" s="5"/>
      <c r="H23" s="5"/>
    </row>
    <row r="24" spans="2:8" ht="21" customHeight="1">
      <c r="B24" s="5"/>
      <c r="C24" s="5"/>
      <c r="D24" s="5"/>
      <c r="E24" s="5"/>
      <c r="F24" s="5"/>
      <c r="G24" s="5"/>
      <c r="H24" s="5"/>
    </row>
    <row r="25" spans="2:8" ht="21" customHeight="1">
      <c r="B25" s="5"/>
      <c r="C25" s="5"/>
      <c r="D25" s="5"/>
      <c r="E25" s="5"/>
      <c r="F25" s="5"/>
      <c r="G25" s="5"/>
      <c r="H25" s="5"/>
    </row>
    <row r="26" spans="2:8" ht="21" customHeight="1">
      <c r="B26" s="5"/>
      <c r="C26" s="5"/>
      <c r="D26" s="5"/>
      <c r="E26" s="5"/>
      <c r="F26" s="5"/>
      <c r="G26" s="5"/>
      <c r="H26" s="5"/>
    </row>
  </sheetData>
  <phoneticPr fontId="1" type="noConversion"/>
  <printOptions horizontalCentered="1" verticalCentered="1"/>
  <pageMargins left="0.23622047244094491" right="0.15748031496062992" top="0.31496062992125984" bottom="0.35433070866141736" header="0.15748031496062992" footer="0.15748031496062992"/>
  <pageSetup paperSize="9" orientation="landscape" r:id="rId1"/>
  <headerFooter>
    <oddFooter>&amp;LQP-014-01&amp;C1/1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6B9F-1DA0-487F-9B71-5E7F65A63739}">
  <sheetPr>
    <tabColor rgb="FFFFFF00"/>
  </sheetPr>
  <dimension ref="B1:L601"/>
  <sheetViews>
    <sheetView tabSelected="1" zoomScale="85" zoomScaleNormal="85" workbookViewId="0">
      <pane xSplit="1" ySplit="4" topLeftCell="B576" activePane="bottomRight" state="frozen"/>
      <selection pane="topRight" activeCell="B1" sqref="B1"/>
      <selection pane="bottomLeft" activeCell="A5" sqref="A5"/>
      <selection pane="bottomRight" activeCell="B602" sqref="B602"/>
    </sheetView>
  </sheetViews>
  <sheetFormatPr defaultRowHeight="21" customHeight="1"/>
  <cols>
    <col min="1" max="1" width="1.625" style="3" customWidth="1"/>
    <col min="2" max="3" width="12.625" style="8" customWidth="1"/>
    <col min="4" max="4" width="21.625" style="3" customWidth="1"/>
    <col min="5" max="5" width="25.625" style="3" customWidth="1"/>
    <col min="6" max="6" width="26.75" style="3" bestFit="1" customWidth="1"/>
    <col min="7" max="7" width="11.625" style="11" customWidth="1"/>
    <col min="8" max="8" width="11.625" style="7" customWidth="1"/>
    <col min="9" max="9" width="30.625" style="3" customWidth="1"/>
    <col min="10" max="16384" width="9" style="3"/>
  </cols>
  <sheetData>
    <row r="1" spans="2:12" ht="21" customHeight="1">
      <c r="B1" s="7"/>
      <c r="C1" s="7"/>
      <c r="J1" s="7" t="s">
        <v>103</v>
      </c>
      <c r="K1" s="7" t="s">
        <v>104</v>
      </c>
      <c r="L1" s="7" t="s">
        <v>105</v>
      </c>
    </row>
    <row r="2" spans="2:12" ht="30.75" customHeight="1">
      <c r="B2" s="9" t="s">
        <v>80</v>
      </c>
      <c r="C2" s="9"/>
      <c r="G2" s="11">
        <f>SUM(G5:G5283)</f>
        <v>5527</v>
      </c>
      <c r="J2" s="7" t="s">
        <v>106</v>
      </c>
      <c r="K2" s="7" t="s">
        <v>107</v>
      </c>
      <c r="L2" s="7" t="s">
        <v>108</v>
      </c>
    </row>
    <row r="3" spans="2:12" ht="3" customHeight="1">
      <c r="B3" s="7"/>
      <c r="C3" s="7"/>
    </row>
    <row r="4" spans="2:12" ht="21" customHeight="1">
      <c r="B4" s="29" t="s">
        <v>5</v>
      </c>
      <c r="C4" s="29" t="s">
        <v>125</v>
      </c>
      <c r="D4" s="29" t="s">
        <v>6</v>
      </c>
      <c r="E4" s="29" t="s">
        <v>7</v>
      </c>
      <c r="F4" s="29" t="s">
        <v>101</v>
      </c>
      <c r="G4" s="30" t="s">
        <v>9</v>
      </c>
      <c r="H4" s="29" t="s">
        <v>10</v>
      </c>
      <c r="I4" s="29" t="s">
        <v>11</v>
      </c>
    </row>
    <row r="5" spans="2:12" ht="21" customHeight="1">
      <c r="B5" s="31">
        <v>46197</v>
      </c>
      <c r="C5" s="31" t="s">
        <v>126</v>
      </c>
      <c r="D5" s="32" t="s">
        <v>53</v>
      </c>
      <c r="E5" s="33" t="str">
        <f>IFERROR(VLOOKUP(D5,Sheet1!B:F,4,0),"")</f>
        <v/>
      </c>
      <c r="F5" s="32" t="s">
        <v>15</v>
      </c>
      <c r="G5" s="34">
        <v>1</v>
      </c>
      <c r="H5" s="4"/>
      <c r="I5" s="32"/>
    </row>
    <row r="6" spans="2:12" ht="21" customHeight="1">
      <c r="B6" s="31">
        <v>46202</v>
      </c>
      <c r="C6" s="31" t="s">
        <v>126</v>
      </c>
      <c r="D6" s="32" t="s">
        <v>64</v>
      </c>
      <c r="E6" s="33" t="str">
        <f>IFERROR(VLOOKUP(D6,Sheet1!B:F,4,0),"")</f>
        <v/>
      </c>
      <c r="F6" s="32" t="s">
        <v>15</v>
      </c>
      <c r="G6" s="34">
        <v>1</v>
      </c>
      <c r="H6" s="4"/>
      <c r="I6" s="32"/>
    </row>
    <row r="7" spans="2:12" ht="21" customHeight="1">
      <c r="B7" s="31">
        <v>46206</v>
      </c>
      <c r="C7" s="31" t="s">
        <v>126</v>
      </c>
      <c r="D7" s="32" t="s">
        <v>65</v>
      </c>
      <c r="E7" s="33" t="str">
        <f>IFERROR(VLOOKUP(D7,Sheet1!B:F,4,0),"")</f>
        <v/>
      </c>
      <c r="F7" s="32" t="s">
        <v>66</v>
      </c>
      <c r="G7" s="34">
        <v>1</v>
      </c>
      <c r="H7" s="4"/>
      <c r="I7" s="32"/>
    </row>
    <row r="8" spans="2:12" ht="21" customHeight="1">
      <c r="B8" s="31">
        <v>46210</v>
      </c>
      <c r="C8" s="31" t="s">
        <v>126</v>
      </c>
      <c r="D8" s="32" t="s">
        <v>67</v>
      </c>
      <c r="E8" s="33" t="str">
        <f>IFERROR(VLOOKUP(D8,Sheet1!B:F,4,0),"")</f>
        <v/>
      </c>
      <c r="F8" s="32" t="s">
        <v>15</v>
      </c>
      <c r="G8" s="34">
        <v>1</v>
      </c>
      <c r="H8" s="4"/>
      <c r="I8" s="32"/>
    </row>
    <row r="9" spans="2:12" ht="21" customHeight="1">
      <c r="B9" s="31">
        <v>46213</v>
      </c>
      <c r="C9" s="31" t="s">
        <v>126</v>
      </c>
      <c r="D9" s="32" t="s">
        <v>68</v>
      </c>
      <c r="E9" s="33" t="str">
        <f>IFERROR(VLOOKUP(D9,Sheet1!B:F,4,0),"")</f>
        <v/>
      </c>
      <c r="F9" s="32" t="s">
        <v>48</v>
      </c>
      <c r="G9" s="34">
        <v>1</v>
      </c>
      <c r="H9" s="4"/>
      <c r="I9" s="32"/>
    </row>
    <row r="10" spans="2:12" ht="21" customHeight="1">
      <c r="B10" s="31">
        <v>46216</v>
      </c>
      <c r="C10" s="31" t="s">
        <v>126</v>
      </c>
      <c r="D10" s="32" t="s">
        <v>69</v>
      </c>
      <c r="E10" s="33" t="str">
        <f>IFERROR(VLOOKUP(D10,Sheet1!B:F,4,0),"")</f>
        <v/>
      </c>
      <c r="F10" s="32" t="s">
        <v>59</v>
      </c>
      <c r="G10" s="34">
        <v>1</v>
      </c>
      <c r="H10" s="4"/>
      <c r="I10" s="32"/>
    </row>
    <row r="11" spans="2:12" ht="21" customHeight="1">
      <c r="B11" s="31">
        <v>46218</v>
      </c>
      <c r="C11" s="31" t="s">
        <v>126</v>
      </c>
      <c r="D11" s="32" t="s">
        <v>70</v>
      </c>
      <c r="E11" s="33" t="str">
        <f>IFERROR(VLOOKUP(D11,Sheet1!B:F,4,0),"")</f>
        <v/>
      </c>
      <c r="F11" s="32" t="s">
        <v>59</v>
      </c>
      <c r="G11" s="34">
        <v>1</v>
      </c>
      <c r="H11" s="4"/>
      <c r="I11" s="32"/>
    </row>
    <row r="12" spans="2:12" ht="21" customHeight="1">
      <c r="B12" s="31">
        <v>46223</v>
      </c>
      <c r="C12" s="31" t="s">
        <v>126</v>
      </c>
      <c r="D12" s="32" t="s">
        <v>51</v>
      </c>
      <c r="E12" s="33" t="str">
        <f>IFERROR(VLOOKUP(D12,Sheet1!B:F,4,0),"")</f>
        <v>OUTLET TUBE-HTR</v>
      </c>
      <c r="F12" s="32" t="s">
        <v>15</v>
      </c>
      <c r="G12" s="34">
        <v>1</v>
      </c>
      <c r="H12" s="4"/>
      <c r="I12" s="32"/>
    </row>
    <row r="13" spans="2:12" ht="21" customHeight="1">
      <c r="B13" s="31">
        <v>46223</v>
      </c>
      <c r="C13" s="31" t="s">
        <v>126</v>
      </c>
      <c r="D13" s="32" t="s">
        <v>44</v>
      </c>
      <c r="E13" s="33" t="str">
        <f>IFERROR(VLOOKUP(D13,Sheet1!B:F,4,0),"")</f>
        <v>INLET TUBE-HTR</v>
      </c>
      <c r="F13" s="32" t="s">
        <v>45</v>
      </c>
      <c r="G13" s="34">
        <v>5</v>
      </c>
      <c r="H13" s="4"/>
      <c r="I13" s="32"/>
    </row>
    <row r="14" spans="2:12" ht="21" customHeight="1">
      <c r="B14" s="31">
        <v>46223</v>
      </c>
      <c r="C14" s="31" t="s">
        <v>126</v>
      </c>
      <c r="D14" s="32" t="s">
        <v>71</v>
      </c>
      <c r="E14" s="33" t="str">
        <f>IFERROR(VLOOKUP(D14,Sheet1!B:F,4,0),"")</f>
        <v>TUBE INLET-EVAP CORE</v>
      </c>
      <c r="F14" s="32" t="s">
        <v>15</v>
      </c>
      <c r="G14" s="34">
        <v>3</v>
      </c>
      <c r="H14" s="4"/>
      <c r="I14" s="32"/>
    </row>
    <row r="15" spans="2:12" ht="21" customHeight="1">
      <c r="B15" s="31">
        <v>46223</v>
      </c>
      <c r="C15" s="31" t="s">
        <v>126</v>
      </c>
      <c r="D15" s="32" t="s">
        <v>26</v>
      </c>
      <c r="E15" s="33" t="str">
        <f>IFERROR(VLOOKUP(D15,Sheet1!B:F,4,0),"")</f>
        <v>INLET TUBE-HTR</v>
      </c>
      <c r="F15" s="32" t="s">
        <v>18</v>
      </c>
      <c r="G15" s="34">
        <v>1</v>
      </c>
      <c r="H15" s="4"/>
      <c r="I15" s="32"/>
    </row>
    <row r="16" spans="2:12" ht="21" customHeight="1">
      <c r="B16" s="31">
        <v>46223</v>
      </c>
      <c r="C16" s="31" t="s">
        <v>126</v>
      </c>
      <c r="D16" s="32" t="s">
        <v>26</v>
      </c>
      <c r="E16" s="33" t="str">
        <f>IFERROR(VLOOKUP(D16,Sheet1!B:F,4,0),"")</f>
        <v>INLET TUBE-HTR</v>
      </c>
      <c r="F16" s="32" t="s">
        <v>15</v>
      </c>
      <c r="G16" s="34">
        <v>3</v>
      </c>
      <c r="H16" s="4"/>
      <c r="I16" s="32"/>
    </row>
    <row r="17" spans="2:9" ht="21" customHeight="1">
      <c r="B17" s="31">
        <v>46223</v>
      </c>
      <c r="C17" s="31" t="s">
        <v>126</v>
      </c>
      <c r="D17" s="32" t="s">
        <v>26</v>
      </c>
      <c r="E17" s="33" t="str">
        <f>IFERROR(VLOOKUP(D17,Sheet1!B:F,4,0),"")</f>
        <v>INLET TUBE-HTR</v>
      </c>
      <c r="F17" s="32" t="s">
        <v>72</v>
      </c>
      <c r="G17" s="34">
        <v>1</v>
      </c>
      <c r="H17" s="4"/>
      <c r="I17" s="32"/>
    </row>
    <row r="18" spans="2:9" ht="21" customHeight="1">
      <c r="B18" s="31">
        <v>46223</v>
      </c>
      <c r="C18" s="31" t="s">
        <v>126</v>
      </c>
      <c r="D18" s="32" t="s">
        <v>25</v>
      </c>
      <c r="E18" s="33" t="str">
        <f>IFERROR(VLOOKUP(D18,Sheet1!B:F,4,0),"")</f>
        <v>OUTLET TUBE-HTR</v>
      </c>
      <c r="F18" s="32" t="s">
        <v>18</v>
      </c>
      <c r="G18" s="34">
        <v>1</v>
      </c>
      <c r="H18" s="4"/>
      <c r="I18" s="32"/>
    </row>
    <row r="19" spans="2:9" ht="21" customHeight="1">
      <c r="B19" s="31">
        <v>46224</v>
      </c>
      <c r="C19" s="31" t="s">
        <v>126</v>
      </c>
      <c r="D19" s="32" t="s">
        <v>73</v>
      </c>
      <c r="E19" s="33" t="str">
        <f>IFERROR(VLOOKUP(D19,Sheet1!B:F,4,0),"")</f>
        <v>FT-ASY-A/C JUMPER</v>
      </c>
      <c r="F19" s="32" t="s">
        <v>74</v>
      </c>
      <c r="G19" s="34">
        <v>3</v>
      </c>
      <c r="H19" s="4"/>
      <c r="I19" s="32"/>
    </row>
    <row r="20" spans="2:9" ht="21" customHeight="1">
      <c r="B20" s="31">
        <v>46224</v>
      </c>
      <c r="C20" s="31" t="s">
        <v>126</v>
      </c>
      <c r="D20" s="32" t="s">
        <v>75</v>
      </c>
      <c r="E20" s="33" t="str">
        <f>IFERROR(VLOOKUP(D20,Sheet1!B:F,4,0),"")</f>
        <v/>
      </c>
      <c r="F20" s="32" t="s">
        <v>76</v>
      </c>
      <c r="G20" s="34">
        <v>1</v>
      </c>
      <c r="H20" s="4"/>
      <c r="I20" s="32"/>
    </row>
    <row r="21" spans="2:9" ht="21" customHeight="1">
      <c r="B21" s="31">
        <v>46224</v>
      </c>
      <c r="C21" s="31" t="s">
        <v>126</v>
      </c>
      <c r="D21" s="32" t="s">
        <v>71</v>
      </c>
      <c r="E21" s="33" t="str">
        <f>IFERROR(VLOOKUP(D21,Sheet1!B:F,4,0),"")</f>
        <v>TUBE INLET-EVAP CORE</v>
      </c>
      <c r="F21" s="32" t="s">
        <v>15</v>
      </c>
      <c r="G21" s="34">
        <v>52</v>
      </c>
      <c r="H21" s="4"/>
      <c r="I21" s="32"/>
    </row>
    <row r="22" spans="2:9" ht="21" customHeight="1">
      <c r="B22" s="31">
        <v>46224</v>
      </c>
      <c r="C22" s="31" t="s">
        <v>126</v>
      </c>
      <c r="D22" s="32" t="s">
        <v>31</v>
      </c>
      <c r="E22" s="33" t="str">
        <f>IFERROR(VLOOKUP(D22,Sheet1!B:F,4,0),"")</f>
        <v>COOLANT SPOUT-WCAC</v>
      </c>
      <c r="F22" s="32" t="s">
        <v>15</v>
      </c>
      <c r="G22" s="34">
        <v>2</v>
      </c>
      <c r="H22" s="4"/>
      <c r="I22" s="32"/>
    </row>
    <row r="23" spans="2:9" ht="21" customHeight="1">
      <c r="B23" s="31">
        <v>46224</v>
      </c>
      <c r="C23" s="31" t="s">
        <v>126</v>
      </c>
      <c r="D23" s="32" t="s">
        <v>31</v>
      </c>
      <c r="E23" s="33" t="str">
        <f>IFERROR(VLOOKUP(D23,Sheet1!B:F,4,0),"")</f>
        <v>COOLANT SPOUT-WCAC</v>
      </c>
      <c r="F23" s="32" t="s">
        <v>48</v>
      </c>
      <c r="G23" s="34">
        <v>1</v>
      </c>
      <c r="H23" s="4"/>
      <c r="I23" s="32"/>
    </row>
    <row r="24" spans="2:9" ht="21" customHeight="1">
      <c r="B24" s="31">
        <v>46225</v>
      </c>
      <c r="C24" s="31" t="s">
        <v>126</v>
      </c>
      <c r="D24" s="32" t="s">
        <v>47</v>
      </c>
      <c r="E24" s="33" t="str">
        <f>IFERROR(VLOOKUP(D24,Sheet1!B:F,4,0),"")</f>
        <v>HTR IN LHD</v>
      </c>
      <c r="F24" s="32" t="s">
        <v>17</v>
      </c>
      <c r="G24" s="34">
        <v>1</v>
      </c>
      <c r="H24" s="4"/>
      <c r="I24" s="32"/>
    </row>
    <row r="25" spans="2:9" ht="21" customHeight="1">
      <c r="B25" s="31">
        <v>46225</v>
      </c>
      <c r="C25" s="31" t="s">
        <v>126</v>
      </c>
      <c r="D25" s="32" t="s">
        <v>47</v>
      </c>
      <c r="E25" s="33" t="str">
        <f>IFERROR(VLOOKUP(D25,Sheet1!B:F,4,0),"")</f>
        <v>HTR IN LHD</v>
      </c>
      <c r="F25" s="32" t="s">
        <v>18</v>
      </c>
      <c r="G25" s="34">
        <v>1</v>
      </c>
      <c r="H25" s="4"/>
      <c r="I25" s="32"/>
    </row>
    <row r="26" spans="2:9" ht="21" customHeight="1">
      <c r="B26" s="31">
        <v>46225</v>
      </c>
      <c r="C26" s="31" t="s">
        <v>126</v>
      </c>
      <c r="D26" s="32" t="s">
        <v>47</v>
      </c>
      <c r="E26" s="33" t="str">
        <f>IFERROR(VLOOKUP(D26,Sheet1!B:F,4,0),"")</f>
        <v>HTR IN LHD</v>
      </c>
      <c r="F26" s="32" t="s">
        <v>37</v>
      </c>
      <c r="G26" s="34">
        <v>1</v>
      </c>
      <c r="H26" s="4"/>
      <c r="I26" s="32"/>
    </row>
    <row r="27" spans="2:9" ht="21" customHeight="1">
      <c r="B27" s="31">
        <v>46225</v>
      </c>
      <c r="C27" s="31" t="s">
        <v>126</v>
      </c>
      <c r="D27" s="32" t="s">
        <v>43</v>
      </c>
      <c r="E27" s="33" t="str">
        <f>IFERROR(VLOOKUP(D27,Sheet1!B:F,4,0),"")</f>
        <v>HTR OUT LHD</v>
      </c>
      <c r="F27" s="32" t="s">
        <v>17</v>
      </c>
      <c r="G27" s="34">
        <v>1</v>
      </c>
      <c r="H27" s="4"/>
      <c r="I27" s="32"/>
    </row>
    <row r="28" spans="2:9" ht="21" customHeight="1">
      <c r="B28" s="31">
        <v>46225</v>
      </c>
      <c r="C28" s="31" t="s">
        <v>126</v>
      </c>
      <c r="D28" s="33" t="s">
        <v>43</v>
      </c>
      <c r="E28" s="33" t="str">
        <f>IFERROR(VLOOKUP(D28,Sheet1!B:F,4,0),"")</f>
        <v>HTR OUT LHD</v>
      </c>
      <c r="F28" s="33" t="s">
        <v>18</v>
      </c>
      <c r="G28" s="35">
        <v>1</v>
      </c>
      <c r="H28" s="36"/>
      <c r="I28" s="33"/>
    </row>
    <row r="29" spans="2:9" ht="21" customHeight="1">
      <c r="B29" s="31">
        <v>46225</v>
      </c>
      <c r="C29" s="31" t="s">
        <v>126</v>
      </c>
      <c r="D29" s="33" t="s">
        <v>43</v>
      </c>
      <c r="E29" s="33" t="str">
        <f>IFERROR(VLOOKUP(D29,Sheet1!B:F,4,0),"")</f>
        <v>HTR OUT LHD</v>
      </c>
      <c r="F29" s="33" t="s">
        <v>37</v>
      </c>
      <c r="G29" s="35">
        <v>1</v>
      </c>
      <c r="H29" s="36"/>
      <c r="I29" s="33"/>
    </row>
    <row r="30" spans="2:9" ht="21" customHeight="1">
      <c r="B30" s="31">
        <v>46225</v>
      </c>
      <c r="C30" s="31" t="s">
        <v>126</v>
      </c>
      <c r="D30" s="33" t="s">
        <v>71</v>
      </c>
      <c r="E30" s="33" t="str">
        <f>IFERROR(VLOOKUP(D30,Sheet1!B:F,4,0),"")</f>
        <v>TUBE INLET-EVAP CORE</v>
      </c>
      <c r="F30" s="33" t="s">
        <v>15</v>
      </c>
      <c r="G30" s="35">
        <v>5</v>
      </c>
      <c r="H30" s="36"/>
      <c r="I30" s="33"/>
    </row>
    <row r="31" spans="2:9" ht="21" customHeight="1">
      <c r="B31" s="31">
        <v>46225</v>
      </c>
      <c r="C31" s="31" t="s">
        <v>126</v>
      </c>
      <c r="D31" s="33" t="s">
        <v>19</v>
      </c>
      <c r="E31" s="33" t="str">
        <f>IFERROR(VLOOKUP(D31,Sheet1!B:F,4,0),"")</f>
        <v>COOLANT SPOUT-WCAC</v>
      </c>
      <c r="F31" s="33" t="s">
        <v>15</v>
      </c>
      <c r="G31" s="35">
        <v>1</v>
      </c>
      <c r="H31" s="36"/>
      <c r="I31" s="33"/>
    </row>
    <row r="32" spans="2:9" ht="21" customHeight="1">
      <c r="B32" s="31">
        <v>46225</v>
      </c>
      <c r="C32" s="31" t="s">
        <v>126</v>
      </c>
      <c r="D32" s="33" t="s">
        <v>19</v>
      </c>
      <c r="E32" s="33" t="str">
        <f>IFERROR(VLOOKUP(D32,Sheet1!B:F,4,0),"")</f>
        <v>COOLANT SPOUT-WCAC</v>
      </c>
      <c r="F32" s="33" t="s">
        <v>77</v>
      </c>
      <c r="G32" s="35">
        <v>1</v>
      </c>
      <c r="H32" s="36"/>
      <c r="I32" s="33"/>
    </row>
    <row r="33" spans="2:9" ht="21" customHeight="1">
      <c r="B33" s="31">
        <v>46225</v>
      </c>
      <c r="C33" s="31" t="s">
        <v>126</v>
      </c>
      <c r="D33" s="33" t="s">
        <v>19</v>
      </c>
      <c r="E33" s="33" t="str">
        <f>IFERROR(VLOOKUP(D33,Sheet1!B:F,4,0),"")</f>
        <v>COOLANT SPOUT-WCAC</v>
      </c>
      <c r="F33" s="33" t="s">
        <v>48</v>
      </c>
      <c r="G33" s="35">
        <v>1</v>
      </c>
      <c r="H33" s="36"/>
      <c r="I33" s="33"/>
    </row>
    <row r="34" spans="2:9" ht="21" customHeight="1">
      <c r="B34" s="31">
        <v>46225</v>
      </c>
      <c r="C34" s="31" t="s">
        <v>126</v>
      </c>
      <c r="D34" s="33" t="s">
        <v>19</v>
      </c>
      <c r="E34" s="33" t="str">
        <f>IFERROR(VLOOKUP(D34,Sheet1!B:F,4,0),"")</f>
        <v>COOLANT SPOUT-WCAC</v>
      </c>
      <c r="F34" s="33" t="s">
        <v>20</v>
      </c>
      <c r="G34" s="35">
        <v>1</v>
      </c>
      <c r="H34" s="36"/>
      <c r="I34" s="33"/>
    </row>
    <row r="35" spans="2:9" ht="21" customHeight="1">
      <c r="B35" s="37">
        <v>46225</v>
      </c>
      <c r="C35" s="31" t="s">
        <v>127</v>
      </c>
      <c r="D35" s="33" t="s">
        <v>153</v>
      </c>
      <c r="E35" s="33" t="str">
        <f>IFERROR(VLOOKUP(D35,Sheet1!B:F,4,0),"")</f>
        <v>JUMP TUBE AA 핀무</v>
      </c>
      <c r="F35" s="33" t="s">
        <v>139</v>
      </c>
      <c r="G35" s="35">
        <v>4</v>
      </c>
      <c r="H35" s="36"/>
      <c r="I35" s="33"/>
    </row>
    <row r="36" spans="2:9" ht="21" customHeight="1">
      <c r="B36" s="37">
        <v>46225</v>
      </c>
      <c r="C36" s="31" t="s">
        <v>127</v>
      </c>
      <c r="D36" s="33" t="s">
        <v>153</v>
      </c>
      <c r="E36" s="33" t="str">
        <f>IFERROR(VLOOKUP(D36,Sheet1!B:F,4,0),"")</f>
        <v>JUMP TUBE AA 핀무</v>
      </c>
      <c r="F36" s="33" t="s">
        <v>259</v>
      </c>
      <c r="G36" s="35">
        <v>4</v>
      </c>
      <c r="H36" s="36"/>
      <c r="I36" s="33" t="s">
        <v>260</v>
      </c>
    </row>
    <row r="37" spans="2:9" ht="21" customHeight="1">
      <c r="B37" s="37">
        <v>46225</v>
      </c>
      <c r="C37" s="31" t="s">
        <v>127</v>
      </c>
      <c r="D37" s="33" t="s">
        <v>153</v>
      </c>
      <c r="E37" s="33" t="str">
        <f>IFERROR(VLOOKUP(D37,Sheet1!B:F,4,0),"")</f>
        <v>JUMP TUBE AA 핀무</v>
      </c>
      <c r="F37" s="33" t="s">
        <v>139</v>
      </c>
      <c r="G37" s="35">
        <v>4</v>
      </c>
      <c r="H37" s="36"/>
      <c r="I37" s="33"/>
    </row>
    <row r="38" spans="2:9" ht="21" customHeight="1">
      <c r="B38" s="37">
        <v>46225</v>
      </c>
      <c r="C38" s="31" t="s">
        <v>127</v>
      </c>
      <c r="D38" s="33" t="s">
        <v>153</v>
      </c>
      <c r="E38" s="33" t="str">
        <f>IFERROR(VLOOKUP(D38,Sheet1!B:F,4,0),"")</f>
        <v>JUMP TUBE AA 핀무</v>
      </c>
      <c r="F38" s="33" t="s">
        <v>139</v>
      </c>
      <c r="G38" s="35">
        <v>16</v>
      </c>
      <c r="H38" s="36"/>
      <c r="I38" s="10" t="s">
        <v>261</v>
      </c>
    </row>
    <row r="39" spans="2:9" ht="21" customHeight="1">
      <c r="B39" s="37">
        <v>46225</v>
      </c>
      <c r="C39" s="31" t="s">
        <v>127</v>
      </c>
      <c r="D39" s="33" t="s">
        <v>153</v>
      </c>
      <c r="E39" s="33" t="str">
        <f>IFERROR(VLOOKUP(D39,Sheet1!B:F,4,0),"")</f>
        <v>JUMP TUBE AA 핀무</v>
      </c>
      <c r="F39" s="33" t="s">
        <v>252</v>
      </c>
      <c r="G39" s="35">
        <v>4</v>
      </c>
      <c r="H39" s="36"/>
      <c r="I39" s="10" t="s">
        <v>261</v>
      </c>
    </row>
    <row r="40" spans="2:9" ht="21" customHeight="1">
      <c r="B40" s="37">
        <v>46226</v>
      </c>
      <c r="C40" s="31" t="s">
        <v>126</v>
      </c>
      <c r="D40" s="33" t="s">
        <v>46</v>
      </c>
      <c r="E40" s="33" t="str">
        <f>IFERROR(VLOOKUP(D40,Sheet1!B:F,4,0),"")</f>
        <v>TUBE OUTLET-EVAP CORE</v>
      </c>
      <c r="F40" s="33"/>
      <c r="G40" s="35">
        <v>1</v>
      </c>
      <c r="H40" s="36"/>
      <c r="I40" s="33"/>
    </row>
    <row r="41" spans="2:9" ht="21" customHeight="1">
      <c r="B41" s="37">
        <v>46226</v>
      </c>
      <c r="C41" s="31" t="s">
        <v>126</v>
      </c>
      <c r="D41" s="33" t="s">
        <v>14</v>
      </c>
      <c r="E41" s="33" t="str">
        <f>IFERROR(VLOOKUP(D41,Sheet1!B:F,4,0),"")</f>
        <v>TUBE OUTLET-EVAP CORE</v>
      </c>
      <c r="F41" s="33" t="s">
        <v>13</v>
      </c>
      <c r="G41" s="35">
        <v>22</v>
      </c>
      <c r="H41" s="36"/>
      <c r="I41" s="33"/>
    </row>
    <row r="42" spans="2:9" ht="21" customHeight="1">
      <c r="B42" s="37">
        <v>46226</v>
      </c>
      <c r="C42" s="31" t="s">
        <v>126</v>
      </c>
      <c r="D42" s="33" t="s">
        <v>42</v>
      </c>
      <c r="E42" s="33" t="str">
        <f>IFERROR(VLOOKUP(D42,Sheet1!B:F,4,0),"")</f>
        <v>FT-ASY-A/C JUMPER</v>
      </c>
      <c r="F42" s="33" t="s">
        <v>60</v>
      </c>
      <c r="G42" s="35">
        <v>2</v>
      </c>
      <c r="H42" s="36"/>
      <c r="I42" s="33"/>
    </row>
    <row r="43" spans="2:9" ht="21" customHeight="1">
      <c r="B43" s="37">
        <v>46226</v>
      </c>
      <c r="C43" s="31" t="s">
        <v>126</v>
      </c>
      <c r="D43" s="33" t="s">
        <v>42</v>
      </c>
      <c r="E43" s="33" t="str">
        <f>IFERROR(VLOOKUP(D43,Sheet1!B:F,4,0),"")</f>
        <v>FT-ASY-A/C JUMPER</v>
      </c>
      <c r="F43" s="33" t="s">
        <v>18</v>
      </c>
      <c r="G43" s="35">
        <v>1</v>
      </c>
      <c r="H43" s="36"/>
      <c r="I43" s="33"/>
    </row>
    <row r="44" spans="2:9" ht="21" customHeight="1">
      <c r="B44" s="37">
        <v>46226</v>
      </c>
      <c r="C44" s="31" t="s">
        <v>126</v>
      </c>
      <c r="D44" s="33" t="s">
        <v>42</v>
      </c>
      <c r="E44" s="33" t="str">
        <f>IFERROR(VLOOKUP(D44,Sheet1!B:F,4,0),"")</f>
        <v>FT-ASY-A/C JUMPER</v>
      </c>
      <c r="F44" s="33" t="s">
        <v>61</v>
      </c>
      <c r="G44" s="35">
        <v>1</v>
      </c>
      <c r="H44" s="36"/>
      <c r="I44" s="33"/>
    </row>
    <row r="45" spans="2:9" ht="21" customHeight="1">
      <c r="B45" s="37">
        <v>46226</v>
      </c>
      <c r="C45" s="31" t="s">
        <v>126</v>
      </c>
      <c r="D45" s="33" t="s">
        <v>38</v>
      </c>
      <c r="E45" s="33" t="str">
        <f>IFERROR(VLOOKUP(D45,Sheet1!B:F,4,0),"")</f>
        <v>FT-ASY-A/C JUMPER</v>
      </c>
      <c r="F45" s="33" t="s">
        <v>60</v>
      </c>
      <c r="G45" s="35">
        <v>3</v>
      </c>
      <c r="H45" s="36"/>
      <c r="I45" s="33"/>
    </row>
    <row r="46" spans="2:9" ht="21" customHeight="1">
      <c r="B46" s="37">
        <v>46226</v>
      </c>
      <c r="C46" s="31" t="s">
        <v>126</v>
      </c>
      <c r="D46" s="33" t="s">
        <v>38</v>
      </c>
      <c r="E46" s="33" t="str">
        <f>IFERROR(VLOOKUP(D46,Sheet1!B:F,4,0),"")</f>
        <v>FT-ASY-A/C JUMPER</v>
      </c>
      <c r="F46" s="33" t="s">
        <v>62</v>
      </c>
      <c r="G46" s="35">
        <v>6</v>
      </c>
      <c r="H46" s="36"/>
      <c r="I46" s="33"/>
    </row>
    <row r="47" spans="2:9" ht="21" customHeight="1">
      <c r="B47" s="37">
        <v>46226</v>
      </c>
      <c r="C47" s="31" t="s">
        <v>126</v>
      </c>
      <c r="D47" s="33" t="s">
        <v>38</v>
      </c>
      <c r="E47" s="33" t="str">
        <f>IFERROR(VLOOKUP(D47,Sheet1!B:F,4,0),"")</f>
        <v>FT-ASY-A/C JUMPER</v>
      </c>
      <c r="F47" s="33" t="s">
        <v>63</v>
      </c>
      <c r="G47" s="35">
        <v>5</v>
      </c>
      <c r="H47" s="36"/>
      <c r="I47" s="33"/>
    </row>
    <row r="48" spans="2:9" ht="21" customHeight="1">
      <c r="B48" s="37">
        <v>46226</v>
      </c>
      <c r="C48" s="31" t="s">
        <v>126</v>
      </c>
      <c r="D48" s="33" t="s">
        <v>38</v>
      </c>
      <c r="E48" s="33" t="str">
        <f>IFERROR(VLOOKUP(D48,Sheet1!B:F,4,0),"")</f>
        <v>FT-ASY-A/C JUMPER</v>
      </c>
      <c r="F48" s="33"/>
      <c r="G48" s="35">
        <v>2</v>
      </c>
      <c r="H48" s="36"/>
      <c r="I48" s="33"/>
    </row>
    <row r="49" spans="2:9" ht="21" customHeight="1">
      <c r="B49" s="37">
        <v>46226</v>
      </c>
      <c r="C49" s="31" t="s">
        <v>126</v>
      </c>
      <c r="D49" s="33" t="s">
        <v>19</v>
      </c>
      <c r="E49" s="33" t="str">
        <f>IFERROR(VLOOKUP(D49,Sheet1!B:F,4,0),"")</f>
        <v>COOLANT SPOUT-WCAC</v>
      </c>
      <c r="F49" s="33"/>
      <c r="G49" s="35">
        <v>1</v>
      </c>
      <c r="H49" s="36"/>
      <c r="I49" s="33"/>
    </row>
    <row r="50" spans="2:9" ht="21" customHeight="1">
      <c r="B50" s="37">
        <v>46226</v>
      </c>
      <c r="C50" s="31" t="s">
        <v>126</v>
      </c>
      <c r="D50" s="33" t="s">
        <v>29</v>
      </c>
      <c r="E50" s="33" t="str">
        <f>IFERROR(VLOOKUP(D50,Sheet1!B:F,4,0),"")</f>
        <v>COOLANT SPOUT-WCAC</v>
      </c>
      <c r="F50" s="33"/>
      <c r="G50" s="35">
        <v>2</v>
      </c>
      <c r="H50" s="36"/>
      <c r="I50" s="33"/>
    </row>
    <row r="51" spans="2:9" ht="21" customHeight="1">
      <c r="B51" s="37">
        <v>46226</v>
      </c>
      <c r="C51" s="31" t="s">
        <v>126</v>
      </c>
      <c r="D51" s="33" t="s">
        <v>78</v>
      </c>
      <c r="E51" s="33" t="str">
        <f>IFERROR(VLOOKUP(D51,Sheet1!B:F,4,0),"")</f>
        <v/>
      </c>
      <c r="F51" s="33" t="s">
        <v>79</v>
      </c>
      <c r="G51" s="35">
        <v>17</v>
      </c>
      <c r="H51" s="36"/>
      <c r="I51" s="10" t="s">
        <v>132</v>
      </c>
    </row>
    <row r="52" spans="2:9" ht="21" customHeight="1">
      <c r="B52" s="37">
        <v>46226</v>
      </c>
      <c r="C52" s="31" t="s">
        <v>126</v>
      </c>
      <c r="D52" s="33" t="s">
        <v>46</v>
      </c>
      <c r="E52" s="33" t="str">
        <f>IFERROR(VLOOKUP(D52,Sheet1!B:F,4,0),"")</f>
        <v>TUBE OUTLET-EVAP CORE</v>
      </c>
      <c r="F52" s="33" t="s">
        <v>15</v>
      </c>
      <c r="G52" s="35">
        <v>1</v>
      </c>
      <c r="H52" s="36"/>
      <c r="I52" s="33"/>
    </row>
    <row r="53" spans="2:9" ht="21" customHeight="1">
      <c r="B53" s="37">
        <v>46226</v>
      </c>
      <c r="C53" s="31" t="s">
        <v>126</v>
      </c>
      <c r="D53" s="33" t="s">
        <v>19</v>
      </c>
      <c r="E53" s="33" t="str">
        <f>IFERROR(VLOOKUP(D53,Sheet1!B:F,4,0),"")</f>
        <v>COOLANT SPOUT-WCAC</v>
      </c>
      <c r="F53" s="33" t="s">
        <v>77</v>
      </c>
      <c r="G53" s="35">
        <v>1</v>
      </c>
      <c r="H53" s="36"/>
      <c r="I53" s="33"/>
    </row>
    <row r="54" spans="2:9" ht="21" customHeight="1">
      <c r="B54" s="37">
        <v>46226</v>
      </c>
      <c r="C54" s="31" t="s">
        <v>126</v>
      </c>
      <c r="D54" s="33" t="s">
        <v>29</v>
      </c>
      <c r="E54" s="33" t="str">
        <f>IFERROR(VLOOKUP(D54,Sheet1!B:F,4,0),"")</f>
        <v>COOLANT SPOUT-WCAC</v>
      </c>
      <c r="F54" s="33" t="s">
        <v>15</v>
      </c>
      <c r="G54" s="35">
        <v>2</v>
      </c>
      <c r="H54" s="36"/>
      <c r="I54" s="33"/>
    </row>
    <row r="55" spans="2:9" ht="21" customHeight="1">
      <c r="B55" s="37">
        <v>46227</v>
      </c>
      <c r="C55" s="31" t="s">
        <v>126</v>
      </c>
      <c r="D55" s="33" t="s">
        <v>44</v>
      </c>
      <c r="E55" s="33" t="str">
        <f>IFERROR(VLOOKUP(D55,Sheet1!B:F,4,0),"")</f>
        <v>INLET TUBE-HTR</v>
      </c>
      <c r="F55" s="33"/>
      <c r="G55" s="35">
        <v>14</v>
      </c>
      <c r="H55" s="36"/>
      <c r="I55" s="33"/>
    </row>
    <row r="56" spans="2:9" ht="21" customHeight="1">
      <c r="B56" s="37">
        <v>46227</v>
      </c>
      <c r="C56" s="31" t="s">
        <v>126</v>
      </c>
      <c r="D56" s="33" t="s">
        <v>49</v>
      </c>
      <c r="E56" s="33" t="str">
        <f>IFERROR(VLOOKUP(D56,Sheet1!B:F,4,0),"")</f>
        <v>COOLANT SPOUT-WCAC</v>
      </c>
      <c r="F56" s="33" t="s">
        <v>15</v>
      </c>
      <c r="G56" s="35">
        <v>1</v>
      </c>
      <c r="H56" s="36"/>
      <c r="I56" s="33"/>
    </row>
    <row r="57" spans="2:9" ht="21" customHeight="1">
      <c r="B57" s="37">
        <v>46227</v>
      </c>
      <c r="C57" s="31" t="s">
        <v>126</v>
      </c>
      <c r="D57" s="33" t="s">
        <v>19</v>
      </c>
      <c r="E57" s="33" t="str">
        <f>IFERROR(VLOOKUP(D57,Sheet1!B:F,4,0),"")</f>
        <v>COOLANT SPOUT-WCAC</v>
      </c>
      <c r="F57" s="33" t="s">
        <v>15</v>
      </c>
      <c r="G57" s="35">
        <v>4</v>
      </c>
      <c r="H57" s="36"/>
      <c r="I57" s="33"/>
    </row>
    <row r="58" spans="2:9" ht="21" customHeight="1">
      <c r="B58" s="37">
        <v>46227</v>
      </c>
      <c r="C58" s="31" t="s">
        <v>126</v>
      </c>
      <c r="D58" s="33" t="s">
        <v>19</v>
      </c>
      <c r="E58" s="33" t="str">
        <f>IFERROR(VLOOKUP(D58,Sheet1!B:F,4,0),"")</f>
        <v>COOLANT SPOUT-WCAC</v>
      </c>
      <c r="F58" s="33" t="s">
        <v>20</v>
      </c>
      <c r="G58" s="35">
        <v>2</v>
      </c>
      <c r="H58" s="36"/>
      <c r="I58" s="33"/>
    </row>
    <row r="59" spans="2:9" ht="21" customHeight="1">
      <c r="B59" s="37">
        <v>46228</v>
      </c>
      <c r="C59" s="31" t="s">
        <v>126</v>
      </c>
      <c r="D59" s="33" t="s">
        <v>19</v>
      </c>
      <c r="E59" s="33" t="str">
        <f>IFERROR(VLOOKUP(D59,Sheet1!B:F,4,0),"")</f>
        <v>COOLANT SPOUT-WCAC</v>
      </c>
      <c r="F59" s="33" t="s">
        <v>20</v>
      </c>
      <c r="G59" s="35">
        <v>2</v>
      </c>
      <c r="H59" s="36"/>
      <c r="I59" s="33"/>
    </row>
    <row r="60" spans="2:9" ht="21" customHeight="1">
      <c r="B60" s="37">
        <v>46228</v>
      </c>
      <c r="C60" s="31" t="s">
        <v>126</v>
      </c>
      <c r="D60" s="33" t="s">
        <v>19</v>
      </c>
      <c r="E60" s="33" t="str">
        <f>IFERROR(VLOOKUP(D60,Sheet1!B:F,4,0),"")</f>
        <v>COOLANT SPOUT-WCAC</v>
      </c>
      <c r="F60" s="33" t="s">
        <v>15</v>
      </c>
      <c r="G60" s="35">
        <v>1</v>
      </c>
      <c r="H60" s="36"/>
      <c r="I60" s="33"/>
    </row>
    <row r="61" spans="2:9" ht="21" customHeight="1">
      <c r="B61" s="37">
        <v>46230</v>
      </c>
      <c r="C61" s="31" t="s">
        <v>126</v>
      </c>
      <c r="D61" s="33" t="s">
        <v>54</v>
      </c>
      <c r="E61" s="33" t="str">
        <f>IFERROR(VLOOKUP(D61,Sheet1!B:F,4,0),"")</f>
        <v/>
      </c>
      <c r="F61" s="33" t="s">
        <v>15</v>
      </c>
      <c r="G61" s="35">
        <v>2</v>
      </c>
      <c r="H61" s="36"/>
      <c r="I61" s="10" t="s">
        <v>133</v>
      </c>
    </row>
    <row r="62" spans="2:9" ht="21" customHeight="1">
      <c r="B62" s="37">
        <v>46230</v>
      </c>
      <c r="C62" s="31" t="s">
        <v>126</v>
      </c>
      <c r="D62" s="33" t="s">
        <v>26</v>
      </c>
      <c r="E62" s="33" t="str">
        <f>IFERROR(VLOOKUP(D62,Sheet1!B:F,4,0),"")</f>
        <v>INLET TUBE-HTR</v>
      </c>
      <c r="F62" s="33" t="s">
        <v>18</v>
      </c>
      <c r="G62" s="35">
        <v>2</v>
      </c>
      <c r="H62" s="36"/>
      <c r="I62" s="33"/>
    </row>
    <row r="63" spans="2:9" ht="21" customHeight="1">
      <c r="B63" s="37">
        <v>46230</v>
      </c>
      <c r="C63" s="31" t="s">
        <v>126</v>
      </c>
      <c r="D63" s="33" t="s">
        <v>26</v>
      </c>
      <c r="E63" s="33" t="str">
        <f>IFERROR(VLOOKUP(D63,Sheet1!B:F,4,0),"")</f>
        <v>INLET TUBE-HTR</v>
      </c>
      <c r="F63" s="33" t="s">
        <v>15</v>
      </c>
      <c r="G63" s="35">
        <v>4</v>
      </c>
      <c r="H63" s="36"/>
      <c r="I63" s="33"/>
    </row>
    <row r="64" spans="2:9" ht="21" customHeight="1">
      <c r="B64" s="37">
        <v>46230</v>
      </c>
      <c r="C64" s="31" t="s">
        <v>126</v>
      </c>
      <c r="D64" s="33" t="s">
        <v>49</v>
      </c>
      <c r="E64" s="33" t="str">
        <f>IFERROR(VLOOKUP(D64,Sheet1!B:F,4,0),"")</f>
        <v>COOLANT SPOUT-WCAC</v>
      </c>
      <c r="F64" s="33" t="s">
        <v>15</v>
      </c>
      <c r="G64" s="35">
        <v>2</v>
      </c>
      <c r="H64" s="36"/>
      <c r="I64" s="33"/>
    </row>
    <row r="65" spans="2:9" ht="21" customHeight="1">
      <c r="B65" s="37">
        <v>46230</v>
      </c>
      <c r="C65" s="31" t="s">
        <v>126</v>
      </c>
      <c r="D65" s="33" t="s">
        <v>19</v>
      </c>
      <c r="E65" s="33" t="str">
        <f>IFERROR(VLOOKUP(D65,Sheet1!B:F,4,0),"")</f>
        <v>COOLANT SPOUT-WCAC</v>
      </c>
      <c r="F65" s="33" t="s">
        <v>20</v>
      </c>
      <c r="G65" s="35">
        <v>2</v>
      </c>
      <c r="H65" s="36"/>
      <c r="I65" s="33"/>
    </row>
    <row r="66" spans="2:9" ht="21" customHeight="1">
      <c r="B66" s="37">
        <v>46230</v>
      </c>
      <c r="C66" s="31" t="s">
        <v>126</v>
      </c>
      <c r="D66" s="33" t="s">
        <v>46</v>
      </c>
      <c r="E66" s="33" t="str">
        <f>IFERROR(VLOOKUP(D66,Sheet1!B:F,4,0),"")</f>
        <v>TUBE OUTLET-EVAP CORE</v>
      </c>
      <c r="F66" s="33" t="s">
        <v>15</v>
      </c>
      <c r="G66" s="35">
        <v>6</v>
      </c>
      <c r="H66" s="36"/>
      <c r="I66" s="33"/>
    </row>
    <row r="67" spans="2:9" ht="21" customHeight="1">
      <c r="B67" s="37">
        <v>46230</v>
      </c>
      <c r="C67" s="31" t="s">
        <v>126</v>
      </c>
      <c r="D67" s="33" t="s">
        <v>43</v>
      </c>
      <c r="E67" s="33" t="str">
        <f>IFERROR(VLOOKUP(D67,Sheet1!B:F,4,0),"")</f>
        <v>HTR OUT LHD</v>
      </c>
      <c r="F67" s="33" t="s">
        <v>27</v>
      </c>
      <c r="G67" s="35">
        <v>7</v>
      </c>
      <c r="H67" s="36"/>
      <c r="I67" s="33"/>
    </row>
    <row r="68" spans="2:9" ht="21" customHeight="1">
      <c r="B68" s="37">
        <v>46230</v>
      </c>
      <c r="C68" s="31" t="s">
        <v>126</v>
      </c>
      <c r="D68" s="33" t="s">
        <v>47</v>
      </c>
      <c r="E68" s="33" t="str">
        <f>IFERROR(VLOOKUP(D68,Sheet1!B:F,4,0),"")</f>
        <v>HTR IN LHD</v>
      </c>
      <c r="F68" s="33" t="s">
        <v>17</v>
      </c>
      <c r="G68" s="35">
        <v>3</v>
      </c>
      <c r="H68" s="36"/>
      <c r="I68" s="33"/>
    </row>
    <row r="69" spans="2:9" ht="21" customHeight="1">
      <c r="B69" s="37">
        <v>46231</v>
      </c>
      <c r="C69" s="31" t="s">
        <v>126</v>
      </c>
      <c r="D69" s="33" t="s">
        <v>43</v>
      </c>
      <c r="E69" s="33" t="str">
        <f>IFERROR(VLOOKUP(D69,Sheet1!B:F,4,0),"")</f>
        <v>HTR OUT LHD</v>
      </c>
      <c r="F69" s="33" t="s">
        <v>18</v>
      </c>
      <c r="G69" s="35">
        <v>5</v>
      </c>
      <c r="H69" s="36"/>
      <c r="I69" s="33"/>
    </row>
    <row r="70" spans="2:9" ht="21" customHeight="1">
      <c r="B70" s="37">
        <v>46231</v>
      </c>
      <c r="C70" s="31" t="s">
        <v>126</v>
      </c>
      <c r="D70" s="33" t="s">
        <v>43</v>
      </c>
      <c r="E70" s="33" t="str">
        <f>IFERROR(VLOOKUP(D70,Sheet1!B:F,4,0),"")</f>
        <v>HTR OUT LHD</v>
      </c>
      <c r="F70" s="33" t="s">
        <v>17</v>
      </c>
      <c r="G70" s="35">
        <v>1</v>
      </c>
      <c r="H70" s="36"/>
      <c r="I70" s="33"/>
    </row>
    <row r="71" spans="2:9" ht="21" customHeight="1">
      <c r="B71" s="37">
        <v>46231</v>
      </c>
      <c r="C71" s="31" t="s">
        <v>126</v>
      </c>
      <c r="D71" s="33" t="s">
        <v>44</v>
      </c>
      <c r="E71" s="33" t="str">
        <f>IFERROR(VLOOKUP(D71,Sheet1!B:F,4,0),"")</f>
        <v>INLET TUBE-HTR</v>
      </c>
      <c r="F71" s="33" t="s">
        <v>45</v>
      </c>
      <c r="G71" s="35">
        <v>2</v>
      </c>
      <c r="H71" s="36"/>
      <c r="I71" s="33"/>
    </row>
    <row r="72" spans="2:9" ht="21" customHeight="1">
      <c r="B72" s="37">
        <v>46231</v>
      </c>
      <c r="C72" s="31" t="s">
        <v>126</v>
      </c>
      <c r="D72" s="33" t="s">
        <v>44</v>
      </c>
      <c r="E72" s="33" t="str">
        <f>IFERROR(VLOOKUP(D72,Sheet1!B:F,4,0),"")</f>
        <v>INLET TUBE-HTR</v>
      </c>
      <c r="F72" s="33" t="s">
        <v>15</v>
      </c>
      <c r="G72" s="35">
        <v>1</v>
      </c>
      <c r="H72" s="36"/>
      <c r="I72" s="33"/>
    </row>
    <row r="73" spans="2:9" ht="21" customHeight="1">
      <c r="B73" s="37">
        <v>46231</v>
      </c>
      <c r="C73" s="31" t="s">
        <v>126</v>
      </c>
      <c r="D73" s="33" t="s">
        <v>46</v>
      </c>
      <c r="E73" s="33" t="str">
        <f>IFERROR(VLOOKUP(D73,Sheet1!B:F,4,0),"")</f>
        <v>TUBE OUTLET-EVAP CORE</v>
      </c>
      <c r="F73" s="33" t="s">
        <v>15</v>
      </c>
      <c r="G73" s="35">
        <v>4</v>
      </c>
      <c r="H73" s="36"/>
      <c r="I73" s="33"/>
    </row>
    <row r="74" spans="2:9" ht="21" customHeight="1">
      <c r="B74" s="37">
        <v>46231</v>
      </c>
      <c r="C74" s="31" t="s">
        <v>126</v>
      </c>
      <c r="D74" s="33" t="s">
        <v>47</v>
      </c>
      <c r="E74" s="33" t="str">
        <f>IFERROR(VLOOKUP(D74,Sheet1!B:F,4,0),"")</f>
        <v>HTR IN LHD</v>
      </c>
      <c r="F74" s="33" t="s">
        <v>18</v>
      </c>
      <c r="G74" s="35">
        <v>2</v>
      </c>
      <c r="H74" s="36"/>
      <c r="I74" s="33"/>
    </row>
    <row r="75" spans="2:9" ht="21" customHeight="1">
      <c r="B75" s="37">
        <v>46231</v>
      </c>
      <c r="C75" s="31" t="s">
        <v>126</v>
      </c>
      <c r="D75" s="33" t="s">
        <v>31</v>
      </c>
      <c r="E75" s="33" t="str">
        <f>IFERROR(VLOOKUP(D75,Sheet1!B:F,4,0),"")</f>
        <v>COOLANT SPOUT-WCAC</v>
      </c>
      <c r="F75" s="33" t="s">
        <v>15</v>
      </c>
      <c r="G75" s="35">
        <v>2</v>
      </c>
      <c r="H75" s="36"/>
      <c r="I75" s="33"/>
    </row>
    <row r="76" spans="2:9" ht="21" customHeight="1">
      <c r="B76" s="37">
        <v>46231</v>
      </c>
      <c r="C76" s="31" t="s">
        <v>126</v>
      </c>
      <c r="D76" s="33" t="s">
        <v>31</v>
      </c>
      <c r="E76" s="33" t="str">
        <f>IFERROR(VLOOKUP(D76,Sheet1!B:F,4,0),"")</f>
        <v>COOLANT SPOUT-WCAC</v>
      </c>
      <c r="F76" s="33" t="s">
        <v>18</v>
      </c>
      <c r="G76" s="35">
        <v>6</v>
      </c>
      <c r="H76" s="36"/>
      <c r="I76" s="33"/>
    </row>
    <row r="77" spans="2:9" ht="21" customHeight="1">
      <c r="B77" s="37">
        <v>46231</v>
      </c>
      <c r="C77" s="31" t="s">
        <v>126</v>
      </c>
      <c r="D77" s="33" t="s">
        <v>31</v>
      </c>
      <c r="E77" s="33" t="str">
        <f>IFERROR(VLOOKUP(D77,Sheet1!B:F,4,0),"")</f>
        <v>COOLANT SPOUT-WCAC</v>
      </c>
      <c r="F77" s="33" t="s">
        <v>48</v>
      </c>
      <c r="G77" s="35">
        <v>1</v>
      </c>
      <c r="H77" s="36"/>
      <c r="I77" s="33"/>
    </row>
    <row r="78" spans="2:9" ht="21" customHeight="1">
      <c r="B78" s="37">
        <v>46232</v>
      </c>
      <c r="C78" s="31" t="s">
        <v>126</v>
      </c>
      <c r="D78" s="33" t="s">
        <v>49</v>
      </c>
      <c r="E78" s="33" t="str">
        <f>IFERROR(VLOOKUP(D78,Sheet1!B:F,4,0),"")</f>
        <v>COOLANT SPOUT-WCAC</v>
      </c>
      <c r="F78" s="33" t="s">
        <v>18</v>
      </c>
      <c r="G78" s="35">
        <v>4</v>
      </c>
      <c r="H78" s="36"/>
      <c r="I78" s="33"/>
    </row>
    <row r="79" spans="2:9" ht="21" customHeight="1">
      <c r="B79" s="37">
        <v>46232</v>
      </c>
      <c r="C79" s="31" t="s">
        <v>126</v>
      </c>
      <c r="D79" s="33" t="s">
        <v>49</v>
      </c>
      <c r="E79" s="33" t="str">
        <f>IFERROR(VLOOKUP(D79,Sheet1!B:F,4,0),"")</f>
        <v>COOLANT SPOUT-WCAC</v>
      </c>
      <c r="F79" s="33" t="s">
        <v>15</v>
      </c>
      <c r="G79" s="35">
        <v>3</v>
      </c>
      <c r="H79" s="36"/>
      <c r="I79" s="33"/>
    </row>
    <row r="80" spans="2:9" ht="21" customHeight="1">
      <c r="B80" s="37">
        <v>46232</v>
      </c>
      <c r="C80" s="31" t="s">
        <v>126</v>
      </c>
      <c r="D80" s="33" t="s">
        <v>14</v>
      </c>
      <c r="E80" s="33" t="str">
        <f>IFERROR(VLOOKUP(D80,Sheet1!B:F,4,0),"")</f>
        <v>TUBE OUTLET-EVAP CORE</v>
      </c>
      <c r="F80" s="33" t="s">
        <v>50</v>
      </c>
      <c r="G80" s="35">
        <v>11</v>
      </c>
      <c r="H80" s="36"/>
      <c r="I80" s="33"/>
    </row>
    <row r="81" spans="2:9" ht="21" customHeight="1">
      <c r="B81" s="37">
        <v>46232</v>
      </c>
      <c r="C81" s="31" t="s">
        <v>126</v>
      </c>
      <c r="D81" s="33" t="s">
        <v>51</v>
      </c>
      <c r="E81" s="33" t="str">
        <f>IFERROR(VLOOKUP(D81,Sheet1!B:F,4,0),"")</f>
        <v>OUTLET TUBE-HTR</v>
      </c>
      <c r="F81" s="33" t="s">
        <v>52</v>
      </c>
      <c r="G81" s="35">
        <v>2</v>
      </c>
      <c r="H81" s="36"/>
      <c r="I81" s="33"/>
    </row>
    <row r="82" spans="2:9" ht="21" customHeight="1">
      <c r="B82" s="37">
        <v>46232</v>
      </c>
      <c r="C82" s="31" t="s">
        <v>126</v>
      </c>
      <c r="D82" s="33" t="s">
        <v>53</v>
      </c>
      <c r="E82" s="33" t="str">
        <f>IFERROR(VLOOKUP(D82,Sheet1!B:F,4,0),"")</f>
        <v/>
      </c>
      <c r="F82" s="33" t="s">
        <v>18</v>
      </c>
      <c r="G82" s="35">
        <v>3</v>
      </c>
      <c r="H82" s="36"/>
      <c r="I82" s="33"/>
    </row>
    <row r="83" spans="2:9" ht="21" customHeight="1">
      <c r="B83" s="37">
        <v>46233</v>
      </c>
      <c r="C83" s="31" t="s">
        <v>126</v>
      </c>
      <c r="D83" s="33" t="s">
        <v>14</v>
      </c>
      <c r="E83" s="33" t="str">
        <f>IFERROR(VLOOKUP(D83,Sheet1!B:F,4,0),"")</f>
        <v>TUBE OUTLET-EVAP CORE</v>
      </c>
      <c r="F83" s="33" t="s">
        <v>15</v>
      </c>
      <c r="G83" s="35">
        <v>17</v>
      </c>
      <c r="H83" s="36"/>
      <c r="I83" s="33"/>
    </row>
    <row r="84" spans="2:9" ht="21" customHeight="1">
      <c r="B84" s="37">
        <v>46233</v>
      </c>
      <c r="C84" s="31" t="s">
        <v>126</v>
      </c>
      <c r="D84" s="33" t="s">
        <v>14</v>
      </c>
      <c r="E84" s="33" t="str">
        <f>IFERROR(VLOOKUP(D84,Sheet1!B:F,4,0),"")</f>
        <v>TUBE OUTLET-EVAP CORE</v>
      </c>
      <c r="F84" s="33" t="s">
        <v>45</v>
      </c>
      <c r="G84" s="35">
        <v>1</v>
      </c>
      <c r="H84" s="36"/>
      <c r="I84" s="33"/>
    </row>
    <row r="85" spans="2:9" ht="21" customHeight="1">
      <c r="B85" s="37">
        <v>46233</v>
      </c>
      <c r="C85" s="31" t="s">
        <v>126</v>
      </c>
      <c r="D85" s="33" t="s">
        <v>51</v>
      </c>
      <c r="E85" s="33" t="str">
        <f>IFERROR(VLOOKUP(D85,Sheet1!B:F,4,0),"")</f>
        <v>OUTLET TUBE-HTR</v>
      </c>
      <c r="F85" s="33" t="s">
        <v>15</v>
      </c>
      <c r="G85" s="35">
        <v>2</v>
      </c>
      <c r="H85" s="36"/>
      <c r="I85" s="33"/>
    </row>
    <row r="86" spans="2:9" ht="21" customHeight="1">
      <c r="B86" s="37">
        <v>46233</v>
      </c>
      <c r="C86" s="31" t="s">
        <v>126</v>
      </c>
      <c r="D86" s="33" t="s">
        <v>14</v>
      </c>
      <c r="E86" s="33" t="str">
        <f>IFERROR(VLOOKUP(D86,Sheet1!B:F,4,0),"")</f>
        <v>TUBE OUTLET-EVAP CORE</v>
      </c>
      <c r="F86" s="33" t="s">
        <v>18</v>
      </c>
      <c r="G86" s="35">
        <v>3</v>
      </c>
      <c r="H86" s="36"/>
      <c r="I86" s="33"/>
    </row>
    <row r="87" spans="2:9" ht="21" customHeight="1">
      <c r="B87" s="37">
        <v>46233</v>
      </c>
      <c r="C87" s="31" t="s">
        <v>126</v>
      </c>
      <c r="D87" s="33" t="s">
        <v>31</v>
      </c>
      <c r="E87" s="33" t="str">
        <f>IFERROR(VLOOKUP(D87,Sheet1!B:F,4,0),"")</f>
        <v>COOLANT SPOUT-WCAC</v>
      </c>
      <c r="F87" s="33" t="s">
        <v>18</v>
      </c>
      <c r="G87" s="35">
        <v>5</v>
      </c>
      <c r="H87" s="36"/>
      <c r="I87" s="33"/>
    </row>
    <row r="88" spans="2:9" ht="21" customHeight="1">
      <c r="B88" s="37">
        <v>46233</v>
      </c>
      <c r="C88" s="31" t="s">
        <v>126</v>
      </c>
      <c r="D88" s="33" t="s">
        <v>31</v>
      </c>
      <c r="E88" s="33" t="str">
        <f>IFERROR(VLOOKUP(D88,Sheet1!B:F,4,0),"")</f>
        <v>COOLANT SPOUT-WCAC</v>
      </c>
      <c r="F88" s="33" t="s">
        <v>15</v>
      </c>
      <c r="G88" s="35">
        <v>2</v>
      </c>
      <c r="H88" s="36"/>
      <c r="I88" s="33"/>
    </row>
    <row r="89" spans="2:9" ht="21" customHeight="1">
      <c r="B89" s="37">
        <v>46233</v>
      </c>
      <c r="C89" s="31" t="s">
        <v>126</v>
      </c>
      <c r="D89" s="33" t="s">
        <v>54</v>
      </c>
      <c r="E89" s="33" t="str">
        <f>IFERROR(VLOOKUP(D89,Sheet1!B:F,4,0),"")</f>
        <v/>
      </c>
      <c r="F89" s="33" t="s">
        <v>18</v>
      </c>
      <c r="G89" s="35">
        <v>2</v>
      </c>
      <c r="H89" s="36"/>
      <c r="I89" s="33"/>
    </row>
    <row r="90" spans="2:9" ht="21" customHeight="1">
      <c r="B90" s="37">
        <v>46233</v>
      </c>
      <c r="C90" s="31" t="s">
        <v>126</v>
      </c>
      <c r="D90" s="33" t="s">
        <v>54</v>
      </c>
      <c r="E90" s="33" t="str">
        <f>IFERROR(VLOOKUP(D90,Sheet1!B:F,4,0),"")</f>
        <v/>
      </c>
      <c r="F90" s="33" t="s">
        <v>15</v>
      </c>
      <c r="G90" s="35">
        <v>6</v>
      </c>
      <c r="H90" s="36"/>
      <c r="I90" s="10" t="s">
        <v>133</v>
      </c>
    </row>
    <row r="91" spans="2:9" ht="21" customHeight="1">
      <c r="B91" s="37">
        <v>46233</v>
      </c>
      <c r="C91" s="31" t="s">
        <v>126</v>
      </c>
      <c r="D91" s="33" t="s">
        <v>38</v>
      </c>
      <c r="E91" s="33" t="str">
        <f>IFERROR(VLOOKUP(D91,Sheet1!B:F,4,0),"")</f>
        <v>FT-ASY-A/C JUMPER</v>
      </c>
      <c r="F91" s="33" t="s">
        <v>15</v>
      </c>
      <c r="G91" s="35">
        <v>5</v>
      </c>
      <c r="H91" s="36"/>
      <c r="I91" s="33"/>
    </row>
    <row r="92" spans="2:9" ht="21" customHeight="1">
      <c r="B92" s="37">
        <v>46233</v>
      </c>
      <c r="C92" s="31" t="s">
        <v>126</v>
      </c>
      <c r="D92" s="33" t="s">
        <v>38</v>
      </c>
      <c r="E92" s="33" t="str">
        <f>IFERROR(VLOOKUP(D92,Sheet1!B:F,4,0),"")</f>
        <v>FT-ASY-A/C JUMPER</v>
      </c>
      <c r="F92" s="33" t="s">
        <v>55</v>
      </c>
      <c r="G92" s="35">
        <v>5</v>
      </c>
      <c r="H92" s="36"/>
      <c r="I92" s="33"/>
    </row>
    <row r="93" spans="2:9" ht="21" customHeight="1">
      <c r="B93" s="37">
        <v>46233</v>
      </c>
      <c r="C93" s="31" t="s">
        <v>126</v>
      </c>
      <c r="D93" s="33" t="s">
        <v>38</v>
      </c>
      <c r="E93" s="33" t="str">
        <f>IFERROR(VLOOKUP(D93,Sheet1!B:F,4,0),"")</f>
        <v>FT-ASY-A/C JUMPER</v>
      </c>
      <c r="F93" s="33" t="s">
        <v>56</v>
      </c>
      <c r="G93" s="35">
        <v>2</v>
      </c>
      <c r="H93" s="36"/>
      <c r="I93" s="33"/>
    </row>
    <row r="94" spans="2:9" ht="21" customHeight="1">
      <c r="B94" s="37">
        <v>46233</v>
      </c>
      <c r="C94" s="31" t="s">
        <v>126</v>
      </c>
      <c r="D94" s="33" t="s">
        <v>42</v>
      </c>
      <c r="E94" s="33" t="str">
        <f>IFERROR(VLOOKUP(D94,Sheet1!B:F,4,0),"")</f>
        <v>FT-ASY-A/C JUMPER</v>
      </c>
      <c r="F94" s="33" t="s">
        <v>57</v>
      </c>
      <c r="G94" s="35">
        <v>64</v>
      </c>
      <c r="H94" s="36"/>
      <c r="I94" s="33"/>
    </row>
    <row r="95" spans="2:9" ht="21" customHeight="1">
      <c r="B95" s="37">
        <v>46233</v>
      </c>
      <c r="C95" s="31" t="s">
        <v>126</v>
      </c>
      <c r="D95" s="33" t="s">
        <v>12</v>
      </c>
      <c r="E95" s="33" t="str">
        <f>IFERROR(VLOOKUP(D95,Sheet1!B:F,4,0),"")</f>
        <v/>
      </c>
      <c r="F95" s="33" t="s">
        <v>13</v>
      </c>
      <c r="G95" s="35">
        <v>3</v>
      </c>
      <c r="H95" s="36"/>
      <c r="I95" s="33"/>
    </row>
    <row r="96" spans="2:9" ht="21" customHeight="1">
      <c r="B96" s="37">
        <v>46233</v>
      </c>
      <c r="C96" s="31" t="s">
        <v>126</v>
      </c>
      <c r="D96" s="33" t="s">
        <v>30</v>
      </c>
      <c r="E96" s="33" t="str">
        <f>IFERROR(VLOOKUP(D96,Sheet1!B:F,4,0),"")</f>
        <v/>
      </c>
      <c r="F96" s="33" t="s">
        <v>13</v>
      </c>
      <c r="G96" s="35">
        <v>5</v>
      </c>
      <c r="H96" s="36"/>
      <c r="I96" s="33"/>
    </row>
    <row r="97" spans="2:9" ht="21" customHeight="1">
      <c r="B97" s="37">
        <v>46234</v>
      </c>
      <c r="C97" s="31" t="s">
        <v>126</v>
      </c>
      <c r="D97" s="33" t="s">
        <v>26</v>
      </c>
      <c r="E97" s="33" t="str">
        <f>IFERROR(VLOOKUP(D97,Sheet1!B:F,4,0),"")</f>
        <v>INLET TUBE-HTR</v>
      </c>
      <c r="F97" s="33" t="s">
        <v>18</v>
      </c>
      <c r="G97" s="35">
        <v>4</v>
      </c>
      <c r="H97" s="36"/>
      <c r="I97" s="33"/>
    </row>
    <row r="98" spans="2:9" ht="21" customHeight="1">
      <c r="B98" s="37">
        <v>46234</v>
      </c>
      <c r="C98" s="31" t="s">
        <v>126</v>
      </c>
      <c r="D98" s="33" t="s">
        <v>26</v>
      </c>
      <c r="E98" s="33" t="str">
        <f>IFERROR(VLOOKUP(D98,Sheet1!B:F,4,0),"")</f>
        <v>INLET TUBE-HTR</v>
      </c>
      <c r="F98" s="33" t="s">
        <v>15</v>
      </c>
      <c r="G98" s="35">
        <v>1</v>
      </c>
      <c r="H98" s="36"/>
      <c r="I98" s="33"/>
    </row>
    <row r="99" spans="2:9" ht="21" customHeight="1">
      <c r="B99" s="37">
        <v>46234</v>
      </c>
      <c r="C99" s="31" t="s">
        <v>126</v>
      </c>
      <c r="D99" s="33" t="s">
        <v>14</v>
      </c>
      <c r="E99" s="33" t="str">
        <f>IFERROR(VLOOKUP(D99,Sheet1!B:F,4,0),"")</f>
        <v>TUBE OUTLET-EVAP CORE</v>
      </c>
      <c r="F99" s="33" t="s">
        <v>15</v>
      </c>
      <c r="G99" s="35">
        <v>21</v>
      </c>
      <c r="H99" s="36"/>
      <c r="I99" s="33"/>
    </row>
    <row r="100" spans="2:9" ht="21" customHeight="1">
      <c r="B100" s="37">
        <v>46234</v>
      </c>
      <c r="C100" s="31" t="s">
        <v>126</v>
      </c>
      <c r="D100" s="33" t="s">
        <v>14</v>
      </c>
      <c r="E100" s="33" t="str">
        <f>IFERROR(VLOOKUP(D100,Sheet1!B:F,4,0),"")</f>
        <v>TUBE OUTLET-EVAP CORE</v>
      </c>
      <c r="F100" s="33" t="s">
        <v>45</v>
      </c>
      <c r="G100" s="35">
        <v>1</v>
      </c>
      <c r="H100" s="36"/>
      <c r="I100" s="33"/>
    </row>
    <row r="101" spans="2:9" ht="21" customHeight="1">
      <c r="B101" s="37">
        <v>46234</v>
      </c>
      <c r="C101" s="31" t="s">
        <v>126</v>
      </c>
      <c r="D101" s="33" t="s">
        <v>58</v>
      </c>
      <c r="E101" s="33">
        <f>IFERROR(VLOOKUP(D101,Sheet1!B:F,4,0),"")</f>
        <v>0</v>
      </c>
      <c r="F101" s="33" t="s">
        <v>59</v>
      </c>
      <c r="G101" s="35">
        <v>5</v>
      </c>
      <c r="H101" s="36"/>
      <c r="I101" s="33"/>
    </row>
    <row r="102" spans="2:9" ht="21" customHeight="1">
      <c r="B102" s="37">
        <v>46234</v>
      </c>
      <c r="C102" s="31" t="s">
        <v>126</v>
      </c>
      <c r="D102" s="33" t="s">
        <v>58</v>
      </c>
      <c r="E102" s="33">
        <f>IFERROR(VLOOKUP(D102,Sheet1!B:F,4,0),"")</f>
        <v>0</v>
      </c>
      <c r="F102" s="33" t="s">
        <v>13</v>
      </c>
      <c r="G102" s="35">
        <v>3</v>
      </c>
      <c r="H102" s="36"/>
      <c r="I102" s="33"/>
    </row>
    <row r="103" spans="2:9" ht="21" customHeight="1">
      <c r="B103" s="37">
        <v>46234</v>
      </c>
      <c r="C103" s="31" t="s">
        <v>126</v>
      </c>
      <c r="D103" s="33" t="s">
        <v>28</v>
      </c>
      <c r="E103" s="33" t="str">
        <f>IFERROR(VLOOKUP(D103,Sheet1!B:F,4,0),"")</f>
        <v>JUMP TUBE CA 핀무</v>
      </c>
      <c r="F103" s="33" t="s">
        <v>18</v>
      </c>
      <c r="G103" s="35">
        <v>1</v>
      </c>
      <c r="H103" s="36"/>
      <c r="I103" s="10" t="s">
        <v>134</v>
      </c>
    </row>
    <row r="104" spans="2:9" ht="21" customHeight="1">
      <c r="B104" s="37">
        <v>46234</v>
      </c>
      <c r="C104" s="31" t="s">
        <v>126</v>
      </c>
      <c r="D104" s="33" t="s">
        <v>49</v>
      </c>
      <c r="E104" s="33" t="str">
        <f>IFERROR(VLOOKUP(D104,Sheet1!B:F,4,0),"")</f>
        <v>COOLANT SPOUT-WCAC</v>
      </c>
      <c r="F104" s="33" t="s">
        <v>18</v>
      </c>
      <c r="G104" s="35">
        <v>1</v>
      </c>
      <c r="H104" s="36"/>
      <c r="I104" s="10"/>
    </row>
    <row r="105" spans="2:9" ht="21" customHeight="1">
      <c r="B105" s="37">
        <v>46234</v>
      </c>
      <c r="C105" s="31" t="s">
        <v>126</v>
      </c>
      <c r="D105" s="33" t="s">
        <v>49</v>
      </c>
      <c r="E105" s="33" t="str">
        <f>IFERROR(VLOOKUP(D105,Sheet1!B:F,4,0),"")</f>
        <v>COOLANT SPOUT-WCAC</v>
      </c>
      <c r="F105" s="33" t="s">
        <v>15</v>
      </c>
      <c r="G105" s="35">
        <v>1</v>
      </c>
      <c r="H105" s="36"/>
      <c r="I105" s="33"/>
    </row>
    <row r="106" spans="2:9" ht="21" customHeight="1">
      <c r="B106" s="37">
        <v>46240</v>
      </c>
      <c r="C106" s="31" t="s">
        <v>126</v>
      </c>
      <c r="D106" s="33" t="s">
        <v>12</v>
      </c>
      <c r="E106" s="33" t="str">
        <f>IFERROR(VLOOKUP(D106,Sheet1!B:F,4,0),"")</f>
        <v/>
      </c>
      <c r="F106" s="33" t="s">
        <v>13</v>
      </c>
      <c r="G106" s="38">
        <v>8</v>
      </c>
      <c r="H106" s="36"/>
      <c r="I106" s="33"/>
    </row>
    <row r="107" spans="2:9" ht="21" customHeight="1">
      <c r="B107" s="37">
        <v>46240</v>
      </c>
      <c r="C107" s="31" t="s">
        <v>126</v>
      </c>
      <c r="D107" s="33" t="s">
        <v>14</v>
      </c>
      <c r="E107" s="33" t="str">
        <f>IFERROR(VLOOKUP(D107,Sheet1!B:F,4,0),"")</f>
        <v>TUBE OUTLET-EVAP CORE</v>
      </c>
      <c r="F107" s="33" t="s">
        <v>15</v>
      </c>
      <c r="G107" s="38">
        <v>2</v>
      </c>
      <c r="H107" s="36"/>
      <c r="I107" s="33"/>
    </row>
    <row r="108" spans="2:9" ht="21" customHeight="1">
      <c r="B108" s="37">
        <v>46240</v>
      </c>
      <c r="C108" s="31" t="s">
        <v>126</v>
      </c>
      <c r="D108" s="33" t="s">
        <v>16</v>
      </c>
      <c r="E108" s="33" t="str">
        <f>IFERROR(VLOOKUP(D108,Sheet1!B:F,4,0),"")</f>
        <v>HTR OUT PIPE LHD</v>
      </c>
      <c r="F108" s="33" t="s">
        <v>17</v>
      </c>
      <c r="G108" s="38">
        <v>1</v>
      </c>
      <c r="H108" s="36"/>
      <c r="I108" s="33"/>
    </row>
    <row r="109" spans="2:9" ht="21" customHeight="1">
      <c r="B109" s="37">
        <v>46240</v>
      </c>
      <c r="C109" s="31" t="s">
        <v>126</v>
      </c>
      <c r="D109" s="33" t="s">
        <v>16</v>
      </c>
      <c r="E109" s="33" t="str">
        <f>IFERROR(VLOOKUP(D109,Sheet1!B:F,4,0),"")</f>
        <v>HTR OUT PIPE LHD</v>
      </c>
      <c r="F109" s="33" t="s">
        <v>18</v>
      </c>
      <c r="G109" s="38">
        <v>1</v>
      </c>
      <c r="H109" s="36"/>
      <c r="I109" s="33"/>
    </row>
    <row r="110" spans="2:9" ht="21" customHeight="1">
      <c r="B110" s="37">
        <v>46240</v>
      </c>
      <c r="C110" s="31" t="s">
        <v>126</v>
      </c>
      <c r="D110" s="33" t="s">
        <v>19</v>
      </c>
      <c r="E110" s="33" t="str">
        <f>IFERROR(VLOOKUP(D110,Sheet1!B:F,4,0),"")</f>
        <v>COOLANT SPOUT-WCAC</v>
      </c>
      <c r="F110" s="33" t="s">
        <v>20</v>
      </c>
      <c r="G110" s="38">
        <v>1</v>
      </c>
      <c r="H110" s="36"/>
      <c r="I110" s="33"/>
    </row>
    <row r="111" spans="2:9" ht="21" customHeight="1">
      <c r="B111" s="37">
        <v>46240</v>
      </c>
      <c r="C111" s="31" t="s">
        <v>126</v>
      </c>
      <c r="D111" s="33" t="s">
        <v>19</v>
      </c>
      <c r="E111" s="33" t="str">
        <f>IFERROR(VLOOKUP(D111,Sheet1!B:F,4,0),"")</f>
        <v>COOLANT SPOUT-WCAC</v>
      </c>
      <c r="F111" s="33" t="s">
        <v>21</v>
      </c>
      <c r="G111" s="38">
        <v>3</v>
      </c>
      <c r="H111" s="36"/>
      <c r="I111" s="33"/>
    </row>
    <row r="112" spans="2:9" ht="21" customHeight="1">
      <c r="B112" s="37">
        <v>46240</v>
      </c>
      <c r="C112" s="31" t="s">
        <v>126</v>
      </c>
      <c r="D112" s="33" t="s">
        <v>19</v>
      </c>
      <c r="E112" s="33" t="str">
        <f>IFERROR(VLOOKUP(D112,Sheet1!B:F,4,0),"")</f>
        <v>COOLANT SPOUT-WCAC</v>
      </c>
      <c r="F112" s="33" t="s">
        <v>15</v>
      </c>
      <c r="G112" s="38">
        <v>3</v>
      </c>
      <c r="H112" s="36"/>
      <c r="I112" s="33"/>
    </row>
    <row r="113" spans="2:9" ht="21" customHeight="1">
      <c r="B113" s="37">
        <v>46240</v>
      </c>
      <c r="C113" s="31" t="s">
        <v>126</v>
      </c>
      <c r="D113" s="33" t="s">
        <v>23</v>
      </c>
      <c r="E113" s="33" t="str">
        <f>IFERROR(VLOOKUP(D113,Sheet1!B:F,4,0),"")</f>
        <v>JUMP TUBE AA 핀무</v>
      </c>
      <c r="F113" s="10" t="s">
        <v>135</v>
      </c>
      <c r="G113" s="38">
        <v>11</v>
      </c>
      <c r="H113" s="36"/>
      <c r="I113" s="33"/>
    </row>
    <row r="114" spans="2:9" ht="21" customHeight="1">
      <c r="B114" s="37">
        <v>46240</v>
      </c>
      <c r="C114" s="31" t="s">
        <v>126</v>
      </c>
      <c r="D114" s="33" t="s">
        <v>22</v>
      </c>
      <c r="E114" s="33" t="str">
        <f>IFERROR(VLOOKUP(D114,Sheet1!B:F,4,0),"")</f>
        <v>FT-ASY-A/C JUMPER</v>
      </c>
      <c r="F114" s="33" t="s">
        <v>24</v>
      </c>
      <c r="G114" s="38">
        <v>12</v>
      </c>
      <c r="H114" s="36"/>
      <c r="I114" s="33"/>
    </row>
    <row r="115" spans="2:9" ht="21" customHeight="1">
      <c r="B115" s="37">
        <v>46241</v>
      </c>
      <c r="C115" s="31" t="s">
        <v>126</v>
      </c>
      <c r="D115" s="33" t="s">
        <v>25</v>
      </c>
      <c r="E115" s="33" t="str">
        <f>IFERROR(VLOOKUP(D115,Sheet1!B:F,4,0),"")</f>
        <v>OUTLET TUBE-HTR</v>
      </c>
      <c r="F115" s="33" t="s">
        <v>18</v>
      </c>
      <c r="G115" s="38">
        <v>1</v>
      </c>
      <c r="H115" s="36"/>
      <c r="I115" s="33"/>
    </row>
    <row r="116" spans="2:9" ht="21" customHeight="1">
      <c r="B116" s="37">
        <v>46241</v>
      </c>
      <c r="C116" s="31" t="s">
        <v>126</v>
      </c>
      <c r="D116" s="33" t="s">
        <v>25</v>
      </c>
      <c r="E116" s="33" t="str">
        <f>IFERROR(VLOOKUP(D116,Sheet1!B:F,4,0),"")</f>
        <v>OUTLET TUBE-HTR</v>
      </c>
      <c r="F116" s="33" t="s">
        <v>15</v>
      </c>
      <c r="G116" s="38">
        <v>1</v>
      </c>
      <c r="H116" s="36"/>
      <c r="I116" s="33"/>
    </row>
    <row r="117" spans="2:9" ht="21" customHeight="1">
      <c r="B117" s="37">
        <v>46241</v>
      </c>
      <c r="C117" s="31" t="s">
        <v>126</v>
      </c>
      <c r="D117" s="33" t="s">
        <v>26</v>
      </c>
      <c r="E117" s="33" t="str">
        <f>IFERROR(VLOOKUP(D117,Sheet1!B:F,4,0),"")</f>
        <v>INLET TUBE-HTR</v>
      </c>
      <c r="F117" s="33" t="s">
        <v>27</v>
      </c>
      <c r="G117" s="38">
        <v>2</v>
      </c>
      <c r="H117" s="36"/>
      <c r="I117" s="33"/>
    </row>
    <row r="118" spans="2:9" ht="21" customHeight="1">
      <c r="B118" s="37">
        <v>46241</v>
      </c>
      <c r="C118" s="31" t="s">
        <v>126</v>
      </c>
      <c r="D118" s="33" t="s">
        <v>26</v>
      </c>
      <c r="E118" s="33" t="str">
        <f>IFERROR(VLOOKUP(D118,Sheet1!B:F,4,0),"")</f>
        <v>INLET TUBE-HTR</v>
      </c>
      <c r="F118" s="33" t="s">
        <v>17</v>
      </c>
      <c r="G118" s="38">
        <v>1</v>
      </c>
      <c r="H118" s="36"/>
      <c r="I118" s="33"/>
    </row>
    <row r="119" spans="2:9" ht="21" customHeight="1">
      <c r="B119" s="37">
        <v>46241</v>
      </c>
      <c r="C119" s="31" t="s">
        <v>126</v>
      </c>
      <c r="D119" s="33" t="s">
        <v>28</v>
      </c>
      <c r="E119" s="33" t="str">
        <f>IFERROR(VLOOKUP(D119,Sheet1!B:F,4,0),"")</f>
        <v>JUMP TUBE CA 핀무</v>
      </c>
      <c r="F119" s="33" t="s">
        <v>18</v>
      </c>
      <c r="G119" s="38">
        <v>15</v>
      </c>
      <c r="H119" s="36"/>
      <c r="I119" s="33"/>
    </row>
    <row r="120" spans="2:9" ht="21" customHeight="1">
      <c r="B120" s="37">
        <v>46241</v>
      </c>
      <c r="C120" s="31" t="s">
        <v>126</v>
      </c>
      <c r="D120" s="33" t="s">
        <v>23</v>
      </c>
      <c r="E120" s="33" t="str">
        <f>IFERROR(VLOOKUP(D120,Sheet1!B:F,4,0),"")</f>
        <v>JUMP TUBE AA 핀무</v>
      </c>
      <c r="F120" s="10" t="s">
        <v>135</v>
      </c>
      <c r="G120" s="38">
        <v>15</v>
      </c>
      <c r="H120" s="36"/>
      <c r="I120" s="33"/>
    </row>
    <row r="121" spans="2:9" ht="21" customHeight="1">
      <c r="B121" s="37">
        <v>46241</v>
      </c>
      <c r="C121" s="31" t="s">
        <v>127</v>
      </c>
      <c r="D121" s="33" t="s">
        <v>156</v>
      </c>
      <c r="E121" s="33" t="str">
        <f>IFERROR(VLOOKUP(D121,Sheet1!B:F,4,0),"")</f>
        <v>HTR PIPE IN LHD</v>
      </c>
      <c r="F121" s="33" t="s">
        <v>262</v>
      </c>
      <c r="G121" s="35">
        <v>11</v>
      </c>
      <c r="H121" s="36"/>
      <c r="I121" s="33"/>
    </row>
    <row r="122" spans="2:9" ht="21" customHeight="1">
      <c r="B122" s="37">
        <v>46241</v>
      </c>
      <c r="C122" s="31" t="s">
        <v>127</v>
      </c>
      <c r="D122" s="33" t="s">
        <v>263</v>
      </c>
      <c r="E122" s="33" t="str">
        <f>IFERROR(VLOOKUP(D122,Sheet1!B:F,4,0),"")</f>
        <v>HTR OUT PIPE LHD</v>
      </c>
      <c r="F122" s="33" t="s">
        <v>139</v>
      </c>
      <c r="G122" s="35">
        <v>9</v>
      </c>
      <c r="H122" s="36"/>
      <c r="I122" s="33"/>
    </row>
    <row r="123" spans="2:9" ht="21" customHeight="1">
      <c r="B123" s="37">
        <v>46241</v>
      </c>
      <c r="C123" s="31" t="s">
        <v>127</v>
      </c>
      <c r="D123" s="33" t="s">
        <v>142</v>
      </c>
      <c r="E123" s="33" t="str">
        <f>IFERROR(VLOOKUP(D123,Sheet1!B:F,4,0),"")</f>
        <v>INLET TUBE-HTR</v>
      </c>
      <c r="F123" s="33" t="s">
        <v>264</v>
      </c>
      <c r="G123" s="35">
        <v>36</v>
      </c>
      <c r="H123" s="36"/>
      <c r="I123" s="33"/>
    </row>
    <row r="124" spans="2:9" ht="21" customHeight="1">
      <c r="B124" s="37">
        <v>46241</v>
      </c>
      <c r="C124" s="31" t="s">
        <v>127</v>
      </c>
      <c r="D124" s="33" t="s">
        <v>155</v>
      </c>
      <c r="E124" s="33" t="str">
        <f>IFERROR(VLOOKUP(D124,Sheet1!B:F,4,0),"")</f>
        <v>TUBE OUTLET-EVAP CORE</v>
      </c>
      <c r="F124" s="33" t="s">
        <v>139</v>
      </c>
      <c r="G124" s="35">
        <v>9</v>
      </c>
      <c r="H124" s="36"/>
      <c r="I124" s="33"/>
    </row>
    <row r="125" spans="2:9" ht="21" customHeight="1">
      <c r="B125" s="37">
        <v>46241</v>
      </c>
      <c r="C125" s="31" t="s">
        <v>127</v>
      </c>
      <c r="D125" s="33" t="s">
        <v>265</v>
      </c>
      <c r="E125" s="33" t="str">
        <f>IFERROR(VLOOKUP(D125,Sheet1!B:F,4,0),"")</f>
        <v/>
      </c>
      <c r="F125" s="33" t="s">
        <v>139</v>
      </c>
      <c r="G125" s="35">
        <v>9</v>
      </c>
      <c r="H125" s="36"/>
      <c r="I125" s="10" t="s">
        <v>266</v>
      </c>
    </row>
    <row r="126" spans="2:9" ht="21" customHeight="1">
      <c r="B126" s="37">
        <v>46241</v>
      </c>
      <c r="C126" s="31" t="s">
        <v>127</v>
      </c>
      <c r="D126" s="33" t="s">
        <v>265</v>
      </c>
      <c r="E126" s="33" t="str">
        <f>IFERROR(VLOOKUP(D126,Sheet1!B:F,4,0),"")</f>
        <v/>
      </c>
      <c r="F126" s="33" t="s">
        <v>139</v>
      </c>
      <c r="G126" s="35">
        <v>5</v>
      </c>
      <c r="H126" s="36"/>
      <c r="I126" s="10" t="s">
        <v>261</v>
      </c>
    </row>
    <row r="127" spans="2:9" ht="21" customHeight="1">
      <c r="B127" s="37">
        <v>46241</v>
      </c>
      <c r="C127" s="31" t="s">
        <v>127</v>
      </c>
      <c r="D127" s="33" t="s">
        <v>141</v>
      </c>
      <c r="E127" s="33" t="str">
        <f>IFERROR(VLOOKUP(D127,Sheet1!B:F,4,0),"")</f>
        <v>COOLANT SPOUT-WCAC</v>
      </c>
      <c r="F127" s="33" t="s">
        <v>139</v>
      </c>
      <c r="G127" s="35">
        <v>30</v>
      </c>
      <c r="H127" s="36"/>
      <c r="I127" s="33"/>
    </row>
    <row r="128" spans="2:9" ht="21" customHeight="1">
      <c r="B128" s="37">
        <v>46242</v>
      </c>
      <c r="C128" s="31" t="s">
        <v>126</v>
      </c>
      <c r="D128" s="33" t="s">
        <v>29</v>
      </c>
      <c r="E128" s="33" t="str">
        <f>IFERROR(VLOOKUP(D128,Sheet1!B:F,4,0),"")</f>
        <v>COOLANT SPOUT-WCAC</v>
      </c>
      <c r="F128" s="33" t="s">
        <v>15</v>
      </c>
      <c r="G128" s="38">
        <v>12</v>
      </c>
      <c r="H128" s="36"/>
      <c r="I128" s="33"/>
    </row>
    <row r="129" spans="2:9" ht="21" customHeight="1">
      <c r="B129" s="37">
        <v>46242</v>
      </c>
      <c r="C129" s="31" t="s">
        <v>126</v>
      </c>
      <c r="D129" s="33" t="s">
        <v>29</v>
      </c>
      <c r="E129" s="33" t="str">
        <f>IFERROR(VLOOKUP(D129,Sheet1!B:F,4,0),"")</f>
        <v>COOLANT SPOUT-WCAC</v>
      </c>
      <c r="F129" s="33" t="s">
        <v>27</v>
      </c>
      <c r="G129" s="38">
        <v>1</v>
      </c>
      <c r="H129" s="36"/>
      <c r="I129" s="33"/>
    </row>
    <row r="130" spans="2:9" ht="21" customHeight="1">
      <c r="B130" s="37">
        <v>46242</v>
      </c>
      <c r="C130" s="31" t="s">
        <v>126</v>
      </c>
      <c r="D130" s="33" t="s">
        <v>29</v>
      </c>
      <c r="E130" s="33" t="str">
        <f>IFERROR(VLOOKUP(D130,Sheet1!B:F,4,0),"")</f>
        <v>COOLANT SPOUT-WCAC</v>
      </c>
      <c r="F130" s="33" t="s">
        <v>21</v>
      </c>
      <c r="G130" s="38">
        <v>1</v>
      </c>
      <c r="H130" s="36"/>
      <c r="I130" s="33"/>
    </row>
    <row r="131" spans="2:9" ht="21" customHeight="1">
      <c r="B131" s="37">
        <v>46244</v>
      </c>
      <c r="C131" s="31" t="s">
        <v>126</v>
      </c>
      <c r="D131" s="33" t="s">
        <v>30</v>
      </c>
      <c r="E131" s="33" t="str">
        <f>IFERROR(VLOOKUP(D131,Sheet1!B:F,4,0),"")</f>
        <v/>
      </c>
      <c r="F131" s="33" t="s">
        <v>13</v>
      </c>
      <c r="G131" s="38">
        <v>1</v>
      </c>
      <c r="H131" s="36"/>
      <c r="I131" s="33"/>
    </row>
    <row r="132" spans="2:9" ht="21" customHeight="1">
      <c r="B132" s="37">
        <v>46244</v>
      </c>
      <c r="C132" s="31" t="s">
        <v>126</v>
      </c>
      <c r="D132" s="33" t="s">
        <v>14</v>
      </c>
      <c r="E132" s="33" t="str">
        <f>IFERROR(VLOOKUP(D132,Sheet1!B:F,4,0),"")</f>
        <v>TUBE OUTLET-EVAP CORE</v>
      </c>
      <c r="F132" s="33" t="s">
        <v>15</v>
      </c>
      <c r="G132" s="38">
        <v>5</v>
      </c>
      <c r="H132" s="36"/>
      <c r="I132" s="33"/>
    </row>
    <row r="133" spans="2:9" ht="21" customHeight="1">
      <c r="B133" s="37">
        <v>46244</v>
      </c>
      <c r="C133" s="31" t="s">
        <v>126</v>
      </c>
      <c r="D133" s="33" t="s">
        <v>14</v>
      </c>
      <c r="E133" s="33" t="str">
        <f>IFERROR(VLOOKUP(D133,Sheet1!B:F,4,0),"")</f>
        <v>TUBE OUTLET-EVAP CORE</v>
      </c>
      <c r="F133" s="33" t="s">
        <v>27</v>
      </c>
      <c r="G133" s="38">
        <v>5</v>
      </c>
      <c r="H133" s="36"/>
      <c r="I133" s="33"/>
    </row>
    <row r="134" spans="2:9" ht="21" customHeight="1">
      <c r="B134" s="37">
        <v>46244</v>
      </c>
      <c r="C134" s="31" t="s">
        <v>126</v>
      </c>
      <c r="D134" s="33" t="s">
        <v>31</v>
      </c>
      <c r="E134" s="33" t="str">
        <f>IFERROR(VLOOKUP(D134,Sheet1!B:F,4,0),"")</f>
        <v>COOLANT SPOUT-WCAC</v>
      </c>
      <c r="F134" s="33" t="s">
        <v>18</v>
      </c>
      <c r="G134" s="38">
        <v>3</v>
      </c>
      <c r="H134" s="36"/>
      <c r="I134" s="33"/>
    </row>
    <row r="135" spans="2:9" ht="21" customHeight="1">
      <c r="B135" s="37">
        <v>46244</v>
      </c>
      <c r="C135" s="31" t="s">
        <v>126</v>
      </c>
      <c r="D135" s="33" t="s">
        <v>19</v>
      </c>
      <c r="E135" s="33" t="str">
        <f>IFERROR(VLOOKUP(D135,Sheet1!B:F,4,0),"")</f>
        <v>COOLANT SPOUT-WCAC</v>
      </c>
      <c r="F135" s="33" t="s">
        <v>32</v>
      </c>
      <c r="G135" s="38">
        <v>3</v>
      </c>
      <c r="H135" s="36"/>
      <c r="I135" s="33"/>
    </row>
    <row r="136" spans="2:9" ht="21" customHeight="1">
      <c r="B136" s="37">
        <v>46244</v>
      </c>
      <c r="C136" s="31" t="s">
        <v>126</v>
      </c>
      <c r="D136" s="33" t="s">
        <v>33</v>
      </c>
      <c r="E136" s="33" t="str">
        <f>IFERROR(VLOOKUP(D136,Sheet1!B:F,4,0),"")</f>
        <v>HTR PIPE IN RHD</v>
      </c>
      <c r="F136" s="33" t="s">
        <v>35</v>
      </c>
      <c r="G136" s="35">
        <v>29</v>
      </c>
      <c r="H136" s="36"/>
      <c r="I136" s="33" t="s">
        <v>36</v>
      </c>
    </row>
    <row r="137" spans="2:9" ht="21" customHeight="1">
      <c r="B137" s="37">
        <v>46244</v>
      </c>
      <c r="C137" s="31" t="s">
        <v>126</v>
      </c>
      <c r="D137" s="33" t="s">
        <v>34</v>
      </c>
      <c r="E137" s="33" t="str">
        <f>IFERROR(VLOOKUP(D137,Sheet1!B:F,4,0),"")</f>
        <v>HTR PIPE IN LHD</v>
      </c>
      <c r="F137" s="33" t="s">
        <v>37</v>
      </c>
      <c r="G137" s="35">
        <v>7</v>
      </c>
      <c r="H137" s="36"/>
      <c r="I137" s="33" t="s">
        <v>36</v>
      </c>
    </row>
    <row r="138" spans="2:9" ht="21" customHeight="1">
      <c r="B138" s="37">
        <v>46244</v>
      </c>
      <c r="C138" s="31" t="s">
        <v>126</v>
      </c>
      <c r="D138" s="33" t="s">
        <v>23</v>
      </c>
      <c r="E138" s="33" t="str">
        <f>IFERROR(VLOOKUP(D138,Sheet1!B:F,4,0),"")</f>
        <v>JUMP TUBE AA 핀무</v>
      </c>
      <c r="F138" s="10" t="s">
        <v>135</v>
      </c>
      <c r="G138" s="35">
        <v>1</v>
      </c>
      <c r="H138" s="36"/>
      <c r="I138" s="33"/>
    </row>
    <row r="139" spans="2:9" ht="21" customHeight="1">
      <c r="B139" s="37">
        <v>46244</v>
      </c>
      <c r="C139" s="31" t="s">
        <v>126</v>
      </c>
      <c r="D139" s="33" t="s">
        <v>28</v>
      </c>
      <c r="E139" s="33" t="str">
        <f>IFERROR(VLOOKUP(D139,Sheet1!B:F,4,0),"")</f>
        <v>JUMP TUBE CA 핀무</v>
      </c>
      <c r="F139" s="10" t="s">
        <v>136</v>
      </c>
      <c r="G139" s="35">
        <v>2</v>
      </c>
      <c r="H139" s="36"/>
      <c r="I139" s="33"/>
    </row>
    <row r="140" spans="2:9" ht="21" customHeight="1">
      <c r="B140" s="37">
        <v>46244</v>
      </c>
      <c r="C140" s="31" t="s">
        <v>126</v>
      </c>
      <c r="D140" s="33" t="s">
        <v>38</v>
      </c>
      <c r="E140" s="33" t="str">
        <f>IFERROR(VLOOKUP(D140,Sheet1!B:F,4,0),"")</f>
        <v>FT-ASY-A/C JUMPER</v>
      </c>
      <c r="F140" s="33" t="s">
        <v>39</v>
      </c>
      <c r="G140" s="35">
        <v>14</v>
      </c>
      <c r="H140" s="36"/>
      <c r="I140" s="33" t="s">
        <v>36</v>
      </c>
    </row>
    <row r="141" spans="2:9" ht="21" customHeight="1">
      <c r="B141" s="37">
        <v>46244</v>
      </c>
      <c r="C141" s="31" t="s">
        <v>126</v>
      </c>
      <c r="D141" s="33" t="s">
        <v>42</v>
      </c>
      <c r="E141" s="33" t="str">
        <f>IFERROR(VLOOKUP(D141,Sheet1!B:F,4,0),"")</f>
        <v>FT-ASY-A/C JUMPER</v>
      </c>
      <c r="F141" s="33" t="s">
        <v>40</v>
      </c>
      <c r="G141" s="35">
        <v>1</v>
      </c>
      <c r="H141" s="36"/>
      <c r="I141" s="33"/>
    </row>
    <row r="142" spans="2:9" ht="21" customHeight="1">
      <c r="B142" s="37">
        <v>46244</v>
      </c>
      <c r="C142" s="31" t="s">
        <v>126</v>
      </c>
      <c r="D142" s="33" t="s">
        <v>41</v>
      </c>
      <c r="E142" s="33" t="str">
        <f>IFERROR(VLOOKUP(D142,Sheet1!B:F,4,0),"")</f>
        <v>FT-ASY-A/C JUMPER</v>
      </c>
      <c r="F142" s="33" t="s">
        <v>39</v>
      </c>
      <c r="G142" s="35">
        <v>12</v>
      </c>
      <c r="H142" s="36"/>
      <c r="I142" s="33" t="s">
        <v>36</v>
      </c>
    </row>
    <row r="143" spans="2:9" ht="21" customHeight="1">
      <c r="B143" s="37">
        <v>46244</v>
      </c>
      <c r="C143" s="31" t="s">
        <v>127</v>
      </c>
      <c r="D143" s="33" t="s">
        <v>43</v>
      </c>
      <c r="E143" s="33" t="str">
        <f>IFERROR(VLOOKUP(D143,Sheet1!B:F,4,0),"")</f>
        <v>HTR OUT LHD</v>
      </c>
      <c r="F143" s="33" t="s">
        <v>129</v>
      </c>
      <c r="G143" s="35">
        <v>100</v>
      </c>
      <c r="H143" s="36"/>
      <c r="I143" s="33"/>
    </row>
    <row r="144" spans="2:9" ht="21" customHeight="1">
      <c r="B144" s="37">
        <v>46244</v>
      </c>
      <c r="C144" s="31" t="s">
        <v>127</v>
      </c>
      <c r="D144" s="33" t="s">
        <v>43</v>
      </c>
      <c r="E144" s="33" t="str">
        <f>IFERROR(VLOOKUP(D144,Sheet1!B:F,4,0),"")</f>
        <v>HTR OUT LHD</v>
      </c>
      <c r="F144" s="33" t="s">
        <v>139</v>
      </c>
      <c r="G144" s="35">
        <v>16</v>
      </c>
      <c r="H144" s="36"/>
      <c r="I144" s="33"/>
    </row>
    <row r="145" spans="2:9" ht="21" customHeight="1">
      <c r="B145" s="37">
        <v>46244</v>
      </c>
      <c r="C145" s="31" t="s">
        <v>127</v>
      </c>
      <c r="D145" s="33" t="s">
        <v>155</v>
      </c>
      <c r="E145" s="33" t="str">
        <f>IFERROR(VLOOKUP(D145,Sheet1!B:F,4,0),"")</f>
        <v>TUBE OUTLET-EVAP CORE</v>
      </c>
      <c r="F145" s="33" t="s">
        <v>139</v>
      </c>
      <c r="G145" s="35">
        <v>2</v>
      </c>
      <c r="H145" s="36"/>
      <c r="I145" s="33"/>
    </row>
    <row r="146" spans="2:9" ht="21" customHeight="1">
      <c r="B146" s="37">
        <v>46244</v>
      </c>
      <c r="C146" s="31" t="s">
        <v>127</v>
      </c>
      <c r="D146" s="33" t="s">
        <v>141</v>
      </c>
      <c r="E146" s="33" t="str">
        <f>IFERROR(VLOOKUP(D146,Sheet1!B:F,4,0),"")</f>
        <v>COOLANT SPOUT-WCAC</v>
      </c>
      <c r="F146" s="33" t="s">
        <v>139</v>
      </c>
      <c r="G146" s="35">
        <v>6</v>
      </c>
      <c r="H146" s="36"/>
      <c r="I146" s="33"/>
    </row>
    <row r="147" spans="2:9" ht="21" customHeight="1">
      <c r="B147" s="37">
        <v>46244</v>
      </c>
      <c r="C147" s="31" t="s">
        <v>127</v>
      </c>
      <c r="D147" s="33" t="s">
        <v>152</v>
      </c>
      <c r="E147" s="33" t="str">
        <f>IFERROR(VLOOKUP(D147,Sheet1!B:F,4,0),"")</f>
        <v>COOLANT SPOUT-WCAC</v>
      </c>
      <c r="F147" s="33" t="s">
        <v>139</v>
      </c>
      <c r="G147" s="35">
        <v>12</v>
      </c>
      <c r="H147" s="36"/>
      <c r="I147" s="33"/>
    </row>
    <row r="148" spans="2:9" ht="21" customHeight="1">
      <c r="B148" s="37">
        <v>46244</v>
      </c>
      <c r="C148" s="31" t="s">
        <v>127</v>
      </c>
      <c r="D148" s="33" t="s">
        <v>267</v>
      </c>
      <c r="E148" s="33" t="str">
        <f>IFERROR(VLOOKUP(D148,Sheet1!B:F,4,0),"")</f>
        <v>EVAP LHD</v>
      </c>
      <c r="F148" s="33" t="s">
        <v>268</v>
      </c>
      <c r="G148" s="35">
        <v>12</v>
      </c>
      <c r="H148" s="36"/>
      <c r="I148" s="10" t="s">
        <v>266</v>
      </c>
    </row>
    <row r="149" spans="2:9" ht="21" customHeight="1">
      <c r="B149" s="37">
        <v>46245</v>
      </c>
      <c r="C149" s="31" t="s">
        <v>126</v>
      </c>
      <c r="D149" s="33" t="s">
        <v>81</v>
      </c>
      <c r="E149" s="33" t="str">
        <f>IFERROR(VLOOKUP(D149,Sheet1!B:F,4,0),"")</f>
        <v>FT-ASY-A/C JUMPER</v>
      </c>
      <c r="F149" s="33" t="s">
        <v>82</v>
      </c>
      <c r="G149" s="35">
        <v>6</v>
      </c>
      <c r="H149" s="36"/>
      <c r="I149" s="33" t="s">
        <v>83</v>
      </c>
    </row>
    <row r="150" spans="2:9" ht="21" customHeight="1">
      <c r="B150" s="37">
        <v>46245</v>
      </c>
      <c r="C150" s="31" t="s">
        <v>126</v>
      </c>
      <c r="D150" s="33" t="s">
        <v>84</v>
      </c>
      <c r="E150" s="33" t="str">
        <f>IFERROR(VLOOKUP(D150,Sheet1!B:F,4,0),"")</f>
        <v>COOLANT SPOUT-WCAC</v>
      </c>
      <c r="F150" s="33" t="s">
        <v>85</v>
      </c>
      <c r="G150" s="35">
        <v>1</v>
      </c>
      <c r="H150" s="36"/>
      <c r="I150" s="33"/>
    </row>
    <row r="151" spans="2:9" ht="21" customHeight="1">
      <c r="B151" s="37">
        <v>46245</v>
      </c>
      <c r="C151" s="31" t="s">
        <v>126</v>
      </c>
      <c r="D151" s="33" t="s">
        <v>84</v>
      </c>
      <c r="E151" s="33" t="str">
        <f>IFERROR(VLOOKUP(D151,Sheet1!B:F,4,0),"")</f>
        <v>COOLANT SPOUT-WCAC</v>
      </c>
      <c r="F151" s="33" t="s">
        <v>86</v>
      </c>
      <c r="G151" s="35">
        <v>1</v>
      </c>
      <c r="H151" s="36"/>
      <c r="I151" s="33"/>
    </row>
    <row r="152" spans="2:9" ht="21" customHeight="1">
      <c r="B152" s="37">
        <v>46245</v>
      </c>
      <c r="C152" s="31" t="s">
        <v>126</v>
      </c>
      <c r="D152" s="33" t="s">
        <v>84</v>
      </c>
      <c r="E152" s="33" t="str">
        <f>IFERROR(VLOOKUP(D152,Sheet1!B:F,4,0),"")</f>
        <v>COOLANT SPOUT-WCAC</v>
      </c>
      <c r="F152" s="33" t="s">
        <v>87</v>
      </c>
      <c r="G152" s="35">
        <v>2</v>
      </c>
      <c r="H152" s="36"/>
      <c r="I152" s="33"/>
    </row>
    <row r="153" spans="2:9" ht="21" customHeight="1">
      <c r="B153" s="37">
        <v>46245</v>
      </c>
      <c r="C153" s="31" t="s">
        <v>127</v>
      </c>
      <c r="D153" s="33" t="s">
        <v>251</v>
      </c>
      <c r="E153" s="33" t="str">
        <f>IFERROR(VLOOKUP(D153,Sheet1!B:F,4,0),"")</f>
        <v/>
      </c>
      <c r="F153" s="33" t="s">
        <v>252</v>
      </c>
      <c r="G153" s="35">
        <v>4</v>
      </c>
      <c r="H153" s="36"/>
      <c r="I153" s="33"/>
    </row>
    <row r="154" spans="2:9" ht="21" customHeight="1">
      <c r="B154" s="37">
        <v>46245</v>
      </c>
      <c r="C154" s="31" t="s">
        <v>127</v>
      </c>
      <c r="D154" s="33" t="s">
        <v>91</v>
      </c>
      <c r="E154" s="33" t="str">
        <f>IFERROR(VLOOKUP(D154,Sheet1!B:F,4,0),"")</f>
        <v>EVAP PIPE LHD</v>
      </c>
      <c r="F154" s="33" t="s">
        <v>253</v>
      </c>
      <c r="G154" s="35">
        <v>18</v>
      </c>
      <c r="H154" s="36"/>
      <c r="I154" s="33"/>
    </row>
    <row r="155" spans="2:9" ht="21" customHeight="1">
      <c r="B155" s="37">
        <v>46245</v>
      </c>
      <c r="C155" s="31" t="s">
        <v>127</v>
      </c>
      <c r="D155" s="33" t="s">
        <v>153</v>
      </c>
      <c r="E155" s="33" t="str">
        <f>IFERROR(VLOOKUP(D155,Sheet1!B:F,4,0),"")</f>
        <v>JUMP TUBE AA 핀무</v>
      </c>
      <c r="F155" s="33" t="s">
        <v>137</v>
      </c>
      <c r="G155" s="35">
        <v>12</v>
      </c>
      <c r="H155" s="36"/>
      <c r="I155" s="33"/>
    </row>
    <row r="156" spans="2:9" ht="21" customHeight="1">
      <c r="B156" s="37">
        <v>46245</v>
      </c>
      <c r="C156" s="31" t="s">
        <v>127</v>
      </c>
      <c r="D156" s="33" t="s">
        <v>153</v>
      </c>
      <c r="E156" s="33" t="str">
        <f>IFERROR(VLOOKUP(D156,Sheet1!B:F,4,0),"")</f>
        <v>JUMP TUBE AA 핀무</v>
      </c>
      <c r="F156" s="33" t="s">
        <v>253</v>
      </c>
      <c r="G156" s="35">
        <v>1</v>
      </c>
      <c r="H156" s="36"/>
      <c r="I156" s="33"/>
    </row>
    <row r="157" spans="2:9" ht="21" customHeight="1">
      <c r="B157" s="37">
        <v>46245</v>
      </c>
      <c r="C157" s="31" t="s">
        <v>127</v>
      </c>
      <c r="D157" s="33" t="s">
        <v>153</v>
      </c>
      <c r="E157" s="33" t="str">
        <f>IFERROR(VLOOKUP(D157,Sheet1!B:F,4,0),"")</f>
        <v>JUMP TUBE AA 핀무</v>
      </c>
      <c r="F157" s="33" t="s">
        <v>139</v>
      </c>
      <c r="G157" s="35">
        <v>1</v>
      </c>
      <c r="H157" s="36"/>
      <c r="I157" s="33"/>
    </row>
    <row r="158" spans="2:9" ht="21" customHeight="1">
      <c r="B158" s="37">
        <v>46245</v>
      </c>
      <c r="C158" s="31" t="s">
        <v>127</v>
      </c>
      <c r="D158" s="33" t="s">
        <v>141</v>
      </c>
      <c r="E158" s="33" t="str">
        <f>IFERROR(VLOOKUP(D158,Sheet1!B:F,4,0),"")</f>
        <v>COOLANT SPOUT-WCAC</v>
      </c>
      <c r="F158" s="33" t="s">
        <v>139</v>
      </c>
      <c r="G158" s="35">
        <v>9</v>
      </c>
      <c r="H158" s="36"/>
      <c r="I158" s="33"/>
    </row>
    <row r="159" spans="2:9" ht="21" customHeight="1">
      <c r="B159" s="37">
        <v>46245</v>
      </c>
      <c r="C159" s="31" t="s">
        <v>127</v>
      </c>
      <c r="D159" s="33" t="s">
        <v>152</v>
      </c>
      <c r="E159" s="33" t="str">
        <f>IFERROR(VLOOKUP(D159,Sheet1!B:F,4,0),"")</f>
        <v>COOLANT SPOUT-WCAC</v>
      </c>
      <c r="F159" s="33" t="s">
        <v>139</v>
      </c>
      <c r="G159" s="35">
        <v>5</v>
      </c>
      <c r="H159" s="36"/>
      <c r="I159" s="33"/>
    </row>
    <row r="160" spans="2:9" ht="21" customHeight="1">
      <c r="B160" s="37">
        <v>46245</v>
      </c>
      <c r="C160" s="31" t="s">
        <v>127</v>
      </c>
      <c r="D160" s="33" t="s">
        <v>142</v>
      </c>
      <c r="E160" s="33" t="str">
        <f>IFERROR(VLOOKUP(D160,Sheet1!B:F,4,0),"")</f>
        <v>INLET TUBE-HTR</v>
      </c>
      <c r="F160" s="33" t="s">
        <v>143</v>
      </c>
      <c r="G160" s="35">
        <v>1</v>
      </c>
      <c r="H160" s="36"/>
      <c r="I160" s="33"/>
    </row>
    <row r="161" spans="2:9" ht="21" customHeight="1">
      <c r="B161" s="37">
        <v>46245</v>
      </c>
      <c r="C161" s="31" t="s">
        <v>127</v>
      </c>
      <c r="D161" s="33" t="s">
        <v>43</v>
      </c>
      <c r="E161" s="33" t="str">
        <f>IFERROR(VLOOKUP(D161,Sheet1!B:F,4,0),"")</f>
        <v>HTR OUT LHD</v>
      </c>
      <c r="F161" s="33" t="s">
        <v>139</v>
      </c>
      <c r="G161" s="35">
        <v>10</v>
      </c>
      <c r="H161" s="36"/>
      <c r="I161" s="33"/>
    </row>
    <row r="162" spans="2:9" ht="21" customHeight="1">
      <c r="B162" s="37">
        <v>46245</v>
      </c>
      <c r="C162" s="31" t="s">
        <v>127</v>
      </c>
      <c r="D162" s="33" t="s">
        <v>255</v>
      </c>
      <c r="E162" s="33" t="str">
        <f>IFERROR(VLOOKUP(D162,Sheet1!B:F,4,0),"")</f>
        <v>INLET TUBE-HTR</v>
      </c>
      <c r="F162" s="33" t="s">
        <v>139</v>
      </c>
      <c r="G162" s="35">
        <v>7</v>
      </c>
      <c r="H162" s="36"/>
      <c r="I162" s="33"/>
    </row>
    <row r="163" spans="2:9" ht="21" customHeight="1">
      <c r="B163" s="37">
        <v>46245</v>
      </c>
      <c r="C163" s="31" t="s">
        <v>127</v>
      </c>
      <c r="D163" s="33" t="s">
        <v>258</v>
      </c>
      <c r="E163" s="33" t="str">
        <f>IFERROR(VLOOKUP(D163,Sheet1!B:F,4,0),"")</f>
        <v>OUTLET TUBE-HTR</v>
      </c>
      <c r="F163" s="33" t="s">
        <v>139</v>
      </c>
      <c r="G163" s="35">
        <v>5</v>
      </c>
      <c r="H163" s="36"/>
      <c r="I163" s="33"/>
    </row>
    <row r="164" spans="2:9" ht="21" customHeight="1">
      <c r="B164" s="37">
        <v>46245</v>
      </c>
      <c r="C164" s="37" t="s">
        <v>127</v>
      </c>
      <c r="D164" s="33" t="s">
        <v>155</v>
      </c>
      <c r="E164" s="33" t="str">
        <f>IFERROR(VLOOKUP(D164,Sheet1!B:F,4,0),"")</f>
        <v>TUBE OUTLET-EVAP CORE</v>
      </c>
      <c r="F164" s="33" t="s">
        <v>262</v>
      </c>
      <c r="G164" s="35">
        <v>6</v>
      </c>
      <c r="H164" s="36"/>
      <c r="I164" s="33"/>
    </row>
    <row r="165" spans="2:9" ht="21" customHeight="1">
      <c r="B165" s="37">
        <v>46246</v>
      </c>
      <c r="C165" s="37" t="s">
        <v>126</v>
      </c>
      <c r="D165" s="33" t="s">
        <v>88</v>
      </c>
      <c r="E165" s="33" t="str">
        <f>IFERROR(VLOOKUP(D165,Sheet1!B:F,4,0),"")</f>
        <v>FT-ASY-A/C JUMPER</v>
      </c>
      <c r="F165" s="33"/>
      <c r="G165" s="35">
        <v>75</v>
      </c>
      <c r="H165" s="36"/>
      <c r="I165" s="33" t="s">
        <v>89</v>
      </c>
    </row>
    <row r="166" spans="2:9" ht="21" customHeight="1">
      <c r="B166" s="37">
        <v>46246</v>
      </c>
      <c r="C166" s="37" t="s">
        <v>126</v>
      </c>
      <c r="D166" s="33" t="s">
        <v>90</v>
      </c>
      <c r="E166" s="33" t="str">
        <f>IFERROR(VLOOKUP(D166,Sheet1!B:F,4,0),"")</f>
        <v>INLET TUBE-HTR</v>
      </c>
      <c r="F166" s="33"/>
      <c r="G166" s="35">
        <v>1</v>
      </c>
      <c r="H166" s="36"/>
      <c r="I166" s="33"/>
    </row>
    <row r="167" spans="2:9" ht="21" customHeight="1">
      <c r="B167" s="37">
        <v>46246</v>
      </c>
      <c r="C167" s="37" t="s">
        <v>126</v>
      </c>
      <c r="D167" s="33" t="s">
        <v>91</v>
      </c>
      <c r="E167" s="33" t="str">
        <f>IFERROR(VLOOKUP(D167,Sheet1!B:F,4,0),"")</f>
        <v>EVAP PIPE LHD</v>
      </c>
      <c r="F167" s="33" t="s">
        <v>86</v>
      </c>
      <c r="G167" s="35">
        <v>1</v>
      </c>
      <c r="H167" s="36"/>
      <c r="I167" s="33"/>
    </row>
    <row r="168" spans="2:9" ht="21" customHeight="1">
      <c r="B168" s="37">
        <v>46246</v>
      </c>
      <c r="C168" s="37" t="s">
        <v>126</v>
      </c>
      <c r="D168" s="33" t="s">
        <v>81</v>
      </c>
      <c r="E168" s="33" t="str">
        <f>IFERROR(VLOOKUP(D168,Sheet1!B:F,4,0),"")</f>
        <v>FT-ASY-A/C JUMPER</v>
      </c>
      <c r="F168" s="33" t="s">
        <v>82</v>
      </c>
      <c r="G168" s="35">
        <v>1</v>
      </c>
      <c r="H168" s="36"/>
      <c r="I168" s="33" t="s">
        <v>92</v>
      </c>
    </row>
    <row r="169" spans="2:9" ht="21" customHeight="1">
      <c r="B169" s="37">
        <v>46246</v>
      </c>
      <c r="C169" s="37" t="s">
        <v>126</v>
      </c>
      <c r="D169" s="33" t="s">
        <v>81</v>
      </c>
      <c r="E169" s="33" t="str">
        <f>IFERROR(VLOOKUP(D169,Sheet1!B:F,4,0),"")</f>
        <v>FT-ASY-A/C JUMPER</v>
      </c>
      <c r="F169" s="33" t="s">
        <v>93</v>
      </c>
      <c r="G169" s="35">
        <v>1</v>
      </c>
      <c r="H169" s="36"/>
      <c r="I169" s="33"/>
    </row>
    <row r="170" spans="2:9" ht="21" customHeight="1">
      <c r="B170" s="37">
        <v>46246</v>
      </c>
      <c r="C170" s="37" t="s">
        <v>127</v>
      </c>
      <c r="D170" s="33" t="s">
        <v>47</v>
      </c>
      <c r="E170" s="33" t="str">
        <f>IFERROR(VLOOKUP(D170,Sheet1!B:F,4,0),"")</f>
        <v>HTR IN LHD</v>
      </c>
      <c r="F170" s="33" t="s">
        <v>139</v>
      </c>
      <c r="G170" s="35">
        <v>28</v>
      </c>
      <c r="H170" s="36"/>
      <c r="I170" s="33"/>
    </row>
    <row r="171" spans="2:9" ht="21" customHeight="1">
      <c r="B171" s="37">
        <v>46246</v>
      </c>
      <c r="C171" s="37" t="s">
        <v>127</v>
      </c>
      <c r="D171" s="33" t="s">
        <v>142</v>
      </c>
      <c r="E171" s="33" t="str">
        <f>IFERROR(VLOOKUP(D171,Sheet1!B:F,4,0),"")</f>
        <v>INLET TUBE-HTR</v>
      </c>
      <c r="F171" s="33" t="s">
        <v>254</v>
      </c>
      <c r="G171" s="35">
        <v>1</v>
      </c>
      <c r="H171" s="36"/>
      <c r="I171" s="33"/>
    </row>
    <row r="172" spans="2:9" ht="21" customHeight="1">
      <c r="B172" s="37">
        <v>46246</v>
      </c>
      <c r="C172" s="37" t="s">
        <v>127</v>
      </c>
      <c r="D172" s="33" t="s">
        <v>255</v>
      </c>
      <c r="E172" s="33" t="str">
        <f>IFERROR(VLOOKUP(D172,Sheet1!B:F,4,0),"")</f>
        <v>INLET TUBE-HTR</v>
      </c>
      <c r="F172" s="33" t="s">
        <v>138</v>
      </c>
      <c r="G172" s="35">
        <v>6</v>
      </c>
      <c r="H172" s="36"/>
      <c r="I172" s="33"/>
    </row>
    <row r="173" spans="2:9" ht="21" customHeight="1">
      <c r="B173" s="37">
        <v>46246</v>
      </c>
      <c r="C173" s="37" t="s">
        <v>127</v>
      </c>
      <c r="D173" s="33" t="s">
        <v>155</v>
      </c>
      <c r="E173" s="33" t="str">
        <f>IFERROR(VLOOKUP(D173,Sheet1!B:F,4,0),"")</f>
        <v>TUBE OUTLET-EVAP CORE</v>
      </c>
      <c r="F173" s="33" t="s">
        <v>138</v>
      </c>
      <c r="G173" s="35">
        <v>7</v>
      </c>
      <c r="H173" s="36"/>
      <c r="I173" s="33"/>
    </row>
    <row r="174" spans="2:9" ht="21" customHeight="1">
      <c r="B174" s="37">
        <v>46246</v>
      </c>
      <c r="C174" s="37" t="s">
        <v>127</v>
      </c>
      <c r="D174" s="33" t="s">
        <v>256</v>
      </c>
      <c r="E174" s="33" t="str">
        <f>IFERROR(VLOOKUP(D174,Sheet1!B:F,4,0),"")</f>
        <v/>
      </c>
      <c r="F174" s="33" t="s">
        <v>252</v>
      </c>
      <c r="G174" s="35">
        <v>4</v>
      </c>
      <c r="H174" s="36"/>
      <c r="I174" s="33"/>
    </row>
    <row r="175" spans="2:9" ht="21" customHeight="1">
      <c r="B175" s="37">
        <v>46246</v>
      </c>
      <c r="C175" s="37" t="s">
        <v>127</v>
      </c>
      <c r="D175" s="33" t="s">
        <v>153</v>
      </c>
      <c r="E175" s="33" t="str">
        <f>IFERROR(VLOOKUP(D175,Sheet1!B:F,4,0),"")</f>
        <v>JUMP TUBE AA 핀무</v>
      </c>
      <c r="F175" s="33" t="s">
        <v>139</v>
      </c>
      <c r="G175" s="35">
        <v>4</v>
      </c>
      <c r="H175" s="36"/>
      <c r="I175" s="33"/>
    </row>
    <row r="176" spans="2:9" ht="21" customHeight="1">
      <c r="B176" s="37">
        <v>46246</v>
      </c>
      <c r="C176" s="37" t="s">
        <v>127</v>
      </c>
      <c r="D176" s="33" t="s">
        <v>153</v>
      </c>
      <c r="E176" s="33" t="str">
        <f>IFERROR(VLOOKUP(D176,Sheet1!B:F,4,0),"")</f>
        <v>JUMP TUBE AA 핀무</v>
      </c>
      <c r="F176" s="33" t="s">
        <v>253</v>
      </c>
      <c r="G176" s="35">
        <v>4</v>
      </c>
      <c r="H176" s="36"/>
      <c r="I176" s="33"/>
    </row>
    <row r="177" spans="2:9" ht="21" customHeight="1">
      <c r="B177" s="37">
        <v>46246</v>
      </c>
      <c r="C177" s="37" t="s">
        <v>127</v>
      </c>
      <c r="D177" s="33" t="s">
        <v>153</v>
      </c>
      <c r="E177" s="33" t="str">
        <f>IFERROR(VLOOKUP(D177,Sheet1!B:F,4,0),"")</f>
        <v>JUMP TUBE AA 핀무</v>
      </c>
      <c r="F177" s="33" t="s">
        <v>137</v>
      </c>
      <c r="G177" s="35">
        <v>1</v>
      </c>
      <c r="H177" s="36"/>
      <c r="I177" s="33"/>
    </row>
    <row r="178" spans="2:9" ht="21" customHeight="1">
      <c r="B178" s="37">
        <v>46246</v>
      </c>
      <c r="C178" s="37" t="s">
        <v>127</v>
      </c>
      <c r="D178" s="33" t="s">
        <v>152</v>
      </c>
      <c r="E178" s="33" t="str">
        <f>IFERROR(VLOOKUP(D178,Sheet1!B:F,4,0),"")</f>
        <v>COOLANT SPOUT-WCAC</v>
      </c>
      <c r="F178" s="33" t="s">
        <v>139</v>
      </c>
      <c r="G178" s="35">
        <v>9</v>
      </c>
      <c r="H178" s="36"/>
      <c r="I178" s="33"/>
    </row>
    <row r="179" spans="2:9" ht="21" customHeight="1">
      <c r="B179" s="37">
        <v>46246</v>
      </c>
      <c r="C179" s="37" t="s">
        <v>127</v>
      </c>
      <c r="D179" s="33" t="s">
        <v>141</v>
      </c>
      <c r="E179" s="33" t="str">
        <f>IFERROR(VLOOKUP(D179,Sheet1!B:F,4,0),"")</f>
        <v>COOLANT SPOUT-WCAC</v>
      </c>
      <c r="F179" s="33" t="s">
        <v>129</v>
      </c>
      <c r="G179" s="35">
        <v>7</v>
      </c>
      <c r="H179" s="36"/>
      <c r="I179" s="33"/>
    </row>
    <row r="180" spans="2:9" ht="21" customHeight="1">
      <c r="B180" s="37">
        <v>46247</v>
      </c>
      <c r="C180" s="37" t="s">
        <v>126</v>
      </c>
      <c r="D180" s="33" t="s">
        <v>94</v>
      </c>
      <c r="E180" s="33" t="str">
        <f>IFERROR(VLOOKUP(D180,Sheet1!B:F,4,0),"")</f>
        <v>HTR PIPE IN LHD</v>
      </c>
      <c r="F180" s="33" t="s">
        <v>85</v>
      </c>
      <c r="G180" s="35">
        <v>4</v>
      </c>
      <c r="H180" s="36"/>
      <c r="I180" s="33"/>
    </row>
    <row r="181" spans="2:9" ht="21" customHeight="1">
      <c r="B181" s="37">
        <v>46247</v>
      </c>
      <c r="C181" s="37" t="s">
        <v>126</v>
      </c>
      <c r="D181" s="33" t="s">
        <v>95</v>
      </c>
      <c r="E181" s="33" t="str">
        <f>IFERROR(VLOOKUP(D181,Sheet1!B:F,4,0),"")</f>
        <v>TUBE OUTLET-EVAP CORE</v>
      </c>
      <c r="F181" s="33"/>
      <c r="G181" s="35">
        <v>4</v>
      </c>
      <c r="H181" s="36"/>
      <c r="I181" s="33" t="s">
        <v>89</v>
      </c>
    </row>
    <row r="182" spans="2:9" ht="21" customHeight="1">
      <c r="B182" s="37">
        <v>46247</v>
      </c>
      <c r="C182" s="37" t="s">
        <v>126</v>
      </c>
      <c r="D182" s="33" t="s">
        <v>95</v>
      </c>
      <c r="E182" s="33" t="str">
        <f>IFERROR(VLOOKUP(D182,Sheet1!B:F,4,0),"")</f>
        <v>TUBE OUTLET-EVAP CORE</v>
      </c>
      <c r="F182" s="33" t="s">
        <v>86</v>
      </c>
      <c r="G182" s="35">
        <v>3</v>
      </c>
      <c r="H182" s="36"/>
      <c r="I182" s="33"/>
    </row>
    <row r="183" spans="2:9" ht="21" customHeight="1">
      <c r="B183" s="37">
        <v>46247</v>
      </c>
      <c r="C183" s="37" t="s">
        <v>126</v>
      </c>
      <c r="D183" s="33" t="s">
        <v>90</v>
      </c>
      <c r="E183" s="33" t="str">
        <f>IFERROR(VLOOKUP(D183,Sheet1!B:F,4,0),"")</f>
        <v>INLET TUBE-HTR</v>
      </c>
      <c r="F183" s="33" t="s">
        <v>85</v>
      </c>
      <c r="G183" s="35">
        <v>5</v>
      </c>
      <c r="H183" s="36"/>
      <c r="I183" s="33"/>
    </row>
    <row r="184" spans="2:9" ht="21" customHeight="1">
      <c r="B184" s="37">
        <v>46247</v>
      </c>
      <c r="C184" s="37" t="s">
        <v>126</v>
      </c>
      <c r="D184" s="33" t="s">
        <v>90</v>
      </c>
      <c r="E184" s="33" t="str">
        <f>IFERROR(VLOOKUP(D184,Sheet1!B:F,4,0),"")</f>
        <v>INLET TUBE-HTR</v>
      </c>
      <c r="F184" s="33" t="s">
        <v>86</v>
      </c>
      <c r="G184" s="35">
        <v>3</v>
      </c>
      <c r="H184" s="36"/>
      <c r="I184" s="33"/>
    </row>
    <row r="185" spans="2:9" ht="21" customHeight="1">
      <c r="B185" s="37">
        <v>46247</v>
      </c>
      <c r="C185" s="37" t="s">
        <v>126</v>
      </c>
      <c r="D185" s="33" t="s">
        <v>96</v>
      </c>
      <c r="E185" s="33" t="str">
        <f>IFERROR(VLOOKUP(D185,Sheet1!B:F,4,0),"")</f>
        <v/>
      </c>
      <c r="F185" s="33" t="s">
        <v>85</v>
      </c>
      <c r="G185" s="35">
        <v>3</v>
      </c>
      <c r="H185" s="36"/>
      <c r="I185" s="33"/>
    </row>
    <row r="186" spans="2:9" ht="21" customHeight="1">
      <c r="B186" s="37">
        <v>46247</v>
      </c>
      <c r="C186" s="37" t="s">
        <v>127</v>
      </c>
      <c r="D186" s="33" t="s">
        <v>130</v>
      </c>
      <c r="E186" s="33" t="str">
        <f>IFERROR(VLOOKUP(D186,Sheet1!B:F,4,0),"")</f>
        <v>JUMP TUBE AA 핀무</v>
      </c>
      <c r="F186" s="33" t="s">
        <v>131</v>
      </c>
      <c r="G186" s="35">
        <v>36</v>
      </c>
      <c r="H186" s="36"/>
      <c r="I186" s="33"/>
    </row>
    <row r="187" spans="2:9" ht="21" customHeight="1">
      <c r="B187" s="37">
        <v>46247</v>
      </c>
      <c r="C187" s="37" t="s">
        <v>127</v>
      </c>
      <c r="D187" s="33" t="s">
        <v>130</v>
      </c>
      <c r="E187" s="33" t="str">
        <f>IFERROR(VLOOKUP(D187,Sheet1!B:F,4,0),"")</f>
        <v>JUMP TUBE AA 핀무</v>
      </c>
      <c r="F187" s="33" t="s">
        <v>137</v>
      </c>
      <c r="G187" s="35">
        <v>15</v>
      </c>
      <c r="H187" s="36"/>
      <c r="I187" s="33"/>
    </row>
    <row r="188" spans="2:9" ht="21" customHeight="1">
      <c r="B188" s="37">
        <v>46247</v>
      </c>
      <c r="C188" s="37" t="s">
        <v>127</v>
      </c>
      <c r="D188" s="33" t="s">
        <v>23</v>
      </c>
      <c r="E188" s="33" t="str">
        <f>IFERROR(VLOOKUP(D188,Sheet1!B:F,4,0),"")</f>
        <v>JUMP TUBE AA 핀무</v>
      </c>
      <c r="F188" s="33" t="s">
        <v>139</v>
      </c>
      <c r="G188" s="35">
        <v>4</v>
      </c>
      <c r="H188" s="36"/>
      <c r="I188" s="33"/>
    </row>
    <row r="189" spans="2:9" ht="21" customHeight="1">
      <c r="B189" s="37">
        <v>46247</v>
      </c>
      <c r="C189" s="37" t="s">
        <v>127</v>
      </c>
      <c r="D189" s="33" t="s">
        <v>141</v>
      </c>
      <c r="E189" s="33" t="str">
        <f>IFERROR(VLOOKUP(D189,Sheet1!B:F,4,0),"")</f>
        <v>COOLANT SPOUT-WCAC</v>
      </c>
      <c r="F189" s="33" t="s">
        <v>129</v>
      </c>
      <c r="G189" s="35">
        <v>10</v>
      </c>
      <c r="H189" s="36"/>
      <c r="I189" s="33"/>
    </row>
    <row r="190" spans="2:9" ht="21" customHeight="1">
      <c r="B190" s="37">
        <v>46247</v>
      </c>
      <c r="C190" s="37" t="s">
        <v>127</v>
      </c>
      <c r="D190" s="33" t="s">
        <v>141</v>
      </c>
      <c r="E190" s="33" t="str">
        <f>IFERROR(VLOOKUP(D190,Sheet1!B:F,4,0),"")</f>
        <v>COOLANT SPOUT-WCAC</v>
      </c>
      <c r="F190" s="33" t="s">
        <v>129</v>
      </c>
      <c r="G190" s="35">
        <v>53</v>
      </c>
      <c r="H190" s="36"/>
      <c r="I190" s="33"/>
    </row>
    <row r="191" spans="2:9" ht="21" customHeight="1">
      <c r="B191" s="37">
        <v>46247</v>
      </c>
      <c r="C191" s="37" t="s">
        <v>127</v>
      </c>
      <c r="D191" s="33" t="s">
        <v>141</v>
      </c>
      <c r="E191" s="33" t="str">
        <f>IFERROR(VLOOKUP(D191,Sheet1!B:F,4,0),"")</f>
        <v>COOLANT SPOUT-WCAC</v>
      </c>
      <c r="F191" s="33" t="s">
        <v>257</v>
      </c>
      <c r="G191" s="35">
        <v>61</v>
      </c>
      <c r="H191" s="36"/>
      <c r="I191" s="33"/>
    </row>
    <row r="192" spans="2:9" ht="21" customHeight="1">
      <c r="B192" s="37">
        <v>46247</v>
      </c>
      <c r="C192" s="37" t="s">
        <v>127</v>
      </c>
      <c r="D192" s="33" t="s">
        <v>152</v>
      </c>
      <c r="E192" s="33" t="str">
        <f>IFERROR(VLOOKUP(D192,Sheet1!B:F,4,0),"")</f>
        <v>COOLANT SPOUT-WCAC</v>
      </c>
      <c r="F192" s="33" t="s">
        <v>139</v>
      </c>
      <c r="G192" s="35">
        <v>16</v>
      </c>
      <c r="H192" s="36"/>
      <c r="I192" s="33"/>
    </row>
    <row r="193" spans="2:9" ht="21" customHeight="1">
      <c r="B193" s="37">
        <v>46247</v>
      </c>
      <c r="C193" s="37" t="s">
        <v>127</v>
      </c>
      <c r="D193" s="33" t="s">
        <v>142</v>
      </c>
      <c r="E193" s="33" t="str">
        <f>IFERROR(VLOOKUP(D193,Sheet1!B:F,4,0),"")</f>
        <v>INLET TUBE-HTR</v>
      </c>
      <c r="F193" s="33" t="s">
        <v>143</v>
      </c>
      <c r="G193" s="35">
        <v>2</v>
      </c>
      <c r="H193" s="36"/>
      <c r="I193" s="33"/>
    </row>
    <row r="194" spans="2:9" ht="21" customHeight="1">
      <c r="B194" s="37">
        <v>46247</v>
      </c>
      <c r="C194" s="37" t="s">
        <v>127</v>
      </c>
      <c r="D194" s="33" t="s">
        <v>258</v>
      </c>
      <c r="E194" s="33" t="str">
        <f>IFERROR(VLOOKUP(D194,Sheet1!B:F,4,0),"")</f>
        <v>OUTLET TUBE-HTR</v>
      </c>
      <c r="F194" s="33" t="s">
        <v>143</v>
      </c>
      <c r="G194" s="35">
        <v>2</v>
      </c>
      <c r="H194" s="36"/>
      <c r="I194" s="33"/>
    </row>
    <row r="195" spans="2:9" ht="21" customHeight="1">
      <c r="B195" s="37">
        <v>46248</v>
      </c>
      <c r="C195" s="37" t="s">
        <v>126</v>
      </c>
      <c r="D195" s="33" t="s">
        <v>97</v>
      </c>
      <c r="E195" s="33" t="str">
        <f>IFERROR(VLOOKUP(D195,Sheet1!B:F,4,0),"")</f>
        <v>TUBE OUTLET-EVAP CORE</v>
      </c>
      <c r="F195" s="33" t="s">
        <v>86</v>
      </c>
      <c r="G195" s="35">
        <v>7</v>
      </c>
      <c r="H195" s="36"/>
      <c r="I195" s="33"/>
    </row>
    <row r="196" spans="2:9" ht="21" customHeight="1">
      <c r="B196" s="37">
        <v>46248</v>
      </c>
      <c r="C196" s="37" t="s">
        <v>126</v>
      </c>
      <c r="D196" s="33" t="s">
        <v>90</v>
      </c>
      <c r="E196" s="33" t="str">
        <f>IFERROR(VLOOKUP(D196,Sheet1!B:F,4,0),"")</f>
        <v>INLET TUBE-HTR</v>
      </c>
      <c r="F196" s="33" t="s">
        <v>86</v>
      </c>
      <c r="G196" s="35">
        <v>4</v>
      </c>
      <c r="H196" s="36"/>
      <c r="I196" s="33"/>
    </row>
    <row r="197" spans="2:9" ht="21" customHeight="1">
      <c r="B197" s="37">
        <v>46248</v>
      </c>
      <c r="C197" s="37" t="s">
        <v>126</v>
      </c>
      <c r="D197" s="33" t="s">
        <v>98</v>
      </c>
      <c r="E197" s="33" t="str">
        <f>IFERROR(VLOOKUP(D197,Sheet1!B:F,4,0),"")</f>
        <v>COOLANT SPOUT-WCAC</v>
      </c>
      <c r="F197" s="33" t="s">
        <v>86</v>
      </c>
      <c r="G197" s="35">
        <v>6</v>
      </c>
      <c r="H197" s="36"/>
      <c r="I197" s="33"/>
    </row>
    <row r="198" spans="2:9" ht="21" customHeight="1">
      <c r="B198" s="37">
        <v>46248</v>
      </c>
      <c r="C198" s="37" t="s">
        <v>126</v>
      </c>
      <c r="D198" s="33" t="s">
        <v>98</v>
      </c>
      <c r="E198" s="33" t="str">
        <f>IFERROR(VLOOKUP(D198,Sheet1!B:F,4,0),"")</f>
        <v>COOLANT SPOUT-WCAC</v>
      </c>
      <c r="F198" s="33" t="s">
        <v>85</v>
      </c>
      <c r="G198" s="35">
        <v>3</v>
      </c>
      <c r="H198" s="36"/>
      <c r="I198" s="33"/>
    </row>
    <row r="199" spans="2:9" ht="21" customHeight="1">
      <c r="B199" s="37">
        <v>46248</v>
      </c>
      <c r="C199" s="37" t="s">
        <v>126</v>
      </c>
      <c r="D199" s="33" t="s">
        <v>99</v>
      </c>
      <c r="E199" s="33" t="str">
        <f>IFERROR(VLOOKUP(D199,Sheet1!B:F,4,0),"")</f>
        <v>EVAP RHD</v>
      </c>
      <c r="F199" s="33" t="s">
        <v>100</v>
      </c>
      <c r="G199" s="35">
        <v>2</v>
      </c>
      <c r="H199" s="36"/>
      <c r="I199" s="33"/>
    </row>
    <row r="200" spans="2:9" ht="21" customHeight="1">
      <c r="B200" s="37">
        <v>46248</v>
      </c>
      <c r="C200" s="37" t="s">
        <v>127</v>
      </c>
      <c r="D200" s="33" t="s">
        <v>142</v>
      </c>
      <c r="E200" s="33" t="str">
        <f>IFERROR(VLOOKUP(D200,Sheet1!B:F,4,0),"")</f>
        <v>INLET TUBE-HTR</v>
      </c>
      <c r="F200" s="33" t="s">
        <v>143</v>
      </c>
      <c r="G200" s="35">
        <v>1</v>
      </c>
      <c r="H200" s="36"/>
      <c r="I200" s="33"/>
    </row>
    <row r="201" spans="2:9" ht="21" customHeight="1">
      <c r="B201" s="37">
        <v>46248</v>
      </c>
      <c r="C201" s="37" t="s">
        <v>127</v>
      </c>
      <c r="D201" s="33" t="s">
        <v>47</v>
      </c>
      <c r="E201" s="33" t="str">
        <f>IFERROR(VLOOKUP(D201,Sheet1!B:F,4,0),"")</f>
        <v>HTR IN LHD</v>
      </c>
      <c r="F201" s="33" t="s">
        <v>139</v>
      </c>
      <c r="G201" s="35">
        <v>4</v>
      </c>
      <c r="H201" s="36"/>
      <c r="I201" s="33"/>
    </row>
    <row r="202" spans="2:9" ht="21" customHeight="1">
      <c r="B202" s="37">
        <v>46248</v>
      </c>
      <c r="C202" s="37" t="s">
        <v>127</v>
      </c>
      <c r="D202" s="33" t="s">
        <v>144</v>
      </c>
      <c r="E202" s="33" t="str">
        <f>IFERROR(VLOOKUP(D202,Sheet1!B:F,4,0),"")</f>
        <v>EVAP LHD</v>
      </c>
      <c r="F202" s="33" t="s">
        <v>139</v>
      </c>
      <c r="G202" s="35">
        <v>4</v>
      </c>
      <c r="H202" s="36"/>
      <c r="I202" s="33"/>
    </row>
    <row r="203" spans="2:9" ht="21" customHeight="1">
      <c r="B203" s="37">
        <v>46248</v>
      </c>
      <c r="C203" s="37" t="s">
        <v>127</v>
      </c>
      <c r="D203" s="33" t="s">
        <v>144</v>
      </c>
      <c r="E203" s="33" t="str">
        <f>IFERROR(VLOOKUP(D203,Sheet1!B:F,4,0),"")</f>
        <v>EVAP LHD</v>
      </c>
      <c r="F203" s="33" t="s">
        <v>146</v>
      </c>
      <c r="G203" s="35">
        <v>5</v>
      </c>
      <c r="H203" s="36"/>
      <c r="I203" s="33"/>
    </row>
    <row r="204" spans="2:9" ht="21" customHeight="1">
      <c r="B204" s="37">
        <v>46248</v>
      </c>
      <c r="C204" s="37" t="s">
        <v>127</v>
      </c>
      <c r="D204" s="33" t="s">
        <v>14</v>
      </c>
      <c r="E204" s="33" t="str">
        <f>IFERROR(VLOOKUP(D204,Sheet1!B:F,4,0),"")</f>
        <v>TUBE OUTLET-EVAP CORE</v>
      </c>
      <c r="F204" s="33" t="s">
        <v>139</v>
      </c>
      <c r="G204" s="35">
        <v>2</v>
      </c>
      <c r="H204" s="36"/>
      <c r="I204" s="33"/>
    </row>
    <row r="205" spans="2:9" ht="21" customHeight="1">
      <c r="B205" s="37">
        <v>46249</v>
      </c>
      <c r="C205" s="37" t="s">
        <v>127</v>
      </c>
      <c r="D205" s="33" t="s">
        <v>142</v>
      </c>
      <c r="E205" s="33" t="str">
        <f>IFERROR(VLOOKUP(D205,Sheet1!B:F,4,0),"")</f>
        <v>INLET TUBE-HTR</v>
      </c>
      <c r="F205" s="33" t="s">
        <v>143</v>
      </c>
      <c r="G205" s="35">
        <v>2</v>
      </c>
      <c r="H205" s="36"/>
      <c r="I205" s="33"/>
    </row>
    <row r="206" spans="2:9" ht="21" customHeight="1">
      <c r="B206" s="37">
        <v>46249</v>
      </c>
      <c r="C206" s="37" t="s">
        <v>127</v>
      </c>
      <c r="D206" s="33" t="s">
        <v>148</v>
      </c>
      <c r="E206" s="33" t="str">
        <f>IFERROR(VLOOKUP(D206,Sheet1!B:F,4,0),"")</f>
        <v/>
      </c>
      <c r="F206" s="33" t="s">
        <v>139</v>
      </c>
      <c r="G206" s="35">
        <v>23</v>
      </c>
      <c r="H206" s="36"/>
      <c r="I206" s="33"/>
    </row>
    <row r="207" spans="2:9" ht="21" customHeight="1">
      <c r="B207" s="37">
        <v>46249</v>
      </c>
      <c r="C207" s="37" t="s">
        <v>127</v>
      </c>
      <c r="D207" s="33" t="s">
        <v>150</v>
      </c>
      <c r="E207" s="33" t="str">
        <f>IFERROR(VLOOKUP(D207,Sheet1!B:F,4,0),"")</f>
        <v>TUBE INLET-EVAP CORE</v>
      </c>
      <c r="F207" s="33" t="s">
        <v>139</v>
      </c>
      <c r="G207" s="35">
        <v>1</v>
      </c>
      <c r="H207" s="36"/>
      <c r="I207" s="33"/>
    </row>
    <row r="208" spans="2:9" ht="21" customHeight="1">
      <c r="B208" s="37">
        <v>46249</v>
      </c>
      <c r="C208" s="37" t="s">
        <v>127</v>
      </c>
      <c r="D208" s="33" t="s">
        <v>141</v>
      </c>
      <c r="E208" s="33" t="str">
        <f>IFERROR(VLOOKUP(D208,Sheet1!B:F,4,0),"")</f>
        <v>COOLANT SPOUT-WCAC</v>
      </c>
      <c r="F208" s="33" t="s">
        <v>129</v>
      </c>
      <c r="G208" s="35">
        <v>73</v>
      </c>
      <c r="H208" s="36"/>
      <c r="I208" s="33"/>
    </row>
    <row r="209" spans="2:9" ht="21" customHeight="1">
      <c r="B209" s="37">
        <v>46249</v>
      </c>
      <c r="C209" s="37" t="s">
        <v>127</v>
      </c>
      <c r="D209" s="33" t="s">
        <v>152</v>
      </c>
      <c r="E209" s="33" t="str">
        <f>IFERROR(VLOOKUP(D209,Sheet1!B:F,4,0),"")</f>
        <v>COOLANT SPOUT-WCAC</v>
      </c>
      <c r="F209" s="33" t="s">
        <v>129</v>
      </c>
      <c r="G209" s="35">
        <v>38</v>
      </c>
      <c r="H209" s="36"/>
      <c r="I209" s="33"/>
    </row>
    <row r="210" spans="2:9" ht="21" customHeight="1">
      <c r="B210" s="37">
        <v>46251</v>
      </c>
      <c r="C210" s="37" t="s">
        <v>126</v>
      </c>
      <c r="D210" s="33" t="s">
        <v>84</v>
      </c>
      <c r="E210" s="33" t="str">
        <f>IFERROR(VLOOKUP(D210,Sheet1!B:F,4,0),"")</f>
        <v>COOLANT SPOUT-WCAC</v>
      </c>
      <c r="F210" s="33" t="s">
        <v>85</v>
      </c>
      <c r="G210" s="35">
        <v>2</v>
      </c>
      <c r="H210" s="36"/>
      <c r="I210" s="33"/>
    </row>
    <row r="211" spans="2:9" ht="21" customHeight="1">
      <c r="B211" s="37">
        <v>46251</v>
      </c>
      <c r="C211" s="37" t="s">
        <v>126</v>
      </c>
      <c r="D211" s="33" t="s">
        <v>84</v>
      </c>
      <c r="E211" s="33" t="str">
        <f>IFERROR(VLOOKUP(D211,Sheet1!B:F,4,0),"")</f>
        <v>COOLANT SPOUT-WCAC</v>
      </c>
      <c r="F211" s="33" t="s">
        <v>86</v>
      </c>
      <c r="G211" s="35">
        <v>2</v>
      </c>
      <c r="H211" s="36"/>
      <c r="I211" s="33"/>
    </row>
    <row r="212" spans="2:9" ht="21" customHeight="1">
      <c r="B212" s="37">
        <v>46251</v>
      </c>
      <c r="C212" s="37" t="s">
        <v>127</v>
      </c>
      <c r="D212" s="33" t="s">
        <v>153</v>
      </c>
      <c r="E212" s="33" t="str">
        <f>IFERROR(VLOOKUP(D212,Sheet1!B:F,4,0),"")</f>
        <v>JUMP TUBE AA 핀무</v>
      </c>
      <c r="F212" s="33" t="s">
        <v>154</v>
      </c>
      <c r="G212" s="35">
        <v>21</v>
      </c>
      <c r="H212" s="36"/>
      <c r="I212" s="33"/>
    </row>
    <row r="213" spans="2:9" ht="21" customHeight="1">
      <c r="B213" s="37">
        <v>46251</v>
      </c>
      <c r="C213" s="37" t="s">
        <v>127</v>
      </c>
      <c r="D213" s="33" t="s">
        <v>155</v>
      </c>
      <c r="E213" s="33" t="str">
        <f>IFERROR(VLOOKUP(D213,Sheet1!B:F,4,0),"")</f>
        <v>TUBE OUTLET-EVAP CORE</v>
      </c>
      <c r="F213" s="33" t="s">
        <v>139</v>
      </c>
      <c r="G213" s="35">
        <v>4</v>
      </c>
      <c r="H213" s="36"/>
      <c r="I213" s="33"/>
    </row>
    <row r="214" spans="2:9" ht="21" customHeight="1">
      <c r="B214" s="37">
        <v>46252</v>
      </c>
      <c r="C214" s="37" t="s">
        <v>126</v>
      </c>
      <c r="D214" s="33" t="s">
        <v>109</v>
      </c>
      <c r="E214" s="33" t="str">
        <f>IFERROR(VLOOKUP(D214,Sheet1!B:F,4,0),"")</f>
        <v>INLET TUBE-HTR</v>
      </c>
      <c r="F214" s="33" t="s">
        <v>15</v>
      </c>
      <c r="G214" s="35">
        <v>6</v>
      </c>
      <c r="H214" s="36"/>
      <c r="I214" s="33"/>
    </row>
    <row r="215" spans="2:9" ht="21" customHeight="1">
      <c r="B215" s="37">
        <v>46252</v>
      </c>
      <c r="C215" s="37" t="s">
        <v>126</v>
      </c>
      <c r="D215" s="33" t="s">
        <v>109</v>
      </c>
      <c r="E215" s="33" t="str">
        <f>IFERROR(VLOOKUP(D215,Sheet1!B:F,4,0),"")</f>
        <v>INLET TUBE-HTR</v>
      </c>
      <c r="F215" s="33" t="s">
        <v>110</v>
      </c>
      <c r="G215" s="35">
        <v>2</v>
      </c>
      <c r="H215" s="36"/>
      <c r="I215" s="33"/>
    </row>
    <row r="216" spans="2:9" ht="21" customHeight="1">
      <c r="B216" s="37">
        <v>46252</v>
      </c>
      <c r="C216" s="37" t="s">
        <v>126</v>
      </c>
      <c r="D216" s="33" t="s">
        <v>109</v>
      </c>
      <c r="E216" s="33" t="str">
        <f>IFERROR(VLOOKUP(D216,Sheet1!B:F,4,0),"")</f>
        <v>INLET TUBE-HTR</v>
      </c>
      <c r="F216" s="33" t="s">
        <v>111</v>
      </c>
      <c r="G216" s="35">
        <v>1</v>
      </c>
      <c r="H216" s="36"/>
      <c r="I216" s="33"/>
    </row>
    <row r="217" spans="2:9" ht="21" customHeight="1">
      <c r="B217" s="37">
        <v>46252</v>
      </c>
      <c r="C217" s="37" t="s">
        <v>126</v>
      </c>
      <c r="D217" s="33" t="s">
        <v>112</v>
      </c>
      <c r="E217" s="33" t="str">
        <f>IFERROR(VLOOKUP(D217,Sheet1!B:F,4,0),"")</f>
        <v>COOLANT SPOUT-WCAC</v>
      </c>
      <c r="F217" s="33" t="s">
        <v>76</v>
      </c>
      <c r="G217" s="35">
        <v>1</v>
      </c>
      <c r="H217" s="36"/>
      <c r="I217" s="33"/>
    </row>
    <row r="218" spans="2:9" ht="21" customHeight="1">
      <c r="B218" s="37">
        <v>46252</v>
      </c>
      <c r="C218" s="37" t="s">
        <v>126</v>
      </c>
      <c r="D218" s="33" t="s">
        <v>113</v>
      </c>
      <c r="E218" s="33" t="str">
        <f>IFERROR(VLOOKUP(D218,Sheet1!B:F,4,0),"")</f>
        <v>COOLANT SPOUT-WCAC</v>
      </c>
      <c r="F218" s="33" t="s">
        <v>114</v>
      </c>
      <c r="G218" s="35">
        <v>2</v>
      </c>
      <c r="H218" s="36"/>
      <c r="I218" s="33"/>
    </row>
    <row r="219" spans="2:9" ht="21" customHeight="1">
      <c r="B219" s="37">
        <v>46252</v>
      </c>
      <c r="C219" s="37" t="s">
        <v>126</v>
      </c>
      <c r="D219" s="33" t="s">
        <v>113</v>
      </c>
      <c r="E219" s="33" t="str">
        <f>IFERROR(VLOOKUP(D219,Sheet1!B:F,4,0),"")</f>
        <v>COOLANT SPOUT-WCAC</v>
      </c>
      <c r="F219" s="33" t="s">
        <v>115</v>
      </c>
      <c r="G219" s="35">
        <v>2</v>
      </c>
      <c r="H219" s="36"/>
      <c r="I219" s="33"/>
    </row>
    <row r="220" spans="2:9" ht="21" customHeight="1">
      <c r="B220" s="37">
        <v>46252</v>
      </c>
      <c r="C220" s="37" t="s">
        <v>126</v>
      </c>
      <c r="D220" s="33" t="s">
        <v>43</v>
      </c>
      <c r="E220" s="33" t="str">
        <f>IFERROR(VLOOKUP(D220,Sheet1!B:F,4,0),"")</f>
        <v>HTR OUT LHD</v>
      </c>
      <c r="F220" s="33" t="s">
        <v>114</v>
      </c>
      <c r="G220" s="35">
        <v>1</v>
      </c>
      <c r="H220" s="36"/>
      <c r="I220" s="33"/>
    </row>
    <row r="221" spans="2:9" ht="21" customHeight="1">
      <c r="B221" s="37">
        <v>46252</v>
      </c>
      <c r="C221" s="37" t="s">
        <v>126</v>
      </c>
      <c r="D221" s="33" t="s">
        <v>47</v>
      </c>
      <c r="E221" s="33" t="str">
        <f>IFERROR(VLOOKUP(D221,Sheet1!B:F,4,0),"")</f>
        <v>HTR IN LHD</v>
      </c>
      <c r="F221" s="33" t="s">
        <v>111</v>
      </c>
      <c r="G221" s="35">
        <v>1</v>
      </c>
      <c r="H221" s="36"/>
      <c r="I221" s="33"/>
    </row>
    <row r="222" spans="2:9" ht="21" customHeight="1">
      <c r="B222" s="37">
        <v>46252</v>
      </c>
      <c r="C222" s="37" t="s">
        <v>126</v>
      </c>
      <c r="D222" s="33" t="s">
        <v>116</v>
      </c>
      <c r="E222" s="33" t="str">
        <f>IFERROR(VLOOKUP(D222,Sheet1!B:F,4,0),"")</f>
        <v>JUMP TUBE AA 핀무</v>
      </c>
      <c r="F222" s="33" t="s">
        <v>117</v>
      </c>
      <c r="G222" s="35">
        <v>10</v>
      </c>
      <c r="H222" s="36"/>
      <c r="I222" s="33" t="s">
        <v>120</v>
      </c>
    </row>
    <row r="223" spans="2:9" ht="21" customHeight="1">
      <c r="B223" s="37">
        <v>46252</v>
      </c>
      <c r="C223" s="37" t="s">
        <v>126</v>
      </c>
      <c r="D223" s="33" t="s">
        <v>118</v>
      </c>
      <c r="E223" s="33" t="str">
        <f>IFERROR(VLOOKUP(D223,Sheet1!B:F,4,0),"")</f>
        <v>JUMP TUBE CA 핀무</v>
      </c>
      <c r="F223" s="33" t="s">
        <v>117</v>
      </c>
      <c r="G223" s="35">
        <v>2</v>
      </c>
      <c r="H223" s="36"/>
      <c r="I223" s="33" t="s">
        <v>120</v>
      </c>
    </row>
    <row r="224" spans="2:9" ht="21" customHeight="1">
      <c r="B224" s="37">
        <v>46252</v>
      </c>
      <c r="C224" s="37" t="s">
        <v>126</v>
      </c>
      <c r="D224" s="33" t="s">
        <v>119</v>
      </c>
      <c r="E224" s="33" t="str">
        <f>IFERROR(VLOOKUP(D224,Sheet1!B:F,4,0),"")</f>
        <v/>
      </c>
      <c r="F224" s="33" t="s">
        <v>117</v>
      </c>
      <c r="G224" s="35">
        <v>4</v>
      </c>
      <c r="H224" s="36"/>
      <c r="I224" s="33" t="s">
        <v>120</v>
      </c>
    </row>
    <row r="225" spans="2:9" ht="21" customHeight="1">
      <c r="B225" s="37">
        <v>46252</v>
      </c>
      <c r="C225" s="37" t="s">
        <v>127</v>
      </c>
      <c r="D225" s="33" t="s">
        <v>128</v>
      </c>
      <c r="E225" s="33" t="str">
        <f>IFERROR(VLOOKUP(D225,Sheet1!B:F,4,0),"")</f>
        <v>COOLANT SPOUT-WCAC</v>
      </c>
      <c r="F225" s="33" t="s">
        <v>129</v>
      </c>
      <c r="G225" s="35">
        <v>10</v>
      </c>
      <c r="H225" s="36"/>
      <c r="I225" s="33"/>
    </row>
    <row r="226" spans="2:9" ht="21" customHeight="1">
      <c r="B226" s="37">
        <v>46252</v>
      </c>
      <c r="C226" s="37" t="s">
        <v>127</v>
      </c>
      <c r="D226" s="33" t="s">
        <v>142</v>
      </c>
      <c r="E226" s="33" t="str">
        <f>IFERROR(VLOOKUP(D226,Sheet1!B:F,4,0),"")</f>
        <v>INLET TUBE-HTR</v>
      </c>
      <c r="F226" s="33" t="s">
        <v>143</v>
      </c>
      <c r="G226" s="35">
        <v>2</v>
      </c>
      <c r="H226" s="36"/>
      <c r="I226" s="33"/>
    </row>
    <row r="227" spans="2:9" ht="21" customHeight="1">
      <c r="B227" s="37">
        <v>46252</v>
      </c>
      <c r="C227" s="37" t="s">
        <v>127</v>
      </c>
      <c r="D227" s="33" t="s">
        <v>156</v>
      </c>
      <c r="E227" s="33" t="str">
        <f>IFERROR(VLOOKUP(D227,Sheet1!B:F,4,0),"")</f>
        <v>HTR PIPE IN LHD</v>
      </c>
      <c r="F227" s="33" t="s">
        <v>139</v>
      </c>
      <c r="G227" s="35">
        <v>38</v>
      </c>
      <c r="H227" s="36"/>
      <c r="I227" s="33"/>
    </row>
    <row r="228" spans="2:9" ht="21" customHeight="1">
      <c r="B228" s="37">
        <v>46252</v>
      </c>
      <c r="C228" s="37" t="s">
        <v>127</v>
      </c>
      <c r="D228" s="33" t="s">
        <v>157</v>
      </c>
      <c r="E228" s="33" t="str">
        <f>IFERROR(VLOOKUP(D228,Sheet1!B:F,4,0),"")</f>
        <v>EVAP RHD</v>
      </c>
      <c r="F228" s="33" t="s">
        <v>139</v>
      </c>
      <c r="G228" s="35">
        <v>7</v>
      </c>
      <c r="H228" s="36"/>
      <c r="I228" s="33"/>
    </row>
    <row r="229" spans="2:9" ht="21" customHeight="1">
      <c r="B229" s="37">
        <v>46252</v>
      </c>
      <c r="C229" s="37" t="s">
        <v>127</v>
      </c>
      <c r="D229" s="33" t="s">
        <v>150</v>
      </c>
      <c r="E229" s="33" t="str">
        <f>IFERROR(VLOOKUP(D229,Sheet1!B:F,4,0),"")</f>
        <v>TUBE INLET-EVAP CORE</v>
      </c>
      <c r="F229" s="33" t="s">
        <v>249</v>
      </c>
      <c r="G229" s="35">
        <v>7</v>
      </c>
      <c r="H229" s="36"/>
      <c r="I229" s="33"/>
    </row>
    <row r="230" spans="2:9" ht="21" customHeight="1">
      <c r="B230" s="37">
        <v>46252</v>
      </c>
      <c r="C230" s="37" t="s">
        <v>127</v>
      </c>
      <c r="D230" s="33" t="s">
        <v>153</v>
      </c>
      <c r="E230" s="33" t="str">
        <f>IFERROR(VLOOKUP(D230,Sheet1!B:F,4,0),"")</f>
        <v>JUMP TUBE AA 핀무</v>
      </c>
      <c r="F230" s="33" t="s">
        <v>250</v>
      </c>
      <c r="G230" s="35">
        <v>2</v>
      </c>
      <c r="H230" s="36"/>
      <c r="I230" s="33"/>
    </row>
    <row r="231" spans="2:9" ht="21" customHeight="1">
      <c r="B231" s="37">
        <v>46253</v>
      </c>
      <c r="C231" s="37" t="s">
        <v>127</v>
      </c>
      <c r="D231" s="33" t="s">
        <v>269</v>
      </c>
      <c r="E231" s="33" t="str">
        <f>IFERROR(VLOOKUP(D231,Sheet1!B:F,4,0),"")</f>
        <v>INLET TUBE-HTR</v>
      </c>
      <c r="F231" s="33" t="s">
        <v>270</v>
      </c>
      <c r="G231" s="35">
        <v>6</v>
      </c>
      <c r="H231" s="36"/>
      <c r="I231" s="33" t="s">
        <v>277</v>
      </c>
    </row>
    <row r="232" spans="2:9" ht="21" customHeight="1">
      <c r="B232" s="37">
        <v>46253</v>
      </c>
      <c r="C232" s="37" t="s">
        <v>127</v>
      </c>
      <c r="D232" s="33" t="s">
        <v>271</v>
      </c>
      <c r="E232" s="33" t="str">
        <f>IFERROR(VLOOKUP(D232,Sheet1!B:F,4,0),"")</f>
        <v>COOLANT SPOUT-WCAC</v>
      </c>
      <c r="F232" s="33" t="s">
        <v>272</v>
      </c>
      <c r="G232" s="35">
        <v>87</v>
      </c>
      <c r="H232" s="36"/>
      <c r="I232" s="33"/>
    </row>
    <row r="233" spans="2:9" ht="21" customHeight="1">
      <c r="B233" s="37">
        <v>46253</v>
      </c>
      <c r="C233" s="37" t="s">
        <v>127</v>
      </c>
      <c r="D233" s="33" t="s">
        <v>271</v>
      </c>
      <c r="E233" s="33" t="str">
        <f>IFERROR(VLOOKUP(D233,Sheet1!B:F,4,0),"")</f>
        <v>COOLANT SPOUT-WCAC</v>
      </c>
      <c r="F233" s="33" t="s">
        <v>273</v>
      </c>
      <c r="G233" s="35">
        <v>30</v>
      </c>
      <c r="H233" s="36"/>
      <c r="I233" s="33"/>
    </row>
    <row r="234" spans="2:9" ht="21" customHeight="1">
      <c r="B234" s="37">
        <v>46253</v>
      </c>
      <c r="C234" s="37" t="s">
        <v>127</v>
      </c>
      <c r="D234" s="33" t="s">
        <v>274</v>
      </c>
      <c r="E234" s="33" t="str">
        <f>IFERROR(VLOOKUP(D234,Sheet1!B:F,4,0),"")</f>
        <v>TUBE INLET-EVAP CORE</v>
      </c>
      <c r="F234" s="33" t="s">
        <v>275</v>
      </c>
      <c r="G234" s="35">
        <v>2</v>
      </c>
      <c r="H234" s="36"/>
      <c r="I234" s="33" t="s">
        <v>276</v>
      </c>
    </row>
    <row r="235" spans="2:9" ht="21" customHeight="1">
      <c r="B235" s="37">
        <v>46253</v>
      </c>
      <c r="C235" s="37" t="s">
        <v>127</v>
      </c>
      <c r="D235" s="33" t="s">
        <v>278</v>
      </c>
      <c r="E235" s="33" t="str">
        <f>IFERROR(VLOOKUP(D235,Sheet1!B:F,4,0),"")</f>
        <v>HTR OUT RHD</v>
      </c>
      <c r="F235" s="33" t="s">
        <v>279</v>
      </c>
      <c r="G235" s="35">
        <v>1</v>
      </c>
      <c r="H235" s="36"/>
      <c r="I235" s="33"/>
    </row>
    <row r="236" spans="2:9" ht="21" customHeight="1">
      <c r="B236" s="37">
        <v>46254</v>
      </c>
      <c r="C236" s="37" t="s">
        <v>280</v>
      </c>
      <c r="D236" s="33" t="s">
        <v>281</v>
      </c>
      <c r="E236" s="33" t="str">
        <f>IFERROR(VLOOKUP(D236,Sheet1!B:F,4,0),"")</f>
        <v>JUMP TUBE CA 핀무</v>
      </c>
      <c r="F236" s="33" t="s">
        <v>282</v>
      </c>
      <c r="G236" s="35">
        <v>35</v>
      </c>
      <c r="H236" s="36"/>
      <c r="I236" s="33"/>
    </row>
    <row r="237" spans="2:9" ht="21" customHeight="1">
      <c r="B237" s="37">
        <v>46254</v>
      </c>
      <c r="C237" s="37" t="s">
        <v>280</v>
      </c>
      <c r="D237" s="33" t="s">
        <v>281</v>
      </c>
      <c r="E237" s="33" t="str">
        <f>IFERROR(VLOOKUP(D237,Sheet1!B:F,4,0),"")</f>
        <v>JUMP TUBE CA 핀무</v>
      </c>
      <c r="F237" s="33" t="s">
        <v>283</v>
      </c>
      <c r="G237" s="35">
        <v>8</v>
      </c>
      <c r="H237" s="36"/>
      <c r="I237" s="10" t="s">
        <v>284</v>
      </c>
    </row>
    <row r="238" spans="2:9" ht="21" customHeight="1">
      <c r="B238" s="37">
        <v>46254</v>
      </c>
      <c r="C238" s="37" t="s">
        <v>280</v>
      </c>
      <c r="D238" s="33" t="s">
        <v>285</v>
      </c>
      <c r="E238" s="33" t="str">
        <f>IFERROR(VLOOKUP(D238,Sheet1!B:F,4,0),"")</f>
        <v>OUTLET TUBE-HTR</v>
      </c>
      <c r="F238" s="33" t="s">
        <v>286</v>
      </c>
      <c r="G238" s="35">
        <v>2</v>
      </c>
      <c r="H238" s="36"/>
      <c r="I238" s="10"/>
    </row>
    <row r="239" spans="2:9" ht="21" customHeight="1">
      <c r="B239" s="37">
        <v>46254</v>
      </c>
      <c r="C239" s="37" t="s">
        <v>280</v>
      </c>
      <c r="D239" s="33" t="s">
        <v>287</v>
      </c>
      <c r="E239" s="33" t="str">
        <f>IFERROR(VLOOKUP(D239,Sheet1!B:F,4,0),"")</f>
        <v>OUTLET TUBE-HTR</v>
      </c>
      <c r="F239" s="33" t="s">
        <v>288</v>
      </c>
      <c r="G239" s="35">
        <v>1</v>
      </c>
      <c r="H239" s="36"/>
      <c r="I239" s="10"/>
    </row>
    <row r="240" spans="2:9" ht="21" customHeight="1">
      <c r="B240" s="37">
        <v>46254</v>
      </c>
      <c r="C240" s="37" t="s">
        <v>280</v>
      </c>
      <c r="D240" s="33" t="s">
        <v>287</v>
      </c>
      <c r="E240" s="33" t="str">
        <f>IFERROR(VLOOKUP(D240,Sheet1!B:F,4,0),"")</f>
        <v>OUTLET TUBE-HTR</v>
      </c>
      <c r="F240" s="33" t="s">
        <v>283</v>
      </c>
      <c r="G240" s="35">
        <v>3</v>
      </c>
      <c r="H240" s="36"/>
      <c r="I240" s="33"/>
    </row>
    <row r="241" spans="2:9" ht="21" customHeight="1">
      <c r="B241" s="37">
        <v>46254</v>
      </c>
      <c r="C241" s="37" t="s">
        <v>308</v>
      </c>
      <c r="D241" s="33" t="s">
        <v>26</v>
      </c>
      <c r="E241" s="33" t="str">
        <f>IFERROR(VLOOKUP(D241,Sheet1!B:F,4,0),"")</f>
        <v>INLET TUBE-HTR</v>
      </c>
      <c r="F241" s="33" t="s">
        <v>15</v>
      </c>
      <c r="G241" s="35">
        <v>4</v>
      </c>
      <c r="H241" s="36" t="s">
        <v>309</v>
      </c>
      <c r="I241" s="33" t="s">
        <v>143</v>
      </c>
    </row>
    <row r="242" spans="2:9" ht="21" customHeight="1">
      <c r="B242" s="37">
        <v>46254</v>
      </c>
      <c r="C242" s="37" t="s">
        <v>308</v>
      </c>
      <c r="D242" s="33" t="s">
        <v>99</v>
      </c>
      <c r="E242" s="33" t="str">
        <f>IFERROR(VLOOKUP(D242,Sheet1!B:F,4,0),"")</f>
        <v>EVAP RHD</v>
      </c>
      <c r="F242" s="33" t="s">
        <v>13</v>
      </c>
      <c r="G242" s="35">
        <v>13</v>
      </c>
      <c r="H242" s="36" t="s">
        <v>309</v>
      </c>
      <c r="I242" s="33" t="s">
        <v>143</v>
      </c>
    </row>
    <row r="243" spans="2:9" ht="21" customHeight="1">
      <c r="B243" s="37">
        <v>46255</v>
      </c>
      <c r="C243" s="37" t="s">
        <v>280</v>
      </c>
      <c r="D243" s="33" t="s">
        <v>289</v>
      </c>
      <c r="E243" s="33" t="str">
        <f>IFERROR(VLOOKUP(D243,Sheet1!B:F,4,0),"")</f>
        <v/>
      </c>
      <c r="F243" s="33" t="s">
        <v>290</v>
      </c>
      <c r="G243" s="35">
        <v>1</v>
      </c>
      <c r="H243" s="36"/>
      <c r="I243" s="33"/>
    </row>
    <row r="244" spans="2:9" ht="21" customHeight="1">
      <c r="B244" s="37">
        <v>46255</v>
      </c>
      <c r="C244" s="37" t="s">
        <v>280</v>
      </c>
      <c r="D244" s="33" t="s">
        <v>289</v>
      </c>
      <c r="E244" s="33" t="str">
        <f>IFERROR(VLOOKUP(D244,Sheet1!B:F,4,0),"")</f>
        <v/>
      </c>
      <c r="F244" s="33" t="s">
        <v>291</v>
      </c>
      <c r="G244" s="35">
        <v>5</v>
      </c>
      <c r="H244" s="36"/>
      <c r="I244" s="33"/>
    </row>
    <row r="245" spans="2:9" ht="21" customHeight="1">
      <c r="B245" s="37">
        <v>46255</v>
      </c>
      <c r="C245" s="37" t="s">
        <v>280</v>
      </c>
      <c r="D245" s="33" t="s">
        <v>289</v>
      </c>
      <c r="E245" s="33" t="str">
        <f>IFERROR(VLOOKUP(D245,Sheet1!B:F,4,0),"")</f>
        <v/>
      </c>
      <c r="F245" s="33" t="s">
        <v>76</v>
      </c>
      <c r="G245" s="35">
        <v>1</v>
      </c>
      <c r="H245" s="36"/>
      <c r="I245" s="33"/>
    </row>
    <row r="246" spans="2:9" ht="21" customHeight="1">
      <c r="B246" s="37">
        <v>46255</v>
      </c>
      <c r="C246" s="37" t="s">
        <v>280</v>
      </c>
      <c r="D246" s="33" t="s">
        <v>289</v>
      </c>
      <c r="E246" s="33" t="str">
        <f>IFERROR(VLOOKUP(D246,Sheet1!B:F,4,0),"")</f>
        <v/>
      </c>
      <c r="F246" s="33" t="s">
        <v>292</v>
      </c>
      <c r="G246" s="35">
        <v>2</v>
      </c>
      <c r="H246" s="36"/>
      <c r="I246" s="33"/>
    </row>
    <row r="247" spans="2:9" ht="21" customHeight="1">
      <c r="B247" s="37">
        <v>46255</v>
      </c>
      <c r="C247" s="37" t="s">
        <v>280</v>
      </c>
      <c r="D247" s="33" t="s">
        <v>34</v>
      </c>
      <c r="E247" s="33" t="str">
        <f>IFERROR(VLOOKUP(D247,Sheet1!B:F,4,0),"")</f>
        <v>HTR PIPE IN LHD</v>
      </c>
      <c r="F247" s="33" t="s">
        <v>293</v>
      </c>
      <c r="G247" s="35">
        <v>2</v>
      </c>
      <c r="H247" s="36"/>
      <c r="I247" s="33"/>
    </row>
    <row r="248" spans="2:9" ht="21" customHeight="1">
      <c r="B248" s="37">
        <v>46255</v>
      </c>
      <c r="C248" s="37" t="s">
        <v>280</v>
      </c>
      <c r="D248" s="33" t="s">
        <v>47</v>
      </c>
      <c r="E248" s="33" t="str">
        <f>IFERROR(VLOOKUP(D248,Sheet1!B:F,4,0),"")</f>
        <v>HTR IN LHD</v>
      </c>
      <c r="F248" s="33" t="s">
        <v>293</v>
      </c>
      <c r="G248" s="35">
        <v>1</v>
      </c>
      <c r="H248" s="36"/>
      <c r="I248" s="33"/>
    </row>
    <row r="249" spans="2:9" ht="21" customHeight="1">
      <c r="B249" s="37">
        <v>46255</v>
      </c>
      <c r="C249" s="37" t="s">
        <v>308</v>
      </c>
      <c r="D249" s="33" t="s">
        <v>14</v>
      </c>
      <c r="E249" s="33" t="str">
        <f>IFERROR(VLOOKUP(D249,Sheet1!B:F,4,0),"")</f>
        <v>TUBE OUTLET-EVAP CORE</v>
      </c>
      <c r="F249" s="33" t="s">
        <v>13</v>
      </c>
      <c r="G249" s="35">
        <v>1</v>
      </c>
      <c r="H249" s="36" t="s">
        <v>309</v>
      </c>
      <c r="I249" s="33" t="s">
        <v>143</v>
      </c>
    </row>
    <row r="250" spans="2:9" ht="21" customHeight="1">
      <c r="B250" s="37">
        <v>46255</v>
      </c>
      <c r="C250" s="37" t="s">
        <v>308</v>
      </c>
      <c r="D250" s="33" t="s">
        <v>16</v>
      </c>
      <c r="E250" s="33" t="str">
        <f>IFERROR(VLOOKUP(D250,Sheet1!B:F,4,0),"")</f>
        <v>HTR OUT PIPE LHD</v>
      </c>
      <c r="F250" s="33" t="s">
        <v>13</v>
      </c>
      <c r="G250" s="35">
        <v>8</v>
      </c>
      <c r="H250" s="36" t="s">
        <v>309</v>
      </c>
      <c r="I250" s="33" t="s">
        <v>143</v>
      </c>
    </row>
    <row r="251" spans="2:9" ht="21" customHeight="1">
      <c r="B251" s="37">
        <v>46255</v>
      </c>
      <c r="C251" s="37" t="s">
        <v>308</v>
      </c>
      <c r="D251" s="33" t="s">
        <v>150</v>
      </c>
      <c r="E251" s="33" t="str">
        <f>IFERROR(VLOOKUP(D251,Sheet1!B:F,4,0),"")</f>
        <v>TUBE INLET-EVAP CORE</v>
      </c>
      <c r="F251" s="33" t="s">
        <v>13</v>
      </c>
      <c r="G251" s="35">
        <v>71</v>
      </c>
      <c r="H251" s="36" t="s">
        <v>309</v>
      </c>
      <c r="I251" s="33" t="s">
        <v>143</v>
      </c>
    </row>
    <row r="252" spans="2:9" ht="21" customHeight="1">
      <c r="B252" s="37">
        <v>46255</v>
      </c>
      <c r="C252" s="37" t="s">
        <v>308</v>
      </c>
      <c r="D252" s="33" t="s">
        <v>19</v>
      </c>
      <c r="E252" s="33" t="str">
        <f>IFERROR(VLOOKUP(D252,Sheet1!B:F,4,0),"")</f>
        <v>COOLANT SPOUT-WCAC</v>
      </c>
      <c r="F252" s="33" t="s">
        <v>13</v>
      </c>
      <c r="G252" s="35">
        <v>40</v>
      </c>
      <c r="H252" s="36" t="s">
        <v>309</v>
      </c>
      <c r="I252" s="33" t="s">
        <v>143</v>
      </c>
    </row>
    <row r="253" spans="2:9" ht="21" customHeight="1">
      <c r="B253" s="37">
        <v>46258</v>
      </c>
      <c r="C253" s="37" t="s">
        <v>280</v>
      </c>
      <c r="D253" s="33" t="s">
        <v>294</v>
      </c>
      <c r="E253" s="33" t="str">
        <f>IFERROR(VLOOKUP(D253,Sheet1!B:F,4,0),"")</f>
        <v/>
      </c>
      <c r="F253" s="33" t="s">
        <v>13</v>
      </c>
      <c r="G253" s="35">
        <v>7</v>
      </c>
      <c r="H253" s="36" t="s">
        <v>295</v>
      </c>
      <c r="I253" s="33"/>
    </row>
    <row r="254" spans="2:9" ht="21" customHeight="1">
      <c r="B254" s="37">
        <v>46258</v>
      </c>
      <c r="C254" s="37" t="s">
        <v>280</v>
      </c>
      <c r="D254" s="33" t="s">
        <v>26</v>
      </c>
      <c r="E254" s="33" t="str">
        <f>IFERROR(VLOOKUP(D254,Sheet1!B:F,4,0),"")</f>
        <v>INLET TUBE-HTR</v>
      </c>
      <c r="F254" s="33" t="s">
        <v>18</v>
      </c>
      <c r="G254" s="35">
        <v>1</v>
      </c>
      <c r="H254" s="36" t="s">
        <v>296</v>
      </c>
      <c r="I254" s="33" t="s">
        <v>276</v>
      </c>
    </row>
    <row r="255" spans="2:9" ht="21" customHeight="1">
      <c r="B255" s="37">
        <v>46258</v>
      </c>
      <c r="C255" s="37" t="s">
        <v>280</v>
      </c>
      <c r="D255" s="33" t="s">
        <v>14</v>
      </c>
      <c r="E255" s="33" t="str">
        <f>IFERROR(VLOOKUP(D255,Sheet1!B:F,4,0),"")</f>
        <v>TUBE OUTLET-EVAP CORE</v>
      </c>
      <c r="F255" s="33" t="s">
        <v>18</v>
      </c>
      <c r="G255" s="35">
        <v>10</v>
      </c>
      <c r="H255" s="36" t="s">
        <v>296</v>
      </c>
      <c r="I255" s="33" t="s">
        <v>276</v>
      </c>
    </row>
    <row r="256" spans="2:9" ht="21" customHeight="1">
      <c r="B256" s="37">
        <v>46258</v>
      </c>
      <c r="C256" s="37" t="s">
        <v>280</v>
      </c>
      <c r="D256" s="33" t="s">
        <v>71</v>
      </c>
      <c r="E256" s="33" t="str">
        <f>IFERROR(VLOOKUP(D256,Sheet1!B:F,4,0),"")</f>
        <v>TUBE INLET-EVAP CORE</v>
      </c>
      <c r="F256" s="33" t="s">
        <v>18</v>
      </c>
      <c r="G256" s="35">
        <v>2</v>
      </c>
      <c r="H256" s="36" t="s">
        <v>296</v>
      </c>
      <c r="I256" s="33" t="s">
        <v>276</v>
      </c>
    </row>
    <row r="257" spans="2:9" ht="21" customHeight="1">
      <c r="B257" s="37">
        <v>46258</v>
      </c>
      <c r="C257" s="37" t="s">
        <v>280</v>
      </c>
      <c r="D257" s="33" t="s">
        <v>71</v>
      </c>
      <c r="E257" s="33" t="str">
        <f>IFERROR(VLOOKUP(D257,Sheet1!B:F,4,0),"")</f>
        <v>TUBE INLET-EVAP CORE</v>
      </c>
      <c r="F257" s="33" t="s">
        <v>15</v>
      </c>
      <c r="G257" s="35">
        <v>1</v>
      </c>
      <c r="H257" s="36" t="s">
        <v>297</v>
      </c>
      <c r="I257" s="33"/>
    </row>
    <row r="258" spans="2:9" ht="21" customHeight="1">
      <c r="B258" s="37">
        <v>46258</v>
      </c>
      <c r="C258" s="37" t="s">
        <v>280</v>
      </c>
      <c r="D258" s="33" t="s">
        <v>71</v>
      </c>
      <c r="E258" s="33" t="str">
        <f>IFERROR(VLOOKUP(D258,Sheet1!B:F,4,0),"")</f>
        <v>TUBE INLET-EVAP CORE</v>
      </c>
      <c r="F258" s="33" t="s">
        <v>298</v>
      </c>
      <c r="G258" s="35">
        <v>1</v>
      </c>
      <c r="H258" s="36" t="s">
        <v>297</v>
      </c>
      <c r="I258" s="33"/>
    </row>
    <row r="259" spans="2:9" ht="21" customHeight="1">
      <c r="B259" s="37">
        <v>46258</v>
      </c>
      <c r="C259" s="37" t="s">
        <v>280</v>
      </c>
      <c r="D259" s="33" t="s">
        <v>34</v>
      </c>
      <c r="E259" s="33" t="str">
        <f>IFERROR(VLOOKUP(D259,Sheet1!B:F,4,0),"")</f>
        <v>HTR PIPE IN LHD</v>
      </c>
      <c r="F259" s="33" t="s">
        <v>299</v>
      </c>
      <c r="G259" s="35">
        <v>3</v>
      </c>
      <c r="H259" s="36" t="s">
        <v>300</v>
      </c>
      <c r="I259" s="33"/>
    </row>
    <row r="260" spans="2:9" ht="21" customHeight="1">
      <c r="B260" s="37">
        <v>46258</v>
      </c>
      <c r="C260" s="37" t="s">
        <v>280</v>
      </c>
      <c r="D260" s="33" t="s">
        <v>73</v>
      </c>
      <c r="E260" s="33" t="str">
        <f>IFERROR(VLOOKUP(D260,Sheet1!B:F,4,0),"")</f>
        <v>FT-ASY-A/C JUMPER</v>
      </c>
      <c r="F260" s="33" t="s">
        <v>59</v>
      </c>
      <c r="G260" s="35">
        <v>2</v>
      </c>
      <c r="H260" s="36" t="s">
        <v>301</v>
      </c>
      <c r="I260" s="33" t="s">
        <v>302</v>
      </c>
    </row>
    <row r="261" spans="2:9" ht="21" customHeight="1">
      <c r="B261" s="37">
        <v>46259</v>
      </c>
      <c r="C261" s="37" t="s">
        <v>280</v>
      </c>
      <c r="D261" s="33" t="s">
        <v>144</v>
      </c>
      <c r="E261" s="33" t="str">
        <f>IFERROR(VLOOKUP(D261,Sheet1!B:F,4,0),"")</f>
        <v>EVAP LHD</v>
      </c>
      <c r="F261" s="33" t="s">
        <v>15</v>
      </c>
      <c r="G261" s="35">
        <v>1</v>
      </c>
      <c r="H261" s="36" t="s">
        <v>303</v>
      </c>
      <c r="I261" s="33"/>
    </row>
    <row r="262" spans="2:9" ht="21" customHeight="1">
      <c r="B262" s="37">
        <v>46259</v>
      </c>
      <c r="C262" s="37" t="s">
        <v>280</v>
      </c>
      <c r="D262" s="33" t="s">
        <v>14</v>
      </c>
      <c r="E262" s="33" t="str">
        <f>IFERROR(VLOOKUP(D262,Sheet1!B:F,4,0),"")</f>
        <v>TUBE OUTLET-EVAP CORE</v>
      </c>
      <c r="F262" s="33" t="s">
        <v>15</v>
      </c>
      <c r="G262" s="35">
        <v>1</v>
      </c>
      <c r="H262" s="36" t="s">
        <v>303</v>
      </c>
      <c r="I262" s="33"/>
    </row>
    <row r="263" spans="2:9" ht="21" customHeight="1">
      <c r="B263" s="37">
        <v>46259</v>
      </c>
      <c r="C263" s="37" t="s">
        <v>280</v>
      </c>
      <c r="D263" s="33" t="s">
        <v>19</v>
      </c>
      <c r="E263" s="33" t="str">
        <f>IFERROR(VLOOKUP(D263,Sheet1!B:F,4,0),"")</f>
        <v>COOLANT SPOUT-WCAC</v>
      </c>
      <c r="F263" s="33" t="s">
        <v>304</v>
      </c>
      <c r="G263" s="35">
        <v>1</v>
      </c>
      <c r="H263" s="36" t="s">
        <v>305</v>
      </c>
      <c r="I263" s="33"/>
    </row>
    <row r="264" spans="2:9" ht="21" customHeight="1">
      <c r="B264" s="37">
        <v>46259</v>
      </c>
      <c r="C264" s="37" t="s">
        <v>280</v>
      </c>
      <c r="D264" s="33" t="s">
        <v>19</v>
      </c>
      <c r="E264" s="33" t="str">
        <f>IFERROR(VLOOKUP(D264,Sheet1!B:F,4,0),"")</f>
        <v>COOLANT SPOUT-WCAC</v>
      </c>
      <c r="F264" s="33" t="s">
        <v>32</v>
      </c>
      <c r="G264" s="35">
        <v>4</v>
      </c>
      <c r="H264" s="36" t="s">
        <v>305</v>
      </c>
      <c r="I264" s="33"/>
    </row>
    <row r="265" spans="2:9" ht="21" customHeight="1">
      <c r="B265" s="37">
        <v>46259</v>
      </c>
      <c r="C265" s="37" t="s">
        <v>280</v>
      </c>
      <c r="D265" s="33" t="s">
        <v>34</v>
      </c>
      <c r="E265" s="33" t="str">
        <f>IFERROR(VLOOKUP(D265,Sheet1!B:F,4,0),"")</f>
        <v>HTR PIPE IN LHD</v>
      </c>
      <c r="F265" s="33" t="s">
        <v>45</v>
      </c>
      <c r="G265" s="35">
        <v>20</v>
      </c>
      <c r="H265" s="36" t="s">
        <v>305</v>
      </c>
      <c r="I265" s="33"/>
    </row>
    <row r="266" spans="2:9" ht="21" customHeight="1">
      <c r="B266" s="37">
        <v>46259</v>
      </c>
      <c r="C266" s="37" t="s">
        <v>280</v>
      </c>
      <c r="D266" s="33" t="s">
        <v>16</v>
      </c>
      <c r="E266" s="33" t="str">
        <f>IFERROR(VLOOKUP(D266,Sheet1!B:F,4,0),"")</f>
        <v>HTR OUT PIPE LHD</v>
      </c>
      <c r="F266" s="33" t="s">
        <v>45</v>
      </c>
      <c r="G266" s="35">
        <v>26</v>
      </c>
      <c r="H266" s="36" t="s">
        <v>305</v>
      </c>
      <c r="I266" s="33"/>
    </row>
    <row r="267" spans="2:9" ht="21" customHeight="1">
      <c r="B267" s="37">
        <v>46259</v>
      </c>
      <c r="C267" s="37" t="s">
        <v>308</v>
      </c>
      <c r="D267" s="33" t="s">
        <v>71</v>
      </c>
      <c r="E267" s="33" t="str">
        <f>IFERROR(VLOOKUP(D267,Sheet1!B:F,4,0),"")</f>
        <v>TUBE INLET-EVAP CORE</v>
      </c>
      <c r="F267" s="33" t="s">
        <v>15</v>
      </c>
      <c r="G267" s="35">
        <v>3</v>
      </c>
      <c r="H267" s="36" t="s">
        <v>309</v>
      </c>
      <c r="I267" s="33" t="s">
        <v>276</v>
      </c>
    </row>
    <row r="268" spans="2:9" ht="21" customHeight="1">
      <c r="B268" s="37">
        <v>46260</v>
      </c>
      <c r="C268" s="37" t="s">
        <v>280</v>
      </c>
      <c r="D268" s="33" t="s">
        <v>150</v>
      </c>
      <c r="E268" s="33" t="str">
        <f>IFERROR(VLOOKUP(D268,Sheet1!B:F,4,0),"")</f>
        <v>TUBE INLET-EVAP CORE</v>
      </c>
      <c r="F268" s="33" t="s">
        <v>45</v>
      </c>
      <c r="G268" s="35">
        <v>63</v>
      </c>
      <c r="H268" s="36" t="s">
        <v>303</v>
      </c>
      <c r="I268" s="33"/>
    </row>
    <row r="269" spans="2:9" ht="21" customHeight="1">
      <c r="B269" s="37">
        <v>46260</v>
      </c>
      <c r="C269" s="37" t="s">
        <v>280</v>
      </c>
      <c r="D269" s="33" t="s">
        <v>150</v>
      </c>
      <c r="E269" s="33" t="str">
        <f>IFERROR(VLOOKUP(D269,Sheet1!B:F,4,0),"")</f>
        <v>TUBE INLET-EVAP CORE</v>
      </c>
      <c r="F269" s="33" t="s">
        <v>15</v>
      </c>
      <c r="G269" s="35">
        <v>6</v>
      </c>
      <c r="H269" s="36" t="s">
        <v>303</v>
      </c>
      <c r="I269" s="33"/>
    </row>
    <row r="270" spans="2:9" ht="21" customHeight="1">
      <c r="B270" s="37">
        <v>46260</v>
      </c>
      <c r="C270" s="37" t="s">
        <v>280</v>
      </c>
      <c r="D270" s="33" t="s">
        <v>150</v>
      </c>
      <c r="E270" s="33" t="str">
        <f>IFERROR(VLOOKUP(D270,Sheet1!B:F,4,0),"")</f>
        <v>TUBE INLET-EVAP CORE</v>
      </c>
      <c r="F270" s="33" t="s">
        <v>306</v>
      </c>
      <c r="G270" s="35">
        <v>17</v>
      </c>
      <c r="H270" s="36" t="s">
        <v>303</v>
      </c>
      <c r="I270" s="33"/>
    </row>
    <row r="271" spans="2:9" ht="21" customHeight="1">
      <c r="B271" s="37">
        <v>46260</v>
      </c>
      <c r="C271" s="37" t="s">
        <v>280</v>
      </c>
      <c r="D271" s="33" t="s">
        <v>44</v>
      </c>
      <c r="E271" s="33" t="str">
        <f>IFERROR(VLOOKUP(D271,Sheet1!B:F,4,0),"")</f>
        <v>INLET TUBE-HTR</v>
      </c>
      <c r="F271" s="33" t="s">
        <v>18</v>
      </c>
      <c r="G271" s="35">
        <v>3</v>
      </c>
      <c r="H271" s="36" t="s">
        <v>303</v>
      </c>
      <c r="I271" s="33"/>
    </row>
    <row r="272" spans="2:9" ht="21" customHeight="1">
      <c r="B272" s="37">
        <v>46260</v>
      </c>
      <c r="C272" s="37" t="s">
        <v>280</v>
      </c>
      <c r="D272" s="33" t="s">
        <v>144</v>
      </c>
      <c r="E272" s="33" t="str">
        <f>IFERROR(VLOOKUP(D272,Sheet1!B:F,4,0),"")</f>
        <v>EVAP LHD</v>
      </c>
      <c r="F272" s="33" t="s">
        <v>76</v>
      </c>
      <c r="G272" s="35">
        <v>1</v>
      </c>
      <c r="H272" s="36" t="s">
        <v>303</v>
      </c>
      <c r="I272" s="33"/>
    </row>
    <row r="273" spans="2:9" ht="21" customHeight="1">
      <c r="B273" s="37">
        <v>46260</v>
      </c>
      <c r="C273" s="37" t="s">
        <v>280</v>
      </c>
      <c r="D273" s="33" t="s">
        <v>144</v>
      </c>
      <c r="E273" s="33" t="str">
        <f>IFERROR(VLOOKUP(D273,Sheet1!B:F,4,0),"")</f>
        <v>EVAP LHD</v>
      </c>
      <c r="F273" s="33" t="s">
        <v>79</v>
      </c>
      <c r="G273" s="35">
        <v>1</v>
      </c>
      <c r="H273" s="36" t="s">
        <v>303</v>
      </c>
      <c r="I273" s="33"/>
    </row>
    <row r="274" spans="2:9" ht="21" customHeight="1">
      <c r="B274" s="37">
        <v>46260</v>
      </c>
      <c r="C274" s="37" t="s">
        <v>280</v>
      </c>
      <c r="D274" s="33" t="s">
        <v>16</v>
      </c>
      <c r="E274" s="33" t="str">
        <f>IFERROR(VLOOKUP(D274,Sheet1!B:F,4,0),"")</f>
        <v>HTR OUT PIPE LHD</v>
      </c>
      <c r="F274" s="33" t="s">
        <v>45</v>
      </c>
      <c r="G274" s="35">
        <v>19</v>
      </c>
      <c r="H274" s="36" t="s">
        <v>303</v>
      </c>
      <c r="I274" s="33"/>
    </row>
    <row r="275" spans="2:9" ht="21" customHeight="1">
      <c r="B275" s="37">
        <v>46260</v>
      </c>
      <c r="C275" s="37" t="s">
        <v>280</v>
      </c>
      <c r="D275" s="33" t="s">
        <v>28</v>
      </c>
      <c r="E275" s="33" t="str">
        <f>IFERROR(VLOOKUP(D275,Sheet1!B:F,4,0),"")</f>
        <v>JUMP TUBE CA 핀무</v>
      </c>
      <c r="F275" s="33" t="s">
        <v>59</v>
      </c>
      <c r="G275" s="35">
        <v>3</v>
      </c>
      <c r="H275" s="36" t="s">
        <v>301</v>
      </c>
      <c r="I275" s="33"/>
    </row>
    <row r="276" spans="2:9" ht="21" customHeight="1">
      <c r="B276" s="37">
        <v>46260</v>
      </c>
      <c r="C276" s="37" t="s">
        <v>280</v>
      </c>
      <c r="D276" s="33" t="s">
        <v>41</v>
      </c>
      <c r="E276" s="33" t="str">
        <f>IFERROR(VLOOKUP(D276,Sheet1!B:F,4,0),"")</f>
        <v>FT-ASY-A/C JUMPER</v>
      </c>
      <c r="F276" s="33" t="s">
        <v>74</v>
      </c>
      <c r="G276" s="35">
        <v>1</v>
      </c>
      <c r="H276" s="36" t="s">
        <v>301</v>
      </c>
      <c r="I276" s="33"/>
    </row>
    <row r="277" spans="2:9" ht="21" customHeight="1">
      <c r="B277" s="37">
        <v>46260</v>
      </c>
      <c r="C277" s="37" t="s">
        <v>280</v>
      </c>
      <c r="D277" s="33" t="s">
        <v>307</v>
      </c>
      <c r="E277" s="33" t="str">
        <f>IFERROR(VLOOKUP(D277,Sheet1!B:F,4,0),"")</f>
        <v/>
      </c>
      <c r="F277" s="33" t="s">
        <v>59</v>
      </c>
      <c r="G277" s="35">
        <v>3</v>
      </c>
      <c r="H277" s="36" t="s">
        <v>301</v>
      </c>
      <c r="I277" s="33"/>
    </row>
    <row r="278" spans="2:9" ht="21" customHeight="1">
      <c r="B278" s="37">
        <v>46260</v>
      </c>
      <c r="C278" s="37" t="s">
        <v>308</v>
      </c>
      <c r="D278" s="33" t="s">
        <v>44</v>
      </c>
      <c r="E278" s="33" t="str">
        <f>IFERROR(VLOOKUP(D278,Sheet1!B:F,4,0),"")</f>
        <v>INLET TUBE-HTR</v>
      </c>
      <c r="F278" s="33" t="s">
        <v>72</v>
      </c>
      <c r="G278" s="35">
        <v>3</v>
      </c>
      <c r="H278" s="36" t="s">
        <v>309</v>
      </c>
      <c r="I278" s="33"/>
    </row>
    <row r="279" spans="2:9" ht="21" customHeight="1">
      <c r="B279" s="37">
        <v>46260</v>
      </c>
      <c r="C279" s="37" t="s">
        <v>308</v>
      </c>
      <c r="D279" s="33" t="s">
        <v>44</v>
      </c>
      <c r="E279" s="33" t="str">
        <f>IFERROR(VLOOKUP(D279,Sheet1!B:F,4,0),"")</f>
        <v>INLET TUBE-HTR</v>
      </c>
      <c r="F279" s="33" t="s">
        <v>15</v>
      </c>
      <c r="G279" s="35">
        <v>2</v>
      </c>
      <c r="H279" s="36" t="s">
        <v>309</v>
      </c>
      <c r="I279" s="33"/>
    </row>
    <row r="280" spans="2:9" ht="21" customHeight="1">
      <c r="B280" s="37">
        <v>46260</v>
      </c>
      <c r="C280" s="37" t="s">
        <v>308</v>
      </c>
      <c r="D280" s="33" t="s">
        <v>16</v>
      </c>
      <c r="E280" s="33" t="str">
        <f>IFERROR(VLOOKUP(D280,Sheet1!B:F,4,0),"")</f>
        <v>HTR OUT PIPE LHD</v>
      </c>
      <c r="F280" s="33" t="s">
        <v>312</v>
      </c>
      <c r="G280" s="35">
        <v>20</v>
      </c>
      <c r="H280" s="36" t="s">
        <v>309</v>
      </c>
      <c r="I280" s="33"/>
    </row>
    <row r="281" spans="2:9" ht="21" customHeight="1">
      <c r="B281" s="37">
        <v>46260</v>
      </c>
      <c r="C281" s="37" t="s">
        <v>308</v>
      </c>
      <c r="D281" s="33" t="s">
        <v>150</v>
      </c>
      <c r="E281" s="33" t="str">
        <f>IFERROR(VLOOKUP(D281,Sheet1!B:F,4,0),"")</f>
        <v>TUBE INLET-EVAP CORE</v>
      </c>
      <c r="F281" s="33" t="s">
        <v>313</v>
      </c>
      <c r="G281" s="35">
        <v>1</v>
      </c>
      <c r="H281" s="36" t="s">
        <v>309</v>
      </c>
      <c r="I281" s="33" t="s">
        <v>18</v>
      </c>
    </row>
    <row r="282" spans="2:9" ht="21" customHeight="1">
      <c r="B282" s="37">
        <v>46260</v>
      </c>
      <c r="C282" s="37" t="s">
        <v>308</v>
      </c>
      <c r="D282" s="33" t="s">
        <v>150</v>
      </c>
      <c r="E282" s="33" t="str">
        <f>IFERROR(VLOOKUP(D282,Sheet1!B:F,4,0),"")</f>
        <v>TUBE INLET-EVAP CORE</v>
      </c>
      <c r="F282" s="33" t="s">
        <v>310</v>
      </c>
      <c r="G282" s="35">
        <v>7</v>
      </c>
      <c r="H282" s="36" t="s">
        <v>309</v>
      </c>
      <c r="I282" s="33" t="s">
        <v>314</v>
      </c>
    </row>
    <row r="283" spans="2:9" ht="21" customHeight="1">
      <c r="B283" s="37">
        <v>46260</v>
      </c>
      <c r="C283" s="37" t="s">
        <v>308</v>
      </c>
      <c r="D283" s="33" t="s">
        <v>71</v>
      </c>
      <c r="E283" s="33" t="str">
        <f>IFERROR(VLOOKUP(D283,Sheet1!B:F,4,0),"")</f>
        <v>TUBE INLET-EVAP CORE</v>
      </c>
      <c r="F283" s="33" t="s">
        <v>315</v>
      </c>
      <c r="G283" s="35">
        <v>13</v>
      </c>
      <c r="H283" s="36" t="s">
        <v>309</v>
      </c>
      <c r="I283" s="33" t="s">
        <v>316</v>
      </c>
    </row>
    <row r="284" spans="2:9" ht="21" customHeight="1">
      <c r="B284" s="37">
        <v>46260</v>
      </c>
      <c r="C284" s="37" t="s">
        <v>308</v>
      </c>
      <c r="D284" s="33" t="s">
        <v>31</v>
      </c>
      <c r="E284" s="33" t="str">
        <f>IFERROR(VLOOKUP(D284,Sheet1!B:F,4,0),"")</f>
        <v>COOLANT SPOUT-WCAC</v>
      </c>
      <c r="F284" s="33" t="s">
        <v>15</v>
      </c>
      <c r="G284" s="35">
        <v>1</v>
      </c>
      <c r="H284" s="36" t="s">
        <v>309</v>
      </c>
      <c r="I284" s="33"/>
    </row>
    <row r="285" spans="2:9" ht="21" customHeight="1">
      <c r="B285" s="37">
        <v>46260</v>
      </c>
      <c r="C285" s="37" t="s">
        <v>308</v>
      </c>
      <c r="D285" s="33" t="s">
        <v>31</v>
      </c>
      <c r="E285" s="33" t="str">
        <f>IFERROR(VLOOKUP(D285,Sheet1!B:F,4,0),"")</f>
        <v>COOLANT SPOUT-WCAC</v>
      </c>
      <c r="F285" s="33" t="s">
        <v>317</v>
      </c>
      <c r="G285" s="35">
        <v>1</v>
      </c>
      <c r="H285" s="36" t="s">
        <v>309</v>
      </c>
      <c r="I285" s="33"/>
    </row>
    <row r="286" spans="2:9" ht="21" customHeight="1">
      <c r="B286" s="37">
        <v>46261</v>
      </c>
      <c r="C286" s="37" t="s">
        <v>280</v>
      </c>
      <c r="D286" s="33" t="s">
        <v>71</v>
      </c>
      <c r="E286" s="33" t="str">
        <f>IFERROR(VLOOKUP(D286,Sheet1!B:F,4,0),"")</f>
        <v>TUBE INLET-EVAP CORE</v>
      </c>
      <c r="F286" s="33" t="s">
        <v>45</v>
      </c>
      <c r="G286" s="35">
        <v>25</v>
      </c>
      <c r="H286" s="36" t="s">
        <v>303</v>
      </c>
      <c r="I286" s="33"/>
    </row>
    <row r="287" spans="2:9" ht="21" customHeight="1">
      <c r="B287" s="37">
        <v>46261</v>
      </c>
      <c r="C287" s="37" t="s">
        <v>280</v>
      </c>
      <c r="D287" s="33" t="s">
        <v>150</v>
      </c>
      <c r="E287" s="33" t="str">
        <f>IFERROR(VLOOKUP(D287,Sheet1!B:F,4,0),"")</f>
        <v>TUBE INLET-EVAP CORE</v>
      </c>
      <c r="F287" s="33" t="s">
        <v>45</v>
      </c>
      <c r="G287" s="35">
        <v>107</v>
      </c>
      <c r="H287" s="36" t="s">
        <v>303</v>
      </c>
      <c r="I287" s="33"/>
    </row>
    <row r="288" spans="2:9" ht="21" customHeight="1">
      <c r="B288" s="37">
        <v>46261</v>
      </c>
      <c r="C288" s="37" t="s">
        <v>280</v>
      </c>
      <c r="D288" s="33" t="s">
        <v>16</v>
      </c>
      <c r="E288" s="33" t="str">
        <f>IFERROR(VLOOKUP(D288,Sheet1!B:F,4,0),"")</f>
        <v>HTR OUT PIPE LHD</v>
      </c>
      <c r="F288" s="33" t="s">
        <v>18</v>
      </c>
      <c r="G288" s="35">
        <v>4</v>
      </c>
      <c r="H288" s="36" t="s">
        <v>303</v>
      </c>
      <c r="I288" s="33"/>
    </row>
    <row r="289" spans="2:9" ht="21" customHeight="1">
      <c r="B289" s="37">
        <v>46261</v>
      </c>
      <c r="C289" s="37" t="s">
        <v>280</v>
      </c>
      <c r="D289" s="33" t="s">
        <v>16</v>
      </c>
      <c r="E289" s="33" t="str">
        <f>IFERROR(VLOOKUP(D289,Sheet1!B:F,4,0),"")</f>
        <v>HTR OUT PIPE LHD</v>
      </c>
      <c r="F289" s="33" t="s">
        <v>15</v>
      </c>
      <c r="G289" s="35">
        <v>1</v>
      </c>
      <c r="H289" s="36" t="s">
        <v>303</v>
      </c>
      <c r="I289" s="33"/>
    </row>
    <row r="290" spans="2:9" ht="21" customHeight="1">
      <c r="B290" s="37">
        <v>46261</v>
      </c>
      <c r="C290" s="37" t="s">
        <v>280</v>
      </c>
      <c r="D290" s="33" t="s">
        <v>22</v>
      </c>
      <c r="E290" s="33" t="str">
        <f>IFERROR(VLOOKUP(D290,Sheet1!B:F,4,0),"")</f>
        <v>FT-ASY-A/C JUMPER</v>
      </c>
      <c r="F290" s="33" t="s">
        <v>59</v>
      </c>
      <c r="G290" s="35">
        <v>1</v>
      </c>
      <c r="H290" s="36" t="s">
        <v>301</v>
      </c>
      <c r="I290" s="33"/>
    </row>
    <row r="291" spans="2:9" ht="21" customHeight="1">
      <c r="B291" s="37">
        <v>46261</v>
      </c>
      <c r="C291" s="37" t="s">
        <v>280</v>
      </c>
      <c r="D291" s="33" t="s">
        <v>41</v>
      </c>
      <c r="E291" s="33" t="str">
        <f>IFERROR(VLOOKUP(D291,Sheet1!B:F,4,0),"")</f>
        <v>FT-ASY-A/C JUMPER</v>
      </c>
      <c r="F291" s="33" t="s">
        <v>290</v>
      </c>
      <c r="G291" s="35">
        <v>3</v>
      </c>
      <c r="H291" s="36" t="s">
        <v>301</v>
      </c>
      <c r="I291" s="33"/>
    </row>
    <row r="292" spans="2:9" ht="21" customHeight="1">
      <c r="B292" s="37">
        <v>46261</v>
      </c>
      <c r="C292" s="37" t="s">
        <v>280</v>
      </c>
      <c r="D292" s="33" t="s">
        <v>41</v>
      </c>
      <c r="E292" s="33" t="str">
        <f>IFERROR(VLOOKUP(D292,Sheet1!B:F,4,0),"")</f>
        <v>FT-ASY-A/C JUMPER</v>
      </c>
      <c r="F292" s="33" t="s">
        <v>48</v>
      </c>
      <c r="G292" s="35">
        <v>4</v>
      </c>
      <c r="H292" s="36" t="s">
        <v>301</v>
      </c>
      <c r="I292" s="33"/>
    </row>
    <row r="293" spans="2:9" ht="21" customHeight="1">
      <c r="B293" s="37">
        <v>46261</v>
      </c>
      <c r="C293" s="37" t="s">
        <v>280</v>
      </c>
      <c r="D293" s="33" t="s">
        <v>41</v>
      </c>
      <c r="E293" s="33" t="str">
        <f>IFERROR(VLOOKUP(D293,Sheet1!B:F,4,0),"")</f>
        <v>FT-ASY-A/C JUMPER</v>
      </c>
      <c r="F293" s="33" t="s">
        <v>15</v>
      </c>
      <c r="G293" s="35">
        <v>1</v>
      </c>
      <c r="H293" s="36" t="s">
        <v>301</v>
      </c>
      <c r="I293" s="33"/>
    </row>
    <row r="294" spans="2:9" ht="21" customHeight="1">
      <c r="B294" s="37">
        <v>46261</v>
      </c>
      <c r="C294" s="37" t="s">
        <v>308</v>
      </c>
      <c r="D294" s="33" t="s">
        <v>16</v>
      </c>
      <c r="E294" s="33" t="str">
        <f>IFERROR(VLOOKUP(D294,Sheet1!B:F,4,0),"")</f>
        <v>HTR OUT PIPE LHD</v>
      </c>
      <c r="F294" s="33" t="s">
        <v>318</v>
      </c>
      <c r="G294" s="35">
        <v>5</v>
      </c>
      <c r="H294" s="36" t="s">
        <v>309</v>
      </c>
      <c r="I294" s="33"/>
    </row>
    <row r="295" spans="2:9" ht="21" customHeight="1">
      <c r="B295" s="37">
        <v>46261</v>
      </c>
      <c r="C295" s="37" t="s">
        <v>308</v>
      </c>
      <c r="D295" s="33" t="s">
        <v>44</v>
      </c>
      <c r="E295" s="33" t="str">
        <f>IFERROR(VLOOKUP(D295,Sheet1!B:F,4,0),"")</f>
        <v>INLET TUBE-HTR</v>
      </c>
      <c r="F295" s="33" t="s">
        <v>319</v>
      </c>
      <c r="G295" s="35">
        <v>5</v>
      </c>
      <c r="H295" s="36" t="s">
        <v>309</v>
      </c>
      <c r="I295" s="33"/>
    </row>
    <row r="296" spans="2:9" ht="21" customHeight="1">
      <c r="B296" s="37">
        <v>46261</v>
      </c>
      <c r="C296" s="37" t="s">
        <v>308</v>
      </c>
      <c r="D296" s="33" t="s">
        <v>71</v>
      </c>
      <c r="E296" s="33" t="str">
        <f>IFERROR(VLOOKUP(D296,Sheet1!B:F,4,0),"")</f>
        <v>TUBE INLET-EVAP CORE</v>
      </c>
      <c r="F296" s="33" t="s">
        <v>13</v>
      </c>
      <c r="G296" s="35">
        <v>11</v>
      </c>
      <c r="H296" s="36" t="s">
        <v>309</v>
      </c>
      <c r="I296" s="33"/>
    </row>
    <row r="297" spans="2:9" ht="21" customHeight="1">
      <c r="B297" s="37">
        <v>46261</v>
      </c>
      <c r="C297" s="37" t="s">
        <v>308</v>
      </c>
      <c r="D297" s="33" t="s">
        <v>150</v>
      </c>
      <c r="E297" s="33" t="str">
        <f>IFERROR(VLOOKUP(D297,Sheet1!B:F,4,0),"")</f>
        <v>TUBE INLET-EVAP CORE</v>
      </c>
      <c r="F297" s="33" t="s">
        <v>310</v>
      </c>
      <c r="G297" s="35">
        <v>1</v>
      </c>
      <c r="H297" s="36" t="s">
        <v>309</v>
      </c>
      <c r="I297" s="33"/>
    </row>
    <row r="298" spans="2:9" ht="21" customHeight="1">
      <c r="B298" s="37">
        <v>46261</v>
      </c>
      <c r="C298" s="37" t="s">
        <v>308</v>
      </c>
      <c r="D298" s="33" t="s">
        <v>31</v>
      </c>
      <c r="E298" s="33" t="str">
        <f>IFERROR(VLOOKUP(D298,Sheet1!B:F,4,0),"")</f>
        <v>COOLANT SPOUT-WCAC</v>
      </c>
      <c r="F298" s="33" t="s">
        <v>45</v>
      </c>
      <c r="G298" s="35">
        <v>1</v>
      </c>
      <c r="H298" s="36" t="s">
        <v>309</v>
      </c>
      <c r="I298" s="33"/>
    </row>
    <row r="299" spans="2:9" ht="21" customHeight="1">
      <c r="B299" s="37">
        <v>46261</v>
      </c>
      <c r="C299" s="37" t="s">
        <v>308</v>
      </c>
      <c r="D299" s="33" t="s">
        <v>31</v>
      </c>
      <c r="E299" s="33" t="str">
        <f>IFERROR(VLOOKUP(D299,Sheet1!B:F,4,0),"")</f>
        <v>COOLANT SPOUT-WCAC</v>
      </c>
      <c r="F299" s="33" t="s">
        <v>317</v>
      </c>
      <c r="G299" s="35">
        <v>1</v>
      </c>
      <c r="H299" s="36" t="s">
        <v>309</v>
      </c>
      <c r="I299" s="33"/>
    </row>
    <row r="300" spans="2:9" ht="21" customHeight="1">
      <c r="B300" s="37">
        <v>46261</v>
      </c>
      <c r="C300" s="37" t="s">
        <v>308</v>
      </c>
      <c r="D300" s="33" t="s">
        <v>185</v>
      </c>
      <c r="E300" s="33" t="str">
        <f>IFERROR(VLOOKUP(D300,Sheet1!B:F,4,0),"")</f>
        <v/>
      </c>
      <c r="F300" s="33" t="s">
        <v>13</v>
      </c>
      <c r="G300" s="35">
        <v>8</v>
      </c>
      <c r="H300" s="36" t="s">
        <v>309</v>
      </c>
      <c r="I300" s="10" t="s">
        <v>261</v>
      </c>
    </row>
    <row r="301" spans="2:9" ht="21" customHeight="1">
      <c r="B301" s="37">
        <v>46261</v>
      </c>
      <c r="C301" s="37" t="s">
        <v>308</v>
      </c>
      <c r="D301" s="33" t="s">
        <v>185</v>
      </c>
      <c r="E301" s="33" t="str">
        <f>IFERROR(VLOOKUP(D301,Sheet1!B:F,4,0),"")</f>
        <v/>
      </c>
      <c r="F301" s="33" t="s">
        <v>13</v>
      </c>
      <c r="G301" s="35">
        <v>23</v>
      </c>
      <c r="H301" s="36" t="s">
        <v>309</v>
      </c>
      <c r="I301" s="10" t="s">
        <v>266</v>
      </c>
    </row>
    <row r="302" spans="2:9" ht="21" customHeight="1">
      <c r="B302" s="37">
        <v>46261</v>
      </c>
      <c r="C302" s="37" t="s">
        <v>308</v>
      </c>
      <c r="D302" s="33" t="s">
        <v>185</v>
      </c>
      <c r="E302" s="33" t="str">
        <f>IFERROR(VLOOKUP(D302,Sheet1!B:F,4,0),"")</f>
        <v/>
      </c>
      <c r="F302" s="33" t="s">
        <v>13</v>
      </c>
      <c r="G302" s="35">
        <v>1</v>
      </c>
      <c r="H302" s="36" t="s">
        <v>309</v>
      </c>
      <c r="I302" s="10" t="s">
        <v>79</v>
      </c>
    </row>
    <row r="303" spans="2:9" ht="21" customHeight="1">
      <c r="B303" s="37">
        <v>46261</v>
      </c>
      <c r="C303" s="37" t="s">
        <v>127</v>
      </c>
      <c r="D303" s="33" t="s">
        <v>29</v>
      </c>
      <c r="E303" s="33" t="str">
        <f>IFERROR(VLOOKUP(D303,Sheet1!B:F,4,0),"")</f>
        <v>COOLANT SPOUT-WCAC</v>
      </c>
      <c r="F303" s="33" t="s">
        <v>342</v>
      </c>
      <c r="G303" s="35">
        <v>41</v>
      </c>
      <c r="H303" s="36" t="s">
        <v>309</v>
      </c>
      <c r="I303" s="33"/>
    </row>
    <row r="304" spans="2:9" ht="21" customHeight="1">
      <c r="B304" s="37">
        <v>46262</v>
      </c>
      <c r="C304" s="37" t="s">
        <v>308</v>
      </c>
      <c r="D304" s="33" t="s">
        <v>44</v>
      </c>
      <c r="E304" s="33" t="str">
        <f>IFERROR(VLOOKUP(D304,Sheet1!B:F,4,0),"")</f>
        <v>INLET TUBE-HTR</v>
      </c>
      <c r="F304" s="33" t="s">
        <v>13</v>
      </c>
      <c r="G304" s="35">
        <v>21</v>
      </c>
      <c r="H304" s="36" t="s">
        <v>309</v>
      </c>
      <c r="I304" s="33" t="s">
        <v>17</v>
      </c>
    </row>
    <row r="305" spans="2:9" ht="21" customHeight="1">
      <c r="B305" s="37">
        <v>46262</v>
      </c>
      <c r="C305" s="37" t="s">
        <v>308</v>
      </c>
      <c r="D305" s="33" t="s">
        <v>150</v>
      </c>
      <c r="E305" s="33" t="str">
        <f>IFERROR(VLOOKUP(D305,Sheet1!B:F,4,0),"")</f>
        <v>TUBE INLET-EVAP CORE</v>
      </c>
      <c r="F305" s="33" t="s">
        <v>310</v>
      </c>
      <c r="G305" s="35">
        <v>60</v>
      </c>
      <c r="H305" s="36" t="s">
        <v>309</v>
      </c>
      <c r="I305" s="33"/>
    </row>
    <row r="306" spans="2:9" ht="21" customHeight="1">
      <c r="B306" s="37">
        <v>46262</v>
      </c>
      <c r="C306" s="37" t="s">
        <v>308</v>
      </c>
      <c r="D306" s="33" t="s">
        <v>19</v>
      </c>
      <c r="E306" s="33" t="str">
        <f>IFERROR(VLOOKUP(D306,Sheet1!B:F,4,0),"")</f>
        <v>COOLANT SPOUT-WCAC</v>
      </c>
      <c r="F306" s="33" t="s">
        <v>311</v>
      </c>
      <c r="G306" s="35">
        <v>10</v>
      </c>
      <c r="H306" s="36" t="s">
        <v>309</v>
      </c>
      <c r="I306" s="33" t="s">
        <v>17</v>
      </c>
    </row>
    <row r="307" spans="2:9" ht="21" customHeight="1">
      <c r="B307" s="37">
        <v>46262</v>
      </c>
      <c r="C307" s="37" t="s">
        <v>308</v>
      </c>
      <c r="D307" s="33" t="s">
        <v>49</v>
      </c>
      <c r="E307" s="33" t="str">
        <f>IFERROR(VLOOKUP(D307,Sheet1!B:F,4,0),"")</f>
        <v>COOLANT SPOUT-WCAC</v>
      </c>
      <c r="F307" s="33" t="s">
        <v>15</v>
      </c>
      <c r="G307" s="35">
        <v>1</v>
      </c>
      <c r="H307" s="36" t="s">
        <v>309</v>
      </c>
      <c r="I307" s="33" t="s">
        <v>17</v>
      </c>
    </row>
    <row r="308" spans="2:9" ht="21" customHeight="1">
      <c r="B308" s="37">
        <v>46262</v>
      </c>
      <c r="C308" s="37" t="s">
        <v>127</v>
      </c>
      <c r="D308" s="33" t="s">
        <v>51</v>
      </c>
      <c r="E308" s="33" t="str">
        <f>IFERROR(VLOOKUP(D308,Sheet1!B:F,4,0),"")</f>
        <v>OUTLET TUBE-HTR</v>
      </c>
      <c r="F308" s="33" t="s">
        <v>13</v>
      </c>
      <c r="G308" s="35">
        <v>2</v>
      </c>
      <c r="H308" s="36" t="s">
        <v>309</v>
      </c>
      <c r="I308" s="33" t="s">
        <v>344</v>
      </c>
    </row>
    <row r="309" spans="2:9" ht="21" customHeight="1">
      <c r="B309" s="37">
        <v>46262</v>
      </c>
      <c r="C309" s="37" t="s">
        <v>127</v>
      </c>
      <c r="D309" s="33" t="s">
        <v>71</v>
      </c>
      <c r="E309" s="33" t="str">
        <f>IFERROR(VLOOKUP(D309,Sheet1!B:F,4,0),"")</f>
        <v>TUBE INLET-EVAP CORE</v>
      </c>
      <c r="F309" s="33" t="s">
        <v>343</v>
      </c>
      <c r="G309" s="35">
        <v>112</v>
      </c>
      <c r="H309" s="36" t="s">
        <v>309</v>
      </c>
      <c r="I309" s="33"/>
    </row>
    <row r="310" spans="2:9" ht="21" customHeight="1">
      <c r="B310" s="37">
        <v>46263</v>
      </c>
      <c r="C310" s="37" t="s">
        <v>280</v>
      </c>
      <c r="D310" s="33" t="s">
        <v>71</v>
      </c>
      <c r="E310" s="33" t="str">
        <f>IFERROR(VLOOKUP(D310,Sheet1!B:F,4,0),"")</f>
        <v>TUBE INLET-EVAP CORE</v>
      </c>
      <c r="F310" s="33" t="s">
        <v>45</v>
      </c>
      <c r="G310" s="35">
        <v>5</v>
      </c>
      <c r="H310" s="36" t="s">
        <v>303</v>
      </c>
      <c r="I310" s="33"/>
    </row>
    <row r="311" spans="2:9" ht="21" customHeight="1">
      <c r="B311" s="37">
        <v>46263</v>
      </c>
      <c r="C311" s="37" t="s">
        <v>280</v>
      </c>
      <c r="D311" s="33" t="s">
        <v>44</v>
      </c>
      <c r="E311" s="33" t="str">
        <f>IFERROR(VLOOKUP(D311,Sheet1!B:F,4,0),"")</f>
        <v>INLET TUBE-HTR</v>
      </c>
      <c r="F311" s="33" t="s">
        <v>45</v>
      </c>
      <c r="G311" s="35">
        <v>10</v>
      </c>
      <c r="H311" s="36" t="s">
        <v>303</v>
      </c>
      <c r="I311" s="33"/>
    </row>
    <row r="312" spans="2:9" ht="21" customHeight="1">
      <c r="B312" s="37">
        <v>46263</v>
      </c>
      <c r="C312" s="37" t="s">
        <v>280</v>
      </c>
      <c r="D312" s="33" t="s">
        <v>34</v>
      </c>
      <c r="E312" s="33" t="str">
        <f>IFERROR(VLOOKUP(D312,Sheet1!B:F,4,0),"")</f>
        <v>HTR PIPE IN LHD</v>
      </c>
      <c r="F312" s="33" t="s">
        <v>45</v>
      </c>
      <c r="G312" s="35">
        <v>139</v>
      </c>
      <c r="H312" s="36" t="s">
        <v>303</v>
      </c>
      <c r="I312" s="33"/>
    </row>
    <row r="313" spans="2:9" ht="21" customHeight="1">
      <c r="B313" s="37">
        <v>46263</v>
      </c>
      <c r="C313" s="37" t="s">
        <v>280</v>
      </c>
      <c r="D313" s="33" t="s">
        <v>34</v>
      </c>
      <c r="E313" s="33" t="str">
        <f>IFERROR(VLOOKUP(D313,Sheet1!B:F,4,0),"")</f>
        <v>HTR PIPE IN LHD</v>
      </c>
      <c r="F313" s="33" t="s">
        <v>299</v>
      </c>
      <c r="G313" s="35">
        <v>4</v>
      </c>
      <c r="H313" s="36" t="s">
        <v>303</v>
      </c>
      <c r="I313" s="33"/>
    </row>
    <row r="314" spans="2:9" ht="21" customHeight="1">
      <c r="B314" s="37">
        <v>46265</v>
      </c>
      <c r="C314" s="37" t="s">
        <v>280</v>
      </c>
      <c r="D314" s="33" t="s">
        <v>91</v>
      </c>
      <c r="E314" s="33" t="str">
        <f>IFERROR(VLOOKUP(D314,Sheet1!B:F,4,0),"")</f>
        <v>EVAP PIPE LHD</v>
      </c>
      <c r="F314" s="33" t="s">
        <v>320</v>
      </c>
      <c r="G314" s="35">
        <v>1</v>
      </c>
      <c r="H314" s="36" t="s">
        <v>303</v>
      </c>
      <c r="I314" s="33"/>
    </row>
    <row r="315" spans="2:9" ht="21" customHeight="1">
      <c r="B315" s="37">
        <v>46265</v>
      </c>
      <c r="C315" s="37" t="s">
        <v>280</v>
      </c>
      <c r="D315" s="33" t="s">
        <v>144</v>
      </c>
      <c r="E315" s="33" t="str">
        <f>IFERROR(VLOOKUP(D315,Sheet1!B:F,4,0),"")</f>
        <v>EVAP LHD</v>
      </c>
      <c r="F315" s="33" t="s">
        <v>17</v>
      </c>
      <c r="G315" s="35">
        <v>5</v>
      </c>
      <c r="H315" s="36" t="s">
        <v>303</v>
      </c>
      <c r="I315" s="33"/>
    </row>
    <row r="316" spans="2:9" ht="21" customHeight="1">
      <c r="B316" s="37">
        <v>46265</v>
      </c>
      <c r="C316" s="37" t="s">
        <v>280</v>
      </c>
      <c r="D316" s="33" t="s">
        <v>34</v>
      </c>
      <c r="E316" s="33" t="str">
        <f>IFERROR(VLOOKUP(D316,Sheet1!B:F,4,0),"")</f>
        <v>HTR PIPE IN LHD</v>
      </c>
      <c r="F316" s="33" t="s">
        <v>299</v>
      </c>
      <c r="G316" s="35">
        <v>1</v>
      </c>
      <c r="H316" s="36" t="s">
        <v>303</v>
      </c>
      <c r="I316" s="33"/>
    </row>
    <row r="317" spans="2:9" ht="21" customHeight="1">
      <c r="B317" s="37">
        <v>46265</v>
      </c>
      <c r="C317" s="37" t="s">
        <v>280</v>
      </c>
      <c r="D317" s="33" t="s">
        <v>34</v>
      </c>
      <c r="E317" s="33" t="str">
        <f>IFERROR(VLOOKUP(D317,Sheet1!B:F,4,0),"")</f>
        <v>HTR PIPE IN LHD</v>
      </c>
      <c r="F317" s="33" t="s">
        <v>15</v>
      </c>
      <c r="G317" s="35">
        <v>1</v>
      </c>
      <c r="H317" s="36" t="s">
        <v>303</v>
      </c>
      <c r="I317" s="33"/>
    </row>
    <row r="318" spans="2:9" ht="21" customHeight="1">
      <c r="B318" s="37">
        <v>46265</v>
      </c>
      <c r="C318" s="37" t="s">
        <v>280</v>
      </c>
      <c r="D318" s="33" t="s">
        <v>71</v>
      </c>
      <c r="E318" s="33" t="str">
        <f>IFERROR(VLOOKUP(D318,Sheet1!B:F,4,0),"")</f>
        <v>TUBE INLET-EVAP CORE</v>
      </c>
      <c r="F318" s="33" t="s">
        <v>298</v>
      </c>
      <c r="G318" s="35">
        <v>2</v>
      </c>
      <c r="H318" s="36" t="s">
        <v>303</v>
      </c>
      <c r="I318" s="33"/>
    </row>
    <row r="319" spans="2:9" ht="21" customHeight="1">
      <c r="B319" s="37">
        <v>46265</v>
      </c>
      <c r="C319" s="37" t="s">
        <v>280</v>
      </c>
      <c r="D319" s="33" t="s">
        <v>71</v>
      </c>
      <c r="E319" s="33" t="str">
        <f>IFERROR(VLOOKUP(D319,Sheet1!B:F,4,0),"")</f>
        <v>TUBE INLET-EVAP CORE</v>
      </c>
      <c r="F319" s="33" t="s">
        <v>45</v>
      </c>
      <c r="G319" s="35">
        <v>5</v>
      </c>
      <c r="H319" s="36" t="s">
        <v>303</v>
      </c>
      <c r="I319" s="33"/>
    </row>
    <row r="320" spans="2:9" ht="21" customHeight="1">
      <c r="B320" s="37">
        <v>46265</v>
      </c>
      <c r="C320" s="37" t="s">
        <v>280</v>
      </c>
      <c r="D320" s="33" t="s">
        <v>23</v>
      </c>
      <c r="E320" s="33" t="str">
        <f>IFERROR(VLOOKUP(D320,Sheet1!B:F,4,0),"")</f>
        <v>JUMP TUBE AA 핀무</v>
      </c>
      <c r="F320" s="33" t="s">
        <v>321</v>
      </c>
      <c r="G320" s="35">
        <v>1</v>
      </c>
      <c r="H320" s="36" t="s">
        <v>301</v>
      </c>
      <c r="I320" s="33"/>
    </row>
    <row r="321" spans="2:9" ht="21" customHeight="1">
      <c r="B321" s="37">
        <v>46265</v>
      </c>
      <c r="C321" s="37" t="s">
        <v>280</v>
      </c>
      <c r="D321" s="33" t="s">
        <v>28</v>
      </c>
      <c r="E321" s="33" t="str">
        <f>IFERROR(VLOOKUP(D321,Sheet1!B:F,4,0),"")</f>
        <v>JUMP TUBE CA 핀무</v>
      </c>
      <c r="F321" s="33" t="s">
        <v>76</v>
      </c>
      <c r="G321" s="35">
        <v>1</v>
      </c>
      <c r="H321" s="36" t="s">
        <v>301</v>
      </c>
      <c r="I321" s="33"/>
    </row>
    <row r="322" spans="2:9" ht="21" customHeight="1">
      <c r="B322" s="37">
        <v>46265</v>
      </c>
      <c r="C322" s="37" t="s">
        <v>280</v>
      </c>
      <c r="D322" s="33" t="s">
        <v>73</v>
      </c>
      <c r="E322" s="33" t="str">
        <f>IFERROR(VLOOKUP(D322,Sheet1!B:F,4,0),"")</f>
        <v>FT-ASY-A/C JUMPER</v>
      </c>
      <c r="F322" s="33" t="s">
        <v>322</v>
      </c>
      <c r="G322" s="35">
        <v>1</v>
      </c>
      <c r="H322" s="36" t="s">
        <v>301</v>
      </c>
      <c r="I322" s="33"/>
    </row>
    <row r="323" spans="2:9" ht="21" customHeight="1">
      <c r="B323" s="37">
        <v>46265</v>
      </c>
      <c r="C323" s="37" t="s">
        <v>308</v>
      </c>
      <c r="D323" s="33" t="s">
        <v>34</v>
      </c>
      <c r="E323" s="33" t="str">
        <f>IFERROR(VLOOKUP(D323,Sheet1!B:F,4,0),"")</f>
        <v>HTR PIPE IN LHD</v>
      </c>
      <c r="F323" s="33" t="s">
        <v>326</v>
      </c>
      <c r="G323" s="35">
        <v>13</v>
      </c>
      <c r="H323" s="36" t="s">
        <v>309</v>
      </c>
      <c r="I323" s="33"/>
    </row>
    <row r="324" spans="2:9" ht="21" customHeight="1">
      <c r="B324" s="37">
        <v>46265</v>
      </c>
      <c r="C324" s="37" t="s">
        <v>308</v>
      </c>
      <c r="D324" s="33" t="s">
        <v>43</v>
      </c>
      <c r="E324" s="33" t="str">
        <f>IFERROR(VLOOKUP(D324,Sheet1!B:F,4,0),"")</f>
        <v>HTR OUT LHD</v>
      </c>
      <c r="F324" s="33" t="s">
        <v>13</v>
      </c>
      <c r="G324" s="35">
        <v>1</v>
      </c>
      <c r="H324" s="36" t="s">
        <v>309</v>
      </c>
      <c r="I324" s="33"/>
    </row>
    <row r="325" spans="2:9" ht="21" customHeight="1">
      <c r="B325" s="37">
        <v>46265</v>
      </c>
      <c r="C325" s="37" t="s">
        <v>308</v>
      </c>
      <c r="D325" s="33" t="s">
        <v>34</v>
      </c>
      <c r="E325" s="33" t="str">
        <f>IFERROR(VLOOKUP(D325,Sheet1!B:F,4,0),"")</f>
        <v>HTR PIPE IN LHD</v>
      </c>
      <c r="F325" s="33" t="s">
        <v>13</v>
      </c>
      <c r="G325" s="35">
        <v>9</v>
      </c>
      <c r="H325" s="36" t="s">
        <v>309</v>
      </c>
      <c r="I325" s="33"/>
    </row>
    <row r="326" spans="2:9" ht="21" customHeight="1">
      <c r="B326" s="37">
        <v>46265</v>
      </c>
      <c r="C326" s="37" t="s">
        <v>308</v>
      </c>
      <c r="D326" s="33" t="s">
        <v>44</v>
      </c>
      <c r="E326" s="33" t="str">
        <f>IFERROR(VLOOKUP(D326,Sheet1!B:F,4,0),"")</f>
        <v>INLET TUBE-HTR</v>
      </c>
      <c r="F326" s="33" t="s">
        <v>143</v>
      </c>
      <c r="G326" s="35">
        <v>2</v>
      </c>
      <c r="H326" s="36" t="s">
        <v>309</v>
      </c>
      <c r="I326" s="33"/>
    </row>
    <row r="327" spans="2:9" ht="21" customHeight="1">
      <c r="B327" s="37">
        <v>46265</v>
      </c>
      <c r="C327" s="37" t="s">
        <v>308</v>
      </c>
      <c r="D327" s="33" t="s">
        <v>51</v>
      </c>
      <c r="E327" s="33" t="str">
        <f>IFERROR(VLOOKUP(D327,Sheet1!B:F,4,0),"")</f>
        <v>OUTLET TUBE-HTR</v>
      </c>
      <c r="F327" s="33" t="s">
        <v>13</v>
      </c>
      <c r="G327" s="35">
        <v>3</v>
      </c>
      <c r="H327" s="36" t="s">
        <v>309</v>
      </c>
      <c r="I327" s="33"/>
    </row>
    <row r="328" spans="2:9" ht="21" customHeight="1">
      <c r="B328" s="37">
        <v>46265</v>
      </c>
      <c r="C328" s="37" t="s">
        <v>308</v>
      </c>
      <c r="D328" s="33" t="s">
        <v>71</v>
      </c>
      <c r="E328" s="33" t="str">
        <f>IFERROR(VLOOKUP(D328,Sheet1!B:F,4,0),"")</f>
        <v>TUBE INLET-EVAP CORE</v>
      </c>
      <c r="F328" s="33" t="s">
        <v>319</v>
      </c>
      <c r="G328" s="35">
        <v>10</v>
      </c>
      <c r="H328" s="36" t="s">
        <v>309</v>
      </c>
      <c r="I328" s="33"/>
    </row>
    <row r="329" spans="2:9" ht="21" customHeight="1">
      <c r="B329" s="37">
        <v>46265</v>
      </c>
      <c r="C329" s="37" t="s">
        <v>308</v>
      </c>
      <c r="D329" s="33" t="s">
        <v>150</v>
      </c>
      <c r="E329" s="33" t="str">
        <f>IFERROR(VLOOKUP(D329,Sheet1!B:F,4,0),"")</f>
        <v>TUBE INLET-EVAP CORE</v>
      </c>
      <c r="F329" s="33" t="s">
        <v>15</v>
      </c>
      <c r="G329" s="35">
        <v>2</v>
      </c>
      <c r="H329" s="36" t="s">
        <v>309</v>
      </c>
      <c r="I329" s="33"/>
    </row>
    <row r="330" spans="2:9" ht="21" customHeight="1">
      <c r="B330" s="37">
        <v>46265</v>
      </c>
      <c r="C330" s="37" t="s">
        <v>308</v>
      </c>
      <c r="D330" s="33" t="s">
        <v>29</v>
      </c>
      <c r="E330" s="33" t="str">
        <f>IFERROR(VLOOKUP(D330,Sheet1!B:F,4,0),"")</f>
        <v>COOLANT SPOUT-WCAC</v>
      </c>
      <c r="F330" s="33" t="s">
        <v>327</v>
      </c>
      <c r="G330" s="35">
        <v>28</v>
      </c>
      <c r="H330" s="36" t="s">
        <v>309</v>
      </c>
      <c r="I330" s="33"/>
    </row>
    <row r="331" spans="2:9" ht="21" customHeight="1">
      <c r="B331" s="37">
        <v>46265</v>
      </c>
      <c r="C331" s="37" t="s">
        <v>308</v>
      </c>
      <c r="D331" s="33" t="s">
        <v>19</v>
      </c>
      <c r="E331" s="33" t="str">
        <f>IFERROR(VLOOKUP(D331,Sheet1!B:F,4,0),"")</f>
        <v>COOLANT SPOUT-WCAC</v>
      </c>
      <c r="F331" s="33" t="s">
        <v>328</v>
      </c>
      <c r="G331" s="35">
        <v>8</v>
      </c>
      <c r="H331" s="36" t="s">
        <v>309</v>
      </c>
      <c r="I331" s="33"/>
    </row>
    <row r="332" spans="2:9" ht="21" customHeight="1">
      <c r="B332" s="37">
        <v>46265</v>
      </c>
      <c r="C332" s="37" t="s">
        <v>308</v>
      </c>
      <c r="D332" s="33" t="s">
        <v>28</v>
      </c>
      <c r="E332" s="33" t="str">
        <f>IFERROR(VLOOKUP(D332,Sheet1!B:F,4,0),"")</f>
        <v>JUMP TUBE CA 핀무</v>
      </c>
      <c r="F332" s="33" t="s">
        <v>13</v>
      </c>
      <c r="G332" s="35">
        <v>3</v>
      </c>
      <c r="H332" s="36" t="s">
        <v>309</v>
      </c>
      <c r="I332" s="33"/>
    </row>
    <row r="333" spans="2:9" ht="21" customHeight="1">
      <c r="B333" s="37">
        <v>46266</v>
      </c>
      <c r="C333" s="37" t="s">
        <v>280</v>
      </c>
      <c r="D333" s="33" t="s">
        <v>150</v>
      </c>
      <c r="E333" s="33" t="str">
        <f>IFERROR(VLOOKUP(D333,Sheet1!B:F,4,0),"")</f>
        <v>TUBE INLET-EVAP CORE</v>
      </c>
      <c r="F333" s="33" t="s">
        <v>45</v>
      </c>
      <c r="G333" s="35">
        <v>75</v>
      </c>
      <c r="H333" s="36" t="s">
        <v>303</v>
      </c>
      <c r="I333" s="33"/>
    </row>
    <row r="334" spans="2:9" ht="21" customHeight="1">
      <c r="B334" s="37">
        <v>46266</v>
      </c>
      <c r="C334" s="37" t="s">
        <v>280</v>
      </c>
      <c r="D334" s="33" t="s">
        <v>144</v>
      </c>
      <c r="E334" s="33" t="str">
        <f>IFERROR(VLOOKUP(D334,Sheet1!B:F,4,0),"")</f>
        <v>EVAP LHD</v>
      </c>
      <c r="F334" s="33" t="s">
        <v>45</v>
      </c>
      <c r="G334" s="35">
        <v>6</v>
      </c>
      <c r="H334" s="36" t="s">
        <v>303</v>
      </c>
      <c r="I334" s="33"/>
    </row>
    <row r="335" spans="2:9" ht="21" customHeight="1">
      <c r="B335" s="37">
        <v>46266</v>
      </c>
      <c r="C335" s="37" t="s">
        <v>280</v>
      </c>
      <c r="D335" s="33" t="s">
        <v>34</v>
      </c>
      <c r="E335" s="33" t="str">
        <f>IFERROR(VLOOKUP(D335,Sheet1!B:F,4,0),"")</f>
        <v>HTR PIPE IN LHD</v>
      </c>
      <c r="F335" s="33" t="s">
        <v>45</v>
      </c>
      <c r="G335" s="35">
        <v>17</v>
      </c>
      <c r="H335" s="36" t="s">
        <v>303</v>
      </c>
      <c r="I335" s="33"/>
    </row>
    <row r="336" spans="2:9" ht="21" customHeight="1">
      <c r="B336" s="37">
        <v>46266</v>
      </c>
      <c r="C336" s="37" t="s">
        <v>280</v>
      </c>
      <c r="D336" s="33" t="s">
        <v>34</v>
      </c>
      <c r="E336" s="33" t="str">
        <f>IFERROR(VLOOKUP(D336,Sheet1!B:F,4,0),"")</f>
        <v>HTR PIPE IN LHD</v>
      </c>
      <c r="F336" s="33" t="s">
        <v>299</v>
      </c>
      <c r="G336" s="35">
        <v>3</v>
      </c>
      <c r="H336" s="36" t="s">
        <v>303</v>
      </c>
      <c r="I336" s="33"/>
    </row>
    <row r="337" spans="2:9" ht="21" customHeight="1">
      <c r="B337" s="37">
        <v>46266</v>
      </c>
      <c r="C337" s="37" t="s">
        <v>280</v>
      </c>
      <c r="D337" s="33" t="s">
        <v>23</v>
      </c>
      <c r="E337" s="33" t="str">
        <f>IFERROR(VLOOKUP(D337,Sheet1!B:F,4,0),"")</f>
        <v>JUMP TUBE AA 핀무</v>
      </c>
      <c r="F337" s="33" t="s">
        <v>365</v>
      </c>
      <c r="G337" s="35">
        <v>5</v>
      </c>
      <c r="H337" s="36" t="s">
        <v>301</v>
      </c>
      <c r="I337" s="33"/>
    </row>
    <row r="338" spans="2:9" ht="21" customHeight="1">
      <c r="B338" s="37">
        <v>46266</v>
      </c>
      <c r="C338" s="37" t="s">
        <v>280</v>
      </c>
      <c r="D338" s="33" t="s">
        <v>28</v>
      </c>
      <c r="E338" s="33" t="str">
        <f>IFERROR(VLOOKUP(D338,Sheet1!B:F,4,0),"")</f>
        <v>JUMP TUBE CA 핀무</v>
      </c>
      <c r="F338" s="33" t="s">
        <v>76</v>
      </c>
      <c r="G338" s="35">
        <v>1</v>
      </c>
      <c r="H338" s="36" t="s">
        <v>301</v>
      </c>
      <c r="I338" s="33"/>
    </row>
    <row r="339" spans="2:9" ht="21" customHeight="1">
      <c r="B339" s="37">
        <v>46266</v>
      </c>
      <c r="C339" s="37" t="s">
        <v>280</v>
      </c>
      <c r="D339" s="33" t="s">
        <v>289</v>
      </c>
      <c r="E339" s="33" t="str">
        <f>IFERROR(VLOOKUP(D339,Sheet1!B:F,4,0),"")</f>
        <v/>
      </c>
      <c r="F339" s="33" t="s">
        <v>282</v>
      </c>
      <c r="G339" s="35">
        <v>12</v>
      </c>
      <c r="H339" s="36" t="s">
        <v>301</v>
      </c>
      <c r="I339" s="33"/>
    </row>
    <row r="340" spans="2:9" ht="21" customHeight="1">
      <c r="B340" s="37">
        <v>46266</v>
      </c>
      <c r="C340" s="37" t="s">
        <v>280</v>
      </c>
      <c r="D340" s="33" t="s">
        <v>289</v>
      </c>
      <c r="E340" s="33" t="str">
        <f>IFERROR(VLOOKUP(D340,Sheet1!B:F,4,0),"")</f>
        <v/>
      </c>
      <c r="F340" s="33" t="s">
        <v>322</v>
      </c>
      <c r="G340" s="35">
        <v>3</v>
      </c>
      <c r="H340" s="36" t="s">
        <v>301</v>
      </c>
      <c r="I340" s="33"/>
    </row>
    <row r="341" spans="2:9" ht="21" customHeight="1">
      <c r="B341" s="37">
        <v>46266</v>
      </c>
      <c r="C341" s="37" t="s">
        <v>308</v>
      </c>
      <c r="D341" s="33" t="s">
        <v>71</v>
      </c>
      <c r="E341" s="33" t="str">
        <f>IFERROR(VLOOKUP(D341,Sheet1!B:F,4,0),"")</f>
        <v>TUBE INLET-EVAP CORE</v>
      </c>
      <c r="F341" s="33" t="s">
        <v>329</v>
      </c>
      <c r="G341" s="35">
        <v>37</v>
      </c>
      <c r="H341" s="36" t="s">
        <v>309</v>
      </c>
      <c r="I341" s="33"/>
    </row>
    <row r="342" spans="2:9" ht="21" customHeight="1">
      <c r="B342" s="37">
        <v>46266</v>
      </c>
      <c r="C342" s="37" t="s">
        <v>308</v>
      </c>
      <c r="D342" s="33" t="s">
        <v>150</v>
      </c>
      <c r="E342" s="33" t="str">
        <f>IFERROR(VLOOKUP(D342,Sheet1!B:F,4,0),"")</f>
        <v>TUBE INLET-EVAP CORE</v>
      </c>
      <c r="F342" s="33" t="s">
        <v>326</v>
      </c>
      <c r="G342" s="35">
        <v>2</v>
      </c>
      <c r="H342" s="36" t="s">
        <v>309</v>
      </c>
      <c r="I342" s="33"/>
    </row>
    <row r="343" spans="2:9" ht="21" customHeight="1">
      <c r="B343" s="37">
        <v>46266</v>
      </c>
      <c r="C343" s="37" t="s">
        <v>308</v>
      </c>
      <c r="D343" s="33" t="s">
        <v>34</v>
      </c>
      <c r="E343" s="33" t="str">
        <f>IFERROR(VLOOKUP(D343,Sheet1!B:F,4,0),"")</f>
        <v>HTR PIPE IN LHD</v>
      </c>
      <c r="F343" s="33" t="s">
        <v>13</v>
      </c>
      <c r="G343" s="35">
        <v>19</v>
      </c>
      <c r="H343" s="36" t="s">
        <v>309</v>
      </c>
      <c r="I343" s="33"/>
    </row>
    <row r="344" spans="2:9" ht="21" customHeight="1">
      <c r="B344" s="37">
        <v>46266</v>
      </c>
      <c r="C344" s="37" t="s">
        <v>308</v>
      </c>
      <c r="D344" s="33" t="s">
        <v>29</v>
      </c>
      <c r="E344" s="33" t="str">
        <f>IFERROR(VLOOKUP(D344,Sheet1!B:F,4,0),"")</f>
        <v>COOLANT SPOUT-WCAC</v>
      </c>
      <c r="F344" s="33" t="s">
        <v>330</v>
      </c>
      <c r="G344" s="35">
        <v>6</v>
      </c>
      <c r="H344" s="36" t="s">
        <v>309</v>
      </c>
      <c r="I344" s="33"/>
    </row>
    <row r="345" spans="2:9" ht="21" customHeight="1">
      <c r="B345" s="37">
        <v>46266</v>
      </c>
      <c r="C345" s="37" t="s">
        <v>308</v>
      </c>
      <c r="D345" s="33" t="s">
        <v>49</v>
      </c>
      <c r="E345" s="33" t="str">
        <f>IFERROR(VLOOKUP(D345,Sheet1!B:F,4,0),"")</f>
        <v>COOLANT SPOUT-WCAC</v>
      </c>
      <c r="F345" s="33" t="s">
        <v>45</v>
      </c>
      <c r="G345" s="35">
        <v>10</v>
      </c>
      <c r="H345" s="36" t="s">
        <v>309</v>
      </c>
      <c r="I345" s="33"/>
    </row>
    <row r="346" spans="2:9" ht="21" customHeight="1">
      <c r="B346" s="37">
        <v>46266</v>
      </c>
      <c r="C346" s="37" t="s">
        <v>308</v>
      </c>
      <c r="D346" s="33" t="s">
        <v>19</v>
      </c>
      <c r="E346" s="33" t="str">
        <f>IFERROR(VLOOKUP(D346,Sheet1!B:F,4,0),"")</f>
        <v>COOLANT SPOUT-WCAC</v>
      </c>
      <c r="F346" s="33" t="s">
        <v>18</v>
      </c>
      <c r="G346" s="35">
        <v>1</v>
      </c>
      <c r="H346" s="36" t="s">
        <v>309</v>
      </c>
      <c r="I346" s="33"/>
    </row>
    <row r="347" spans="2:9" ht="21" customHeight="1">
      <c r="B347" s="37">
        <v>46267</v>
      </c>
      <c r="C347" s="37" t="s">
        <v>280</v>
      </c>
      <c r="D347" s="33" t="s">
        <v>289</v>
      </c>
      <c r="E347" s="33" t="str">
        <f>IFERROR(VLOOKUP(D347,Sheet1!B:F,4,0),"")</f>
        <v/>
      </c>
      <c r="F347" s="33" t="s">
        <v>323</v>
      </c>
      <c r="G347" s="35">
        <v>2</v>
      </c>
      <c r="H347" s="36" t="s">
        <v>301</v>
      </c>
      <c r="I347" s="33"/>
    </row>
    <row r="348" spans="2:9" ht="21" customHeight="1">
      <c r="B348" s="37">
        <v>46267</v>
      </c>
      <c r="C348" s="37" t="s">
        <v>280</v>
      </c>
      <c r="D348" s="33" t="s">
        <v>31</v>
      </c>
      <c r="E348" s="33" t="str">
        <f>IFERROR(VLOOKUP(D348,Sheet1!B:F,4,0),"")</f>
        <v>COOLANT SPOUT-WCAC</v>
      </c>
      <c r="F348" s="33" t="s">
        <v>48</v>
      </c>
      <c r="G348" s="35">
        <v>5</v>
      </c>
      <c r="H348" s="36" t="s">
        <v>305</v>
      </c>
      <c r="I348" s="33"/>
    </row>
    <row r="349" spans="2:9" ht="21" customHeight="1">
      <c r="B349" s="37">
        <v>46267</v>
      </c>
      <c r="C349" s="37" t="s">
        <v>280</v>
      </c>
      <c r="D349" s="33" t="s">
        <v>31</v>
      </c>
      <c r="E349" s="33" t="str">
        <f>IFERROR(VLOOKUP(D349,Sheet1!B:F,4,0),"")</f>
        <v>COOLANT SPOUT-WCAC</v>
      </c>
      <c r="F349" s="33" t="s">
        <v>15</v>
      </c>
      <c r="G349" s="35">
        <v>4</v>
      </c>
      <c r="H349" s="36" t="s">
        <v>305</v>
      </c>
      <c r="I349" s="33"/>
    </row>
    <row r="350" spans="2:9" ht="21" customHeight="1">
      <c r="B350" s="37">
        <v>46267</v>
      </c>
      <c r="C350" s="37" t="s">
        <v>280</v>
      </c>
      <c r="D350" s="33" t="s">
        <v>31</v>
      </c>
      <c r="E350" s="33" t="str">
        <f>IFERROR(VLOOKUP(D350,Sheet1!B:F,4,0),"")</f>
        <v>COOLANT SPOUT-WCAC</v>
      </c>
      <c r="F350" s="33" t="s">
        <v>115</v>
      </c>
      <c r="G350" s="35">
        <v>1</v>
      </c>
      <c r="H350" s="36" t="s">
        <v>305</v>
      </c>
      <c r="I350" s="33"/>
    </row>
    <row r="351" spans="2:9" ht="21" customHeight="1">
      <c r="B351" s="37">
        <v>46267</v>
      </c>
      <c r="C351" s="37" t="s">
        <v>280</v>
      </c>
      <c r="D351" s="33" t="s">
        <v>144</v>
      </c>
      <c r="E351" s="33" t="str">
        <f>IFERROR(VLOOKUP(D351,Sheet1!B:F,4,0),"")</f>
        <v>EVAP LHD</v>
      </c>
      <c r="F351" s="33" t="s">
        <v>45</v>
      </c>
      <c r="G351" s="35">
        <v>1</v>
      </c>
      <c r="H351" s="36" t="s">
        <v>303</v>
      </c>
      <c r="I351" s="33"/>
    </row>
    <row r="352" spans="2:9" ht="21" customHeight="1">
      <c r="B352" s="37">
        <v>46267</v>
      </c>
      <c r="C352" s="37" t="s">
        <v>280</v>
      </c>
      <c r="D352" s="33" t="s">
        <v>34</v>
      </c>
      <c r="E352" s="33" t="str">
        <f>IFERROR(VLOOKUP(D352,Sheet1!B:F,4,0),"")</f>
        <v>HTR PIPE IN LHD</v>
      </c>
      <c r="F352" s="33" t="s">
        <v>45</v>
      </c>
      <c r="G352" s="35">
        <v>26</v>
      </c>
      <c r="H352" s="36" t="s">
        <v>305</v>
      </c>
      <c r="I352" s="33"/>
    </row>
    <row r="353" spans="2:9" ht="21" customHeight="1">
      <c r="B353" s="37">
        <v>46267</v>
      </c>
      <c r="C353" s="37" t="s">
        <v>280</v>
      </c>
      <c r="D353" s="33" t="s">
        <v>34</v>
      </c>
      <c r="E353" s="33" t="str">
        <f>IFERROR(VLOOKUP(D353,Sheet1!B:F,4,0),"")</f>
        <v>HTR PIPE IN LHD</v>
      </c>
      <c r="F353" s="33" t="s">
        <v>52</v>
      </c>
      <c r="G353" s="35">
        <v>1</v>
      </c>
      <c r="H353" s="36" t="s">
        <v>305</v>
      </c>
      <c r="I353" s="33"/>
    </row>
    <row r="354" spans="2:9" ht="21" customHeight="1">
      <c r="B354" s="37">
        <v>46267</v>
      </c>
      <c r="C354" s="37" t="s">
        <v>280</v>
      </c>
      <c r="D354" s="33" t="s">
        <v>16</v>
      </c>
      <c r="E354" s="33" t="str">
        <f>IFERROR(VLOOKUP(D354,Sheet1!B:F,4,0),"")</f>
        <v>HTR OUT PIPE LHD</v>
      </c>
      <c r="F354" s="33" t="s">
        <v>45</v>
      </c>
      <c r="G354" s="35">
        <v>24</v>
      </c>
      <c r="H354" s="36" t="s">
        <v>305</v>
      </c>
      <c r="I354" s="33"/>
    </row>
    <row r="355" spans="2:9" ht="21" customHeight="1">
      <c r="B355" s="37">
        <v>46267</v>
      </c>
      <c r="C355" s="37" t="s">
        <v>280</v>
      </c>
      <c r="D355" s="33" t="s">
        <v>16</v>
      </c>
      <c r="E355" s="33" t="str">
        <f>IFERROR(VLOOKUP(D355,Sheet1!B:F,4,0),"")</f>
        <v>HTR OUT PIPE LHD</v>
      </c>
      <c r="F355" s="33" t="s">
        <v>52</v>
      </c>
      <c r="G355" s="35">
        <v>1</v>
      </c>
      <c r="H355" s="36" t="s">
        <v>305</v>
      </c>
      <c r="I355" s="33"/>
    </row>
    <row r="356" spans="2:9" ht="21" customHeight="1">
      <c r="B356" s="37">
        <v>46267</v>
      </c>
      <c r="C356" s="37" t="s">
        <v>280</v>
      </c>
      <c r="D356" s="33" t="s">
        <v>191</v>
      </c>
      <c r="E356" s="33" t="str">
        <f>IFERROR(VLOOKUP(D356,Sheet1!B:F,4,0),"")</f>
        <v>JUMP TUBE AB 핀유</v>
      </c>
      <c r="F356" s="33" t="s">
        <v>323</v>
      </c>
      <c r="G356" s="35">
        <v>1</v>
      </c>
      <c r="H356" s="36" t="s">
        <v>301</v>
      </c>
      <c r="I356" s="33"/>
    </row>
    <row r="357" spans="2:9" ht="21" customHeight="1">
      <c r="B357" s="37">
        <v>46267</v>
      </c>
      <c r="C357" s="37" t="s">
        <v>280</v>
      </c>
      <c r="D357" s="33" t="s">
        <v>28</v>
      </c>
      <c r="E357" s="33" t="str">
        <f>IFERROR(VLOOKUP(D357,Sheet1!B:F,4,0),"")</f>
        <v>JUMP TUBE CA 핀무</v>
      </c>
      <c r="F357" s="33" t="s">
        <v>324</v>
      </c>
      <c r="G357" s="35">
        <v>4</v>
      </c>
      <c r="H357" s="36" t="s">
        <v>301</v>
      </c>
      <c r="I357" s="33"/>
    </row>
    <row r="358" spans="2:9" ht="21" customHeight="1">
      <c r="B358" s="37">
        <v>46267</v>
      </c>
      <c r="C358" s="37" t="s">
        <v>280</v>
      </c>
      <c r="D358" s="33" t="s">
        <v>28</v>
      </c>
      <c r="E358" s="33" t="str">
        <f>IFERROR(VLOOKUP(D358,Sheet1!B:F,4,0),"")</f>
        <v>JUMP TUBE CA 핀무</v>
      </c>
      <c r="F358" s="33" t="s">
        <v>282</v>
      </c>
      <c r="G358" s="35">
        <v>1</v>
      </c>
      <c r="H358" s="36" t="s">
        <v>301</v>
      </c>
      <c r="I358" s="33"/>
    </row>
    <row r="359" spans="2:9" ht="21" customHeight="1">
      <c r="B359" s="37">
        <v>46267</v>
      </c>
      <c r="C359" s="37" t="s">
        <v>280</v>
      </c>
      <c r="D359" s="33" t="s">
        <v>28</v>
      </c>
      <c r="E359" s="33" t="str">
        <f>IFERROR(VLOOKUP(D359,Sheet1!B:F,4,0),"")</f>
        <v>JUMP TUBE CA 핀무</v>
      </c>
      <c r="F359" s="33" t="s">
        <v>325</v>
      </c>
      <c r="G359" s="35">
        <v>3</v>
      </c>
      <c r="H359" s="36" t="s">
        <v>301</v>
      </c>
      <c r="I359" s="33"/>
    </row>
    <row r="360" spans="2:9" ht="21" customHeight="1">
      <c r="B360" s="37">
        <v>46267</v>
      </c>
      <c r="C360" s="37" t="s">
        <v>127</v>
      </c>
      <c r="D360" s="33" t="s">
        <v>49</v>
      </c>
      <c r="E360" s="33" t="str">
        <f>IFERROR(VLOOKUP(D360,Sheet1!B:F,4,0),"")</f>
        <v>COOLANT SPOUT-WCAC</v>
      </c>
      <c r="F360" s="33" t="s">
        <v>299</v>
      </c>
      <c r="G360" s="35">
        <v>4</v>
      </c>
      <c r="H360" s="36" t="s">
        <v>309</v>
      </c>
      <c r="I360" s="33"/>
    </row>
    <row r="361" spans="2:9" ht="21" customHeight="1">
      <c r="B361" s="37">
        <v>46267</v>
      </c>
      <c r="C361" s="37" t="s">
        <v>127</v>
      </c>
      <c r="D361" s="33" t="s">
        <v>31</v>
      </c>
      <c r="E361" s="33" t="str">
        <f>IFERROR(VLOOKUP(D361,Sheet1!B:F,4,0),"")</f>
        <v>COOLANT SPOUT-WCAC</v>
      </c>
      <c r="F361" s="33" t="s">
        <v>345</v>
      </c>
      <c r="G361" s="35">
        <v>23</v>
      </c>
      <c r="H361" s="36" t="s">
        <v>309</v>
      </c>
      <c r="I361" s="33"/>
    </row>
    <row r="362" spans="2:9" ht="21" customHeight="1">
      <c r="B362" s="37">
        <v>46267</v>
      </c>
      <c r="C362" s="37" t="s">
        <v>127</v>
      </c>
      <c r="D362" s="33" t="s">
        <v>29</v>
      </c>
      <c r="E362" s="33" t="str">
        <f>IFERROR(VLOOKUP(D362,Sheet1!B:F,4,0),"")</f>
        <v>COOLANT SPOUT-WCAC</v>
      </c>
      <c r="F362" s="33" t="s">
        <v>15</v>
      </c>
      <c r="G362" s="35">
        <v>9</v>
      </c>
      <c r="H362" s="36" t="s">
        <v>309</v>
      </c>
      <c r="I362" s="33"/>
    </row>
    <row r="363" spans="2:9" ht="21" customHeight="1">
      <c r="B363" s="37">
        <v>46267</v>
      </c>
      <c r="C363" s="37" t="s">
        <v>127</v>
      </c>
      <c r="D363" s="33" t="s">
        <v>31</v>
      </c>
      <c r="E363" s="33" t="str">
        <f>IFERROR(VLOOKUP(D363,Sheet1!B:F,4,0),"")</f>
        <v>COOLANT SPOUT-WCAC</v>
      </c>
      <c r="F363" s="33" t="s">
        <v>45</v>
      </c>
      <c r="G363" s="35">
        <v>2</v>
      </c>
      <c r="H363" s="36" t="s">
        <v>309</v>
      </c>
      <c r="I363" s="33"/>
    </row>
    <row r="364" spans="2:9" ht="21" customHeight="1">
      <c r="B364" s="37">
        <v>46267</v>
      </c>
      <c r="C364" s="37" t="s">
        <v>127</v>
      </c>
      <c r="D364" s="33" t="s">
        <v>29</v>
      </c>
      <c r="E364" s="33" t="str">
        <f>IFERROR(VLOOKUP(D364,Sheet1!B:F,4,0),"")</f>
        <v>COOLANT SPOUT-WCAC</v>
      </c>
      <c r="F364" s="33" t="s">
        <v>311</v>
      </c>
      <c r="G364" s="35">
        <v>19</v>
      </c>
      <c r="H364" s="36" t="s">
        <v>309</v>
      </c>
      <c r="I364" s="33"/>
    </row>
    <row r="365" spans="2:9" ht="21" customHeight="1">
      <c r="B365" s="37">
        <v>46267</v>
      </c>
      <c r="C365" s="37" t="s">
        <v>127</v>
      </c>
      <c r="D365" s="33" t="s">
        <v>91</v>
      </c>
      <c r="E365" s="33" t="str">
        <f>IFERROR(VLOOKUP(D365,Sheet1!B:F,4,0),"")</f>
        <v>EVAP PIPE LHD</v>
      </c>
      <c r="F365" s="33" t="s">
        <v>13</v>
      </c>
      <c r="G365" s="35">
        <v>10</v>
      </c>
      <c r="H365" s="36" t="s">
        <v>309</v>
      </c>
      <c r="I365" s="33"/>
    </row>
    <row r="366" spans="2:9" ht="21" customHeight="1">
      <c r="B366" s="37">
        <v>46267</v>
      </c>
      <c r="C366" s="37" t="s">
        <v>127</v>
      </c>
      <c r="D366" s="33" t="s">
        <v>71</v>
      </c>
      <c r="E366" s="33" t="str">
        <f>IFERROR(VLOOKUP(D366,Sheet1!B:F,4,0),"")</f>
        <v>TUBE INLET-EVAP CORE</v>
      </c>
      <c r="F366" s="33" t="s">
        <v>346</v>
      </c>
      <c r="G366" s="35">
        <v>7</v>
      </c>
      <c r="H366" s="36" t="s">
        <v>309</v>
      </c>
      <c r="I366" s="33"/>
    </row>
    <row r="367" spans="2:9" ht="21" customHeight="1">
      <c r="B367" s="37">
        <v>46268</v>
      </c>
      <c r="C367" s="37" t="s">
        <v>280</v>
      </c>
      <c r="D367" s="33" t="s">
        <v>28</v>
      </c>
      <c r="E367" s="33" t="str">
        <f>IFERROR(VLOOKUP(D367,Sheet1!B:F,4,0),"")</f>
        <v>JUMP TUBE CA 핀무</v>
      </c>
      <c r="F367" s="33" t="s">
        <v>331</v>
      </c>
      <c r="G367" s="35">
        <v>5</v>
      </c>
      <c r="H367" s="36" t="s">
        <v>301</v>
      </c>
      <c r="I367" s="33"/>
    </row>
    <row r="368" spans="2:9" ht="21" customHeight="1">
      <c r="B368" s="37">
        <v>46268</v>
      </c>
      <c r="C368" s="37" t="s">
        <v>280</v>
      </c>
      <c r="D368" s="33" t="s">
        <v>19</v>
      </c>
      <c r="E368" s="33" t="str">
        <f>IFERROR(VLOOKUP(D368,Sheet1!B:F,4,0),"")</f>
        <v>COOLANT SPOUT-WCAC</v>
      </c>
      <c r="F368" s="33" t="s">
        <v>332</v>
      </c>
      <c r="G368" s="35">
        <v>14</v>
      </c>
      <c r="H368" s="36" t="s">
        <v>305</v>
      </c>
      <c r="I368" s="33"/>
    </row>
    <row r="369" spans="2:9" ht="21" customHeight="1">
      <c r="B369" s="37">
        <v>46268</v>
      </c>
      <c r="C369" s="37" t="s">
        <v>280</v>
      </c>
      <c r="D369" s="33" t="s">
        <v>43</v>
      </c>
      <c r="E369" s="33" t="str">
        <f>IFERROR(VLOOKUP(D369,Sheet1!B:F,4,0),"")</f>
        <v>HTR OUT LHD</v>
      </c>
      <c r="F369" s="33" t="s">
        <v>45</v>
      </c>
      <c r="G369" s="35">
        <v>19</v>
      </c>
      <c r="H369" s="36" t="s">
        <v>305</v>
      </c>
      <c r="I369" s="33"/>
    </row>
    <row r="370" spans="2:9" ht="21" customHeight="1">
      <c r="B370" s="37">
        <v>46268</v>
      </c>
      <c r="C370" s="37" t="s">
        <v>280</v>
      </c>
      <c r="D370" s="33" t="s">
        <v>16</v>
      </c>
      <c r="E370" s="33" t="str">
        <f>IFERROR(VLOOKUP(D370,Sheet1!B:F,4,0),"")</f>
        <v>HTR OUT PIPE LHD</v>
      </c>
      <c r="F370" s="33" t="s">
        <v>45</v>
      </c>
      <c r="G370" s="35">
        <v>1</v>
      </c>
      <c r="H370" s="36" t="s">
        <v>305</v>
      </c>
      <c r="I370" s="33"/>
    </row>
    <row r="371" spans="2:9" ht="21" customHeight="1">
      <c r="B371" s="37">
        <v>46268</v>
      </c>
      <c r="C371" s="37" t="s">
        <v>280</v>
      </c>
      <c r="D371" s="33" t="s">
        <v>47</v>
      </c>
      <c r="E371" s="33" t="str">
        <f>IFERROR(VLOOKUP(D371,Sheet1!B:F,4,0),"")</f>
        <v>HTR IN LHD</v>
      </c>
      <c r="F371" s="33" t="s">
        <v>45</v>
      </c>
      <c r="G371" s="35">
        <v>5</v>
      </c>
      <c r="H371" s="36" t="s">
        <v>305</v>
      </c>
      <c r="I371" s="33"/>
    </row>
    <row r="372" spans="2:9" ht="21" customHeight="1">
      <c r="B372" s="37">
        <v>46268</v>
      </c>
      <c r="C372" s="37" t="s">
        <v>280</v>
      </c>
      <c r="D372" s="33" t="s">
        <v>71</v>
      </c>
      <c r="E372" s="33" t="str">
        <f>IFERROR(VLOOKUP(D372,Sheet1!B:F,4,0),"")</f>
        <v>TUBE INLET-EVAP CORE</v>
      </c>
      <c r="F372" s="33" t="s">
        <v>45</v>
      </c>
      <c r="G372" s="35">
        <v>51</v>
      </c>
      <c r="H372" s="36" t="s">
        <v>303</v>
      </c>
      <c r="I372" s="33"/>
    </row>
    <row r="373" spans="2:9" ht="21" customHeight="1">
      <c r="B373" s="37">
        <v>46268</v>
      </c>
      <c r="C373" s="37" t="s">
        <v>280</v>
      </c>
      <c r="D373" s="33" t="s">
        <v>44</v>
      </c>
      <c r="E373" s="33" t="str">
        <f>IFERROR(VLOOKUP(D373,Sheet1!B:F,4,0),"")</f>
        <v>INLET TUBE-HTR</v>
      </c>
      <c r="F373" s="33" t="s">
        <v>45</v>
      </c>
      <c r="G373" s="35">
        <v>23</v>
      </c>
      <c r="H373" s="36" t="s">
        <v>303</v>
      </c>
      <c r="I373" s="33"/>
    </row>
    <row r="374" spans="2:9" ht="21" customHeight="1">
      <c r="B374" s="37">
        <v>46268</v>
      </c>
      <c r="C374" s="37" t="s">
        <v>280</v>
      </c>
      <c r="D374" s="33" t="s">
        <v>14</v>
      </c>
      <c r="E374" s="33" t="str">
        <f>IFERROR(VLOOKUP(D374,Sheet1!B:F,4,0),"")</f>
        <v>TUBE OUTLET-EVAP CORE</v>
      </c>
      <c r="F374" s="33" t="s">
        <v>15</v>
      </c>
      <c r="G374" s="35">
        <v>1</v>
      </c>
      <c r="H374" s="36" t="s">
        <v>303</v>
      </c>
      <c r="I374" s="33"/>
    </row>
    <row r="375" spans="2:9" ht="21" customHeight="1">
      <c r="B375" s="37">
        <v>46268</v>
      </c>
      <c r="C375" s="37" t="s">
        <v>280</v>
      </c>
      <c r="D375" s="33" t="s">
        <v>144</v>
      </c>
      <c r="E375" s="33" t="str">
        <f>IFERROR(VLOOKUP(D375,Sheet1!B:F,4,0),"")</f>
        <v>EVAP LHD</v>
      </c>
      <c r="F375" s="33" t="s">
        <v>79</v>
      </c>
      <c r="G375" s="35">
        <v>2</v>
      </c>
      <c r="H375" s="36" t="s">
        <v>303</v>
      </c>
      <c r="I375" s="33"/>
    </row>
    <row r="376" spans="2:9" ht="21" customHeight="1">
      <c r="B376" s="37">
        <v>46268</v>
      </c>
      <c r="C376" s="37" t="s">
        <v>127</v>
      </c>
      <c r="D376" s="33" t="s">
        <v>47</v>
      </c>
      <c r="E376" s="33" t="str">
        <f>IFERROR(VLOOKUP(D376,Sheet1!B:F,4,0),"")</f>
        <v>HTR IN LHD</v>
      </c>
      <c r="F376" s="33" t="s">
        <v>13</v>
      </c>
      <c r="G376" s="35">
        <v>13</v>
      </c>
      <c r="H376" s="36" t="s">
        <v>309</v>
      </c>
      <c r="I376" s="33"/>
    </row>
    <row r="377" spans="2:9" ht="21" customHeight="1">
      <c r="B377" s="37">
        <v>46268</v>
      </c>
      <c r="C377" s="37" t="s">
        <v>127</v>
      </c>
      <c r="D377" s="33" t="s">
        <v>26</v>
      </c>
      <c r="E377" s="33" t="str">
        <f>IFERROR(VLOOKUP(D377,Sheet1!B:F,4,0),"")</f>
        <v>INLET TUBE-HTR</v>
      </c>
      <c r="F377" s="33" t="s">
        <v>72</v>
      </c>
      <c r="G377" s="35">
        <v>6</v>
      </c>
      <c r="H377" s="36" t="s">
        <v>309</v>
      </c>
      <c r="I377" s="33"/>
    </row>
    <row r="378" spans="2:9" ht="21" customHeight="1">
      <c r="B378" s="37">
        <v>46268</v>
      </c>
      <c r="C378" s="37" t="s">
        <v>127</v>
      </c>
      <c r="D378" s="33" t="s">
        <v>91</v>
      </c>
      <c r="E378" s="33" t="str">
        <f>IFERROR(VLOOKUP(D378,Sheet1!B:F,4,0),"")</f>
        <v>EVAP PIPE LHD</v>
      </c>
      <c r="F378" s="33" t="s">
        <v>45</v>
      </c>
      <c r="G378" s="35">
        <v>3</v>
      </c>
      <c r="H378" s="36" t="s">
        <v>309</v>
      </c>
      <c r="I378" s="33"/>
    </row>
    <row r="379" spans="2:9" ht="21" customHeight="1">
      <c r="B379" s="37">
        <v>46268</v>
      </c>
      <c r="C379" s="37" t="s">
        <v>127</v>
      </c>
      <c r="D379" s="33" t="s">
        <v>175</v>
      </c>
      <c r="E379" s="33" t="str">
        <f>IFERROR(VLOOKUP(D379,Sheet1!B:F,4,0),"")</f>
        <v>HTR OUT RHD</v>
      </c>
      <c r="F379" s="33" t="s">
        <v>13</v>
      </c>
      <c r="G379" s="35">
        <v>26</v>
      </c>
      <c r="H379" s="36" t="s">
        <v>309</v>
      </c>
      <c r="I379" s="33"/>
    </row>
    <row r="380" spans="2:9" ht="21" customHeight="1">
      <c r="B380" s="37">
        <v>46268</v>
      </c>
      <c r="C380" s="37" t="s">
        <v>127</v>
      </c>
      <c r="D380" s="33" t="s">
        <v>91</v>
      </c>
      <c r="E380" s="33" t="str">
        <f>IFERROR(VLOOKUP(D380,Sheet1!B:F,4,0),"")</f>
        <v>EVAP PIPE LHD</v>
      </c>
      <c r="F380" s="33" t="s">
        <v>319</v>
      </c>
      <c r="G380" s="35">
        <v>2</v>
      </c>
      <c r="H380" s="36" t="s">
        <v>309</v>
      </c>
      <c r="I380" s="33"/>
    </row>
    <row r="381" spans="2:9" ht="21" customHeight="1">
      <c r="B381" s="37">
        <v>46268</v>
      </c>
      <c r="C381" s="37" t="s">
        <v>127</v>
      </c>
      <c r="D381" s="33" t="s">
        <v>144</v>
      </c>
      <c r="E381" s="33" t="str">
        <f>IFERROR(VLOOKUP(D381,Sheet1!B:F,4,0),"")</f>
        <v>EVAP LHD</v>
      </c>
      <c r="F381" s="33" t="s">
        <v>13</v>
      </c>
      <c r="G381" s="35">
        <v>1</v>
      </c>
      <c r="H381" s="36" t="s">
        <v>309</v>
      </c>
      <c r="I381" s="33"/>
    </row>
    <row r="382" spans="2:9" ht="21" customHeight="1">
      <c r="B382" s="37">
        <v>46268</v>
      </c>
      <c r="C382" s="37" t="s">
        <v>127</v>
      </c>
      <c r="D382" s="33" t="s">
        <v>144</v>
      </c>
      <c r="E382" s="33" t="str">
        <f>IFERROR(VLOOKUP(D382,Sheet1!B:F,4,0),"")</f>
        <v>EVAP LHD</v>
      </c>
      <c r="F382" s="33" t="s">
        <v>346</v>
      </c>
      <c r="G382" s="35">
        <v>1</v>
      </c>
      <c r="H382" s="36" t="s">
        <v>309</v>
      </c>
      <c r="I382" s="33"/>
    </row>
    <row r="383" spans="2:9" ht="21" customHeight="1">
      <c r="B383" s="37">
        <v>46268</v>
      </c>
      <c r="C383" s="37" t="s">
        <v>127</v>
      </c>
      <c r="D383" s="33" t="s">
        <v>175</v>
      </c>
      <c r="E383" s="33" t="str">
        <f>IFERROR(VLOOKUP(D383,Sheet1!B:F,4,0),"")</f>
        <v>HTR OUT RHD</v>
      </c>
      <c r="F383" s="33" t="s">
        <v>13</v>
      </c>
      <c r="G383" s="35">
        <v>2</v>
      </c>
      <c r="H383" s="36" t="s">
        <v>309</v>
      </c>
      <c r="I383" s="33"/>
    </row>
    <row r="384" spans="2:9" ht="21" customHeight="1">
      <c r="B384" s="37">
        <v>46268</v>
      </c>
      <c r="C384" s="37" t="s">
        <v>127</v>
      </c>
      <c r="D384" s="33" t="s">
        <v>71</v>
      </c>
      <c r="E384" s="33" t="str">
        <f>IFERROR(VLOOKUP(D384,Sheet1!B:F,4,0),"")</f>
        <v>TUBE INLET-EVAP CORE</v>
      </c>
      <c r="F384" s="33" t="s">
        <v>347</v>
      </c>
      <c r="G384" s="35">
        <v>8</v>
      </c>
      <c r="H384" s="36" t="s">
        <v>309</v>
      </c>
      <c r="I384" s="33"/>
    </row>
    <row r="385" spans="2:9" ht="21" customHeight="1">
      <c r="B385" s="37">
        <v>46268</v>
      </c>
      <c r="C385" s="37" t="s">
        <v>127</v>
      </c>
      <c r="D385" s="33" t="s">
        <v>71</v>
      </c>
      <c r="E385" s="33" t="str">
        <f>IFERROR(VLOOKUP(D385,Sheet1!B:F,4,0),"")</f>
        <v>TUBE INLET-EVAP CORE</v>
      </c>
      <c r="F385" s="33" t="s">
        <v>346</v>
      </c>
      <c r="G385" s="35">
        <v>1</v>
      </c>
      <c r="H385" s="36" t="s">
        <v>309</v>
      </c>
      <c r="I385" s="33"/>
    </row>
    <row r="386" spans="2:9" ht="21" customHeight="1">
      <c r="B386" s="37">
        <v>46268</v>
      </c>
      <c r="C386" s="37" t="s">
        <v>127</v>
      </c>
      <c r="D386" s="33" t="s">
        <v>29</v>
      </c>
      <c r="E386" s="33" t="str">
        <f>IFERROR(VLOOKUP(D386,Sheet1!B:F,4,0),"")</f>
        <v>COOLANT SPOUT-WCAC</v>
      </c>
      <c r="F386" s="33" t="s">
        <v>311</v>
      </c>
      <c r="G386" s="35">
        <v>9</v>
      </c>
      <c r="H386" s="36" t="s">
        <v>309</v>
      </c>
      <c r="I386" s="33"/>
    </row>
    <row r="387" spans="2:9" ht="21" customHeight="1">
      <c r="B387" s="37">
        <v>46268</v>
      </c>
      <c r="C387" s="37" t="s">
        <v>127</v>
      </c>
      <c r="D387" s="33" t="s">
        <v>31</v>
      </c>
      <c r="E387" s="33" t="str">
        <f>IFERROR(VLOOKUP(D387,Sheet1!B:F,4,0),"")</f>
        <v>COOLANT SPOUT-WCAC</v>
      </c>
      <c r="F387" s="33" t="s">
        <v>311</v>
      </c>
      <c r="G387" s="35">
        <v>18</v>
      </c>
      <c r="H387" s="36" t="s">
        <v>309</v>
      </c>
      <c r="I387" s="33"/>
    </row>
    <row r="388" spans="2:9" ht="21" customHeight="1">
      <c r="B388" s="37">
        <v>46269</v>
      </c>
      <c r="C388" s="37" t="s">
        <v>280</v>
      </c>
      <c r="D388" s="33" t="s">
        <v>43</v>
      </c>
      <c r="E388" s="33" t="str">
        <f>IFERROR(VLOOKUP(D388,Sheet1!B:F,4,0),"")</f>
        <v>HTR OUT LHD</v>
      </c>
      <c r="F388" s="33" t="s">
        <v>311</v>
      </c>
      <c r="G388" s="35">
        <v>10</v>
      </c>
      <c r="H388" s="36" t="s">
        <v>305</v>
      </c>
      <c r="I388" s="33"/>
    </row>
    <row r="389" spans="2:9" ht="21" customHeight="1">
      <c r="B389" s="37">
        <v>46269</v>
      </c>
      <c r="C389" s="37" t="s">
        <v>280</v>
      </c>
      <c r="D389" s="33" t="s">
        <v>144</v>
      </c>
      <c r="E389" s="33" t="str">
        <f>IFERROR(VLOOKUP(D389,Sheet1!B:F,4,0),"")</f>
        <v>EVAP LHD</v>
      </c>
      <c r="F389" s="33" t="s">
        <v>333</v>
      </c>
      <c r="G389" s="35">
        <v>3</v>
      </c>
      <c r="H389" s="36" t="s">
        <v>303</v>
      </c>
      <c r="I389" s="33"/>
    </row>
    <row r="390" spans="2:9" ht="21" customHeight="1">
      <c r="B390" s="37">
        <v>46269</v>
      </c>
      <c r="C390" s="37" t="s">
        <v>280</v>
      </c>
      <c r="D390" s="33" t="s">
        <v>30</v>
      </c>
      <c r="E390" s="33" t="str">
        <f>IFERROR(VLOOKUP(D390,Sheet1!B:F,4,0),"")</f>
        <v/>
      </c>
      <c r="F390" s="33" t="s">
        <v>15</v>
      </c>
      <c r="G390" s="35">
        <v>3</v>
      </c>
      <c r="H390" s="36" t="s">
        <v>296</v>
      </c>
      <c r="I390" s="33"/>
    </row>
    <row r="391" spans="2:9" ht="21" customHeight="1">
      <c r="B391" s="37">
        <v>46269</v>
      </c>
      <c r="C391" s="37" t="s">
        <v>280</v>
      </c>
      <c r="D391" s="33" t="s">
        <v>294</v>
      </c>
      <c r="E391" s="33" t="str">
        <f>IFERROR(VLOOKUP(D391,Sheet1!B:F,4,0),"")</f>
        <v/>
      </c>
      <c r="F391" s="33" t="s">
        <v>15</v>
      </c>
      <c r="G391" s="35">
        <v>14</v>
      </c>
      <c r="H391" s="36" t="s">
        <v>296</v>
      </c>
      <c r="I391" s="33"/>
    </row>
    <row r="392" spans="2:9" ht="21" customHeight="1">
      <c r="B392" s="37">
        <v>46269</v>
      </c>
      <c r="C392" s="37" t="s">
        <v>280</v>
      </c>
      <c r="D392" s="33" t="s">
        <v>73</v>
      </c>
      <c r="E392" s="33" t="str">
        <f>IFERROR(VLOOKUP(D392,Sheet1!B:F,4,0),"")</f>
        <v>FT-ASY-A/C JUMPER</v>
      </c>
      <c r="F392" s="33" t="s">
        <v>15</v>
      </c>
      <c r="G392" s="35">
        <v>1</v>
      </c>
      <c r="H392" s="36" t="s">
        <v>301</v>
      </c>
      <c r="I392" s="33"/>
    </row>
    <row r="393" spans="2:9" ht="21" customHeight="1">
      <c r="B393" s="37">
        <v>46269</v>
      </c>
      <c r="C393" s="37" t="s">
        <v>280</v>
      </c>
      <c r="D393" s="33" t="s">
        <v>73</v>
      </c>
      <c r="E393" s="33" t="str">
        <f>IFERROR(VLOOKUP(D393,Sheet1!B:F,4,0),"")</f>
        <v>FT-ASY-A/C JUMPER</v>
      </c>
      <c r="F393" s="33" t="s">
        <v>48</v>
      </c>
      <c r="G393" s="35">
        <v>1</v>
      </c>
      <c r="H393" s="36" t="s">
        <v>301</v>
      </c>
      <c r="I393" s="33"/>
    </row>
    <row r="394" spans="2:9" ht="21" customHeight="1">
      <c r="B394" s="37">
        <v>46269</v>
      </c>
      <c r="C394" s="37" t="s">
        <v>280</v>
      </c>
      <c r="D394" s="33" t="s">
        <v>191</v>
      </c>
      <c r="E394" s="33" t="str">
        <f>IFERROR(VLOOKUP(D394,Sheet1!B:F,4,0),"")</f>
        <v>JUMP TUBE AB 핀유</v>
      </c>
      <c r="F394" s="33" t="s">
        <v>335</v>
      </c>
      <c r="G394" s="35">
        <v>1</v>
      </c>
      <c r="H394" s="36" t="s">
        <v>301</v>
      </c>
      <c r="I394" s="33"/>
    </row>
    <row r="395" spans="2:9" ht="21" customHeight="1">
      <c r="B395" s="37">
        <v>46269</v>
      </c>
      <c r="C395" s="37" t="s">
        <v>280</v>
      </c>
      <c r="D395" s="33" t="s">
        <v>28</v>
      </c>
      <c r="E395" s="33" t="str">
        <f>IFERROR(VLOOKUP(D395,Sheet1!B:F,4,0),"")</f>
        <v>JUMP TUBE CA 핀무</v>
      </c>
      <c r="F395" s="33" t="s">
        <v>336</v>
      </c>
      <c r="G395" s="35">
        <v>5</v>
      </c>
      <c r="H395" s="36" t="s">
        <v>301</v>
      </c>
      <c r="I395" s="33"/>
    </row>
    <row r="396" spans="2:9" ht="21" customHeight="1">
      <c r="B396" s="37">
        <v>46270</v>
      </c>
      <c r="C396" s="37" t="s">
        <v>280</v>
      </c>
      <c r="D396" s="33" t="s">
        <v>47</v>
      </c>
      <c r="E396" s="33" t="str">
        <f>IFERROR(VLOOKUP(D396,Sheet1!B:F,4,0),"")</f>
        <v>HTR IN LHD</v>
      </c>
      <c r="F396" s="33" t="s">
        <v>337</v>
      </c>
      <c r="G396" s="35">
        <v>37</v>
      </c>
      <c r="H396" s="36" t="s">
        <v>305</v>
      </c>
      <c r="I396" s="33"/>
    </row>
    <row r="397" spans="2:9" ht="21" customHeight="1">
      <c r="B397" s="37">
        <v>46270</v>
      </c>
      <c r="C397" s="37" t="s">
        <v>280</v>
      </c>
      <c r="D397" s="33" t="s">
        <v>28</v>
      </c>
      <c r="E397" s="33" t="str">
        <f>IFERROR(VLOOKUP(D397,Sheet1!B:F,4,0),"")</f>
        <v>JUMP TUBE CA 핀무</v>
      </c>
      <c r="F397" s="33" t="s">
        <v>338</v>
      </c>
      <c r="G397" s="35">
        <v>3</v>
      </c>
      <c r="H397" s="36" t="s">
        <v>334</v>
      </c>
      <c r="I397" s="33"/>
    </row>
    <row r="398" spans="2:9" ht="21" customHeight="1">
      <c r="B398" s="37">
        <v>46270</v>
      </c>
      <c r="C398" s="37" t="s">
        <v>280</v>
      </c>
      <c r="D398" s="33" t="s">
        <v>23</v>
      </c>
      <c r="E398" s="33" t="str">
        <f>IFERROR(VLOOKUP(D398,Sheet1!B:F,4,0),"")</f>
        <v>JUMP TUBE AA 핀무</v>
      </c>
      <c r="F398" s="33" t="s">
        <v>35</v>
      </c>
      <c r="G398" s="35">
        <v>1</v>
      </c>
      <c r="H398" s="36" t="s">
        <v>334</v>
      </c>
      <c r="I398" s="33"/>
    </row>
    <row r="399" spans="2:9" ht="21" customHeight="1">
      <c r="B399" s="37">
        <v>46270</v>
      </c>
      <c r="C399" s="37" t="s">
        <v>280</v>
      </c>
      <c r="D399" s="33" t="s">
        <v>191</v>
      </c>
      <c r="E399" s="33" t="str">
        <f>IFERROR(VLOOKUP(D399,Sheet1!B:F,4,0),"")</f>
        <v>JUMP TUBE AB 핀유</v>
      </c>
      <c r="F399" s="33" t="s">
        <v>35</v>
      </c>
      <c r="G399" s="35">
        <v>1</v>
      </c>
      <c r="H399" s="36" t="s">
        <v>334</v>
      </c>
      <c r="I399" s="33"/>
    </row>
    <row r="400" spans="2:9" ht="21" customHeight="1">
      <c r="B400" s="37">
        <v>46272</v>
      </c>
      <c r="C400" s="37" t="s">
        <v>280</v>
      </c>
      <c r="D400" s="33" t="s">
        <v>47</v>
      </c>
      <c r="E400" s="33" t="str">
        <f>IFERROR(VLOOKUP(D400,Sheet1!B:F,4,0),"")</f>
        <v>HTR IN LHD</v>
      </c>
      <c r="F400" s="33" t="s">
        <v>45</v>
      </c>
      <c r="G400" s="35">
        <v>70</v>
      </c>
      <c r="H400" s="36" t="s">
        <v>303</v>
      </c>
      <c r="I400" s="33"/>
    </row>
    <row r="401" spans="2:9" ht="21" customHeight="1">
      <c r="B401" s="37">
        <v>46272</v>
      </c>
      <c r="C401" s="37" t="s">
        <v>280</v>
      </c>
      <c r="D401" s="33" t="s">
        <v>44</v>
      </c>
      <c r="E401" s="33" t="str">
        <f>IFERROR(VLOOKUP(D401,Sheet1!B:F,4,0),"")</f>
        <v>INLET TUBE-HTR</v>
      </c>
      <c r="F401" s="33" t="s">
        <v>339</v>
      </c>
      <c r="G401" s="35">
        <v>10</v>
      </c>
      <c r="H401" s="36" t="s">
        <v>303</v>
      </c>
      <c r="I401" s="33"/>
    </row>
    <row r="402" spans="2:9" ht="21" customHeight="1">
      <c r="B402" s="37">
        <v>46272</v>
      </c>
      <c r="C402" s="37" t="s">
        <v>280</v>
      </c>
      <c r="D402" s="33" t="s">
        <v>46</v>
      </c>
      <c r="E402" s="33" t="str">
        <f>IFERROR(VLOOKUP(D402,Sheet1!B:F,4,0),"")</f>
        <v>TUBE OUTLET-EVAP CORE</v>
      </c>
      <c r="F402" s="33" t="s">
        <v>15</v>
      </c>
      <c r="G402" s="35">
        <v>1</v>
      </c>
      <c r="H402" s="36" t="s">
        <v>303</v>
      </c>
      <c r="I402" s="33"/>
    </row>
    <row r="403" spans="2:9" ht="21" customHeight="1">
      <c r="B403" s="37">
        <v>46272</v>
      </c>
      <c r="C403" s="37" t="s">
        <v>280</v>
      </c>
      <c r="D403" s="33" t="s">
        <v>73</v>
      </c>
      <c r="E403" s="33" t="str">
        <f>IFERROR(VLOOKUP(D403,Sheet1!B:F,4,0),"")</f>
        <v>FT-ASY-A/C JUMPER</v>
      </c>
      <c r="F403" s="33" t="s">
        <v>290</v>
      </c>
      <c r="G403" s="35">
        <v>2</v>
      </c>
      <c r="H403" s="36" t="s">
        <v>301</v>
      </c>
      <c r="I403" s="33"/>
    </row>
    <row r="404" spans="2:9" ht="21" customHeight="1">
      <c r="B404" s="37">
        <v>46272</v>
      </c>
      <c r="C404" s="37" t="s">
        <v>127</v>
      </c>
      <c r="D404" s="33" t="s">
        <v>175</v>
      </c>
      <c r="E404" s="33" t="str">
        <f>IFERROR(VLOOKUP(D404,Sheet1!B:F,4,0),"")</f>
        <v>HTR OUT RHD</v>
      </c>
      <c r="F404" s="33" t="s">
        <v>13</v>
      </c>
      <c r="G404" s="35">
        <v>28</v>
      </c>
      <c r="H404" s="36" t="s">
        <v>309</v>
      </c>
      <c r="I404" s="33"/>
    </row>
    <row r="405" spans="2:9" ht="21" customHeight="1">
      <c r="B405" s="37">
        <v>46272</v>
      </c>
      <c r="C405" s="37" t="s">
        <v>127</v>
      </c>
      <c r="D405" s="33" t="s">
        <v>26</v>
      </c>
      <c r="E405" s="33" t="str">
        <f>IFERROR(VLOOKUP(D405,Sheet1!B:F,4,0),"")</f>
        <v>INLET TUBE-HTR</v>
      </c>
      <c r="F405" s="33" t="s">
        <v>348</v>
      </c>
      <c r="G405" s="35">
        <v>23</v>
      </c>
      <c r="H405" s="36" t="s">
        <v>309</v>
      </c>
      <c r="I405" s="33"/>
    </row>
    <row r="406" spans="2:9" ht="21" customHeight="1">
      <c r="B406" s="37">
        <v>46272</v>
      </c>
      <c r="C406" s="37" t="s">
        <v>127</v>
      </c>
      <c r="D406" s="33" t="s">
        <v>99</v>
      </c>
      <c r="E406" s="33" t="str">
        <f>IFERROR(VLOOKUP(D406,Sheet1!B:F,4,0),"")</f>
        <v>EVAP RHD</v>
      </c>
      <c r="F406" s="33" t="s">
        <v>13</v>
      </c>
      <c r="G406" s="35">
        <v>4</v>
      </c>
      <c r="H406" s="36" t="s">
        <v>309</v>
      </c>
      <c r="I406" s="33"/>
    </row>
    <row r="407" spans="2:9" ht="21" customHeight="1">
      <c r="B407" s="37">
        <v>46272</v>
      </c>
      <c r="C407" s="37" t="s">
        <v>127</v>
      </c>
      <c r="D407" s="33" t="s">
        <v>144</v>
      </c>
      <c r="E407" s="33" t="str">
        <f>IFERROR(VLOOKUP(D407,Sheet1!B:F,4,0),"")</f>
        <v>EVAP LHD</v>
      </c>
      <c r="F407" s="33" t="s">
        <v>13</v>
      </c>
      <c r="G407" s="35">
        <v>14</v>
      </c>
      <c r="H407" s="36" t="s">
        <v>309</v>
      </c>
      <c r="I407" s="33"/>
    </row>
    <row r="408" spans="2:9" ht="21" customHeight="1">
      <c r="B408" s="37">
        <v>46272</v>
      </c>
      <c r="C408" s="37" t="s">
        <v>127</v>
      </c>
      <c r="D408" s="33" t="s">
        <v>71</v>
      </c>
      <c r="E408" s="33" t="str">
        <f>IFERROR(VLOOKUP(D408,Sheet1!B:F,4,0),"")</f>
        <v>TUBE INLET-EVAP CORE</v>
      </c>
      <c r="F408" s="33" t="s">
        <v>346</v>
      </c>
      <c r="G408" s="35">
        <v>4</v>
      </c>
      <c r="H408" s="36" t="s">
        <v>309</v>
      </c>
      <c r="I408" s="33"/>
    </row>
    <row r="409" spans="2:9" ht="21" customHeight="1">
      <c r="B409" s="37">
        <v>46272</v>
      </c>
      <c r="C409" s="37" t="s">
        <v>127</v>
      </c>
      <c r="D409" s="33" t="s">
        <v>71</v>
      </c>
      <c r="E409" s="33" t="str">
        <f>IFERROR(VLOOKUP(D409,Sheet1!B:F,4,0),"")</f>
        <v>TUBE INLET-EVAP CORE</v>
      </c>
      <c r="F409" s="33" t="s">
        <v>349</v>
      </c>
      <c r="G409" s="35">
        <v>11</v>
      </c>
      <c r="H409" s="36" t="s">
        <v>309</v>
      </c>
      <c r="I409" s="33"/>
    </row>
    <row r="410" spans="2:9" ht="21" customHeight="1">
      <c r="B410" s="37">
        <v>46272</v>
      </c>
      <c r="C410" s="37" t="s">
        <v>127</v>
      </c>
      <c r="D410" s="33" t="s">
        <v>99</v>
      </c>
      <c r="E410" s="33" t="str">
        <f>IFERROR(VLOOKUP(D410,Sheet1!B:F,4,0),"")</f>
        <v>EVAP RHD</v>
      </c>
      <c r="F410" s="33" t="s">
        <v>13</v>
      </c>
      <c r="G410" s="35">
        <v>12</v>
      </c>
      <c r="H410" s="36" t="s">
        <v>309</v>
      </c>
      <c r="I410" s="33"/>
    </row>
    <row r="411" spans="2:9" ht="21" customHeight="1">
      <c r="B411" s="37">
        <v>46272</v>
      </c>
      <c r="C411" s="37" t="s">
        <v>127</v>
      </c>
      <c r="D411" s="33" t="s">
        <v>49</v>
      </c>
      <c r="E411" s="33" t="str">
        <f>IFERROR(VLOOKUP(D411,Sheet1!B:F,4,0),"")</f>
        <v>COOLANT SPOUT-WCAC</v>
      </c>
      <c r="F411" s="33" t="s">
        <v>15</v>
      </c>
      <c r="G411" s="35">
        <v>12</v>
      </c>
      <c r="H411" s="36" t="s">
        <v>309</v>
      </c>
      <c r="I411" s="33"/>
    </row>
    <row r="412" spans="2:9" ht="21" customHeight="1">
      <c r="B412" s="37">
        <v>46272</v>
      </c>
      <c r="C412" s="37" t="s">
        <v>127</v>
      </c>
      <c r="D412" s="33" t="s">
        <v>43</v>
      </c>
      <c r="E412" s="33" t="str">
        <f>IFERROR(VLOOKUP(D412,Sheet1!B:F,4,0),"")</f>
        <v>HTR OUT LHD</v>
      </c>
      <c r="F412" s="33" t="s">
        <v>13</v>
      </c>
      <c r="G412" s="35">
        <v>6</v>
      </c>
      <c r="H412" s="36" t="s">
        <v>309</v>
      </c>
      <c r="I412" s="33"/>
    </row>
    <row r="413" spans="2:9" ht="21" customHeight="1">
      <c r="B413" s="37">
        <v>46272</v>
      </c>
      <c r="C413" s="37" t="s">
        <v>127</v>
      </c>
      <c r="D413" s="33" t="s">
        <v>178</v>
      </c>
      <c r="E413" s="33" t="str">
        <f>IFERROR(VLOOKUP(D413,Sheet1!B:F,4,0),"")</f>
        <v>HTR IN RHD</v>
      </c>
      <c r="F413" s="33" t="s">
        <v>13</v>
      </c>
      <c r="G413" s="35">
        <v>6</v>
      </c>
      <c r="H413" s="36" t="s">
        <v>309</v>
      </c>
      <c r="I413" s="33"/>
    </row>
    <row r="414" spans="2:9" ht="21" customHeight="1">
      <c r="B414" s="37">
        <v>46272</v>
      </c>
      <c r="C414" s="37" t="s">
        <v>127</v>
      </c>
      <c r="D414" s="33" t="s">
        <v>47</v>
      </c>
      <c r="E414" s="33" t="str">
        <f>IFERROR(VLOOKUP(D414,Sheet1!B:F,4,0),"")</f>
        <v>HTR IN LHD</v>
      </c>
      <c r="F414" s="33" t="s">
        <v>13</v>
      </c>
      <c r="G414" s="35">
        <v>2</v>
      </c>
      <c r="H414" s="36" t="s">
        <v>309</v>
      </c>
      <c r="I414" s="33"/>
    </row>
    <row r="415" spans="2:9" ht="21" customHeight="1">
      <c r="B415" s="37">
        <v>46272</v>
      </c>
      <c r="C415" s="37" t="s">
        <v>127</v>
      </c>
      <c r="D415" s="33" t="s">
        <v>28</v>
      </c>
      <c r="E415" s="33" t="str">
        <f>IFERROR(VLOOKUP(D415,Sheet1!B:F,4,0),"")</f>
        <v>JUMP TUBE CA 핀무</v>
      </c>
      <c r="F415" s="33" t="s">
        <v>13</v>
      </c>
      <c r="G415" s="35">
        <v>3</v>
      </c>
      <c r="H415" s="36" t="s">
        <v>309</v>
      </c>
      <c r="I415" s="33"/>
    </row>
    <row r="416" spans="2:9" ht="21" customHeight="1">
      <c r="B416" s="37">
        <v>46273</v>
      </c>
      <c r="C416" s="37" t="s">
        <v>280</v>
      </c>
      <c r="D416" s="33" t="s">
        <v>144</v>
      </c>
      <c r="E416" s="33" t="str">
        <f>IFERROR(VLOOKUP(D416,Sheet1!B:F,4,0),"")</f>
        <v>EVAP LHD</v>
      </c>
      <c r="F416" s="33" t="s">
        <v>340</v>
      </c>
      <c r="G416" s="35">
        <v>1</v>
      </c>
      <c r="H416" s="36" t="s">
        <v>305</v>
      </c>
      <c r="I416" s="33"/>
    </row>
    <row r="417" spans="2:9" ht="21" customHeight="1">
      <c r="B417" s="37">
        <v>46273</v>
      </c>
      <c r="C417" s="37" t="s">
        <v>280</v>
      </c>
      <c r="D417" s="33" t="s">
        <v>47</v>
      </c>
      <c r="E417" s="33" t="str">
        <f>IFERROR(VLOOKUP(D417,Sheet1!B:F,4,0),"")</f>
        <v>HTR IN LHD</v>
      </c>
      <c r="F417" s="33" t="s">
        <v>341</v>
      </c>
      <c r="G417" s="35">
        <v>33</v>
      </c>
      <c r="H417" s="36" t="s">
        <v>305</v>
      </c>
      <c r="I417" s="33"/>
    </row>
    <row r="418" spans="2:9" ht="21" customHeight="1">
      <c r="B418" s="37">
        <v>46273</v>
      </c>
      <c r="C418" s="37" t="s">
        <v>127</v>
      </c>
      <c r="D418" s="33" t="s">
        <v>25</v>
      </c>
      <c r="E418" s="33" t="str">
        <f>IFERROR(VLOOKUP(D418,Sheet1!B:F,4,0),"")</f>
        <v>OUTLET TUBE-HTR</v>
      </c>
      <c r="F418" s="33" t="s">
        <v>13</v>
      </c>
      <c r="G418" s="35">
        <v>2</v>
      </c>
      <c r="H418" s="36" t="s">
        <v>309</v>
      </c>
      <c r="I418" s="33"/>
    </row>
    <row r="419" spans="2:9" ht="21" customHeight="1">
      <c r="B419" s="37">
        <v>46273</v>
      </c>
      <c r="C419" s="37" t="s">
        <v>127</v>
      </c>
      <c r="D419" s="33" t="s">
        <v>43</v>
      </c>
      <c r="E419" s="33" t="str">
        <f>IFERROR(VLOOKUP(D419,Sheet1!B:F,4,0),"")</f>
        <v>HTR OUT LHD</v>
      </c>
      <c r="F419" s="33" t="s">
        <v>13</v>
      </c>
      <c r="G419" s="35">
        <v>50</v>
      </c>
      <c r="H419" s="36" t="s">
        <v>309</v>
      </c>
      <c r="I419" s="33"/>
    </row>
    <row r="420" spans="2:9" ht="21" customHeight="1">
      <c r="B420" s="37">
        <v>46273</v>
      </c>
      <c r="C420" s="37" t="s">
        <v>127</v>
      </c>
      <c r="D420" s="33" t="s">
        <v>71</v>
      </c>
      <c r="E420" s="33" t="str">
        <f>IFERROR(VLOOKUP(D420,Sheet1!B:F,4,0),"")</f>
        <v>TUBE INLET-EVAP CORE</v>
      </c>
      <c r="F420" s="33" t="s">
        <v>350</v>
      </c>
      <c r="G420" s="35">
        <v>4</v>
      </c>
      <c r="H420" s="36" t="s">
        <v>309</v>
      </c>
      <c r="I420" s="33"/>
    </row>
    <row r="421" spans="2:9" ht="21" customHeight="1">
      <c r="B421" s="37">
        <v>46273</v>
      </c>
      <c r="C421" s="37" t="s">
        <v>127</v>
      </c>
      <c r="D421" s="33" t="s">
        <v>175</v>
      </c>
      <c r="E421" s="33" t="str">
        <f>IFERROR(VLOOKUP(D421,Sheet1!B:F,4,0),"")</f>
        <v>HTR OUT RHD</v>
      </c>
      <c r="F421" s="33" t="s">
        <v>13</v>
      </c>
      <c r="G421" s="35">
        <v>11</v>
      </c>
      <c r="H421" s="36" t="s">
        <v>309</v>
      </c>
      <c r="I421" s="33"/>
    </row>
    <row r="422" spans="2:9" ht="21" customHeight="1">
      <c r="B422" s="37">
        <v>46273</v>
      </c>
      <c r="C422" s="37" t="s">
        <v>127</v>
      </c>
      <c r="D422" s="33" t="s">
        <v>43</v>
      </c>
      <c r="E422" s="33" t="str">
        <f>IFERROR(VLOOKUP(D422,Sheet1!B:F,4,0),"")</f>
        <v>HTR OUT LHD</v>
      </c>
      <c r="F422" s="33" t="s">
        <v>13</v>
      </c>
      <c r="G422" s="35">
        <v>19</v>
      </c>
      <c r="H422" s="36" t="s">
        <v>309</v>
      </c>
      <c r="I422" s="33"/>
    </row>
    <row r="423" spans="2:9" ht="21" customHeight="1">
      <c r="B423" s="37">
        <v>46273</v>
      </c>
      <c r="C423" s="37" t="s">
        <v>127</v>
      </c>
      <c r="D423" s="33" t="s">
        <v>47</v>
      </c>
      <c r="E423" s="33" t="str">
        <f>IFERROR(VLOOKUP(D423,Sheet1!B:F,4,0),"")</f>
        <v>HTR IN LHD</v>
      </c>
      <c r="F423" s="33" t="s">
        <v>13</v>
      </c>
      <c r="G423" s="35">
        <v>4</v>
      </c>
      <c r="H423" s="36" t="s">
        <v>309</v>
      </c>
      <c r="I423" s="33"/>
    </row>
    <row r="424" spans="2:9" ht="21" customHeight="1">
      <c r="B424" s="37">
        <v>46273</v>
      </c>
      <c r="C424" s="37" t="s">
        <v>127</v>
      </c>
      <c r="D424" s="33" t="s">
        <v>99</v>
      </c>
      <c r="E424" s="33" t="str">
        <f>IFERROR(VLOOKUP(D424,Sheet1!B:F,4,0),"")</f>
        <v>EVAP RHD</v>
      </c>
      <c r="F424" s="33" t="s">
        <v>13</v>
      </c>
      <c r="G424" s="35">
        <v>2</v>
      </c>
      <c r="H424" s="36" t="s">
        <v>309</v>
      </c>
      <c r="I424" s="33"/>
    </row>
    <row r="425" spans="2:9" ht="21" customHeight="1">
      <c r="B425" s="37">
        <v>46273</v>
      </c>
      <c r="C425" s="37" t="s">
        <v>127</v>
      </c>
      <c r="D425" s="33" t="s">
        <v>175</v>
      </c>
      <c r="E425" s="33" t="str">
        <f>IFERROR(VLOOKUP(D425,Sheet1!B:F,4,0),"")</f>
        <v>HTR OUT RHD</v>
      </c>
      <c r="F425" s="33" t="s">
        <v>13</v>
      </c>
      <c r="G425" s="35">
        <v>21</v>
      </c>
      <c r="H425" s="36" t="s">
        <v>309</v>
      </c>
      <c r="I425" s="33"/>
    </row>
    <row r="426" spans="2:9" ht="21" customHeight="1">
      <c r="B426" s="37">
        <v>46273</v>
      </c>
      <c r="C426" s="37" t="s">
        <v>127</v>
      </c>
      <c r="D426" s="33" t="s">
        <v>99</v>
      </c>
      <c r="E426" s="33" t="str">
        <f>IFERROR(VLOOKUP(D426,Sheet1!B:F,4,0),"")</f>
        <v>EVAP RHD</v>
      </c>
      <c r="F426" s="33" t="s">
        <v>351</v>
      </c>
      <c r="G426" s="35">
        <v>5</v>
      </c>
      <c r="H426" s="36" t="s">
        <v>309</v>
      </c>
      <c r="I426" s="33"/>
    </row>
    <row r="427" spans="2:9" ht="21" customHeight="1">
      <c r="B427" s="37">
        <v>46273</v>
      </c>
      <c r="C427" s="37" t="s">
        <v>127</v>
      </c>
      <c r="D427" s="33" t="s">
        <v>99</v>
      </c>
      <c r="E427" s="33" t="str">
        <f>IFERROR(VLOOKUP(D427,Sheet1!B:F,4,0),"")</f>
        <v>EVAP RHD</v>
      </c>
      <c r="F427" s="33" t="s">
        <v>35</v>
      </c>
      <c r="G427" s="35">
        <v>1</v>
      </c>
      <c r="H427" s="36" t="s">
        <v>309</v>
      </c>
      <c r="I427" s="33"/>
    </row>
    <row r="428" spans="2:9" ht="21" customHeight="1">
      <c r="B428" s="37">
        <v>46273</v>
      </c>
      <c r="C428" s="37" t="s">
        <v>127</v>
      </c>
      <c r="D428" s="33" t="s">
        <v>19</v>
      </c>
      <c r="E428" s="33" t="str">
        <f>IFERROR(VLOOKUP(D428,Sheet1!B:F,4,0),"")</f>
        <v>COOLANT SPOUT-WCAC</v>
      </c>
      <c r="F428" s="33" t="s">
        <v>352</v>
      </c>
      <c r="G428" s="35">
        <v>4</v>
      </c>
      <c r="H428" s="36" t="s">
        <v>309</v>
      </c>
      <c r="I428" s="33"/>
    </row>
    <row r="429" spans="2:9" ht="21" customHeight="1">
      <c r="B429" s="37">
        <v>46274</v>
      </c>
      <c r="C429" s="37" t="s">
        <v>280</v>
      </c>
      <c r="D429" s="33" t="s">
        <v>71</v>
      </c>
      <c r="E429" s="33" t="str">
        <f>IFERROR(VLOOKUP(D429,Sheet1!B:F,4,0),"")</f>
        <v>TUBE INLET-EVAP CORE</v>
      </c>
      <c r="F429" s="33" t="s">
        <v>353</v>
      </c>
      <c r="G429" s="35">
        <v>23</v>
      </c>
      <c r="H429" s="36" t="s">
        <v>303</v>
      </c>
      <c r="I429" s="33"/>
    </row>
    <row r="430" spans="2:9" ht="21" customHeight="1">
      <c r="B430" s="37">
        <v>46274</v>
      </c>
      <c r="C430" s="37" t="s">
        <v>280</v>
      </c>
      <c r="D430" s="33" t="s">
        <v>47</v>
      </c>
      <c r="E430" s="33" t="str">
        <f>IFERROR(VLOOKUP(D430,Sheet1!B:F,4,0),"")</f>
        <v>HTR IN LHD</v>
      </c>
      <c r="F430" s="33" t="s">
        <v>45</v>
      </c>
      <c r="G430" s="35">
        <v>4</v>
      </c>
      <c r="H430" s="36" t="s">
        <v>305</v>
      </c>
      <c r="I430" s="33"/>
    </row>
    <row r="431" spans="2:9" ht="21" customHeight="1">
      <c r="B431" s="37">
        <v>46274</v>
      </c>
      <c r="C431" s="37" t="s">
        <v>280</v>
      </c>
      <c r="D431" s="33" t="s">
        <v>43</v>
      </c>
      <c r="E431" s="33" t="str">
        <f>IFERROR(VLOOKUP(D431,Sheet1!B:F,4,0),"")</f>
        <v>HTR OUT LHD</v>
      </c>
      <c r="F431" s="33" t="s">
        <v>45</v>
      </c>
      <c r="G431" s="35">
        <v>1</v>
      </c>
      <c r="H431" s="36" t="s">
        <v>305</v>
      </c>
      <c r="I431" s="33"/>
    </row>
    <row r="432" spans="2:9" ht="21" customHeight="1">
      <c r="B432" s="37">
        <v>46274</v>
      </c>
      <c r="C432" s="37" t="s">
        <v>280</v>
      </c>
      <c r="D432" s="33" t="s">
        <v>99</v>
      </c>
      <c r="E432" s="33" t="str">
        <f>IFERROR(VLOOKUP(D432,Sheet1!B:F,4,0),"")</f>
        <v>EVAP RHD</v>
      </c>
      <c r="F432" s="33" t="s">
        <v>15</v>
      </c>
      <c r="G432" s="35">
        <v>1</v>
      </c>
      <c r="H432" s="36" t="s">
        <v>303</v>
      </c>
      <c r="I432" s="33"/>
    </row>
    <row r="433" spans="2:9" ht="21" customHeight="1">
      <c r="B433" s="37">
        <v>46274</v>
      </c>
      <c r="C433" s="37" t="s">
        <v>280</v>
      </c>
      <c r="D433" s="33" t="s">
        <v>99</v>
      </c>
      <c r="E433" s="33" t="str">
        <f>IFERROR(VLOOKUP(D433,Sheet1!B:F,4,0),"")</f>
        <v>EVAP RHD</v>
      </c>
      <c r="F433" s="33" t="s">
        <v>79</v>
      </c>
      <c r="G433" s="35">
        <v>1</v>
      </c>
      <c r="H433" s="36" t="s">
        <v>303</v>
      </c>
      <c r="I433" s="33"/>
    </row>
    <row r="434" spans="2:9" ht="21" customHeight="1">
      <c r="B434" s="37">
        <v>46274</v>
      </c>
      <c r="C434" s="37" t="s">
        <v>280</v>
      </c>
      <c r="D434" s="33" t="s">
        <v>191</v>
      </c>
      <c r="E434" s="33" t="str">
        <f>IFERROR(VLOOKUP(D434,Sheet1!B:F,4,0),"")</f>
        <v>JUMP TUBE AB 핀유</v>
      </c>
      <c r="F434" s="33" t="s">
        <v>354</v>
      </c>
      <c r="G434" s="35">
        <v>1</v>
      </c>
      <c r="H434" s="36" t="s">
        <v>301</v>
      </c>
      <c r="I434" s="33"/>
    </row>
    <row r="435" spans="2:9" ht="21" customHeight="1">
      <c r="B435" s="37">
        <v>46274</v>
      </c>
      <c r="C435" s="37" t="s">
        <v>280</v>
      </c>
      <c r="D435" s="33" t="s">
        <v>22</v>
      </c>
      <c r="E435" s="33" t="str">
        <f>IFERROR(VLOOKUP(D435,Sheet1!B:F,4,0),"")</f>
        <v>FT-ASY-A/C JUMPER</v>
      </c>
      <c r="F435" s="33" t="s">
        <v>355</v>
      </c>
      <c r="G435" s="35">
        <v>3</v>
      </c>
      <c r="H435" s="36" t="s">
        <v>301</v>
      </c>
      <c r="I435" s="33"/>
    </row>
    <row r="436" spans="2:9" ht="21" customHeight="1">
      <c r="B436" s="37">
        <v>46274</v>
      </c>
      <c r="C436" s="37" t="s">
        <v>280</v>
      </c>
      <c r="D436" s="33" t="s">
        <v>22</v>
      </c>
      <c r="E436" s="33" t="str">
        <f>IFERROR(VLOOKUP(D436,Sheet1!B:F,4,0),"")</f>
        <v>FT-ASY-A/C JUMPER</v>
      </c>
      <c r="F436" s="33" t="s">
        <v>74</v>
      </c>
      <c r="G436" s="35">
        <v>1</v>
      </c>
      <c r="H436" s="36" t="s">
        <v>301</v>
      </c>
      <c r="I436" s="33"/>
    </row>
    <row r="437" spans="2:9" ht="21" customHeight="1">
      <c r="B437" s="37">
        <v>46274</v>
      </c>
      <c r="C437" s="37" t="s">
        <v>280</v>
      </c>
      <c r="D437" s="33" t="s">
        <v>22</v>
      </c>
      <c r="E437" s="33" t="str">
        <f>IFERROR(VLOOKUP(D437,Sheet1!B:F,4,0),"")</f>
        <v>FT-ASY-A/C JUMPER</v>
      </c>
      <c r="F437" s="33" t="s">
        <v>356</v>
      </c>
      <c r="G437" s="35">
        <v>1</v>
      </c>
      <c r="H437" s="36" t="s">
        <v>301</v>
      </c>
      <c r="I437" s="33"/>
    </row>
    <row r="438" spans="2:9" ht="21" customHeight="1">
      <c r="B438" s="37">
        <v>46274</v>
      </c>
      <c r="C438" s="37" t="s">
        <v>280</v>
      </c>
      <c r="D438" s="33" t="s">
        <v>22</v>
      </c>
      <c r="E438" s="33" t="str">
        <f>IFERROR(VLOOKUP(D438,Sheet1!B:F,4,0),"")</f>
        <v>FT-ASY-A/C JUMPER</v>
      </c>
      <c r="F438" s="33" t="s">
        <v>357</v>
      </c>
      <c r="G438" s="35">
        <v>3</v>
      </c>
      <c r="H438" s="36" t="s">
        <v>301</v>
      </c>
      <c r="I438" s="33"/>
    </row>
    <row r="439" spans="2:9" ht="21" customHeight="1">
      <c r="B439" s="37">
        <v>46274</v>
      </c>
      <c r="C439" s="37" t="s">
        <v>308</v>
      </c>
      <c r="D439" s="33" t="s">
        <v>49</v>
      </c>
      <c r="E439" s="33" t="str">
        <f>IFERROR(VLOOKUP(D439,Sheet1!B:F,4,0),"")</f>
        <v>COOLANT SPOUT-WCAC</v>
      </c>
      <c r="F439" s="33" t="s">
        <v>59</v>
      </c>
      <c r="G439" s="35">
        <v>4</v>
      </c>
      <c r="H439" s="36" t="s">
        <v>309</v>
      </c>
      <c r="I439" s="33"/>
    </row>
    <row r="440" spans="2:9" ht="21" customHeight="1">
      <c r="B440" s="37">
        <v>46274</v>
      </c>
      <c r="C440" s="37" t="s">
        <v>308</v>
      </c>
      <c r="D440" s="33" t="s">
        <v>25</v>
      </c>
      <c r="E440" s="33" t="str">
        <f>IFERROR(VLOOKUP(D440,Sheet1!B:F,4,0),"")</f>
        <v>OUTLET TUBE-HTR</v>
      </c>
      <c r="F440" s="33" t="s">
        <v>13</v>
      </c>
      <c r="G440" s="35">
        <v>2</v>
      </c>
      <c r="H440" s="36" t="s">
        <v>309</v>
      </c>
      <c r="I440" s="33"/>
    </row>
    <row r="441" spans="2:9" ht="21" customHeight="1">
      <c r="B441" s="37">
        <v>46274</v>
      </c>
      <c r="C441" s="37" t="s">
        <v>308</v>
      </c>
      <c r="D441" s="33" t="s">
        <v>71</v>
      </c>
      <c r="E441" s="33" t="str">
        <f>IFERROR(VLOOKUP(D441,Sheet1!B:F,4,0),"")</f>
        <v>TUBE INLET-EVAP CORE</v>
      </c>
      <c r="F441" s="33" t="s">
        <v>13</v>
      </c>
      <c r="G441" s="35">
        <v>6</v>
      </c>
      <c r="H441" s="36" t="s">
        <v>309</v>
      </c>
      <c r="I441" s="33"/>
    </row>
    <row r="442" spans="2:9" ht="21" customHeight="1">
      <c r="B442" s="37">
        <v>46274</v>
      </c>
      <c r="C442" s="37" t="s">
        <v>308</v>
      </c>
      <c r="D442" s="33" t="s">
        <v>144</v>
      </c>
      <c r="E442" s="33" t="str">
        <f>IFERROR(VLOOKUP(D442,Sheet1!B:F,4,0),"")</f>
        <v>EVAP LHD</v>
      </c>
      <c r="F442" s="33" t="s">
        <v>13</v>
      </c>
      <c r="G442" s="35">
        <v>11</v>
      </c>
      <c r="H442" s="36" t="s">
        <v>309</v>
      </c>
      <c r="I442" s="33"/>
    </row>
    <row r="443" spans="2:9" ht="21" customHeight="1">
      <c r="B443" s="37">
        <v>46274</v>
      </c>
      <c r="C443" s="37" t="s">
        <v>308</v>
      </c>
      <c r="D443" s="33" t="s">
        <v>144</v>
      </c>
      <c r="E443" s="33" t="str">
        <f>IFERROR(VLOOKUP(D443,Sheet1!B:F,4,0),"")</f>
        <v>EVAP LHD</v>
      </c>
      <c r="F443" s="33" t="s">
        <v>13</v>
      </c>
      <c r="G443" s="35">
        <v>2</v>
      </c>
      <c r="H443" s="36" t="s">
        <v>309</v>
      </c>
      <c r="I443" s="33"/>
    </row>
    <row r="444" spans="2:9" ht="21" customHeight="1">
      <c r="B444" s="37">
        <v>46274</v>
      </c>
      <c r="C444" s="37" t="s">
        <v>308</v>
      </c>
      <c r="D444" s="33" t="s">
        <v>175</v>
      </c>
      <c r="E444" s="33" t="str">
        <f>IFERROR(VLOOKUP(D444,Sheet1!B:F,4,0),"")</f>
        <v>HTR OUT RHD</v>
      </c>
      <c r="F444" s="33" t="s">
        <v>13</v>
      </c>
      <c r="G444" s="35">
        <v>59</v>
      </c>
      <c r="H444" s="36" t="s">
        <v>309</v>
      </c>
      <c r="I444" s="33"/>
    </row>
    <row r="445" spans="2:9" ht="21" customHeight="1">
      <c r="B445" s="37">
        <v>46274</v>
      </c>
      <c r="C445" s="37" t="s">
        <v>308</v>
      </c>
      <c r="D445" s="33" t="s">
        <v>43</v>
      </c>
      <c r="E445" s="33" t="str">
        <f>IFERROR(VLOOKUP(D445,Sheet1!B:F,4,0),"")</f>
        <v>HTR OUT LHD</v>
      </c>
      <c r="F445" s="33" t="s">
        <v>15</v>
      </c>
      <c r="G445" s="35">
        <v>1</v>
      </c>
      <c r="H445" s="36" t="s">
        <v>309</v>
      </c>
      <c r="I445" s="33"/>
    </row>
    <row r="446" spans="2:9" ht="21" customHeight="1">
      <c r="B446" s="37">
        <v>46275</v>
      </c>
      <c r="C446" s="37" t="s">
        <v>280</v>
      </c>
      <c r="D446" s="33" t="s">
        <v>43</v>
      </c>
      <c r="E446" s="33" t="str">
        <f>IFERROR(VLOOKUP(D446,Sheet1!B:F,4,0),"")</f>
        <v>HTR OUT LHD</v>
      </c>
      <c r="F446" s="33" t="s">
        <v>45</v>
      </c>
      <c r="G446" s="35">
        <v>10</v>
      </c>
      <c r="H446" s="36" t="s">
        <v>305</v>
      </c>
      <c r="I446" s="33"/>
    </row>
    <row r="447" spans="2:9" ht="21" customHeight="1">
      <c r="B447" s="37">
        <v>46275</v>
      </c>
      <c r="C447" s="37" t="s">
        <v>280</v>
      </c>
      <c r="D447" s="33" t="s">
        <v>29</v>
      </c>
      <c r="E447" s="33" t="str">
        <f>IFERROR(VLOOKUP(D447,Sheet1!B:F,4,0),"")</f>
        <v>COOLANT SPOUT-WCAC</v>
      </c>
      <c r="F447" s="33" t="s">
        <v>15</v>
      </c>
      <c r="G447" s="35">
        <v>1</v>
      </c>
      <c r="H447" s="36" t="s">
        <v>305</v>
      </c>
      <c r="I447" s="33"/>
    </row>
    <row r="448" spans="2:9" ht="21" customHeight="1">
      <c r="B448" s="37">
        <v>46275</v>
      </c>
      <c r="C448" s="37" t="s">
        <v>280</v>
      </c>
      <c r="D448" s="33" t="s">
        <v>29</v>
      </c>
      <c r="E448" s="33" t="str">
        <f>IFERROR(VLOOKUP(D448,Sheet1!B:F,4,0),"")</f>
        <v>COOLANT SPOUT-WCAC</v>
      </c>
      <c r="F448" s="33" t="s">
        <v>358</v>
      </c>
      <c r="G448" s="35">
        <v>1</v>
      </c>
      <c r="H448" s="36" t="s">
        <v>305</v>
      </c>
      <c r="I448" s="33"/>
    </row>
    <row r="449" spans="2:9" ht="21" customHeight="1">
      <c r="B449" s="37">
        <v>46275</v>
      </c>
      <c r="C449" s="37" t="s">
        <v>280</v>
      </c>
      <c r="D449" s="33" t="s">
        <v>29</v>
      </c>
      <c r="E449" s="33" t="str">
        <f>IFERROR(VLOOKUP(D449,Sheet1!B:F,4,0),"")</f>
        <v>COOLANT SPOUT-WCAC</v>
      </c>
      <c r="F449" s="33" t="s">
        <v>18</v>
      </c>
      <c r="G449" s="35">
        <v>1</v>
      </c>
      <c r="H449" s="36" t="s">
        <v>305</v>
      </c>
      <c r="I449" s="33"/>
    </row>
    <row r="450" spans="2:9" ht="21" customHeight="1">
      <c r="B450" s="37">
        <v>46275</v>
      </c>
      <c r="C450" s="37" t="s">
        <v>308</v>
      </c>
      <c r="D450" s="33" t="s">
        <v>144</v>
      </c>
      <c r="E450" s="33" t="str">
        <f>IFERROR(VLOOKUP(D450,Sheet1!B:F,4,0),"")</f>
        <v>EVAP LHD</v>
      </c>
      <c r="F450" s="33" t="s">
        <v>35</v>
      </c>
      <c r="G450" s="35">
        <v>1</v>
      </c>
      <c r="H450" s="36" t="s">
        <v>362</v>
      </c>
      <c r="I450" s="33"/>
    </row>
    <row r="451" spans="2:9" ht="21" customHeight="1">
      <c r="B451" s="37">
        <v>46275</v>
      </c>
      <c r="C451" s="37" t="s">
        <v>308</v>
      </c>
      <c r="D451" s="33" t="s">
        <v>144</v>
      </c>
      <c r="E451" s="33" t="str">
        <f>IFERROR(VLOOKUP(D451,Sheet1!B:F,4,0),"")</f>
        <v>EVAP LHD</v>
      </c>
      <c r="F451" s="33" t="s">
        <v>35</v>
      </c>
      <c r="G451" s="35">
        <v>3</v>
      </c>
      <c r="H451" s="36" t="s">
        <v>363</v>
      </c>
      <c r="I451" s="33"/>
    </row>
    <row r="452" spans="2:9" ht="21" customHeight="1">
      <c r="B452" s="37">
        <v>46275</v>
      </c>
      <c r="C452" s="37" t="s">
        <v>308</v>
      </c>
      <c r="D452" s="33" t="s">
        <v>25</v>
      </c>
      <c r="E452" s="33" t="str">
        <f>IFERROR(VLOOKUP(D452,Sheet1!B:F,4,0),"")</f>
        <v>OUTLET TUBE-HTR</v>
      </c>
      <c r="F452" s="33" t="s">
        <v>13</v>
      </c>
      <c r="G452" s="35">
        <v>6</v>
      </c>
      <c r="H452" s="36" t="s">
        <v>364</v>
      </c>
      <c r="I452" s="33"/>
    </row>
    <row r="453" spans="2:9" ht="21" customHeight="1">
      <c r="B453" s="37">
        <v>46275</v>
      </c>
      <c r="C453" s="37" t="s">
        <v>308</v>
      </c>
      <c r="D453" s="33" t="s">
        <v>175</v>
      </c>
      <c r="E453" s="33" t="str">
        <f>IFERROR(VLOOKUP(D453,Sheet1!B:F,4,0),"")</f>
        <v>HTR OUT RHD</v>
      </c>
      <c r="F453" s="33" t="s">
        <v>13</v>
      </c>
      <c r="G453" s="35">
        <v>40</v>
      </c>
      <c r="H453" s="36" t="s">
        <v>364</v>
      </c>
      <c r="I453" s="33"/>
    </row>
    <row r="454" spans="2:9" ht="21" customHeight="1">
      <c r="B454" s="37">
        <v>46276</v>
      </c>
      <c r="C454" s="37" t="s">
        <v>280</v>
      </c>
      <c r="D454" s="33" t="s">
        <v>43</v>
      </c>
      <c r="E454" s="33" t="str">
        <f>IFERROR(VLOOKUP(D454,Sheet1!B:F,4,0),"")</f>
        <v>HTR OUT LHD</v>
      </c>
      <c r="F454" s="33" t="s">
        <v>45</v>
      </c>
      <c r="G454" s="35">
        <v>4</v>
      </c>
      <c r="H454" s="36" t="s">
        <v>305</v>
      </c>
      <c r="I454" s="33"/>
    </row>
    <row r="455" spans="2:9" ht="21" customHeight="1">
      <c r="B455" s="37">
        <v>46276</v>
      </c>
      <c r="C455" s="37" t="s">
        <v>280</v>
      </c>
      <c r="D455" s="33" t="s">
        <v>43</v>
      </c>
      <c r="E455" s="33" t="str">
        <f>IFERROR(VLOOKUP(D455,Sheet1!B:F,4,0),"")</f>
        <v>HTR OUT LHD</v>
      </c>
      <c r="F455" s="33" t="s">
        <v>52</v>
      </c>
      <c r="G455" s="35">
        <v>1</v>
      </c>
      <c r="H455" s="36" t="s">
        <v>305</v>
      </c>
      <c r="I455" s="33"/>
    </row>
    <row r="456" spans="2:9" ht="21" customHeight="1">
      <c r="B456" s="37">
        <v>46276</v>
      </c>
      <c r="C456" s="37" t="s">
        <v>280</v>
      </c>
      <c r="D456" s="33" t="s">
        <v>26</v>
      </c>
      <c r="E456" s="33" t="str">
        <f>IFERROR(VLOOKUP(D456,Sheet1!B:F,4,0),"")</f>
        <v>INLET TUBE-HTR</v>
      </c>
      <c r="F456" s="33" t="s">
        <v>18</v>
      </c>
      <c r="G456" s="35">
        <v>1</v>
      </c>
      <c r="H456" s="36" t="s">
        <v>305</v>
      </c>
      <c r="I456" s="33"/>
    </row>
    <row r="457" spans="2:9" ht="21" customHeight="1">
      <c r="B457" s="37">
        <v>46276</v>
      </c>
      <c r="C457" s="37" t="s">
        <v>280</v>
      </c>
      <c r="D457" s="33" t="s">
        <v>26</v>
      </c>
      <c r="E457" s="33" t="str">
        <f>IFERROR(VLOOKUP(D457,Sheet1!B:F,4,0),"")</f>
        <v>INLET TUBE-HTR</v>
      </c>
      <c r="F457" s="33" t="s">
        <v>286</v>
      </c>
      <c r="G457" s="35">
        <v>2</v>
      </c>
      <c r="H457" s="36" t="s">
        <v>305</v>
      </c>
      <c r="I457" s="33"/>
    </row>
    <row r="458" spans="2:9" ht="21" customHeight="1">
      <c r="B458" s="37">
        <v>46276</v>
      </c>
      <c r="C458" s="37" t="s">
        <v>308</v>
      </c>
      <c r="D458" s="33" t="s">
        <v>47</v>
      </c>
      <c r="E458" s="33" t="str">
        <f>IFERROR(VLOOKUP(D458,Sheet1!B:F,4,0),"")</f>
        <v>HTR IN LHD</v>
      </c>
      <c r="F458" s="33" t="s">
        <v>319</v>
      </c>
      <c r="G458" s="35">
        <v>66</v>
      </c>
      <c r="H458" s="36" t="s">
        <v>309</v>
      </c>
      <c r="I458" s="33"/>
    </row>
    <row r="459" spans="2:9" ht="21" customHeight="1">
      <c r="B459" s="37">
        <v>46276</v>
      </c>
      <c r="C459" s="37" t="s">
        <v>308</v>
      </c>
      <c r="D459" s="33" t="s">
        <v>71</v>
      </c>
      <c r="E459" s="33" t="str">
        <f>IFERROR(VLOOKUP(D459,Sheet1!B:F,4,0),"")</f>
        <v>TUBE INLET-EVAP CORE</v>
      </c>
      <c r="F459" s="33" t="s">
        <v>346</v>
      </c>
      <c r="G459" s="35">
        <v>1</v>
      </c>
      <c r="H459" s="36" t="s">
        <v>309</v>
      </c>
      <c r="I459" s="33"/>
    </row>
    <row r="460" spans="2:9" ht="21" customHeight="1">
      <c r="B460" s="37">
        <v>46276</v>
      </c>
      <c r="C460" s="37" t="s">
        <v>308</v>
      </c>
      <c r="D460" s="33" t="s">
        <v>175</v>
      </c>
      <c r="E460" s="33" t="str">
        <f>IFERROR(VLOOKUP(D460,Sheet1!B:F,4,0),"")</f>
        <v>HTR OUT RHD</v>
      </c>
      <c r="F460" s="33" t="s">
        <v>45</v>
      </c>
      <c r="G460" s="35">
        <v>118</v>
      </c>
      <c r="H460" s="36" t="s">
        <v>309</v>
      </c>
      <c r="I460" s="33"/>
    </row>
    <row r="461" spans="2:9" ht="21" customHeight="1">
      <c r="B461" s="37">
        <v>46276</v>
      </c>
      <c r="C461" s="37" t="s">
        <v>308</v>
      </c>
      <c r="D461" s="33" t="s">
        <v>175</v>
      </c>
      <c r="E461" s="33" t="str">
        <f>IFERROR(VLOOKUP(D461,Sheet1!B:F,4,0),"")</f>
        <v>HTR OUT RHD</v>
      </c>
      <c r="F461" s="33" t="s">
        <v>59</v>
      </c>
      <c r="G461" s="35">
        <v>19</v>
      </c>
      <c r="H461" s="36" t="s">
        <v>309</v>
      </c>
      <c r="I461" s="33"/>
    </row>
    <row r="462" spans="2:9" ht="21" customHeight="1">
      <c r="B462" s="37">
        <v>46276</v>
      </c>
      <c r="C462" s="37" t="s">
        <v>308</v>
      </c>
      <c r="D462" s="33" t="s">
        <v>29</v>
      </c>
      <c r="E462" s="33" t="str">
        <f>IFERROR(VLOOKUP(D462,Sheet1!B:F,4,0),"")</f>
        <v>COOLANT SPOUT-WCAC</v>
      </c>
      <c r="F462" s="33" t="s">
        <v>45</v>
      </c>
      <c r="G462" s="35">
        <v>12</v>
      </c>
      <c r="H462" s="36" t="s">
        <v>309</v>
      </c>
      <c r="I462" s="33"/>
    </row>
    <row r="463" spans="2:9" ht="21" customHeight="1">
      <c r="B463" s="37">
        <v>46277</v>
      </c>
      <c r="C463" s="37" t="s">
        <v>280</v>
      </c>
      <c r="D463" s="33" t="s">
        <v>359</v>
      </c>
      <c r="E463" s="33" t="str">
        <f>IFERROR(VLOOKUP(D463,Sheet1!B:F,4,0),"")</f>
        <v/>
      </c>
      <c r="F463" s="33" t="s">
        <v>15</v>
      </c>
      <c r="G463" s="35">
        <v>1</v>
      </c>
      <c r="H463" s="36" t="s">
        <v>301</v>
      </c>
      <c r="I463" s="33"/>
    </row>
    <row r="464" spans="2:9" ht="21" customHeight="1">
      <c r="B464" s="37">
        <v>46277</v>
      </c>
      <c r="C464" s="37" t="s">
        <v>280</v>
      </c>
      <c r="D464" s="33" t="s">
        <v>23</v>
      </c>
      <c r="E464" s="33" t="str">
        <f>IFERROR(VLOOKUP(D464,Sheet1!B:F,4,0),"")</f>
        <v>JUMP TUBE AA 핀무</v>
      </c>
      <c r="F464" s="33" t="s">
        <v>335</v>
      </c>
      <c r="G464" s="35">
        <v>1</v>
      </c>
      <c r="H464" s="36" t="s">
        <v>301</v>
      </c>
      <c r="I464" s="33"/>
    </row>
    <row r="465" spans="2:9" ht="21" customHeight="1">
      <c r="B465" s="37">
        <v>46277</v>
      </c>
      <c r="C465" s="37" t="s">
        <v>280</v>
      </c>
      <c r="D465" s="33" t="s">
        <v>28</v>
      </c>
      <c r="E465" s="33" t="str">
        <f>IFERROR(VLOOKUP(D465,Sheet1!B:F,4,0),"")</f>
        <v>JUMP TUBE CA 핀무</v>
      </c>
      <c r="F465" s="33" t="s">
        <v>360</v>
      </c>
      <c r="G465" s="35">
        <v>1</v>
      </c>
      <c r="H465" s="36" t="s">
        <v>301</v>
      </c>
      <c r="I465" s="33"/>
    </row>
    <row r="466" spans="2:9" ht="21" customHeight="1">
      <c r="B466" s="37">
        <v>46277</v>
      </c>
      <c r="C466" s="37" t="s">
        <v>280</v>
      </c>
      <c r="D466" s="33" t="s">
        <v>38</v>
      </c>
      <c r="E466" s="33" t="str">
        <f>IFERROR(VLOOKUP(D466,Sheet1!B:F,4,0),"")</f>
        <v>FT-ASY-A/C JUMPER</v>
      </c>
      <c r="F466" s="33" t="s">
        <v>290</v>
      </c>
      <c r="G466" s="35">
        <v>6</v>
      </c>
      <c r="H466" s="36" t="s">
        <v>301</v>
      </c>
      <c r="I466" s="33"/>
    </row>
    <row r="467" spans="2:9" ht="21" customHeight="1">
      <c r="B467" s="37">
        <v>46279</v>
      </c>
      <c r="C467" s="37" t="s">
        <v>308</v>
      </c>
      <c r="D467" s="33" t="s">
        <v>47</v>
      </c>
      <c r="E467" s="33" t="str">
        <f>IFERROR(VLOOKUP(D467,Sheet1!B:F,4,0),"")</f>
        <v>HTR IN LHD</v>
      </c>
      <c r="F467" s="33" t="s">
        <v>13</v>
      </c>
      <c r="G467" s="35">
        <v>6</v>
      </c>
      <c r="H467" s="36" t="s">
        <v>309</v>
      </c>
      <c r="I467" s="33"/>
    </row>
    <row r="468" spans="2:9" ht="21" customHeight="1">
      <c r="B468" s="37">
        <v>46279</v>
      </c>
      <c r="C468" s="37" t="s">
        <v>308</v>
      </c>
      <c r="D468" s="33" t="s">
        <v>28</v>
      </c>
      <c r="E468" s="33" t="str">
        <f>IFERROR(VLOOKUP(D468,Sheet1!B:F,4,0),"")</f>
        <v>JUMP TUBE CA 핀무</v>
      </c>
      <c r="F468" s="33" t="s">
        <v>13</v>
      </c>
      <c r="G468" s="35">
        <v>27</v>
      </c>
      <c r="H468" s="36" t="s">
        <v>309</v>
      </c>
      <c r="I468" s="33"/>
    </row>
    <row r="469" spans="2:9" ht="21" customHeight="1">
      <c r="B469" s="37">
        <v>46279</v>
      </c>
      <c r="C469" s="37" t="s">
        <v>308</v>
      </c>
      <c r="D469" s="33" t="s">
        <v>28</v>
      </c>
      <c r="E469" s="33" t="str">
        <f>IFERROR(VLOOKUP(D469,Sheet1!B:F,4,0),"")</f>
        <v>JUMP TUBE CA 핀무</v>
      </c>
      <c r="F469" s="33" t="s">
        <v>13</v>
      </c>
      <c r="G469" s="35">
        <v>2</v>
      </c>
      <c r="H469" s="36" t="s">
        <v>309</v>
      </c>
      <c r="I469" s="33"/>
    </row>
    <row r="470" spans="2:9" ht="21" customHeight="1">
      <c r="B470" s="37">
        <v>46279</v>
      </c>
      <c r="C470" s="37" t="s">
        <v>280</v>
      </c>
      <c r="D470" s="33" t="s">
        <v>29</v>
      </c>
      <c r="E470" s="33" t="str">
        <f>IFERROR(VLOOKUP(D470,Sheet1!B:F,4,0),"")</f>
        <v>COOLANT SPOUT-WCAC</v>
      </c>
      <c r="F470" s="33" t="s">
        <v>361</v>
      </c>
      <c r="G470" s="35">
        <v>9</v>
      </c>
      <c r="H470" s="36" t="s">
        <v>305</v>
      </c>
      <c r="I470" s="33"/>
    </row>
    <row r="471" spans="2:9" ht="21" customHeight="1">
      <c r="B471" s="37">
        <v>46279</v>
      </c>
      <c r="C471" s="37" t="s">
        <v>280</v>
      </c>
      <c r="D471" s="33" t="s">
        <v>175</v>
      </c>
      <c r="E471" s="33" t="str">
        <f>IFERROR(VLOOKUP(D471,Sheet1!B:F,4,0),"")</f>
        <v>HTR OUT RHD</v>
      </c>
      <c r="F471" s="33" t="s">
        <v>45</v>
      </c>
      <c r="G471" s="35">
        <v>1</v>
      </c>
      <c r="H471" s="36" t="s">
        <v>305</v>
      </c>
      <c r="I471" s="33"/>
    </row>
    <row r="472" spans="2:9" ht="21" customHeight="1">
      <c r="B472" s="37">
        <v>46279</v>
      </c>
      <c r="C472" s="37" t="s">
        <v>280</v>
      </c>
      <c r="D472" s="33" t="s">
        <v>178</v>
      </c>
      <c r="E472" s="33" t="str">
        <f>IFERROR(VLOOKUP(D472,Sheet1!B:F,4,0),"")</f>
        <v>HTR IN RHD</v>
      </c>
      <c r="F472" s="33" t="s">
        <v>45</v>
      </c>
      <c r="G472" s="35">
        <v>2</v>
      </c>
      <c r="H472" s="36" t="s">
        <v>305</v>
      </c>
      <c r="I472" s="33"/>
    </row>
    <row r="473" spans="2:9" ht="21" customHeight="1">
      <c r="B473" s="37">
        <v>46280</v>
      </c>
      <c r="C473" s="37" t="s">
        <v>280</v>
      </c>
      <c r="D473" s="33" t="s">
        <v>71</v>
      </c>
      <c r="E473" s="33" t="str">
        <f>IFERROR(VLOOKUP(D473,Sheet1!B:F,4,0),"")</f>
        <v>TUBE INLET-EVAP CORE</v>
      </c>
      <c r="F473" s="33" t="s">
        <v>45</v>
      </c>
      <c r="G473" s="35">
        <v>12</v>
      </c>
      <c r="H473" s="36" t="s">
        <v>296</v>
      </c>
      <c r="I473" s="33"/>
    </row>
    <row r="474" spans="2:9" ht="21" customHeight="1">
      <c r="B474" s="37">
        <v>46280</v>
      </c>
      <c r="C474" s="37" t="s">
        <v>280</v>
      </c>
      <c r="D474" s="33" t="s">
        <v>71</v>
      </c>
      <c r="E474" s="33" t="str">
        <f>IFERROR(VLOOKUP(D474,Sheet1!B:F,4,0),"")</f>
        <v>TUBE INLET-EVAP CORE</v>
      </c>
      <c r="F474" s="33" t="s">
        <v>18</v>
      </c>
      <c r="G474" s="35">
        <v>4</v>
      </c>
      <c r="H474" s="36" t="s">
        <v>296</v>
      </c>
      <c r="I474" s="33"/>
    </row>
    <row r="475" spans="2:9" ht="21" customHeight="1">
      <c r="B475" s="37">
        <v>46280</v>
      </c>
      <c r="C475" s="37" t="s">
        <v>280</v>
      </c>
      <c r="D475" s="33" t="s">
        <v>31</v>
      </c>
      <c r="E475" s="33" t="str">
        <f>IFERROR(VLOOKUP(D475,Sheet1!B:F,4,0),"")</f>
        <v>COOLANT SPOUT-WCAC</v>
      </c>
      <c r="F475" s="33" t="s">
        <v>87</v>
      </c>
      <c r="G475" s="35">
        <v>2</v>
      </c>
      <c r="H475" s="36" t="s">
        <v>305</v>
      </c>
      <c r="I475" s="33"/>
    </row>
    <row r="476" spans="2:9" ht="21" customHeight="1">
      <c r="B476" s="37">
        <v>46280</v>
      </c>
      <c r="C476" s="37" t="s">
        <v>280</v>
      </c>
      <c r="D476" s="33" t="s">
        <v>31</v>
      </c>
      <c r="E476" s="33" t="str">
        <f>IFERROR(VLOOKUP(D476,Sheet1!B:F,4,0),"")</f>
        <v>COOLANT SPOUT-WCAC</v>
      </c>
      <c r="F476" s="33" t="s">
        <v>15</v>
      </c>
      <c r="G476" s="35">
        <v>2</v>
      </c>
      <c r="H476" s="36" t="s">
        <v>305</v>
      </c>
      <c r="I476" s="33"/>
    </row>
    <row r="477" spans="2:9" ht="21" customHeight="1">
      <c r="B477" s="37">
        <v>46280</v>
      </c>
      <c r="C477" s="37" t="s">
        <v>280</v>
      </c>
      <c r="D477" s="33" t="s">
        <v>31</v>
      </c>
      <c r="E477" s="33" t="str">
        <f>IFERROR(VLOOKUP(D477,Sheet1!B:F,4,0),"")</f>
        <v>COOLANT SPOUT-WCAC</v>
      </c>
      <c r="F477" s="33" t="s">
        <v>18</v>
      </c>
      <c r="G477" s="35">
        <v>1</v>
      </c>
      <c r="H477" s="36" t="s">
        <v>305</v>
      </c>
      <c r="I477" s="33"/>
    </row>
    <row r="478" spans="2:9" ht="21" customHeight="1">
      <c r="B478" s="37">
        <v>46280</v>
      </c>
      <c r="C478" s="37" t="s">
        <v>280</v>
      </c>
      <c r="D478" s="33" t="s">
        <v>49</v>
      </c>
      <c r="E478" s="33" t="str">
        <f>IFERROR(VLOOKUP(D478,Sheet1!B:F,4,0),"")</f>
        <v>COOLANT SPOUT-WCAC</v>
      </c>
      <c r="F478" s="33" t="s">
        <v>87</v>
      </c>
      <c r="G478" s="35">
        <v>2</v>
      </c>
      <c r="H478" s="36" t="s">
        <v>305</v>
      </c>
      <c r="I478" s="33"/>
    </row>
    <row r="479" spans="2:9" ht="21" customHeight="1">
      <c r="B479" s="37">
        <v>46280</v>
      </c>
      <c r="C479" s="37" t="s">
        <v>280</v>
      </c>
      <c r="D479" s="33" t="s">
        <v>49</v>
      </c>
      <c r="E479" s="33" t="str">
        <f>IFERROR(VLOOKUP(D479,Sheet1!B:F,4,0),"")</f>
        <v>COOLANT SPOUT-WCAC</v>
      </c>
      <c r="F479" s="33" t="s">
        <v>15</v>
      </c>
      <c r="G479" s="35">
        <v>1</v>
      </c>
      <c r="H479" s="36" t="s">
        <v>305</v>
      </c>
      <c r="I479" s="33"/>
    </row>
    <row r="480" spans="2:9" ht="21" customHeight="1">
      <c r="B480" s="37">
        <v>46280</v>
      </c>
      <c r="C480" s="37" t="s">
        <v>280</v>
      </c>
      <c r="D480" s="33" t="s">
        <v>29</v>
      </c>
      <c r="E480" s="33" t="str">
        <f>IFERROR(VLOOKUP(D480,Sheet1!B:F,4,0),"")</f>
        <v>COOLANT SPOUT-WCAC</v>
      </c>
      <c r="F480" s="33" t="s">
        <v>15</v>
      </c>
      <c r="G480" s="35">
        <v>1</v>
      </c>
      <c r="H480" s="36" t="s">
        <v>305</v>
      </c>
      <c r="I480" s="33"/>
    </row>
    <row r="481" spans="2:9" ht="21" customHeight="1">
      <c r="B481" s="37">
        <v>46281</v>
      </c>
      <c r="C481" s="37" t="s">
        <v>280</v>
      </c>
      <c r="D481" s="33" t="s">
        <v>178</v>
      </c>
      <c r="E481" s="33" t="str">
        <f>IFERROR(VLOOKUP(D481,Sheet1!B:F,4,0),"")</f>
        <v>HTR IN RHD</v>
      </c>
      <c r="F481" s="33" t="s">
        <v>45</v>
      </c>
      <c r="G481" s="35">
        <v>5</v>
      </c>
      <c r="H481" s="36" t="s">
        <v>305</v>
      </c>
      <c r="I481" s="33"/>
    </row>
    <row r="482" spans="2:9" ht="21" customHeight="1">
      <c r="B482" s="37">
        <v>46281</v>
      </c>
      <c r="C482" s="37" t="s">
        <v>308</v>
      </c>
      <c r="D482" s="33" t="s">
        <v>99</v>
      </c>
      <c r="E482" s="33" t="str">
        <f>IFERROR(VLOOKUP(D482,Sheet1!B:F,4,0),"")</f>
        <v>EVAP RHD</v>
      </c>
      <c r="F482" s="33" t="s">
        <v>13</v>
      </c>
      <c r="G482" s="35">
        <v>21</v>
      </c>
      <c r="H482" s="36" t="s">
        <v>309</v>
      </c>
      <c r="I482" s="10" t="s">
        <v>266</v>
      </c>
    </row>
    <row r="483" spans="2:9" ht="21" customHeight="1">
      <c r="B483" s="37">
        <v>46281</v>
      </c>
      <c r="C483" s="37" t="s">
        <v>308</v>
      </c>
      <c r="D483" s="33" t="s">
        <v>25</v>
      </c>
      <c r="E483" s="33" t="str">
        <f>IFERROR(VLOOKUP(D483,Sheet1!B:F,4,0),"")</f>
        <v>OUTLET TUBE-HTR</v>
      </c>
      <c r="F483" s="33" t="s">
        <v>15</v>
      </c>
      <c r="G483" s="35">
        <v>4</v>
      </c>
      <c r="H483" s="36" t="s">
        <v>309</v>
      </c>
      <c r="I483" s="33"/>
    </row>
    <row r="484" spans="2:9" ht="21" customHeight="1">
      <c r="B484" s="37">
        <v>46281</v>
      </c>
      <c r="C484" s="37" t="s">
        <v>308</v>
      </c>
      <c r="D484" s="33" t="s">
        <v>26</v>
      </c>
      <c r="E484" s="33" t="str">
        <f>IFERROR(VLOOKUP(D484,Sheet1!B:F,4,0),"")</f>
        <v>INLET TUBE-HTR</v>
      </c>
      <c r="F484" s="33" t="s">
        <v>15</v>
      </c>
      <c r="G484" s="35">
        <v>3</v>
      </c>
      <c r="H484" s="36" t="s">
        <v>309</v>
      </c>
      <c r="I484" s="33"/>
    </row>
    <row r="485" spans="2:9" ht="21" customHeight="1">
      <c r="B485" s="37">
        <v>46281</v>
      </c>
      <c r="C485" s="37" t="s">
        <v>308</v>
      </c>
      <c r="D485" s="33" t="s">
        <v>47</v>
      </c>
      <c r="E485" s="33" t="str">
        <f>IFERROR(VLOOKUP(D485,Sheet1!B:F,4,0),"")</f>
        <v>HTR IN LHD</v>
      </c>
      <c r="F485" s="33" t="s">
        <v>48</v>
      </c>
      <c r="G485" s="35">
        <v>3</v>
      </c>
      <c r="H485" s="36" t="s">
        <v>309</v>
      </c>
      <c r="I485" s="33"/>
    </row>
    <row r="486" spans="2:9" ht="21" customHeight="1">
      <c r="B486" s="37">
        <v>46282</v>
      </c>
      <c r="C486" s="37" t="s">
        <v>280</v>
      </c>
      <c r="D486" s="33" t="s">
        <v>178</v>
      </c>
      <c r="E486" s="33" t="str">
        <f>IFERROR(VLOOKUP(D486,Sheet1!B:F,4,0),"")</f>
        <v>HTR IN RHD</v>
      </c>
      <c r="F486" s="33" t="s">
        <v>45</v>
      </c>
      <c r="G486" s="35">
        <v>1</v>
      </c>
      <c r="H486" s="36" t="s">
        <v>305</v>
      </c>
      <c r="I486" s="33"/>
    </row>
    <row r="487" spans="2:9" ht="21" customHeight="1">
      <c r="B487" s="37">
        <v>46282</v>
      </c>
      <c r="C487" s="37" t="s">
        <v>280</v>
      </c>
      <c r="D487" s="33" t="s">
        <v>34</v>
      </c>
      <c r="E487" s="33" t="str">
        <f>IFERROR(VLOOKUP(D487,Sheet1!B:F,4,0),"")</f>
        <v>HTR PIPE IN LHD</v>
      </c>
      <c r="F487" s="33" t="s">
        <v>366</v>
      </c>
      <c r="G487" s="35">
        <v>2</v>
      </c>
      <c r="H487" s="36" t="s">
        <v>305</v>
      </c>
      <c r="I487" s="33"/>
    </row>
    <row r="488" spans="2:9" ht="21" customHeight="1">
      <c r="B488" s="37">
        <v>46282</v>
      </c>
      <c r="C488" s="37" t="s">
        <v>280</v>
      </c>
      <c r="D488" s="33" t="s">
        <v>28</v>
      </c>
      <c r="E488" s="33" t="str">
        <f>IFERROR(VLOOKUP(D488,Sheet1!B:F,4,0),"")</f>
        <v>JUMP TUBE CA 핀무</v>
      </c>
      <c r="F488" s="33" t="s">
        <v>331</v>
      </c>
      <c r="G488" s="35">
        <v>25</v>
      </c>
      <c r="H488" s="36" t="s">
        <v>301</v>
      </c>
      <c r="I488" s="33"/>
    </row>
    <row r="489" spans="2:9" ht="21" customHeight="1">
      <c r="B489" s="37">
        <v>46282</v>
      </c>
      <c r="C489" s="37" t="s">
        <v>280</v>
      </c>
      <c r="D489" s="33" t="s">
        <v>367</v>
      </c>
      <c r="E489" s="33" t="str">
        <f>IFERROR(VLOOKUP(D489,Sheet1!B:F,4,0),"")</f>
        <v>FT-ASY-A/C JUMPER</v>
      </c>
      <c r="F489" s="33" t="s">
        <v>368</v>
      </c>
      <c r="G489" s="35">
        <v>15</v>
      </c>
      <c r="H489" s="36" t="s">
        <v>301</v>
      </c>
      <c r="I489" s="33"/>
    </row>
    <row r="490" spans="2:9" ht="21" customHeight="1">
      <c r="B490" s="37">
        <v>46282</v>
      </c>
      <c r="C490" s="37" t="s">
        <v>308</v>
      </c>
      <c r="D490" s="33" t="s">
        <v>43</v>
      </c>
      <c r="E490" s="33" t="str">
        <f>IFERROR(VLOOKUP(D490,Sheet1!B:F,4,0),"")</f>
        <v>HTR OUT LHD</v>
      </c>
      <c r="F490" s="33" t="s">
        <v>45</v>
      </c>
      <c r="G490" s="35">
        <v>7</v>
      </c>
      <c r="H490" s="36" t="s">
        <v>309</v>
      </c>
      <c r="I490" s="33"/>
    </row>
    <row r="491" spans="2:9" ht="21" customHeight="1">
      <c r="B491" s="37">
        <v>46282</v>
      </c>
      <c r="C491" s="37" t="s">
        <v>308</v>
      </c>
      <c r="D491" s="33" t="s">
        <v>144</v>
      </c>
      <c r="E491" s="33" t="str">
        <f>IFERROR(VLOOKUP(D491,Sheet1!B:F,4,0),"")</f>
        <v>EVAP LHD</v>
      </c>
      <c r="F491" s="33" t="s">
        <v>13</v>
      </c>
      <c r="G491" s="35">
        <v>5</v>
      </c>
      <c r="H491" s="36" t="s">
        <v>309</v>
      </c>
      <c r="I491" s="33"/>
    </row>
    <row r="492" spans="2:9" ht="21" customHeight="1">
      <c r="B492" s="37">
        <v>46282</v>
      </c>
      <c r="C492" s="37" t="s">
        <v>308</v>
      </c>
      <c r="D492" s="33" t="s">
        <v>144</v>
      </c>
      <c r="E492" s="33" t="str">
        <f>IFERROR(VLOOKUP(D492,Sheet1!B:F,4,0),"")</f>
        <v>EVAP LHD</v>
      </c>
      <c r="F492" s="33" t="s">
        <v>35</v>
      </c>
      <c r="G492" s="35">
        <v>3</v>
      </c>
      <c r="H492" s="36" t="s">
        <v>309</v>
      </c>
      <c r="I492" s="33"/>
    </row>
    <row r="493" spans="2:9" ht="21" customHeight="1">
      <c r="B493" s="37">
        <v>46282</v>
      </c>
      <c r="C493" s="37" t="s">
        <v>308</v>
      </c>
      <c r="D493" s="33" t="s">
        <v>144</v>
      </c>
      <c r="E493" s="33" t="str">
        <f>IFERROR(VLOOKUP(D493,Sheet1!B:F,4,0),"")</f>
        <v>EVAP LHD</v>
      </c>
      <c r="F493" s="33" t="s">
        <v>35</v>
      </c>
      <c r="G493" s="35">
        <v>4</v>
      </c>
      <c r="H493" s="36" t="s">
        <v>309</v>
      </c>
      <c r="I493" s="33"/>
    </row>
    <row r="494" spans="2:9" ht="21" customHeight="1">
      <c r="B494" s="37">
        <v>46282</v>
      </c>
      <c r="C494" s="37" t="s">
        <v>308</v>
      </c>
      <c r="D494" s="33" t="s">
        <v>43</v>
      </c>
      <c r="E494" s="33" t="str">
        <f>IFERROR(VLOOKUP(D494,Sheet1!B:F,4,0),"")</f>
        <v>HTR OUT LHD</v>
      </c>
      <c r="F494" s="33" t="s">
        <v>45</v>
      </c>
      <c r="G494" s="35">
        <v>7</v>
      </c>
      <c r="H494" s="36" t="s">
        <v>309</v>
      </c>
      <c r="I494" s="33"/>
    </row>
    <row r="495" spans="2:9" ht="21" customHeight="1">
      <c r="B495" s="37">
        <v>46283</v>
      </c>
      <c r="C495" s="37" t="s">
        <v>280</v>
      </c>
      <c r="D495" s="33" t="s">
        <v>99</v>
      </c>
      <c r="E495" s="33" t="str">
        <f>IFERROR(VLOOKUP(D495,Sheet1!B:F,4,0),"")</f>
        <v>EVAP RHD</v>
      </c>
      <c r="F495" s="33" t="s">
        <v>79</v>
      </c>
      <c r="G495" s="35">
        <v>1</v>
      </c>
      <c r="H495" s="36" t="s">
        <v>369</v>
      </c>
      <c r="I495" s="33"/>
    </row>
    <row r="496" spans="2:9" ht="21" customHeight="1">
      <c r="B496" s="37">
        <v>46283</v>
      </c>
      <c r="C496" s="37" t="s">
        <v>280</v>
      </c>
      <c r="D496" s="33" t="s">
        <v>144</v>
      </c>
      <c r="E496" s="33" t="str">
        <f>IFERROR(VLOOKUP(D496,Sheet1!B:F,4,0),"")</f>
        <v>EVAP LHD</v>
      </c>
      <c r="F496" s="33" t="s">
        <v>18</v>
      </c>
      <c r="G496" s="35">
        <v>1</v>
      </c>
      <c r="H496" s="36" t="s">
        <v>369</v>
      </c>
      <c r="I496" s="33"/>
    </row>
    <row r="497" spans="2:9" ht="21" customHeight="1">
      <c r="B497" s="37">
        <v>46283</v>
      </c>
      <c r="C497" s="37" t="s">
        <v>308</v>
      </c>
      <c r="D497" s="33" t="s">
        <v>91</v>
      </c>
      <c r="E497" s="33" t="str">
        <f>IFERROR(VLOOKUP(D497,Sheet1!B:F,4,0),"")</f>
        <v>EVAP PIPE LHD</v>
      </c>
      <c r="F497" s="33" t="s">
        <v>13</v>
      </c>
      <c r="G497" s="35">
        <v>35</v>
      </c>
      <c r="H497" s="36" t="s">
        <v>309</v>
      </c>
      <c r="I497" s="33"/>
    </row>
    <row r="498" spans="2:9" ht="21" customHeight="1">
      <c r="B498" s="37">
        <v>46283</v>
      </c>
      <c r="C498" s="37" t="s">
        <v>308</v>
      </c>
      <c r="D498" s="33" t="s">
        <v>49</v>
      </c>
      <c r="E498" s="33" t="str">
        <f>IFERROR(VLOOKUP(D498,Sheet1!B:F,4,0),"")</f>
        <v>COOLANT SPOUT-WCAC</v>
      </c>
      <c r="F498" s="33" t="s">
        <v>45</v>
      </c>
      <c r="G498" s="35">
        <v>10</v>
      </c>
      <c r="H498" s="36" t="s">
        <v>309</v>
      </c>
      <c r="I498" s="33"/>
    </row>
    <row r="499" spans="2:9" ht="21" customHeight="1">
      <c r="B499" s="37">
        <v>46283</v>
      </c>
      <c r="C499" s="37" t="s">
        <v>308</v>
      </c>
      <c r="D499" s="33" t="s">
        <v>175</v>
      </c>
      <c r="E499" s="33" t="str">
        <f>IFERROR(VLOOKUP(D499,Sheet1!B:F,4,0),"")</f>
        <v>HTR OUT RHD</v>
      </c>
      <c r="F499" s="33" t="s">
        <v>383</v>
      </c>
      <c r="G499" s="35">
        <v>2</v>
      </c>
      <c r="H499" s="36" t="s">
        <v>309</v>
      </c>
      <c r="I499" s="33"/>
    </row>
    <row r="500" spans="2:9" ht="21" customHeight="1">
      <c r="B500" s="37">
        <v>46283</v>
      </c>
      <c r="C500" s="37" t="s">
        <v>308</v>
      </c>
      <c r="D500" s="33" t="s">
        <v>43</v>
      </c>
      <c r="E500" s="33" t="str">
        <f>IFERROR(VLOOKUP(D500,Sheet1!B:F,4,0),"")</f>
        <v>HTR OUT LHD</v>
      </c>
      <c r="F500" s="33" t="s">
        <v>13</v>
      </c>
      <c r="G500" s="35">
        <v>8</v>
      </c>
      <c r="H500" s="36" t="s">
        <v>309</v>
      </c>
      <c r="I500" s="33"/>
    </row>
    <row r="501" spans="2:9" ht="21" customHeight="1">
      <c r="B501" s="37">
        <v>46283</v>
      </c>
      <c r="C501" s="37" t="s">
        <v>308</v>
      </c>
      <c r="D501" s="33" t="s">
        <v>29</v>
      </c>
      <c r="E501" s="33" t="str">
        <f>IFERROR(VLOOKUP(D501,Sheet1!B:F,4,0),"")</f>
        <v>COOLANT SPOUT-WCAC</v>
      </c>
      <c r="F501" s="33" t="s">
        <v>383</v>
      </c>
      <c r="G501" s="35">
        <v>4</v>
      </c>
      <c r="H501" s="36" t="s">
        <v>309</v>
      </c>
      <c r="I501" s="33"/>
    </row>
    <row r="502" spans="2:9" ht="21" customHeight="1">
      <c r="B502" s="37">
        <v>46283</v>
      </c>
      <c r="C502" s="37" t="s">
        <v>308</v>
      </c>
      <c r="D502" s="33" t="s">
        <v>43</v>
      </c>
      <c r="E502" s="33" t="str">
        <f>IFERROR(VLOOKUP(D502,Sheet1!B:F,4,0),"")</f>
        <v>HTR OUT LHD</v>
      </c>
      <c r="F502" s="33" t="s">
        <v>45</v>
      </c>
      <c r="G502" s="35">
        <v>3</v>
      </c>
      <c r="H502" s="36" t="s">
        <v>309</v>
      </c>
      <c r="I502" s="33"/>
    </row>
    <row r="503" spans="2:9" ht="21" customHeight="1">
      <c r="B503" s="37">
        <v>46283</v>
      </c>
      <c r="C503" s="37" t="s">
        <v>308</v>
      </c>
      <c r="D503" s="33" t="s">
        <v>91</v>
      </c>
      <c r="E503" s="33" t="str">
        <f>IFERROR(VLOOKUP(D503,Sheet1!B:F,4,0),"")</f>
        <v>EVAP PIPE LHD</v>
      </c>
      <c r="F503" s="33" t="s">
        <v>13</v>
      </c>
      <c r="G503" s="35">
        <v>35</v>
      </c>
      <c r="H503" s="36" t="s">
        <v>309</v>
      </c>
      <c r="I503" s="33"/>
    </row>
    <row r="504" spans="2:9" ht="21" customHeight="1">
      <c r="B504" s="37">
        <v>46283</v>
      </c>
      <c r="C504" s="37" t="s">
        <v>308</v>
      </c>
      <c r="D504" s="33" t="s">
        <v>49</v>
      </c>
      <c r="E504" s="33" t="str">
        <f>IFERROR(VLOOKUP(D504,Sheet1!B:F,4,0),"")</f>
        <v>COOLANT SPOUT-WCAC</v>
      </c>
      <c r="F504" s="33" t="s">
        <v>45</v>
      </c>
      <c r="G504" s="35">
        <v>10</v>
      </c>
      <c r="H504" s="36" t="s">
        <v>309</v>
      </c>
      <c r="I504" s="33"/>
    </row>
    <row r="505" spans="2:9" ht="21" customHeight="1">
      <c r="B505" s="37">
        <v>46283</v>
      </c>
      <c r="C505" s="37" t="s">
        <v>308</v>
      </c>
      <c r="D505" s="33" t="s">
        <v>175</v>
      </c>
      <c r="E505" s="33" t="str">
        <f>IFERROR(VLOOKUP(D505,Sheet1!B:F,4,0),"")</f>
        <v>HTR OUT RHD</v>
      </c>
      <c r="F505" s="33" t="s">
        <v>383</v>
      </c>
      <c r="G505" s="35">
        <v>2</v>
      </c>
      <c r="H505" s="36" t="s">
        <v>309</v>
      </c>
      <c r="I505" s="33"/>
    </row>
    <row r="506" spans="2:9" ht="21" customHeight="1">
      <c r="B506" s="37">
        <v>46283</v>
      </c>
      <c r="C506" s="37" t="s">
        <v>308</v>
      </c>
      <c r="D506" s="33" t="s">
        <v>43</v>
      </c>
      <c r="E506" s="33" t="str">
        <f>IFERROR(VLOOKUP(D506,Sheet1!B:F,4,0),"")</f>
        <v>HTR OUT LHD</v>
      </c>
      <c r="F506" s="33" t="s">
        <v>319</v>
      </c>
      <c r="G506" s="35">
        <v>8</v>
      </c>
      <c r="H506" s="36" t="s">
        <v>309</v>
      </c>
      <c r="I506" s="33"/>
    </row>
    <row r="507" spans="2:9" ht="21" customHeight="1">
      <c r="B507" s="37">
        <v>46283</v>
      </c>
      <c r="C507" s="37" t="s">
        <v>308</v>
      </c>
      <c r="D507" s="33" t="s">
        <v>29</v>
      </c>
      <c r="E507" s="33" t="str">
        <f>IFERROR(VLOOKUP(D507,Sheet1!B:F,4,0),"")</f>
        <v>COOLANT SPOUT-WCAC</v>
      </c>
      <c r="F507" s="33" t="s">
        <v>383</v>
      </c>
      <c r="G507" s="35">
        <v>4</v>
      </c>
      <c r="H507" s="36" t="s">
        <v>309</v>
      </c>
      <c r="I507" s="33"/>
    </row>
    <row r="508" spans="2:9" ht="21" customHeight="1">
      <c r="B508" s="37">
        <v>46284</v>
      </c>
      <c r="C508" s="37" t="s">
        <v>280</v>
      </c>
      <c r="D508" s="33" t="s">
        <v>47</v>
      </c>
      <c r="E508" s="33" t="str">
        <f>IFERROR(VLOOKUP(D508,Sheet1!B:F,4,0),"")</f>
        <v>HTR IN LHD</v>
      </c>
      <c r="F508" s="33" t="s">
        <v>45</v>
      </c>
      <c r="G508" s="35">
        <v>12</v>
      </c>
      <c r="H508" s="36" t="s">
        <v>370</v>
      </c>
      <c r="I508" s="33"/>
    </row>
    <row r="509" spans="2:9" ht="21" customHeight="1">
      <c r="B509" s="37">
        <v>46284</v>
      </c>
      <c r="C509" s="37" t="s">
        <v>280</v>
      </c>
      <c r="D509" s="33" t="s">
        <v>34</v>
      </c>
      <c r="E509" s="33" t="str">
        <f>IFERROR(VLOOKUP(D509,Sheet1!B:F,4,0),"")</f>
        <v>HTR PIPE IN LHD</v>
      </c>
      <c r="F509" s="33" t="s">
        <v>45</v>
      </c>
      <c r="G509" s="35">
        <v>2</v>
      </c>
      <c r="H509" s="36" t="s">
        <v>370</v>
      </c>
      <c r="I509" s="33"/>
    </row>
    <row r="510" spans="2:9" ht="21" customHeight="1">
      <c r="B510" s="37">
        <v>46284</v>
      </c>
      <c r="C510" s="37" t="s">
        <v>280</v>
      </c>
      <c r="D510" s="33" t="s">
        <v>34</v>
      </c>
      <c r="E510" s="33" t="str">
        <f>IFERROR(VLOOKUP(D510,Sheet1!B:F,4,0),"")</f>
        <v>HTR PIPE IN LHD</v>
      </c>
      <c r="F510" s="33" t="s">
        <v>52</v>
      </c>
      <c r="G510" s="35">
        <v>2</v>
      </c>
      <c r="H510" s="36" t="s">
        <v>370</v>
      </c>
      <c r="I510" s="33"/>
    </row>
    <row r="511" spans="2:9" ht="21" customHeight="1">
      <c r="B511" s="37">
        <v>46284</v>
      </c>
      <c r="C511" s="37" t="s">
        <v>280</v>
      </c>
      <c r="D511" s="33" t="s">
        <v>178</v>
      </c>
      <c r="E511" s="33" t="str">
        <f>IFERROR(VLOOKUP(D511,Sheet1!B:F,4,0),"")</f>
        <v>HTR IN RHD</v>
      </c>
      <c r="F511" s="33" t="s">
        <v>45</v>
      </c>
      <c r="G511" s="35">
        <v>1</v>
      </c>
      <c r="H511" s="36" t="s">
        <v>370</v>
      </c>
      <c r="I511" s="33"/>
    </row>
    <row r="512" spans="2:9" ht="21" customHeight="1">
      <c r="B512" s="37">
        <v>46284</v>
      </c>
      <c r="C512" s="37" t="s">
        <v>126</v>
      </c>
      <c r="D512" s="33" t="s">
        <v>47</v>
      </c>
      <c r="E512" s="33" t="str">
        <f>IFERROR(VLOOKUP(D512,Sheet1!B:F,4,0),"")</f>
        <v>HTR IN LHD</v>
      </c>
      <c r="F512" s="33" t="s">
        <v>45</v>
      </c>
      <c r="G512" s="35">
        <v>2</v>
      </c>
      <c r="H512" s="36" t="s">
        <v>370</v>
      </c>
      <c r="I512" s="33"/>
    </row>
    <row r="513" spans="2:9" ht="21" customHeight="1">
      <c r="B513" s="37">
        <v>46286</v>
      </c>
      <c r="C513" s="37" t="s">
        <v>126</v>
      </c>
      <c r="D513" s="33" t="s">
        <v>377</v>
      </c>
      <c r="E513" s="33" t="str">
        <f>IFERROR(VLOOKUP(D513,Sheet1!B:F,4,0),"")</f>
        <v>FT-ASY-A/C JUMPER</v>
      </c>
      <c r="F513" s="33" t="s">
        <v>76</v>
      </c>
      <c r="G513" s="35">
        <v>5</v>
      </c>
      <c r="H513" s="36" t="s">
        <v>301</v>
      </c>
      <c r="I513" s="33"/>
    </row>
    <row r="514" spans="2:9" ht="21" customHeight="1">
      <c r="B514" s="37">
        <v>46286</v>
      </c>
      <c r="C514" s="37" t="s">
        <v>126</v>
      </c>
      <c r="D514" s="33" t="s">
        <v>377</v>
      </c>
      <c r="E514" s="33" t="str">
        <f>IFERROR(VLOOKUP(D514,Sheet1!B:F,4,0),"")</f>
        <v>FT-ASY-A/C JUMPER</v>
      </c>
      <c r="F514" s="33" t="s">
        <v>346</v>
      </c>
      <c r="G514" s="35">
        <v>11</v>
      </c>
      <c r="H514" s="36" t="s">
        <v>301</v>
      </c>
      <c r="I514" s="33"/>
    </row>
    <row r="515" spans="2:9" ht="21" customHeight="1">
      <c r="B515" s="37">
        <v>46286</v>
      </c>
      <c r="C515" s="37" t="s">
        <v>126</v>
      </c>
      <c r="D515" s="33" t="s">
        <v>377</v>
      </c>
      <c r="E515" s="33" t="str">
        <f>IFERROR(VLOOKUP(D515,Sheet1!B:F,4,0),"")</f>
        <v>FT-ASY-A/C JUMPER</v>
      </c>
      <c r="F515" s="33" t="s">
        <v>378</v>
      </c>
      <c r="G515" s="35">
        <v>7</v>
      </c>
      <c r="H515" s="36" t="s">
        <v>301</v>
      </c>
      <c r="I515" s="33"/>
    </row>
    <row r="516" spans="2:9" ht="21" customHeight="1">
      <c r="B516" s="37">
        <v>46286</v>
      </c>
      <c r="C516" s="37" t="s">
        <v>126</v>
      </c>
      <c r="D516" s="33" t="s">
        <v>377</v>
      </c>
      <c r="E516" s="33" t="str">
        <f>IFERROR(VLOOKUP(D516,Sheet1!B:F,4,0),"")</f>
        <v>FT-ASY-A/C JUMPER</v>
      </c>
      <c r="F516" s="33" t="s">
        <v>368</v>
      </c>
      <c r="G516" s="35">
        <v>3</v>
      </c>
      <c r="H516" s="36" t="s">
        <v>301</v>
      </c>
      <c r="I516" s="33"/>
    </row>
    <row r="517" spans="2:9" ht="21" customHeight="1">
      <c r="B517" s="37">
        <v>46286</v>
      </c>
      <c r="C517" s="37" t="s">
        <v>126</v>
      </c>
      <c r="D517" s="33" t="s">
        <v>73</v>
      </c>
      <c r="E517" s="33" t="str">
        <f>IFERROR(VLOOKUP(D517,Sheet1!B:F,4,0),"")</f>
        <v>FT-ASY-A/C JUMPER</v>
      </c>
      <c r="F517" s="33" t="s">
        <v>379</v>
      </c>
      <c r="G517" s="35">
        <v>2</v>
      </c>
      <c r="H517" s="36" t="s">
        <v>301</v>
      </c>
      <c r="I517" s="33"/>
    </row>
    <row r="518" spans="2:9" ht="21" customHeight="1">
      <c r="B518" s="37">
        <v>46286</v>
      </c>
      <c r="C518" s="37" t="s">
        <v>126</v>
      </c>
      <c r="D518" s="33" t="s">
        <v>73</v>
      </c>
      <c r="E518" s="33" t="str">
        <f>IFERROR(VLOOKUP(D518,Sheet1!B:F,4,0),"")</f>
        <v>FT-ASY-A/C JUMPER</v>
      </c>
      <c r="F518" s="33" t="s">
        <v>346</v>
      </c>
      <c r="G518" s="35">
        <v>2</v>
      </c>
      <c r="H518" s="36" t="s">
        <v>301</v>
      </c>
      <c r="I518" s="33"/>
    </row>
    <row r="519" spans="2:9" ht="21" customHeight="1">
      <c r="B519" s="37">
        <v>46286</v>
      </c>
      <c r="C519" s="37" t="s">
        <v>126</v>
      </c>
      <c r="D519" s="33" t="s">
        <v>23</v>
      </c>
      <c r="E519" s="33" t="str">
        <f>IFERROR(VLOOKUP(D519,Sheet1!B:F,4,0),"")</f>
        <v>JUMP TUBE AA 핀무</v>
      </c>
      <c r="F519" s="33" t="s">
        <v>335</v>
      </c>
      <c r="G519" s="35">
        <v>1</v>
      </c>
      <c r="H519" s="36" t="s">
        <v>301</v>
      </c>
      <c r="I519" s="33"/>
    </row>
    <row r="520" spans="2:9" ht="21" customHeight="1">
      <c r="B520" s="37">
        <v>46286</v>
      </c>
      <c r="C520" s="37" t="s">
        <v>126</v>
      </c>
      <c r="D520" s="33" t="s">
        <v>23</v>
      </c>
      <c r="E520" s="33" t="str">
        <f>IFERROR(VLOOKUP(D520,Sheet1!B:F,4,0),"")</f>
        <v>JUMP TUBE AA 핀무</v>
      </c>
      <c r="F520" s="33" t="s">
        <v>282</v>
      </c>
      <c r="G520" s="35">
        <v>1</v>
      </c>
      <c r="H520" s="36" t="s">
        <v>301</v>
      </c>
      <c r="I520" s="33"/>
    </row>
    <row r="521" spans="2:9" ht="21" customHeight="1">
      <c r="B521" s="37">
        <v>46286</v>
      </c>
      <c r="C521" s="37" t="s">
        <v>126</v>
      </c>
      <c r="D521" s="33" t="s">
        <v>23</v>
      </c>
      <c r="E521" s="33" t="str">
        <f>IFERROR(VLOOKUP(D521,Sheet1!B:F,4,0),"")</f>
        <v>JUMP TUBE AA 핀무</v>
      </c>
      <c r="F521" s="33" t="s">
        <v>76</v>
      </c>
      <c r="G521" s="35">
        <v>1</v>
      </c>
      <c r="H521" s="36" t="s">
        <v>301</v>
      </c>
      <c r="I521" s="33"/>
    </row>
    <row r="522" spans="2:9" ht="21" customHeight="1">
      <c r="B522" s="37">
        <v>46286</v>
      </c>
      <c r="C522" s="37" t="s">
        <v>126</v>
      </c>
      <c r="D522" s="33" t="s">
        <v>191</v>
      </c>
      <c r="E522" s="33" t="str">
        <f>IFERROR(VLOOKUP(D522,Sheet1!B:F,4,0),"")</f>
        <v>JUMP TUBE AB 핀유</v>
      </c>
      <c r="F522" s="33" t="s">
        <v>335</v>
      </c>
      <c r="G522" s="35">
        <v>1</v>
      </c>
      <c r="H522" s="36" t="s">
        <v>301</v>
      </c>
      <c r="I522" s="33"/>
    </row>
    <row r="523" spans="2:9" ht="21" customHeight="1">
      <c r="B523" s="37">
        <v>46286</v>
      </c>
      <c r="C523" s="37" t="s">
        <v>126</v>
      </c>
      <c r="D523" s="33" t="s">
        <v>38</v>
      </c>
      <c r="E523" s="33" t="str">
        <f>IFERROR(VLOOKUP(D523,Sheet1!B:F,4,0),"")</f>
        <v>FT-ASY-A/C JUMPER</v>
      </c>
      <c r="F523" s="33" t="s">
        <v>346</v>
      </c>
      <c r="G523" s="35">
        <v>2</v>
      </c>
      <c r="H523" s="36" t="s">
        <v>301</v>
      </c>
      <c r="I523" s="33"/>
    </row>
    <row r="524" spans="2:9" ht="21" customHeight="1">
      <c r="B524" s="37">
        <v>46286</v>
      </c>
      <c r="C524" s="37" t="s">
        <v>126</v>
      </c>
      <c r="D524" s="33" t="s">
        <v>38</v>
      </c>
      <c r="E524" s="33" t="str">
        <f>IFERROR(VLOOKUP(D524,Sheet1!B:F,4,0),"")</f>
        <v>FT-ASY-A/C JUMPER</v>
      </c>
      <c r="F524" s="33" t="s">
        <v>382</v>
      </c>
      <c r="G524" s="35">
        <v>1</v>
      </c>
      <c r="H524" s="36" t="s">
        <v>301</v>
      </c>
      <c r="I524" s="33"/>
    </row>
    <row r="525" spans="2:9" ht="21" customHeight="1">
      <c r="B525" s="37">
        <v>46286</v>
      </c>
      <c r="C525" s="37" t="s">
        <v>126</v>
      </c>
      <c r="D525" s="33" t="s">
        <v>41</v>
      </c>
      <c r="E525" s="33" t="str">
        <f>IFERROR(VLOOKUP(D525,Sheet1!B:F,4,0),"")</f>
        <v>FT-ASY-A/C JUMPER</v>
      </c>
      <c r="F525" s="33" t="s">
        <v>355</v>
      </c>
      <c r="G525" s="35">
        <v>3</v>
      </c>
      <c r="H525" s="36" t="s">
        <v>301</v>
      </c>
      <c r="I525" s="33"/>
    </row>
    <row r="526" spans="2:9" ht="21" customHeight="1">
      <c r="B526" s="37">
        <v>46286</v>
      </c>
      <c r="C526" s="37" t="s">
        <v>126</v>
      </c>
      <c r="D526" s="33" t="s">
        <v>377</v>
      </c>
      <c r="E526" s="33" t="str">
        <f>IFERROR(VLOOKUP(D526,Sheet1!B:F,4,0),"")</f>
        <v>FT-ASY-A/C JUMPER</v>
      </c>
      <c r="F526" s="33" t="s">
        <v>346</v>
      </c>
      <c r="G526" s="35">
        <v>1</v>
      </c>
      <c r="H526" s="36" t="s">
        <v>301</v>
      </c>
      <c r="I526" s="33"/>
    </row>
    <row r="527" spans="2:9" ht="21" customHeight="1">
      <c r="B527" s="37">
        <v>46286</v>
      </c>
      <c r="C527" s="37" t="s">
        <v>126</v>
      </c>
      <c r="D527" s="33" t="s">
        <v>191</v>
      </c>
      <c r="E527" s="33" t="str">
        <f>IFERROR(VLOOKUP(D527,Sheet1!B:F,4,0),"")</f>
        <v>JUMP TUBE AB 핀유</v>
      </c>
      <c r="F527" s="33" t="s">
        <v>15</v>
      </c>
      <c r="G527" s="35">
        <v>1</v>
      </c>
      <c r="H527" s="36" t="s">
        <v>301</v>
      </c>
      <c r="I527" s="33"/>
    </row>
    <row r="528" spans="2:9" ht="21" customHeight="1">
      <c r="B528" s="37">
        <v>46286</v>
      </c>
      <c r="C528" s="37" t="s">
        <v>126</v>
      </c>
      <c r="D528" s="33" t="s">
        <v>28</v>
      </c>
      <c r="E528" s="33" t="str">
        <f>IFERROR(VLOOKUP(D528,Sheet1!B:F,4,0),"")</f>
        <v>JUMP TUBE CA 핀무</v>
      </c>
      <c r="F528" s="33" t="s">
        <v>380</v>
      </c>
      <c r="G528" s="35">
        <v>2</v>
      </c>
      <c r="H528" s="36" t="s">
        <v>301</v>
      </c>
      <c r="I528" s="33"/>
    </row>
    <row r="529" spans="2:9" ht="21" customHeight="1">
      <c r="B529" s="37">
        <v>46286</v>
      </c>
      <c r="C529" s="37" t="s">
        <v>126</v>
      </c>
      <c r="D529" s="33" t="s">
        <v>28</v>
      </c>
      <c r="E529" s="33" t="str">
        <f>IFERROR(VLOOKUP(D529,Sheet1!B:F,4,0),"")</f>
        <v>JUMP TUBE CA 핀무</v>
      </c>
      <c r="F529" s="33" t="s">
        <v>381</v>
      </c>
      <c r="G529" s="35">
        <v>3</v>
      </c>
      <c r="H529" s="36" t="s">
        <v>301</v>
      </c>
      <c r="I529" s="33"/>
    </row>
    <row r="530" spans="2:9" ht="21" customHeight="1">
      <c r="B530" s="37">
        <v>46286</v>
      </c>
      <c r="C530" s="37" t="s">
        <v>126</v>
      </c>
      <c r="D530" s="33" t="s">
        <v>28</v>
      </c>
      <c r="E530" s="33" t="str">
        <f>IFERROR(VLOOKUP(D530,Sheet1!B:F,4,0),"")</f>
        <v>JUMP TUBE CA 핀무</v>
      </c>
      <c r="F530" s="33" t="s">
        <v>321</v>
      </c>
      <c r="G530" s="35">
        <v>1</v>
      </c>
      <c r="H530" s="36" t="s">
        <v>301</v>
      </c>
      <c r="I530" s="33"/>
    </row>
    <row r="531" spans="2:9" ht="21" customHeight="1">
      <c r="B531" s="37">
        <v>46286</v>
      </c>
      <c r="C531" s="37" t="s">
        <v>126</v>
      </c>
      <c r="D531" s="33" t="s">
        <v>47</v>
      </c>
      <c r="E531" s="33" t="str">
        <f>IFERROR(VLOOKUP(D531,Sheet1!B:F,4,0),"")</f>
        <v>HTR IN LHD</v>
      </c>
      <c r="F531" s="33" t="s">
        <v>45</v>
      </c>
      <c r="G531" s="35">
        <v>29</v>
      </c>
      <c r="H531" s="36" t="s">
        <v>305</v>
      </c>
      <c r="I531" s="33"/>
    </row>
    <row r="532" spans="2:9" ht="21" customHeight="1">
      <c r="B532" s="37">
        <v>46286</v>
      </c>
      <c r="C532" s="37" t="s">
        <v>126</v>
      </c>
      <c r="D532" s="33" t="s">
        <v>47</v>
      </c>
      <c r="E532" s="33" t="str">
        <f>IFERROR(VLOOKUP(D532,Sheet1!B:F,4,0),"")</f>
        <v>HTR IN LHD</v>
      </c>
      <c r="F532" s="33" t="s">
        <v>52</v>
      </c>
      <c r="G532" s="35">
        <v>1</v>
      </c>
      <c r="H532" s="36" t="s">
        <v>305</v>
      </c>
      <c r="I532" s="33"/>
    </row>
    <row r="533" spans="2:9" ht="21" customHeight="1">
      <c r="B533" s="37">
        <v>46286</v>
      </c>
      <c r="C533" s="37" t="s">
        <v>308</v>
      </c>
      <c r="D533" s="33" t="s">
        <v>144</v>
      </c>
      <c r="E533" s="33" t="str">
        <f>IFERROR(VLOOKUP(D533,Sheet1!B:F,4,0),"")</f>
        <v>EVAP LHD</v>
      </c>
      <c r="F533" s="33" t="s">
        <v>13</v>
      </c>
      <c r="G533" s="35">
        <v>12</v>
      </c>
      <c r="H533" s="36" t="s">
        <v>309</v>
      </c>
      <c r="I533" s="33"/>
    </row>
    <row r="534" spans="2:9" ht="21" customHeight="1">
      <c r="B534" s="37">
        <v>46286</v>
      </c>
      <c r="C534" s="37" t="s">
        <v>308</v>
      </c>
      <c r="D534" s="33" t="s">
        <v>29</v>
      </c>
      <c r="E534" s="33" t="str">
        <f>IFERROR(VLOOKUP(D534,Sheet1!B:F,4,0),"")</f>
        <v>COOLANT SPOUT-WCAC</v>
      </c>
      <c r="F534" s="33" t="s">
        <v>383</v>
      </c>
      <c r="G534" s="35">
        <v>11</v>
      </c>
      <c r="H534" s="36" t="s">
        <v>309</v>
      </c>
      <c r="I534" s="33"/>
    </row>
    <row r="535" spans="2:9" ht="21" customHeight="1">
      <c r="B535" s="37">
        <v>46286</v>
      </c>
      <c r="C535" s="37" t="s">
        <v>308</v>
      </c>
      <c r="D535" s="33" t="s">
        <v>175</v>
      </c>
      <c r="E535" s="33" t="str">
        <f>IFERROR(VLOOKUP(D535,Sheet1!B:F,4,0),"")</f>
        <v>HTR OUT RHD</v>
      </c>
      <c r="F535" s="33" t="s">
        <v>13</v>
      </c>
      <c r="G535" s="35">
        <v>11</v>
      </c>
      <c r="H535" s="36" t="s">
        <v>309</v>
      </c>
      <c r="I535" s="33"/>
    </row>
    <row r="536" spans="2:9" ht="21" customHeight="1">
      <c r="B536" s="37">
        <v>46286</v>
      </c>
      <c r="C536" s="37" t="s">
        <v>308</v>
      </c>
      <c r="D536" s="33" t="s">
        <v>47</v>
      </c>
      <c r="E536" s="33" t="str">
        <f>IFERROR(VLOOKUP(D536,Sheet1!B:F,4,0),"")</f>
        <v>HTR IN LHD</v>
      </c>
      <c r="F536" s="33" t="s">
        <v>15</v>
      </c>
      <c r="G536" s="35">
        <v>60</v>
      </c>
      <c r="H536" s="36" t="s">
        <v>309</v>
      </c>
      <c r="I536" s="33"/>
    </row>
    <row r="537" spans="2:9" ht="21" customHeight="1">
      <c r="B537" s="37">
        <v>46286</v>
      </c>
      <c r="C537" s="37" t="s">
        <v>308</v>
      </c>
      <c r="D537" s="33" t="s">
        <v>91</v>
      </c>
      <c r="E537" s="33" t="str">
        <f>IFERROR(VLOOKUP(D537,Sheet1!B:F,4,0),"")</f>
        <v>EVAP PIPE LHD</v>
      </c>
      <c r="F537" s="33" t="s">
        <v>13</v>
      </c>
      <c r="G537" s="35">
        <v>14</v>
      </c>
      <c r="H537" s="36" t="s">
        <v>309</v>
      </c>
      <c r="I537" s="33"/>
    </row>
    <row r="538" spans="2:9" ht="21" customHeight="1">
      <c r="B538" s="37">
        <v>46287</v>
      </c>
      <c r="C538" s="37" t="s">
        <v>308</v>
      </c>
      <c r="D538" s="33" t="s">
        <v>144</v>
      </c>
      <c r="E538" s="33" t="str">
        <f>IFERROR(VLOOKUP(D538,Sheet1!B:F,4,0),"")</f>
        <v>EVAP LHD</v>
      </c>
      <c r="F538" s="33" t="s">
        <v>13</v>
      </c>
      <c r="G538" s="35">
        <v>8</v>
      </c>
      <c r="H538" s="36" t="s">
        <v>309</v>
      </c>
      <c r="I538" s="33"/>
    </row>
    <row r="539" spans="2:9" ht="21" customHeight="1">
      <c r="B539" s="37">
        <v>46287</v>
      </c>
      <c r="C539" s="37" t="s">
        <v>308</v>
      </c>
      <c r="D539" s="33" t="s">
        <v>175</v>
      </c>
      <c r="E539" s="33" t="str">
        <f>IFERROR(VLOOKUP(D539,Sheet1!B:F,4,0),"")</f>
        <v>HTR OUT RHD</v>
      </c>
      <c r="F539" s="33" t="s">
        <v>311</v>
      </c>
      <c r="G539" s="35">
        <v>5</v>
      </c>
      <c r="H539" s="36" t="s">
        <v>309</v>
      </c>
      <c r="I539" s="33"/>
    </row>
    <row r="540" spans="2:9" ht="21" customHeight="1">
      <c r="B540" s="37">
        <v>46287</v>
      </c>
      <c r="C540" s="37" t="s">
        <v>308</v>
      </c>
      <c r="D540" s="33" t="s">
        <v>43</v>
      </c>
      <c r="E540" s="33" t="str">
        <f>IFERROR(VLOOKUP(D540,Sheet1!B:F,4,0),"")</f>
        <v>HTR OUT LHD</v>
      </c>
      <c r="F540" s="33" t="s">
        <v>311</v>
      </c>
      <c r="G540" s="35">
        <v>4</v>
      </c>
      <c r="H540" s="36" t="s">
        <v>309</v>
      </c>
      <c r="I540" s="33"/>
    </row>
    <row r="541" spans="2:9" ht="21" customHeight="1">
      <c r="B541" s="37">
        <v>46287</v>
      </c>
      <c r="C541" s="37" t="s">
        <v>308</v>
      </c>
      <c r="D541" s="33" t="s">
        <v>178</v>
      </c>
      <c r="E541" s="33" t="str">
        <f>IFERROR(VLOOKUP(D541,Sheet1!B:F,4,0),"")</f>
        <v>HTR IN RHD</v>
      </c>
      <c r="F541" s="33" t="s">
        <v>13</v>
      </c>
      <c r="G541" s="35">
        <v>3</v>
      </c>
      <c r="H541" s="36" t="s">
        <v>309</v>
      </c>
      <c r="I541" s="33"/>
    </row>
    <row r="542" spans="2:9" ht="21" customHeight="1">
      <c r="B542" s="37">
        <v>46288</v>
      </c>
      <c r="C542" s="37" t="s">
        <v>308</v>
      </c>
      <c r="D542" s="33" t="s">
        <v>91</v>
      </c>
      <c r="E542" s="33" t="str">
        <f>IFERROR(VLOOKUP(D542,Sheet1!B:F,4,0),"")</f>
        <v>EVAP PIPE LHD</v>
      </c>
      <c r="F542" s="33" t="s">
        <v>391</v>
      </c>
      <c r="G542" s="35">
        <v>54</v>
      </c>
      <c r="H542" s="36" t="s">
        <v>309</v>
      </c>
      <c r="I542" s="33"/>
    </row>
    <row r="543" spans="2:9" ht="21" customHeight="1">
      <c r="B543" s="37">
        <v>46289</v>
      </c>
      <c r="C543" s="37" t="s">
        <v>280</v>
      </c>
      <c r="D543" s="33" t="s">
        <v>19</v>
      </c>
      <c r="E543" s="33" t="str">
        <f>IFERROR(VLOOKUP(D543,Sheet1!B:F,4,0),"")</f>
        <v>COOLANT SPOUT-WCAC</v>
      </c>
      <c r="F543" s="33" t="s">
        <v>384</v>
      </c>
      <c r="G543" s="35">
        <v>28</v>
      </c>
      <c r="H543" s="36" t="s">
        <v>305</v>
      </c>
      <c r="I543" s="33"/>
    </row>
    <row r="544" spans="2:9" ht="21" customHeight="1">
      <c r="B544" s="37">
        <v>46293</v>
      </c>
      <c r="C544" s="37" t="s">
        <v>280</v>
      </c>
      <c r="D544" s="33" t="s">
        <v>43</v>
      </c>
      <c r="E544" s="33" t="str">
        <f>IFERROR(VLOOKUP(D544,Sheet1!B:F,4,0),"")</f>
        <v>HTR OUT LHD</v>
      </c>
      <c r="F544" s="33" t="s">
        <v>45</v>
      </c>
      <c r="G544" s="35">
        <v>14</v>
      </c>
      <c r="H544" s="36" t="s">
        <v>305</v>
      </c>
      <c r="I544" s="33"/>
    </row>
    <row r="545" spans="2:9" ht="21" customHeight="1">
      <c r="B545" s="37">
        <v>46293</v>
      </c>
      <c r="C545" s="37" t="s">
        <v>280</v>
      </c>
      <c r="D545" s="33" t="s">
        <v>47</v>
      </c>
      <c r="E545" s="33" t="str">
        <f>IFERROR(VLOOKUP(D545,Sheet1!B:F,4,0),"")</f>
        <v>HTR IN LHD</v>
      </c>
      <c r="F545" s="33" t="s">
        <v>385</v>
      </c>
      <c r="G545" s="35">
        <v>23</v>
      </c>
      <c r="H545" s="36" t="s">
        <v>305</v>
      </c>
      <c r="I545" s="33"/>
    </row>
    <row r="546" spans="2:9" ht="21" customHeight="1">
      <c r="B546" s="37">
        <v>46293</v>
      </c>
      <c r="C546" s="37" t="s">
        <v>280</v>
      </c>
      <c r="D546" s="33" t="s">
        <v>73</v>
      </c>
      <c r="E546" s="33" t="str">
        <f>IFERROR(VLOOKUP(D546,Sheet1!B:F,4,0),"")</f>
        <v>FT-ASY-A/C JUMPER</v>
      </c>
      <c r="F546" s="33" t="s">
        <v>355</v>
      </c>
      <c r="G546" s="35">
        <v>4</v>
      </c>
      <c r="H546" s="36" t="s">
        <v>301</v>
      </c>
      <c r="I546" s="33"/>
    </row>
    <row r="547" spans="2:9" ht="21" customHeight="1">
      <c r="B547" s="37">
        <v>46293</v>
      </c>
      <c r="C547" s="37" t="s">
        <v>280</v>
      </c>
      <c r="D547" s="33" t="s">
        <v>41</v>
      </c>
      <c r="E547" s="33" t="str">
        <f>IFERROR(VLOOKUP(D547,Sheet1!B:F,4,0),"")</f>
        <v>FT-ASY-A/C JUMPER</v>
      </c>
      <c r="F547" s="33" t="s">
        <v>378</v>
      </c>
      <c r="G547" s="35">
        <v>5</v>
      </c>
      <c r="H547" s="36" t="s">
        <v>301</v>
      </c>
      <c r="I547" s="33"/>
    </row>
    <row r="548" spans="2:9" ht="21" customHeight="1">
      <c r="B548" s="37">
        <v>46293</v>
      </c>
      <c r="C548" s="37" t="s">
        <v>280</v>
      </c>
      <c r="D548" s="33" t="s">
        <v>237</v>
      </c>
      <c r="E548" s="33" t="str">
        <f>IFERROR(VLOOKUP(D548,Sheet1!B:F,4,0),"")</f>
        <v>FA-ASY-A/C-JUMPER</v>
      </c>
      <c r="F548" s="33" t="s">
        <v>76</v>
      </c>
      <c r="G548" s="35">
        <v>4</v>
      </c>
      <c r="H548" s="36" t="s">
        <v>301</v>
      </c>
      <c r="I548" s="33"/>
    </row>
    <row r="549" spans="2:9" ht="21" customHeight="1">
      <c r="B549" s="37">
        <v>46293</v>
      </c>
      <c r="C549" s="37" t="s">
        <v>280</v>
      </c>
      <c r="D549" s="33" t="s">
        <v>237</v>
      </c>
      <c r="E549" s="33" t="str">
        <f>IFERROR(VLOOKUP(D549,Sheet1!B:F,4,0),"")</f>
        <v>FA-ASY-A/C-JUMPER</v>
      </c>
      <c r="F549" s="33" t="s">
        <v>386</v>
      </c>
      <c r="G549" s="35">
        <v>1</v>
      </c>
      <c r="H549" s="36" t="s">
        <v>301</v>
      </c>
      <c r="I549" s="33"/>
    </row>
    <row r="550" spans="2:9" ht="21" customHeight="1">
      <c r="B550" s="37">
        <v>46293</v>
      </c>
      <c r="C550" s="37" t="s">
        <v>280</v>
      </c>
      <c r="D550" s="33" t="s">
        <v>367</v>
      </c>
      <c r="E550" s="33" t="str">
        <f>IFERROR(VLOOKUP(D550,Sheet1!B:F,4,0),"")</f>
        <v>FT-ASY-A/C JUMPER</v>
      </c>
      <c r="F550" s="33" t="s">
        <v>322</v>
      </c>
      <c r="G550" s="35">
        <v>1</v>
      </c>
      <c r="H550" s="36" t="s">
        <v>301</v>
      </c>
      <c r="I550" s="33"/>
    </row>
    <row r="551" spans="2:9" ht="21" customHeight="1">
      <c r="B551" s="37">
        <v>46293</v>
      </c>
      <c r="C551" s="37" t="s">
        <v>280</v>
      </c>
      <c r="D551" s="33" t="s">
        <v>367</v>
      </c>
      <c r="E551" s="33" t="str">
        <f>IFERROR(VLOOKUP(D551,Sheet1!B:F,4,0),"")</f>
        <v>FT-ASY-A/C JUMPER</v>
      </c>
      <c r="F551" s="33" t="s">
        <v>346</v>
      </c>
      <c r="G551" s="35">
        <v>1</v>
      </c>
      <c r="H551" s="36" t="s">
        <v>301</v>
      </c>
      <c r="I551" s="33"/>
    </row>
    <row r="552" spans="2:9" ht="21" customHeight="1">
      <c r="B552" s="37">
        <v>46293</v>
      </c>
      <c r="C552" s="37" t="s">
        <v>280</v>
      </c>
      <c r="D552" s="33" t="s">
        <v>28</v>
      </c>
      <c r="E552" s="33" t="str">
        <f>IFERROR(VLOOKUP(D552,Sheet1!B:F,4,0),"")</f>
        <v>JUMP TUBE CA 핀무</v>
      </c>
      <c r="F552" s="33" t="s">
        <v>387</v>
      </c>
      <c r="G552" s="35">
        <v>1</v>
      </c>
      <c r="H552" s="36" t="s">
        <v>301</v>
      </c>
      <c r="I552" s="33"/>
    </row>
    <row r="553" spans="2:9" ht="21" customHeight="1">
      <c r="B553" s="37">
        <v>46293</v>
      </c>
      <c r="C553" s="37" t="s">
        <v>280</v>
      </c>
      <c r="D553" s="33" t="s">
        <v>28</v>
      </c>
      <c r="E553" s="33" t="str">
        <f>IFERROR(VLOOKUP(D553,Sheet1!B:F,4,0),"")</f>
        <v>JUMP TUBE CA 핀무</v>
      </c>
      <c r="F553" s="33" t="s">
        <v>15</v>
      </c>
      <c r="G553" s="35">
        <v>2</v>
      </c>
      <c r="H553" s="36" t="s">
        <v>301</v>
      </c>
      <c r="I553" s="33"/>
    </row>
    <row r="554" spans="2:9" ht="21" customHeight="1">
      <c r="B554" s="37">
        <v>46293</v>
      </c>
      <c r="C554" s="37" t="s">
        <v>280</v>
      </c>
      <c r="D554" s="33" t="s">
        <v>42</v>
      </c>
      <c r="E554" s="33" t="str">
        <f>IFERROR(VLOOKUP(D554,Sheet1!B:F,4,0),"")</f>
        <v>FT-ASY-A/C JUMPER</v>
      </c>
      <c r="F554" s="33" t="s">
        <v>282</v>
      </c>
      <c r="G554" s="35">
        <v>15</v>
      </c>
      <c r="H554" s="36" t="s">
        <v>301</v>
      </c>
      <c r="I554" s="33"/>
    </row>
    <row r="555" spans="2:9" ht="21" customHeight="1">
      <c r="B555" s="37">
        <v>46293</v>
      </c>
      <c r="C555" s="37" t="s">
        <v>280</v>
      </c>
      <c r="D555" s="33" t="s">
        <v>91</v>
      </c>
      <c r="E555" s="33" t="str">
        <f>IFERROR(VLOOKUP(D555,Sheet1!B:F,4,0),"")</f>
        <v>EVAP PIPE LHD</v>
      </c>
      <c r="F555" s="33" t="s">
        <v>35</v>
      </c>
      <c r="G555" s="35">
        <v>1</v>
      </c>
      <c r="H555" s="36" t="s">
        <v>369</v>
      </c>
      <c r="I555" s="33"/>
    </row>
    <row r="556" spans="2:9" ht="21" customHeight="1">
      <c r="B556" s="37">
        <v>46293</v>
      </c>
      <c r="C556" s="37" t="s">
        <v>308</v>
      </c>
      <c r="D556" s="33" t="s">
        <v>144</v>
      </c>
      <c r="E556" s="33" t="str">
        <f>IFERROR(VLOOKUP(D556,Sheet1!B:F,4,0),"")</f>
        <v>EVAP LHD</v>
      </c>
      <c r="F556" s="33" t="s">
        <v>13</v>
      </c>
      <c r="G556" s="35">
        <v>11</v>
      </c>
      <c r="H556" s="36" t="s">
        <v>309</v>
      </c>
      <c r="I556" s="33"/>
    </row>
    <row r="557" spans="2:9" ht="21" customHeight="1">
      <c r="B557" s="37">
        <v>46293</v>
      </c>
      <c r="C557" s="37" t="s">
        <v>308</v>
      </c>
      <c r="D557" s="33" t="s">
        <v>29</v>
      </c>
      <c r="E557" s="33" t="str">
        <f>IFERROR(VLOOKUP(D557,Sheet1!B:F,4,0),"")</f>
        <v>COOLANT SPOUT-WCAC</v>
      </c>
      <c r="F557" s="33" t="s">
        <v>15</v>
      </c>
      <c r="G557" s="35">
        <v>1</v>
      </c>
      <c r="H557" s="36" t="s">
        <v>309</v>
      </c>
      <c r="I557" s="33"/>
    </row>
    <row r="558" spans="2:9" ht="21" customHeight="1">
      <c r="B558" s="37">
        <v>46293</v>
      </c>
      <c r="C558" s="37" t="s">
        <v>308</v>
      </c>
      <c r="D558" s="33" t="s">
        <v>175</v>
      </c>
      <c r="E558" s="33" t="str">
        <f>IFERROR(VLOOKUP(D558,Sheet1!B:F,4,0),"")</f>
        <v>HTR OUT RHD</v>
      </c>
      <c r="F558" s="33" t="s">
        <v>392</v>
      </c>
      <c r="G558" s="35">
        <v>62</v>
      </c>
      <c r="H558" s="36" t="s">
        <v>309</v>
      </c>
      <c r="I558" s="33"/>
    </row>
    <row r="559" spans="2:9" ht="21" customHeight="1">
      <c r="B559" s="37">
        <v>46293</v>
      </c>
      <c r="C559" s="37" t="s">
        <v>308</v>
      </c>
      <c r="D559" s="33" t="s">
        <v>91</v>
      </c>
      <c r="E559" s="33" t="str">
        <f>IFERROR(VLOOKUP(D559,Sheet1!B:F,4,0),"")</f>
        <v>EVAP PIPE LHD</v>
      </c>
      <c r="F559" s="33" t="s">
        <v>13</v>
      </c>
      <c r="G559" s="35">
        <v>3</v>
      </c>
      <c r="H559" s="36" t="s">
        <v>309</v>
      </c>
      <c r="I559" s="33"/>
    </row>
    <row r="560" spans="2:9" ht="21" customHeight="1">
      <c r="B560" s="37">
        <v>46293</v>
      </c>
      <c r="C560" s="37" t="s">
        <v>308</v>
      </c>
      <c r="D560" s="33" t="s">
        <v>178</v>
      </c>
      <c r="E560" s="33" t="str">
        <f>IFERROR(VLOOKUP(D560,Sheet1!B:F,4,0),"")</f>
        <v>HTR IN RHD</v>
      </c>
      <c r="F560" s="33" t="s">
        <v>13</v>
      </c>
      <c r="G560" s="35">
        <v>4</v>
      </c>
      <c r="H560" s="36" t="s">
        <v>309</v>
      </c>
      <c r="I560" s="33"/>
    </row>
    <row r="561" spans="2:9" ht="21" customHeight="1">
      <c r="B561" s="37">
        <v>46293</v>
      </c>
      <c r="C561" s="37" t="s">
        <v>308</v>
      </c>
      <c r="D561" s="33" t="s">
        <v>144</v>
      </c>
      <c r="E561" s="33" t="str">
        <f>IFERROR(VLOOKUP(D561,Sheet1!B:F,4,0),"")</f>
        <v>EVAP LHD</v>
      </c>
      <c r="F561" s="33" t="s">
        <v>15</v>
      </c>
      <c r="G561" s="35">
        <v>3</v>
      </c>
      <c r="H561" s="36" t="s">
        <v>309</v>
      </c>
      <c r="I561" s="33"/>
    </row>
    <row r="562" spans="2:9" ht="21" customHeight="1">
      <c r="B562" s="37">
        <v>46294</v>
      </c>
      <c r="C562" s="37" t="s">
        <v>280</v>
      </c>
      <c r="D562" s="33" t="s">
        <v>23</v>
      </c>
      <c r="E562" s="33" t="str">
        <f>IFERROR(VLOOKUP(D562,Sheet1!B:F,4,0),"")</f>
        <v>JUMP TUBE AA 핀무</v>
      </c>
      <c r="F562" s="33" t="s">
        <v>388</v>
      </c>
      <c r="G562" s="35">
        <v>3</v>
      </c>
      <c r="H562" s="36" t="s">
        <v>301</v>
      </c>
      <c r="I562" s="33"/>
    </row>
    <row r="563" spans="2:9" ht="21" customHeight="1">
      <c r="B563" s="37">
        <v>46294</v>
      </c>
      <c r="C563" s="37" t="s">
        <v>280</v>
      </c>
      <c r="D563" s="33" t="s">
        <v>28</v>
      </c>
      <c r="E563" s="33" t="str">
        <f>IFERROR(VLOOKUP(D563,Sheet1!B:F,4,0),"")</f>
        <v>JUMP TUBE CA 핀무</v>
      </c>
      <c r="F563" s="33" t="s">
        <v>15</v>
      </c>
      <c r="G563" s="35">
        <v>5</v>
      </c>
      <c r="H563" s="36" t="s">
        <v>301</v>
      </c>
      <c r="I563" s="33"/>
    </row>
    <row r="564" spans="2:9" ht="21" customHeight="1">
      <c r="B564" s="37">
        <v>46294</v>
      </c>
      <c r="C564" s="37" t="s">
        <v>280</v>
      </c>
      <c r="D564" s="33" t="s">
        <v>41</v>
      </c>
      <c r="E564" s="33" t="str">
        <f>IFERROR(VLOOKUP(D564,Sheet1!B:F,4,0),"")</f>
        <v>FT-ASY-A/C JUMPER</v>
      </c>
      <c r="F564" s="33" t="s">
        <v>15</v>
      </c>
      <c r="G564" s="35">
        <v>5</v>
      </c>
      <c r="H564" s="36" t="s">
        <v>301</v>
      </c>
      <c r="I564" s="33"/>
    </row>
    <row r="565" spans="2:9" ht="21" customHeight="1">
      <c r="B565" s="37">
        <v>46294</v>
      </c>
      <c r="C565" s="37" t="s">
        <v>280</v>
      </c>
      <c r="D565" s="33" t="s">
        <v>42</v>
      </c>
      <c r="E565" s="33" t="str">
        <f>IFERROR(VLOOKUP(D565,Sheet1!B:F,4,0),"")</f>
        <v>FT-ASY-A/C JUMPER</v>
      </c>
      <c r="F565" s="33" t="s">
        <v>282</v>
      </c>
      <c r="G565" s="35">
        <v>10</v>
      </c>
      <c r="H565" s="36" t="s">
        <v>301</v>
      </c>
      <c r="I565" s="33"/>
    </row>
    <row r="566" spans="2:9" ht="21" customHeight="1">
      <c r="B566" s="37">
        <v>46294</v>
      </c>
      <c r="C566" s="37" t="s">
        <v>280</v>
      </c>
      <c r="D566" s="33" t="s">
        <v>99</v>
      </c>
      <c r="E566" s="33" t="str">
        <f>IFERROR(VLOOKUP(D566,Sheet1!B:F,4,0),"")</f>
        <v>EVAP RHD</v>
      </c>
      <c r="F566" s="33" t="s">
        <v>35</v>
      </c>
      <c r="G566" s="35">
        <v>1</v>
      </c>
      <c r="H566" s="36" t="s">
        <v>369</v>
      </c>
      <c r="I566" s="33"/>
    </row>
    <row r="567" spans="2:9" ht="21" customHeight="1">
      <c r="B567" s="37">
        <v>46294</v>
      </c>
      <c r="C567" s="37" t="s">
        <v>280</v>
      </c>
      <c r="D567" s="33" t="s">
        <v>43</v>
      </c>
      <c r="E567" s="33" t="str">
        <f>IFERROR(VLOOKUP(D567,Sheet1!B:F,4,0),"")</f>
        <v>HTR OUT LHD</v>
      </c>
      <c r="F567" s="33" t="s">
        <v>45</v>
      </c>
      <c r="G567" s="35">
        <v>41</v>
      </c>
      <c r="H567" s="36" t="s">
        <v>305</v>
      </c>
      <c r="I567" s="33"/>
    </row>
    <row r="568" spans="2:9" ht="21" customHeight="1">
      <c r="B568" s="37">
        <v>46294</v>
      </c>
      <c r="C568" s="37" t="s">
        <v>280</v>
      </c>
      <c r="D568" s="33" t="s">
        <v>29</v>
      </c>
      <c r="E568" s="33" t="str">
        <f>IFERROR(VLOOKUP(D568,Sheet1!B:F,4,0),"")</f>
        <v>COOLANT SPOUT-WCAC</v>
      </c>
      <c r="F568" s="33" t="s">
        <v>389</v>
      </c>
      <c r="G568" s="35">
        <v>127</v>
      </c>
      <c r="H568" s="36" t="s">
        <v>305</v>
      </c>
      <c r="I568" s="33"/>
    </row>
    <row r="569" spans="2:9" ht="21" customHeight="1">
      <c r="B569" s="37">
        <v>46294</v>
      </c>
      <c r="C569" s="37" t="s">
        <v>308</v>
      </c>
      <c r="D569" s="33" t="s">
        <v>47</v>
      </c>
      <c r="E569" s="33" t="str">
        <f>IFERROR(VLOOKUP(D569,Sheet1!B:F,4,0),"")</f>
        <v>HTR IN LHD</v>
      </c>
      <c r="F569" s="33" t="s">
        <v>13</v>
      </c>
      <c r="G569" s="35">
        <v>5</v>
      </c>
      <c r="H569" s="36" t="s">
        <v>309</v>
      </c>
      <c r="I569" s="33"/>
    </row>
    <row r="570" spans="2:9" ht="21" customHeight="1">
      <c r="B570" s="37">
        <v>46294</v>
      </c>
      <c r="C570" s="37" t="s">
        <v>308</v>
      </c>
      <c r="D570" s="33" t="s">
        <v>91</v>
      </c>
      <c r="E570" s="33" t="str">
        <f>IFERROR(VLOOKUP(D570,Sheet1!B:F,4,0),"")</f>
        <v>EVAP PIPE LHD</v>
      </c>
      <c r="F570" s="33" t="s">
        <v>72</v>
      </c>
      <c r="G570" s="35">
        <v>1</v>
      </c>
      <c r="H570" s="36" t="s">
        <v>309</v>
      </c>
      <c r="I570" s="33"/>
    </row>
    <row r="571" spans="2:9" ht="21" customHeight="1">
      <c r="B571" s="37">
        <v>46294</v>
      </c>
      <c r="C571" s="37" t="s">
        <v>308</v>
      </c>
      <c r="D571" s="33" t="s">
        <v>178</v>
      </c>
      <c r="E571" s="33" t="str">
        <f>IFERROR(VLOOKUP(D571,Sheet1!B:F,4,0),"")</f>
        <v>HTR IN RHD</v>
      </c>
      <c r="F571" s="33" t="s">
        <v>13</v>
      </c>
      <c r="G571" s="35">
        <v>15</v>
      </c>
      <c r="H571" s="36" t="s">
        <v>309</v>
      </c>
      <c r="I571" s="33"/>
    </row>
    <row r="572" spans="2:9" ht="21" customHeight="1">
      <c r="B572" s="37">
        <v>46294</v>
      </c>
      <c r="C572" s="37" t="s">
        <v>308</v>
      </c>
      <c r="D572" s="33" t="s">
        <v>175</v>
      </c>
      <c r="E572" s="33" t="str">
        <f>IFERROR(VLOOKUP(D572,Sheet1!B:F,4,0),"")</f>
        <v>HTR OUT RHD</v>
      </c>
      <c r="F572" s="33" t="s">
        <v>13</v>
      </c>
      <c r="G572" s="35">
        <v>28</v>
      </c>
      <c r="H572" s="36" t="s">
        <v>309</v>
      </c>
      <c r="I572" s="33"/>
    </row>
    <row r="573" spans="2:9" ht="21" customHeight="1">
      <c r="B573" s="37">
        <v>46294</v>
      </c>
      <c r="C573" s="37" t="s">
        <v>308</v>
      </c>
      <c r="D573" s="33" t="s">
        <v>91</v>
      </c>
      <c r="E573" s="33" t="str">
        <f>IFERROR(VLOOKUP(D573,Sheet1!B:F,4,0),"")</f>
        <v>EVAP PIPE LHD</v>
      </c>
      <c r="F573" s="33" t="s">
        <v>346</v>
      </c>
      <c r="G573" s="35">
        <v>5</v>
      </c>
      <c r="H573" s="36" t="s">
        <v>309</v>
      </c>
      <c r="I573" s="33"/>
    </row>
    <row r="574" spans="2:9" ht="21" customHeight="1">
      <c r="B574" s="37">
        <v>46294</v>
      </c>
      <c r="C574" s="37" t="s">
        <v>308</v>
      </c>
      <c r="D574" s="33" t="s">
        <v>144</v>
      </c>
      <c r="E574" s="33" t="str">
        <f>IFERROR(VLOOKUP(D574,Sheet1!B:F,4,0),"")</f>
        <v>EVAP LHD</v>
      </c>
      <c r="F574" s="33" t="s">
        <v>15</v>
      </c>
      <c r="G574" s="35">
        <v>1</v>
      </c>
      <c r="H574" s="36" t="s">
        <v>309</v>
      </c>
      <c r="I574" s="33"/>
    </row>
    <row r="575" spans="2:9" ht="21" customHeight="1">
      <c r="B575" s="37">
        <v>46295</v>
      </c>
      <c r="C575" s="37" t="s">
        <v>308</v>
      </c>
      <c r="D575" s="33" t="s">
        <v>43</v>
      </c>
      <c r="E575" s="33" t="str">
        <f>IFERROR(VLOOKUP(D575,Sheet1!B:F,4,0),"")</f>
        <v>HTR OUT LHD</v>
      </c>
      <c r="F575" s="33" t="s">
        <v>15</v>
      </c>
      <c r="G575" s="35">
        <v>1</v>
      </c>
      <c r="H575" s="36" t="s">
        <v>309</v>
      </c>
      <c r="I575" s="33"/>
    </row>
    <row r="576" spans="2:9" ht="21" customHeight="1">
      <c r="B576" s="37">
        <v>46295</v>
      </c>
      <c r="C576" s="37" t="s">
        <v>308</v>
      </c>
      <c r="D576" s="33" t="s">
        <v>175</v>
      </c>
      <c r="E576" s="33" t="str">
        <f>IFERROR(VLOOKUP(D576,Sheet1!B:F,4,0),"")</f>
        <v>HTR OUT RHD</v>
      </c>
      <c r="F576" s="33" t="s">
        <v>13</v>
      </c>
      <c r="G576" s="35">
        <v>39</v>
      </c>
      <c r="H576" s="36" t="s">
        <v>309</v>
      </c>
      <c r="I576" s="33"/>
    </row>
    <row r="577" spans="2:9" ht="21" customHeight="1">
      <c r="B577" s="37">
        <v>46295</v>
      </c>
      <c r="C577" s="37" t="s">
        <v>308</v>
      </c>
      <c r="D577" s="33" t="s">
        <v>43</v>
      </c>
      <c r="E577" s="33" t="str">
        <f>IFERROR(VLOOKUP(D577,Sheet1!B:F,4,0),"")</f>
        <v>HTR OUT LHD</v>
      </c>
      <c r="F577" s="33" t="s">
        <v>13</v>
      </c>
      <c r="G577" s="35">
        <v>3</v>
      </c>
      <c r="H577" s="36" t="s">
        <v>309</v>
      </c>
      <c r="I577" s="33"/>
    </row>
    <row r="578" spans="2:9" ht="21" customHeight="1">
      <c r="B578" s="37">
        <v>46295</v>
      </c>
      <c r="C578" s="37" t="s">
        <v>308</v>
      </c>
      <c r="D578" s="33" t="s">
        <v>38</v>
      </c>
      <c r="E578" s="33" t="str">
        <f>IFERROR(VLOOKUP(D578,Sheet1!B:F,4,0),"")</f>
        <v>FT-ASY-A/C JUMPER</v>
      </c>
      <c r="F578" s="33" t="s">
        <v>13</v>
      </c>
      <c r="G578" s="35">
        <v>27</v>
      </c>
      <c r="H578" s="36" t="s">
        <v>309</v>
      </c>
      <c r="I578" s="33"/>
    </row>
    <row r="579" spans="2:9" ht="21" customHeight="1">
      <c r="B579" s="37">
        <v>46296</v>
      </c>
      <c r="C579" s="37" t="s">
        <v>280</v>
      </c>
      <c r="D579" s="33" t="s">
        <v>29</v>
      </c>
      <c r="E579" s="33" t="str">
        <f>IFERROR(VLOOKUP(D579,Sheet1!B:F,4,0),"")</f>
        <v>COOLANT SPOUT-WCAC</v>
      </c>
      <c r="F579" s="33" t="s">
        <v>15</v>
      </c>
      <c r="G579" s="35">
        <v>3</v>
      </c>
      <c r="H579" s="36" t="s">
        <v>305</v>
      </c>
      <c r="I579" s="33"/>
    </row>
    <row r="580" spans="2:9" ht="21" customHeight="1">
      <c r="B580" s="37">
        <v>46296</v>
      </c>
      <c r="C580" s="37" t="s">
        <v>280</v>
      </c>
      <c r="D580" s="33" t="s">
        <v>49</v>
      </c>
      <c r="E580" s="33" t="str">
        <f>IFERROR(VLOOKUP(D580,Sheet1!B:F,4,0),"")</f>
        <v>COOLANT SPOUT-WCAC</v>
      </c>
      <c r="F580" s="33" t="s">
        <v>390</v>
      </c>
      <c r="G580" s="35">
        <v>2</v>
      </c>
      <c r="H580" s="36" t="s">
        <v>305</v>
      </c>
      <c r="I580" s="33"/>
    </row>
    <row r="581" spans="2:9" ht="21" customHeight="1">
      <c r="B581" s="37">
        <v>46296</v>
      </c>
      <c r="C581" s="37" t="s">
        <v>280</v>
      </c>
      <c r="D581" s="33" t="s">
        <v>19</v>
      </c>
      <c r="E581" s="33" t="str">
        <f>IFERROR(VLOOKUP(D581,Sheet1!B:F,4,0),"")</f>
        <v>COOLANT SPOUT-WCAC</v>
      </c>
      <c r="F581" s="33" t="s">
        <v>304</v>
      </c>
      <c r="G581" s="35">
        <v>2</v>
      </c>
      <c r="H581" s="36" t="s">
        <v>305</v>
      </c>
      <c r="I581" s="33"/>
    </row>
    <row r="582" spans="2:9" ht="21" customHeight="1">
      <c r="B582" s="37">
        <v>46297</v>
      </c>
      <c r="C582" s="37" t="s">
        <v>280</v>
      </c>
      <c r="D582" s="33" t="s">
        <v>144</v>
      </c>
      <c r="E582" s="33" t="str">
        <f>IFERROR(VLOOKUP(D582,Sheet1!B:F,4,0),"")</f>
        <v>EVAP LHD</v>
      </c>
      <c r="F582" s="33" t="s">
        <v>393</v>
      </c>
      <c r="G582" s="35">
        <v>2</v>
      </c>
      <c r="H582" s="36" t="s">
        <v>369</v>
      </c>
      <c r="I582" s="33"/>
    </row>
    <row r="583" spans="2:9" ht="21" customHeight="1">
      <c r="B583" s="37">
        <v>46297</v>
      </c>
      <c r="C583" s="37" t="s">
        <v>280</v>
      </c>
      <c r="D583" s="33" t="s">
        <v>53</v>
      </c>
      <c r="E583" s="33" t="str">
        <f>IFERROR(VLOOKUP(D583,Sheet1!B:F,4,0),"")</f>
        <v/>
      </c>
      <c r="F583" s="33" t="s">
        <v>18</v>
      </c>
      <c r="G583" s="35">
        <v>3</v>
      </c>
      <c r="H583" s="36" t="s">
        <v>305</v>
      </c>
      <c r="I583" s="33"/>
    </row>
    <row r="584" spans="2:9" ht="21" customHeight="1">
      <c r="B584" s="37">
        <v>46297</v>
      </c>
      <c r="C584" s="37" t="s">
        <v>308</v>
      </c>
      <c r="D584" s="33" t="s">
        <v>43</v>
      </c>
      <c r="E584" s="33" t="str">
        <f>IFERROR(VLOOKUP(D584,Sheet1!B:F,4,0),"")</f>
        <v>HTR OUT LHD</v>
      </c>
      <c r="F584" s="33" t="s">
        <v>400</v>
      </c>
      <c r="G584" s="35">
        <v>12</v>
      </c>
      <c r="H584" s="36" t="s">
        <v>309</v>
      </c>
      <c r="I584" s="33"/>
    </row>
    <row r="585" spans="2:9" ht="21" customHeight="1">
      <c r="B585" s="37">
        <v>46297</v>
      </c>
      <c r="C585" s="37" t="s">
        <v>308</v>
      </c>
      <c r="D585" s="33" t="s">
        <v>47</v>
      </c>
      <c r="E585" s="33" t="str">
        <f>IFERROR(VLOOKUP(D585,Sheet1!B:F,4,0),"")</f>
        <v>HTR IN LHD</v>
      </c>
      <c r="F585" s="33" t="s">
        <v>401</v>
      </c>
      <c r="G585" s="35">
        <v>5</v>
      </c>
      <c r="H585" s="36" t="s">
        <v>309</v>
      </c>
      <c r="I585" s="33"/>
    </row>
    <row r="586" spans="2:9" ht="21" customHeight="1">
      <c r="B586" s="37">
        <v>46297</v>
      </c>
      <c r="C586" s="37" t="s">
        <v>308</v>
      </c>
      <c r="D586" s="33" t="s">
        <v>399</v>
      </c>
      <c r="E586" s="33" t="str">
        <f>IFERROR(VLOOKUP(D586,Sheet1!B:F,4,0),"")</f>
        <v/>
      </c>
      <c r="F586" s="33" t="s">
        <v>401</v>
      </c>
      <c r="G586" s="35">
        <v>1</v>
      </c>
      <c r="H586" s="36" t="s">
        <v>309</v>
      </c>
      <c r="I586" s="33"/>
    </row>
    <row r="587" spans="2:9" ht="21" customHeight="1">
      <c r="B587" s="37">
        <v>46297</v>
      </c>
      <c r="C587" s="37" t="s">
        <v>308</v>
      </c>
      <c r="D587" s="33" t="s">
        <v>43</v>
      </c>
      <c r="E587" s="33" t="str">
        <f>IFERROR(VLOOKUP(D587,Sheet1!B:F,4,0),"")</f>
        <v>HTR OUT LHD</v>
      </c>
      <c r="F587" s="33" t="s">
        <v>402</v>
      </c>
      <c r="G587" s="35">
        <v>23</v>
      </c>
      <c r="H587" s="36" t="s">
        <v>309</v>
      </c>
      <c r="I587" s="33"/>
    </row>
    <row r="588" spans="2:9" ht="21" customHeight="1">
      <c r="B588" s="37">
        <v>46297</v>
      </c>
      <c r="C588" s="37" t="s">
        <v>308</v>
      </c>
      <c r="D588" s="33" t="s">
        <v>91</v>
      </c>
      <c r="E588" s="33" t="str">
        <f>IFERROR(VLOOKUP(D588,Sheet1!B:F,4,0),"")</f>
        <v>EVAP PIPE LHD</v>
      </c>
      <c r="F588" s="33" t="s">
        <v>313</v>
      </c>
      <c r="G588" s="35">
        <v>1</v>
      </c>
      <c r="H588" s="36" t="s">
        <v>309</v>
      </c>
      <c r="I588" s="33"/>
    </row>
    <row r="589" spans="2:9" ht="21" customHeight="1">
      <c r="B589" s="37">
        <v>46297</v>
      </c>
      <c r="C589" s="37" t="s">
        <v>308</v>
      </c>
      <c r="D589" s="33" t="s">
        <v>175</v>
      </c>
      <c r="E589" s="33" t="str">
        <f>IFERROR(VLOOKUP(D589,Sheet1!B:F,4,0),"")</f>
        <v>HTR OUT RHD</v>
      </c>
      <c r="F589" s="33" t="s">
        <v>13</v>
      </c>
      <c r="G589" s="35">
        <v>3</v>
      </c>
      <c r="H589" s="36" t="s">
        <v>309</v>
      </c>
      <c r="I589" s="33"/>
    </row>
    <row r="590" spans="2:9" ht="21" customHeight="1">
      <c r="B590" s="37">
        <v>46297</v>
      </c>
      <c r="C590" s="37" t="s">
        <v>308</v>
      </c>
      <c r="D590" s="33" t="s">
        <v>144</v>
      </c>
      <c r="E590" s="33" t="str">
        <f>IFERROR(VLOOKUP(D590,Sheet1!B:F,4,0),"")</f>
        <v>EVAP LHD</v>
      </c>
      <c r="F590" s="33" t="s">
        <v>45</v>
      </c>
      <c r="G590" s="35">
        <v>1</v>
      </c>
      <c r="H590" s="36" t="s">
        <v>309</v>
      </c>
      <c r="I590" s="33"/>
    </row>
    <row r="591" spans="2:9" ht="21" customHeight="1">
      <c r="B591" s="37">
        <v>46297</v>
      </c>
      <c r="C591" s="37" t="s">
        <v>308</v>
      </c>
      <c r="D591" s="33" t="s">
        <v>144</v>
      </c>
      <c r="E591" s="33" t="str">
        <f>IFERROR(VLOOKUP(D591,Sheet1!B:F,4,0),"")</f>
        <v>EVAP LHD</v>
      </c>
      <c r="F591" s="33" t="s">
        <v>403</v>
      </c>
      <c r="G591" s="35">
        <v>2</v>
      </c>
      <c r="H591" s="36" t="s">
        <v>309</v>
      </c>
      <c r="I591" s="33"/>
    </row>
    <row r="592" spans="2:9" ht="21" customHeight="1">
      <c r="B592" s="37">
        <v>46297</v>
      </c>
      <c r="C592" s="37" t="s">
        <v>308</v>
      </c>
      <c r="D592" s="33" t="s">
        <v>47</v>
      </c>
      <c r="E592" s="33" t="str">
        <f>IFERROR(VLOOKUP(D592,Sheet1!B:F,4,0),"")</f>
        <v>HTR IN LHD</v>
      </c>
      <c r="F592" s="33" t="s">
        <v>45</v>
      </c>
      <c r="G592" s="35">
        <v>1</v>
      </c>
      <c r="H592" s="36" t="s">
        <v>309</v>
      </c>
      <c r="I592" s="33"/>
    </row>
    <row r="593" spans="2:9" ht="21" customHeight="1">
      <c r="B593" s="37">
        <v>46297</v>
      </c>
      <c r="C593" s="37" t="s">
        <v>308</v>
      </c>
      <c r="D593" s="33" t="s">
        <v>43</v>
      </c>
      <c r="E593" s="33" t="str">
        <f>IFERROR(VLOOKUP(D593,Sheet1!B:F,4,0),"")</f>
        <v>HTR OUT LHD</v>
      </c>
      <c r="F593" s="33" t="s">
        <v>13</v>
      </c>
      <c r="G593" s="35">
        <v>9</v>
      </c>
      <c r="H593" s="36" t="s">
        <v>309</v>
      </c>
      <c r="I593" s="33"/>
    </row>
    <row r="594" spans="2:9" ht="21" customHeight="1">
      <c r="B594" s="37">
        <v>46298</v>
      </c>
      <c r="C594" s="37" t="s">
        <v>280</v>
      </c>
      <c r="D594" s="33" t="s">
        <v>191</v>
      </c>
      <c r="E594" s="33" t="str">
        <f>IFERROR(VLOOKUP(D594,Sheet1!B:F,4,0),"")</f>
        <v>JUMP TUBE AB 핀유</v>
      </c>
      <c r="F594" s="33" t="s">
        <v>394</v>
      </c>
      <c r="G594" s="35">
        <v>2</v>
      </c>
      <c r="H594" s="36" t="s">
        <v>397</v>
      </c>
      <c r="I594" s="33"/>
    </row>
    <row r="595" spans="2:9" ht="21" customHeight="1">
      <c r="B595" s="37">
        <v>46298</v>
      </c>
      <c r="C595" s="37" t="s">
        <v>280</v>
      </c>
      <c r="D595" s="33" t="s">
        <v>191</v>
      </c>
      <c r="E595" s="33" t="str">
        <f>IFERROR(VLOOKUP(D595,Sheet1!B:F,4,0),"")</f>
        <v>JUMP TUBE AB 핀유</v>
      </c>
      <c r="F595" s="33" t="s">
        <v>346</v>
      </c>
      <c r="G595" s="35">
        <v>5</v>
      </c>
      <c r="H595" s="36" t="s">
        <v>397</v>
      </c>
      <c r="I595" s="33"/>
    </row>
    <row r="596" spans="2:9" ht="21" customHeight="1">
      <c r="B596" s="37">
        <v>46298</v>
      </c>
      <c r="C596" s="37" t="s">
        <v>280</v>
      </c>
      <c r="D596" s="33" t="s">
        <v>191</v>
      </c>
      <c r="E596" s="33" t="str">
        <f>IFERROR(VLOOKUP(D596,Sheet1!B:F,4,0),"")</f>
        <v>JUMP TUBE AB 핀유</v>
      </c>
      <c r="F596" s="33" t="s">
        <v>395</v>
      </c>
      <c r="G596" s="35">
        <v>3</v>
      </c>
      <c r="H596" s="36" t="s">
        <v>397</v>
      </c>
      <c r="I596" s="33"/>
    </row>
    <row r="597" spans="2:9" ht="21" customHeight="1">
      <c r="B597" s="37">
        <v>46298</v>
      </c>
      <c r="C597" s="37" t="s">
        <v>280</v>
      </c>
      <c r="D597" s="33" t="s">
        <v>28</v>
      </c>
      <c r="E597" s="33" t="str">
        <f>IFERROR(VLOOKUP(D597,Sheet1!B:F,4,0),"")</f>
        <v>JUMP TUBE CA 핀무</v>
      </c>
      <c r="F597" s="33" t="s">
        <v>15</v>
      </c>
      <c r="G597" s="35">
        <v>2</v>
      </c>
      <c r="H597" s="36" t="s">
        <v>397</v>
      </c>
      <c r="I597" s="33"/>
    </row>
    <row r="598" spans="2:9" ht="21" customHeight="1">
      <c r="B598" s="37">
        <v>46298</v>
      </c>
      <c r="C598" s="37" t="s">
        <v>280</v>
      </c>
      <c r="D598" s="33" t="s">
        <v>28</v>
      </c>
      <c r="E598" s="33" t="str">
        <f>IFERROR(VLOOKUP(D598,Sheet1!B:F,4,0),"")</f>
        <v>JUMP TUBE CA 핀무</v>
      </c>
      <c r="F598" s="33" t="s">
        <v>396</v>
      </c>
      <c r="G598" s="35">
        <v>2</v>
      </c>
      <c r="H598" s="36" t="s">
        <v>397</v>
      </c>
      <c r="I598" s="33"/>
    </row>
    <row r="599" spans="2:9" ht="21" customHeight="1">
      <c r="B599" s="37">
        <v>46298</v>
      </c>
      <c r="C599" s="37" t="s">
        <v>280</v>
      </c>
      <c r="D599" s="33" t="s">
        <v>38</v>
      </c>
      <c r="E599" s="33" t="str">
        <f>IFERROR(VLOOKUP(D599,Sheet1!B:F,4,0),"")</f>
        <v>FT-ASY-A/C JUMPER</v>
      </c>
      <c r="F599" s="33" t="s">
        <v>35</v>
      </c>
      <c r="G599" s="35">
        <v>1</v>
      </c>
      <c r="H599" s="36" t="s">
        <v>397</v>
      </c>
      <c r="I599" s="33"/>
    </row>
    <row r="600" spans="2:9" ht="21" customHeight="1">
      <c r="B600" s="37">
        <v>46298</v>
      </c>
      <c r="C600" s="37" t="s">
        <v>280</v>
      </c>
      <c r="D600" s="33" t="s">
        <v>144</v>
      </c>
      <c r="E600" s="33" t="str">
        <f>IFERROR(VLOOKUP(D600,Sheet1!B:F,4,0),"")</f>
        <v>EVAP LHD</v>
      </c>
      <c r="F600" s="33" t="s">
        <v>398</v>
      </c>
      <c r="G600" s="35">
        <v>10</v>
      </c>
      <c r="H600" s="36" t="s">
        <v>369</v>
      </c>
      <c r="I600" s="33"/>
    </row>
    <row r="601" spans="2:9" ht="21" customHeight="1">
      <c r="B601" s="37">
        <v>46298</v>
      </c>
      <c r="C601" s="37" t="s">
        <v>280</v>
      </c>
      <c r="D601" s="33" t="s">
        <v>144</v>
      </c>
      <c r="E601" s="33" t="str">
        <f>IFERROR(VLOOKUP(D601,Sheet1!B:F,4,0),"")</f>
        <v>EVAP LHD</v>
      </c>
      <c r="F601" s="33" t="s">
        <v>79</v>
      </c>
      <c r="G601" s="35">
        <v>8</v>
      </c>
      <c r="H601" s="36" t="s">
        <v>369</v>
      </c>
      <c r="I601" s="33"/>
    </row>
  </sheetData>
  <phoneticPr fontId="1" type="noConversion"/>
  <conditionalFormatting sqref="B4:I1048576">
    <cfRule type="expression" dxfId="3" priority="1">
      <formula>$B4&lt;&gt;""</formula>
    </cfRule>
  </conditionalFormatting>
  <printOptions horizontalCentered="1" verticalCentered="1"/>
  <pageMargins left="0.23622047244094491" right="0.15748031496062992" top="0.31496062992125984" bottom="0.34" header="0.15748031496062992" footer="0.15748031496062992"/>
  <pageSetup paperSize="9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FB64-C8C9-43D0-B23E-91730C390604}">
  <dimension ref="B1:F12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6" sqref="B46"/>
    </sheetView>
  </sheetViews>
  <sheetFormatPr defaultRowHeight="21" customHeight="1"/>
  <cols>
    <col min="1" max="1" width="9" style="3"/>
    <col min="2" max="2" width="22.375" style="3" bestFit="1" customWidth="1"/>
    <col min="3" max="3" width="16.25" style="3" bestFit="1" customWidth="1"/>
    <col min="4" max="4" width="17.75" style="3" bestFit="1" customWidth="1"/>
    <col min="5" max="5" width="25.75" style="3" bestFit="1" customWidth="1"/>
    <col min="6" max="6" width="14" style="7" customWidth="1"/>
    <col min="7" max="16384" width="9" style="3"/>
  </cols>
  <sheetData>
    <row r="1" spans="2:6" s="7" customFormat="1" ht="21" customHeight="1">
      <c r="B1" s="7">
        <v>1</v>
      </c>
      <c r="C1" s="7">
        <v>2</v>
      </c>
      <c r="D1" s="7">
        <v>3</v>
      </c>
      <c r="E1" s="7">
        <v>4</v>
      </c>
      <c r="F1" s="7">
        <v>5</v>
      </c>
    </row>
    <row r="2" spans="2:6" ht="21" customHeight="1" thickBot="1">
      <c r="B2" s="28" t="s">
        <v>248</v>
      </c>
      <c r="C2" s="27" t="s">
        <v>247</v>
      </c>
      <c r="D2" s="26" t="s">
        <v>8</v>
      </c>
      <c r="E2" s="26" t="s">
        <v>7</v>
      </c>
      <c r="F2" s="25" t="s">
        <v>246</v>
      </c>
    </row>
    <row r="3" spans="2:6" ht="21" customHeight="1" thickBot="1">
      <c r="B3" s="24" t="s">
        <v>245</v>
      </c>
      <c r="C3" s="23" t="s">
        <v>239</v>
      </c>
      <c r="D3" s="23"/>
      <c r="E3" s="23"/>
      <c r="F3" s="18" t="s">
        <v>158</v>
      </c>
    </row>
    <row r="4" spans="2:6" ht="21" customHeight="1" thickBot="1">
      <c r="B4" s="24" t="s">
        <v>244</v>
      </c>
      <c r="C4" s="23" t="s">
        <v>239</v>
      </c>
      <c r="D4" s="20" t="s">
        <v>243</v>
      </c>
      <c r="E4" s="20" t="s">
        <v>121</v>
      </c>
      <c r="F4" s="18" t="s">
        <v>158</v>
      </c>
    </row>
    <row r="5" spans="2:6" ht="21" customHeight="1" thickBot="1">
      <c r="B5" s="24" t="s">
        <v>242</v>
      </c>
      <c r="C5" s="23" t="s">
        <v>239</v>
      </c>
      <c r="D5" s="20" t="s">
        <v>241</v>
      </c>
      <c r="E5" s="20" t="s">
        <v>121</v>
      </c>
      <c r="F5" s="18" t="s">
        <v>158</v>
      </c>
    </row>
    <row r="6" spans="2:6" ht="21" customHeight="1" thickBot="1">
      <c r="B6" s="24" t="s">
        <v>151</v>
      </c>
      <c r="C6" s="23" t="s">
        <v>239</v>
      </c>
      <c r="D6" s="20" t="s">
        <v>240</v>
      </c>
      <c r="E6" s="20" t="s">
        <v>121</v>
      </c>
      <c r="F6" s="18" t="s">
        <v>158</v>
      </c>
    </row>
    <row r="7" spans="2:6" ht="21" customHeight="1" thickBot="1">
      <c r="B7" s="24" t="s">
        <v>140</v>
      </c>
      <c r="C7" s="23" t="s">
        <v>239</v>
      </c>
      <c r="D7" s="20" t="s">
        <v>238</v>
      </c>
      <c r="E7" s="20" t="s">
        <v>121</v>
      </c>
      <c r="F7" s="18" t="s">
        <v>158</v>
      </c>
    </row>
    <row r="8" spans="2:6" ht="21" customHeight="1" thickBot="1">
      <c r="B8" s="24" t="s">
        <v>237</v>
      </c>
      <c r="C8" s="23" t="s">
        <v>236</v>
      </c>
      <c r="D8" s="23" t="s">
        <v>235</v>
      </c>
      <c r="E8" s="23" t="s">
        <v>234</v>
      </c>
      <c r="F8" s="18" t="s">
        <v>158</v>
      </c>
    </row>
    <row r="9" spans="2:6" ht="21" customHeight="1" thickBot="1">
      <c r="B9" s="24" t="s">
        <v>233</v>
      </c>
      <c r="C9" s="23" t="s">
        <v>232</v>
      </c>
      <c r="D9" s="23"/>
      <c r="E9" s="23"/>
      <c r="F9" s="18"/>
    </row>
    <row r="10" spans="2:6" ht="21" customHeight="1" thickBot="1">
      <c r="B10" s="21" t="s">
        <v>71</v>
      </c>
      <c r="C10" s="20" t="s">
        <v>225</v>
      </c>
      <c r="D10" s="20" t="s">
        <v>231</v>
      </c>
      <c r="E10" s="20" t="s">
        <v>145</v>
      </c>
      <c r="F10" s="18" t="s">
        <v>158</v>
      </c>
    </row>
    <row r="11" spans="2:6" ht="21" customHeight="1" thickBot="1">
      <c r="B11" s="21" t="s">
        <v>14</v>
      </c>
      <c r="C11" s="20" t="s">
        <v>225</v>
      </c>
      <c r="D11" s="20" t="s">
        <v>230</v>
      </c>
      <c r="E11" s="20" t="s">
        <v>147</v>
      </c>
      <c r="F11" s="18" t="s">
        <v>158</v>
      </c>
    </row>
    <row r="12" spans="2:6" ht="21" customHeight="1" thickBot="1">
      <c r="B12" s="21" t="s">
        <v>26</v>
      </c>
      <c r="C12" s="20" t="s">
        <v>222</v>
      </c>
      <c r="D12" s="20" t="s">
        <v>229</v>
      </c>
      <c r="E12" s="20" t="s">
        <v>123</v>
      </c>
      <c r="F12" s="18" t="s">
        <v>158</v>
      </c>
    </row>
    <row r="13" spans="2:6" ht="21" customHeight="1" thickBot="1">
      <c r="B13" s="21" t="s">
        <v>25</v>
      </c>
      <c r="C13" s="20" t="s">
        <v>222</v>
      </c>
      <c r="D13" s="20" t="s">
        <v>228</v>
      </c>
      <c r="E13" s="20" t="s">
        <v>122</v>
      </c>
      <c r="F13" s="18" t="s">
        <v>158</v>
      </c>
    </row>
    <row r="14" spans="2:6" ht="21" customHeight="1" thickBot="1">
      <c r="B14" s="21" t="s">
        <v>227</v>
      </c>
      <c r="C14" s="20" t="s">
        <v>225</v>
      </c>
      <c r="D14" s="20" t="s">
        <v>226</v>
      </c>
      <c r="E14" s="20" t="s">
        <v>145</v>
      </c>
      <c r="F14" s="18" t="s">
        <v>158</v>
      </c>
    </row>
    <row r="15" spans="2:6" ht="21" customHeight="1" thickBot="1">
      <c r="B15" s="21" t="s">
        <v>46</v>
      </c>
      <c r="C15" s="20" t="s">
        <v>225</v>
      </c>
      <c r="D15" s="20" t="s">
        <v>224</v>
      </c>
      <c r="E15" s="20" t="s">
        <v>147</v>
      </c>
      <c r="F15" s="18" t="s">
        <v>158</v>
      </c>
    </row>
    <row r="16" spans="2:6" ht="21" customHeight="1" thickBot="1">
      <c r="B16" s="21" t="s">
        <v>44</v>
      </c>
      <c r="C16" s="20" t="s">
        <v>222</v>
      </c>
      <c r="D16" s="20" t="s">
        <v>223</v>
      </c>
      <c r="E16" s="20" t="s">
        <v>123</v>
      </c>
      <c r="F16" s="18" t="s">
        <v>158</v>
      </c>
    </row>
    <row r="17" spans="2:6" ht="21" customHeight="1" thickBot="1">
      <c r="B17" s="21" t="s">
        <v>51</v>
      </c>
      <c r="C17" s="20" t="s">
        <v>222</v>
      </c>
      <c r="D17" s="20" t="s">
        <v>221</v>
      </c>
      <c r="E17" s="20" t="s">
        <v>122</v>
      </c>
      <c r="F17" s="18" t="s">
        <v>158</v>
      </c>
    </row>
    <row r="18" spans="2:6" ht="21" customHeight="1" thickBot="1">
      <c r="B18" s="21" t="s">
        <v>91</v>
      </c>
      <c r="C18" s="20" t="s">
        <v>206</v>
      </c>
      <c r="D18" s="20" t="s">
        <v>220</v>
      </c>
      <c r="E18" s="20" t="s">
        <v>219</v>
      </c>
      <c r="F18" s="18" t="s">
        <v>158</v>
      </c>
    </row>
    <row r="19" spans="2:6" ht="21" customHeight="1" thickBot="1">
      <c r="B19" s="21" t="s">
        <v>34</v>
      </c>
      <c r="C19" s="20" t="s">
        <v>65</v>
      </c>
      <c r="D19" s="20" t="s">
        <v>218</v>
      </c>
      <c r="E19" s="20" t="s">
        <v>217</v>
      </c>
      <c r="F19" s="18" t="s">
        <v>158</v>
      </c>
    </row>
    <row r="20" spans="2:6" ht="21" customHeight="1" thickBot="1">
      <c r="B20" s="21" t="s">
        <v>16</v>
      </c>
      <c r="C20" s="20" t="s">
        <v>65</v>
      </c>
      <c r="D20" s="20" t="s">
        <v>216</v>
      </c>
      <c r="E20" s="20" t="s">
        <v>215</v>
      </c>
      <c r="F20" s="18" t="s">
        <v>158</v>
      </c>
    </row>
    <row r="21" spans="2:6" ht="21" customHeight="1" thickBot="1">
      <c r="B21" s="21" t="s">
        <v>214</v>
      </c>
      <c r="C21" s="20" t="s">
        <v>210</v>
      </c>
      <c r="D21" s="20" t="s">
        <v>213</v>
      </c>
      <c r="E21" s="20" t="s">
        <v>212</v>
      </c>
      <c r="F21" s="18" t="s">
        <v>158</v>
      </c>
    </row>
    <row r="22" spans="2:6" ht="21" customHeight="1" thickBot="1">
      <c r="B22" s="21" t="s">
        <v>211</v>
      </c>
      <c r="C22" s="20" t="s">
        <v>210</v>
      </c>
      <c r="D22" s="20" t="s">
        <v>209</v>
      </c>
      <c r="E22" s="20" t="s">
        <v>208</v>
      </c>
      <c r="F22" s="18" t="s">
        <v>158</v>
      </c>
    </row>
    <row r="23" spans="2:6" ht="21" customHeight="1" thickBot="1">
      <c r="B23" s="21" t="s">
        <v>207</v>
      </c>
      <c r="C23" s="20" t="s">
        <v>206</v>
      </c>
      <c r="D23" s="20" t="s">
        <v>205</v>
      </c>
      <c r="E23" s="20" t="s">
        <v>204</v>
      </c>
      <c r="F23" s="18" t="s">
        <v>158</v>
      </c>
    </row>
    <row r="24" spans="2:6" ht="21" customHeight="1" thickBot="1">
      <c r="B24" s="21" t="s">
        <v>33</v>
      </c>
      <c r="C24" s="20" t="s">
        <v>65</v>
      </c>
      <c r="D24" s="20" t="s">
        <v>203</v>
      </c>
      <c r="E24" s="20" t="s">
        <v>202</v>
      </c>
      <c r="F24" s="18" t="s">
        <v>158</v>
      </c>
    </row>
    <row r="25" spans="2:6" ht="21" customHeight="1" thickBot="1">
      <c r="B25" s="21" t="s">
        <v>201</v>
      </c>
      <c r="C25" s="20" t="s">
        <v>65</v>
      </c>
      <c r="D25" s="20" t="s">
        <v>200</v>
      </c>
      <c r="E25" s="20" t="s">
        <v>199</v>
      </c>
      <c r="F25" s="18" t="s">
        <v>158</v>
      </c>
    </row>
    <row r="26" spans="2:6" ht="21" customHeight="1" thickBot="1">
      <c r="B26" s="21" t="s">
        <v>144</v>
      </c>
      <c r="C26" s="20" t="s">
        <v>196</v>
      </c>
      <c r="D26" s="20" t="s">
        <v>198</v>
      </c>
      <c r="E26" s="20" t="s">
        <v>197</v>
      </c>
      <c r="F26" s="18" t="s">
        <v>158</v>
      </c>
    </row>
    <row r="27" spans="2:6" ht="21" customHeight="1" thickBot="1">
      <c r="B27" s="21" t="s">
        <v>99</v>
      </c>
      <c r="C27" s="20" t="s">
        <v>196</v>
      </c>
      <c r="D27" s="20" t="s">
        <v>195</v>
      </c>
      <c r="E27" s="20" t="s">
        <v>194</v>
      </c>
      <c r="F27" s="18" t="s">
        <v>158</v>
      </c>
    </row>
    <row r="28" spans="2:6" ht="21" customHeight="1" thickBot="1">
      <c r="B28" s="21" t="s">
        <v>23</v>
      </c>
      <c r="C28" s="20" t="s">
        <v>185</v>
      </c>
      <c r="D28" s="20" t="s">
        <v>193</v>
      </c>
      <c r="E28" s="20" t="s">
        <v>192</v>
      </c>
      <c r="F28" s="18" t="s">
        <v>158</v>
      </c>
    </row>
    <row r="29" spans="2:6" ht="21" customHeight="1" thickBot="1">
      <c r="B29" s="21" t="s">
        <v>191</v>
      </c>
      <c r="C29" s="20" t="s">
        <v>185</v>
      </c>
      <c r="D29" s="20" t="s">
        <v>190</v>
      </c>
      <c r="E29" s="20" t="s">
        <v>189</v>
      </c>
      <c r="F29" s="18" t="s">
        <v>158</v>
      </c>
    </row>
    <row r="30" spans="2:6" ht="21" customHeight="1" thickBot="1">
      <c r="B30" s="21" t="s">
        <v>28</v>
      </c>
      <c r="C30" s="20" t="s">
        <v>185</v>
      </c>
      <c r="D30" s="20" t="s">
        <v>188</v>
      </c>
      <c r="E30" s="20" t="s">
        <v>187</v>
      </c>
      <c r="F30" s="18" t="s">
        <v>158</v>
      </c>
    </row>
    <row r="31" spans="2:6" ht="21" customHeight="1" thickBot="1">
      <c r="B31" s="21" t="s">
        <v>186</v>
      </c>
      <c r="C31" s="20" t="s">
        <v>185</v>
      </c>
      <c r="D31" s="20" t="s">
        <v>184</v>
      </c>
      <c r="E31" s="20" t="s">
        <v>183</v>
      </c>
      <c r="F31" s="18" t="s">
        <v>158</v>
      </c>
    </row>
    <row r="32" spans="2:6" ht="21" customHeight="1" thickBot="1">
      <c r="B32" s="21" t="s">
        <v>47</v>
      </c>
      <c r="C32" s="20" t="s">
        <v>174</v>
      </c>
      <c r="D32" s="20" t="s">
        <v>182</v>
      </c>
      <c r="E32" s="20" t="s">
        <v>181</v>
      </c>
      <c r="F32" s="18" t="s">
        <v>158</v>
      </c>
    </row>
    <row r="33" spans="2:6" ht="21" customHeight="1" thickBot="1">
      <c r="B33" s="21" t="s">
        <v>43</v>
      </c>
      <c r="C33" s="20" t="s">
        <v>174</v>
      </c>
      <c r="D33" s="20" t="s">
        <v>180</v>
      </c>
      <c r="E33" s="20" t="s">
        <v>179</v>
      </c>
      <c r="F33" s="18" t="s">
        <v>158</v>
      </c>
    </row>
    <row r="34" spans="2:6" ht="21" customHeight="1" thickBot="1">
      <c r="B34" s="21" t="s">
        <v>178</v>
      </c>
      <c r="C34" s="20" t="s">
        <v>174</v>
      </c>
      <c r="D34" s="22" t="s">
        <v>177</v>
      </c>
      <c r="E34" s="22" t="s">
        <v>176</v>
      </c>
      <c r="F34" s="18" t="s">
        <v>158</v>
      </c>
    </row>
    <row r="35" spans="2:6" ht="21" customHeight="1" thickBot="1">
      <c r="B35" s="21" t="s">
        <v>175</v>
      </c>
      <c r="C35" s="20" t="s">
        <v>174</v>
      </c>
      <c r="D35" s="22" t="s">
        <v>173</v>
      </c>
      <c r="E35" s="22" t="s">
        <v>172</v>
      </c>
      <c r="F35" s="18" t="s">
        <v>158</v>
      </c>
    </row>
    <row r="36" spans="2:6" ht="21" customHeight="1" thickBot="1">
      <c r="B36" s="21" t="s">
        <v>171</v>
      </c>
      <c r="C36" s="20" t="s">
        <v>170</v>
      </c>
      <c r="D36" s="20" t="s">
        <v>169</v>
      </c>
      <c r="E36" s="20" t="s">
        <v>168</v>
      </c>
      <c r="F36" s="18" t="s">
        <v>158</v>
      </c>
    </row>
    <row r="37" spans="2:6" ht="21" customHeight="1" thickBot="1">
      <c r="B37" s="21" t="s">
        <v>167</v>
      </c>
      <c r="C37" s="20" t="s">
        <v>166</v>
      </c>
      <c r="D37" s="20" t="s">
        <v>165</v>
      </c>
      <c r="E37" s="20" t="s">
        <v>149</v>
      </c>
      <c r="F37" s="18" t="s">
        <v>158</v>
      </c>
    </row>
    <row r="38" spans="2:6" ht="21" customHeight="1" thickBot="1">
      <c r="B38" s="21" t="s">
        <v>73</v>
      </c>
      <c r="C38" s="20" t="s">
        <v>160</v>
      </c>
      <c r="D38" s="20" t="s">
        <v>164</v>
      </c>
      <c r="E38" s="20" t="s">
        <v>124</v>
      </c>
      <c r="F38" s="18" t="s">
        <v>158</v>
      </c>
    </row>
    <row r="39" spans="2:6" ht="21" customHeight="1" thickBot="1">
      <c r="B39" s="21" t="s">
        <v>41</v>
      </c>
      <c r="C39" s="20" t="s">
        <v>160</v>
      </c>
      <c r="D39" s="20" t="s">
        <v>163</v>
      </c>
      <c r="E39" s="20" t="s">
        <v>124</v>
      </c>
      <c r="F39" s="18" t="s">
        <v>158</v>
      </c>
    </row>
    <row r="40" spans="2:6" ht="21" customHeight="1" thickBot="1">
      <c r="B40" s="21" t="s">
        <v>42</v>
      </c>
      <c r="C40" s="20" t="s">
        <v>160</v>
      </c>
      <c r="D40" s="20" t="s">
        <v>162</v>
      </c>
      <c r="E40" s="20" t="s">
        <v>124</v>
      </c>
      <c r="F40" s="18" t="s">
        <v>158</v>
      </c>
    </row>
    <row r="41" spans="2:6" ht="21" customHeight="1" thickBot="1">
      <c r="B41" s="21" t="s">
        <v>22</v>
      </c>
      <c r="C41" s="20" t="s">
        <v>160</v>
      </c>
      <c r="D41" s="20" t="s">
        <v>161</v>
      </c>
      <c r="E41" s="20" t="s">
        <v>124</v>
      </c>
      <c r="F41" s="18" t="s">
        <v>158</v>
      </c>
    </row>
    <row r="42" spans="2:6" ht="21" customHeight="1" thickBot="1">
      <c r="B42" s="21" t="s">
        <v>38</v>
      </c>
      <c r="C42" s="20" t="s">
        <v>160</v>
      </c>
      <c r="D42" s="20" t="s">
        <v>159</v>
      </c>
      <c r="E42" s="20" t="s">
        <v>124</v>
      </c>
      <c r="F42" s="18" t="s">
        <v>158</v>
      </c>
    </row>
    <row r="43" spans="2:6" ht="21" customHeight="1" thickBot="1">
      <c r="B43" s="21" t="s">
        <v>58</v>
      </c>
      <c r="C43" s="20" t="s">
        <v>58</v>
      </c>
      <c r="D43" s="19"/>
      <c r="E43" s="19"/>
      <c r="F43" s="18" t="s">
        <v>158</v>
      </c>
    </row>
    <row r="44" spans="2:6" ht="21" customHeight="1">
      <c r="B44" s="39" t="s">
        <v>371</v>
      </c>
      <c r="C44" s="40" t="s">
        <v>371</v>
      </c>
      <c r="D44" s="40" t="s">
        <v>372</v>
      </c>
      <c r="E44" s="40" t="s">
        <v>373</v>
      </c>
      <c r="F44" s="41" t="s">
        <v>158</v>
      </c>
    </row>
    <row r="45" spans="2:6" ht="21" customHeight="1" thickBot="1">
      <c r="B45" s="39" t="s">
        <v>374</v>
      </c>
      <c r="C45" s="40" t="s">
        <v>375</v>
      </c>
      <c r="D45" s="40" t="s">
        <v>376</v>
      </c>
      <c r="E45" s="40" t="s">
        <v>373</v>
      </c>
      <c r="F45" s="41" t="s">
        <v>158</v>
      </c>
    </row>
    <row r="46" spans="2:6" ht="21" customHeight="1" thickBot="1">
      <c r="B46" s="17"/>
      <c r="C46" s="16"/>
      <c r="D46" s="16"/>
      <c r="E46" s="16"/>
      <c r="F46" s="15"/>
    </row>
    <row r="47" spans="2:6" ht="21" customHeight="1" thickBot="1">
      <c r="B47" s="17"/>
      <c r="C47" s="16"/>
      <c r="D47" s="16"/>
      <c r="E47" s="16"/>
      <c r="F47" s="15"/>
    </row>
    <row r="48" spans="2:6" ht="21" customHeight="1" thickBot="1">
      <c r="B48" s="17"/>
      <c r="C48" s="16"/>
      <c r="D48" s="16"/>
      <c r="E48" s="16"/>
      <c r="F48" s="15"/>
    </row>
    <row r="49" spans="2:6" ht="21" customHeight="1" thickBot="1">
      <c r="B49" s="17"/>
      <c r="C49" s="16"/>
      <c r="D49" s="16"/>
      <c r="E49" s="16"/>
      <c r="F49" s="15"/>
    </row>
    <row r="50" spans="2:6" ht="21" customHeight="1" thickBot="1">
      <c r="B50" s="17"/>
      <c r="C50" s="16"/>
      <c r="D50" s="16"/>
      <c r="E50" s="16"/>
      <c r="F50" s="15"/>
    </row>
    <row r="51" spans="2:6" ht="21" customHeight="1" thickBot="1">
      <c r="B51" s="17"/>
      <c r="C51" s="16"/>
      <c r="D51" s="16"/>
      <c r="E51" s="16"/>
      <c r="F51" s="15"/>
    </row>
    <row r="52" spans="2:6" ht="21" customHeight="1" thickBot="1">
      <c r="B52" s="17"/>
      <c r="C52" s="16"/>
      <c r="D52" s="16"/>
      <c r="E52" s="16"/>
      <c r="F52" s="15"/>
    </row>
    <row r="53" spans="2:6" ht="21" customHeight="1" thickBot="1">
      <c r="B53" s="17"/>
      <c r="C53" s="16"/>
      <c r="D53" s="16"/>
      <c r="E53" s="16"/>
      <c r="F53" s="15"/>
    </row>
    <row r="54" spans="2:6" ht="21" customHeight="1" thickBot="1">
      <c r="B54" s="17"/>
      <c r="C54" s="16"/>
      <c r="D54" s="16"/>
      <c r="E54" s="16"/>
      <c r="F54" s="15"/>
    </row>
    <row r="55" spans="2:6" ht="21" customHeight="1" thickBot="1">
      <c r="B55" s="17"/>
      <c r="C55" s="16"/>
      <c r="D55" s="16"/>
      <c r="E55" s="16"/>
      <c r="F55" s="15"/>
    </row>
    <row r="56" spans="2:6" ht="21" customHeight="1" thickBot="1">
      <c r="B56" s="17"/>
      <c r="C56" s="16"/>
      <c r="D56" s="16"/>
      <c r="E56" s="16"/>
      <c r="F56" s="15"/>
    </row>
    <row r="57" spans="2:6" ht="21" customHeight="1" thickBot="1">
      <c r="B57" s="17"/>
      <c r="C57" s="16"/>
      <c r="D57" s="16"/>
      <c r="E57" s="16"/>
      <c r="F57" s="15"/>
    </row>
    <row r="58" spans="2:6" ht="21" customHeight="1" thickBot="1">
      <c r="B58" s="17"/>
      <c r="C58" s="16"/>
      <c r="D58" s="16"/>
      <c r="E58" s="16"/>
      <c r="F58" s="15"/>
    </row>
    <row r="59" spans="2:6" ht="21" customHeight="1" thickBot="1">
      <c r="B59" s="17"/>
      <c r="C59" s="16"/>
      <c r="D59" s="16"/>
      <c r="E59" s="16"/>
      <c r="F59" s="15"/>
    </row>
    <row r="60" spans="2:6" ht="21" customHeight="1" thickBot="1">
      <c r="B60" s="17"/>
      <c r="C60" s="16"/>
      <c r="D60" s="16"/>
      <c r="E60" s="16"/>
      <c r="F60" s="15"/>
    </row>
    <row r="61" spans="2:6" ht="21" customHeight="1" thickBot="1">
      <c r="B61" s="17"/>
      <c r="C61" s="16"/>
      <c r="D61" s="16"/>
      <c r="E61" s="16"/>
      <c r="F61" s="15"/>
    </row>
    <row r="62" spans="2:6" ht="21" customHeight="1" thickBot="1">
      <c r="B62" s="17"/>
      <c r="C62" s="16"/>
      <c r="D62" s="16"/>
      <c r="E62" s="16"/>
      <c r="F62" s="15"/>
    </row>
    <row r="63" spans="2:6" ht="21" customHeight="1" thickBot="1">
      <c r="B63" s="17"/>
      <c r="C63" s="16"/>
      <c r="D63" s="16"/>
      <c r="E63" s="16"/>
      <c r="F63" s="15"/>
    </row>
    <row r="64" spans="2:6" ht="21" customHeight="1" thickBot="1">
      <c r="B64" s="17"/>
      <c r="C64" s="16"/>
      <c r="D64" s="16"/>
      <c r="E64" s="16"/>
      <c r="F64" s="15"/>
    </row>
    <row r="65" spans="2:6" ht="21" customHeight="1" thickBot="1">
      <c r="B65" s="17"/>
      <c r="C65" s="16"/>
      <c r="D65" s="16"/>
      <c r="E65" s="16"/>
      <c r="F65" s="15"/>
    </row>
    <row r="66" spans="2:6" ht="21" customHeight="1" thickBot="1">
      <c r="B66" s="17"/>
      <c r="C66" s="16"/>
      <c r="D66" s="16"/>
      <c r="E66" s="16"/>
      <c r="F66" s="15"/>
    </row>
    <row r="67" spans="2:6" ht="21" customHeight="1" thickBot="1">
      <c r="B67" s="17"/>
      <c r="C67" s="16"/>
      <c r="D67" s="16"/>
      <c r="E67" s="16"/>
      <c r="F67" s="15"/>
    </row>
    <row r="68" spans="2:6" ht="21" customHeight="1" thickBot="1">
      <c r="B68" s="17"/>
      <c r="C68" s="16"/>
      <c r="D68" s="16"/>
      <c r="E68" s="16"/>
      <c r="F68" s="15"/>
    </row>
    <row r="69" spans="2:6" ht="21" customHeight="1" thickBot="1">
      <c r="B69" s="17"/>
      <c r="C69" s="16"/>
      <c r="D69" s="16"/>
      <c r="E69" s="16"/>
      <c r="F69" s="15"/>
    </row>
    <row r="70" spans="2:6" ht="21" customHeight="1" thickBot="1">
      <c r="B70" s="17"/>
      <c r="C70" s="16"/>
      <c r="D70" s="16"/>
      <c r="E70" s="16"/>
      <c r="F70" s="15"/>
    </row>
    <row r="71" spans="2:6" ht="21" customHeight="1" thickBot="1">
      <c r="B71" s="17"/>
      <c r="C71" s="16"/>
      <c r="D71" s="16"/>
      <c r="E71" s="16"/>
      <c r="F71" s="15"/>
    </row>
    <row r="72" spans="2:6" ht="21" customHeight="1" thickBot="1">
      <c r="B72" s="17"/>
      <c r="C72" s="16"/>
      <c r="D72" s="16"/>
      <c r="E72" s="16"/>
      <c r="F72" s="15"/>
    </row>
    <row r="73" spans="2:6" ht="21" customHeight="1" thickBot="1">
      <c r="B73" s="17"/>
      <c r="C73" s="16"/>
      <c r="D73" s="16"/>
      <c r="E73" s="16"/>
      <c r="F73" s="15"/>
    </row>
    <row r="74" spans="2:6" ht="21" customHeight="1" thickBot="1">
      <c r="B74" s="17"/>
      <c r="C74" s="16"/>
      <c r="D74" s="16"/>
      <c r="E74" s="16"/>
      <c r="F74" s="15"/>
    </row>
    <row r="75" spans="2:6" ht="21" customHeight="1" thickBot="1">
      <c r="B75" s="17"/>
      <c r="C75" s="16"/>
      <c r="D75" s="16"/>
      <c r="E75" s="16"/>
      <c r="F75" s="15"/>
    </row>
    <row r="76" spans="2:6" ht="21" customHeight="1" thickBot="1">
      <c r="B76" s="17"/>
      <c r="C76" s="16"/>
      <c r="D76" s="16"/>
      <c r="E76" s="16"/>
      <c r="F76" s="15"/>
    </row>
    <row r="77" spans="2:6" ht="21" customHeight="1" thickBot="1">
      <c r="B77" s="17"/>
      <c r="C77" s="16"/>
      <c r="D77" s="16"/>
      <c r="E77" s="16"/>
      <c r="F77" s="15"/>
    </row>
    <row r="78" spans="2:6" ht="21" customHeight="1" thickBot="1">
      <c r="B78" s="17"/>
      <c r="C78" s="16"/>
      <c r="D78" s="16"/>
      <c r="E78" s="16"/>
      <c r="F78" s="15"/>
    </row>
    <row r="79" spans="2:6" ht="21" customHeight="1" thickBot="1">
      <c r="B79" s="17"/>
      <c r="C79" s="16"/>
      <c r="D79" s="16"/>
      <c r="E79" s="16"/>
      <c r="F79" s="15"/>
    </row>
    <row r="80" spans="2:6" ht="21" customHeight="1" thickBot="1">
      <c r="B80" s="17"/>
      <c r="C80" s="16"/>
      <c r="D80" s="16"/>
      <c r="E80" s="16"/>
      <c r="F80" s="15"/>
    </row>
    <row r="81" spans="2:6" ht="21" customHeight="1" thickBot="1">
      <c r="B81" s="17"/>
      <c r="C81" s="16"/>
      <c r="D81" s="16"/>
      <c r="E81" s="16"/>
      <c r="F81" s="15"/>
    </row>
    <row r="82" spans="2:6" ht="21" customHeight="1" thickBot="1">
      <c r="B82" s="17"/>
      <c r="C82" s="16"/>
      <c r="D82" s="16"/>
      <c r="E82" s="16"/>
      <c r="F82" s="15"/>
    </row>
    <row r="83" spans="2:6" ht="21" customHeight="1" thickBot="1">
      <c r="B83" s="17"/>
      <c r="C83" s="16"/>
      <c r="D83" s="16"/>
      <c r="E83" s="16"/>
      <c r="F83" s="15"/>
    </row>
    <row r="84" spans="2:6" ht="21" customHeight="1" thickBot="1">
      <c r="B84" s="17"/>
      <c r="C84" s="16"/>
      <c r="D84" s="16"/>
      <c r="E84" s="16"/>
      <c r="F84" s="15"/>
    </row>
    <row r="85" spans="2:6" ht="21" customHeight="1" thickBot="1">
      <c r="B85" s="17"/>
      <c r="C85" s="16"/>
      <c r="D85" s="16"/>
      <c r="E85" s="16"/>
      <c r="F85" s="15"/>
    </row>
    <row r="86" spans="2:6" ht="21" customHeight="1" thickBot="1">
      <c r="B86" s="17"/>
      <c r="C86" s="16"/>
      <c r="D86" s="16"/>
      <c r="E86" s="16"/>
      <c r="F86" s="15"/>
    </row>
    <row r="87" spans="2:6" ht="21" customHeight="1" thickBot="1">
      <c r="B87" s="17"/>
      <c r="C87" s="16"/>
      <c r="D87" s="16"/>
      <c r="E87" s="16"/>
      <c r="F87" s="15"/>
    </row>
    <row r="88" spans="2:6" ht="21" customHeight="1" thickBot="1">
      <c r="B88" s="17"/>
      <c r="C88" s="16"/>
      <c r="D88" s="16"/>
      <c r="E88" s="16"/>
      <c r="F88" s="15"/>
    </row>
    <row r="89" spans="2:6" ht="21" customHeight="1" thickBot="1">
      <c r="B89" s="17"/>
      <c r="C89" s="16"/>
      <c r="D89" s="16"/>
      <c r="E89" s="16"/>
      <c r="F89" s="15"/>
    </row>
    <row r="90" spans="2:6" ht="21" customHeight="1" thickBot="1">
      <c r="B90" s="17"/>
      <c r="C90" s="16"/>
      <c r="D90" s="16"/>
      <c r="E90" s="16"/>
      <c r="F90" s="15"/>
    </row>
    <row r="91" spans="2:6" ht="21" customHeight="1" thickBot="1">
      <c r="B91" s="17"/>
      <c r="C91" s="16"/>
      <c r="D91" s="16"/>
      <c r="E91" s="16"/>
      <c r="F91" s="15"/>
    </row>
    <row r="92" spans="2:6" ht="21" customHeight="1" thickBot="1">
      <c r="B92" s="17"/>
      <c r="C92" s="16"/>
      <c r="D92" s="16"/>
      <c r="E92" s="16"/>
      <c r="F92" s="15"/>
    </row>
    <row r="93" spans="2:6" ht="21" customHeight="1" thickBot="1">
      <c r="B93" s="17"/>
      <c r="C93" s="16"/>
      <c r="D93" s="16"/>
      <c r="E93" s="16"/>
      <c r="F93" s="15"/>
    </row>
    <row r="94" spans="2:6" ht="21" customHeight="1" thickBot="1">
      <c r="B94" s="17"/>
      <c r="C94" s="16"/>
      <c r="D94" s="16"/>
      <c r="E94" s="16"/>
      <c r="F94" s="15"/>
    </row>
    <row r="95" spans="2:6" ht="21" customHeight="1" thickBot="1">
      <c r="B95" s="17"/>
      <c r="C95" s="16"/>
      <c r="D95" s="16"/>
      <c r="E95" s="16"/>
      <c r="F95" s="15"/>
    </row>
    <row r="96" spans="2:6" ht="21" customHeight="1" thickBot="1">
      <c r="B96" s="17"/>
      <c r="C96" s="16"/>
      <c r="D96" s="16"/>
      <c r="E96" s="16"/>
      <c r="F96" s="15"/>
    </row>
    <row r="97" spans="2:6" ht="21" customHeight="1" thickBot="1">
      <c r="B97" s="17"/>
      <c r="C97" s="16"/>
      <c r="D97" s="16"/>
      <c r="E97" s="16"/>
      <c r="F97" s="15"/>
    </row>
    <row r="98" spans="2:6" ht="21" customHeight="1" thickBot="1">
      <c r="B98" s="17"/>
      <c r="C98" s="16"/>
      <c r="D98" s="16"/>
      <c r="E98" s="16"/>
      <c r="F98" s="15"/>
    </row>
    <row r="99" spans="2:6" ht="21" customHeight="1" thickBot="1">
      <c r="B99" s="17"/>
      <c r="C99" s="16"/>
      <c r="D99" s="16"/>
      <c r="E99" s="16"/>
      <c r="F99" s="15"/>
    </row>
    <row r="100" spans="2:6" ht="21" customHeight="1" thickBot="1">
      <c r="B100" s="17"/>
      <c r="C100" s="16"/>
      <c r="D100" s="16"/>
      <c r="E100" s="16"/>
      <c r="F100" s="15"/>
    </row>
    <row r="101" spans="2:6" ht="21" customHeight="1" thickBot="1">
      <c r="B101" s="17"/>
      <c r="C101" s="16"/>
      <c r="D101" s="16"/>
      <c r="E101" s="16"/>
      <c r="F101" s="15"/>
    </row>
    <row r="102" spans="2:6" ht="21" customHeight="1" thickBot="1">
      <c r="B102" s="17"/>
      <c r="C102" s="16"/>
      <c r="D102" s="16"/>
      <c r="E102" s="16"/>
      <c r="F102" s="15"/>
    </row>
    <row r="103" spans="2:6" ht="21" customHeight="1" thickBot="1">
      <c r="B103" s="17"/>
      <c r="C103" s="16"/>
      <c r="D103" s="16"/>
      <c r="E103" s="16"/>
      <c r="F103" s="15"/>
    </row>
    <row r="104" spans="2:6" ht="21" customHeight="1" thickBot="1">
      <c r="B104" s="17"/>
      <c r="C104" s="16"/>
      <c r="D104" s="16"/>
      <c r="E104" s="16"/>
      <c r="F104" s="15"/>
    </row>
    <row r="105" spans="2:6" ht="21" customHeight="1" thickBot="1">
      <c r="B105" s="17"/>
      <c r="C105" s="16"/>
      <c r="D105" s="16"/>
      <c r="E105" s="16"/>
      <c r="F105" s="15"/>
    </row>
    <row r="106" spans="2:6" ht="21" customHeight="1" thickBot="1">
      <c r="B106" s="17"/>
      <c r="C106" s="16"/>
      <c r="D106" s="16"/>
      <c r="E106" s="16"/>
      <c r="F106" s="15"/>
    </row>
    <row r="107" spans="2:6" ht="21" customHeight="1" thickBot="1">
      <c r="B107" s="17"/>
      <c r="C107" s="16"/>
      <c r="D107" s="16"/>
      <c r="E107" s="16"/>
      <c r="F107" s="15"/>
    </row>
    <row r="108" spans="2:6" ht="21" customHeight="1" thickBot="1">
      <c r="B108" s="17"/>
      <c r="C108" s="16"/>
      <c r="D108" s="16"/>
      <c r="E108" s="16"/>
      <c r="F108" s="15"/>
    </row>
    <row r="109" spans="2:6" ht="21" customHeight="1" thickBot="1">
      <c r="B109" s="17"/>
      <c r="C109" s="16"/>
      <c r="D109" s="16"/>
      <c r="E109" s="16"/>
      <c r="F109" s="15"/>
    </row>
    <row r="110" spans="2:6" ht="21" customHeight="1" thickBot="1">
      <c r="B110" s="17"/>
      <c r="C110" s="16"/>
      <c r="D110" s="16"/>
      <c r="E110" s="16"/>
      <c r="F110" s="15"/>
    </row>
    <row r="111" spans="2:6" ht="21" customHeight="1" thickBot="1">
      <c r="B111" s="17"/>
      <c r="C111" s="16"/>
      <c r="D111" s="16"/>
      <c r="E111" s="16"/>
      <c r="F111" s="15"/>
    </row>
    <row r="112" spans="2:6" ht="21" customHeight="1" thickBot="1">
      <c r="B112" s="17"/>
      <c r="C112" s="16"/>
      <c r="D112" s="16"/>
      <c r="E112" s="16"/>
      <c r="F112" s="15"/>
    </row>
    <row r="113" spans="2:6" ht="21" customHeight="1" thickBot="1">
      <c r="B113" s="17"/>
      <c r="C113" s="16"/>
      <c r="D113" s="16"/>
      <c r="E113" s="16"/>
      <c r="F113" s="15"/>
    </row>
    <row r="114" spans="2:6" ht="21" customHeight="1" thickBot="1">
      <c r="B114" s="17"/>
      <c r="C114" s="16"/>
      <c r="D114" s="16"/>
      <c r="E114" s="16"/>
      <c r="F114" s="15"/>
    </row>
    <row r="115" spans="2:6" ht="21" customHeight="1" thickBot="1">
      <c r="B115" s="17"/>
      <c r="C115" s="16"/>
      <c r="D115" s="16"/>
      <c r="E115" s="16"/>
      <c r="F115" s="15"/>
    </row>
    <row r="116" spans="2:6" ht="21" customHeight="1" thickBot="1">
      <c r="B116" s="17"/>
      <c r="C116" s="16"/>
      <c r="D116" s="16"/>
      <c r="E116" s="16"/>
      <c r="F116" s="15"/>
    </row>
    <row r="117" spans="2:6" ht="21" customHeight="1" thickBot="1">
      <c r="B117" s="17"/>
      <c r="C117" s="16"/>
      <c r="D117" s="16"/>
      <c r="E117" s="16"/>
      <c r="F117" s="15"/>
    </row>
    <row r="118" spans="2:6" ht="21" customHeight="1" thickBot="1">
      <c r="B118" s="17"/>
      <c r="C118" s="16"/>
      <c r="D118" s="16"/>
      <c r="E118" s="16"/>
      <c r="F118" s="15"/>
    </row>
    <row r="119" spans="2:6" ht="21" customHeight="1" thickBot="1">
      <c r="B119" s="17"/>
      <c r="C119" s="16"/>
      <c r="D119" s="16"/>
      <c r="E119" s="16"/>
      <c r="F119" s="15"/>
    </row>
    <row r="120" spans="2:6" ht="21" customHeight="1" thickBot="1">
      <c r="B120" s="17"/>
      <c r="C120" s="16"/>
      <c r="D120" s="16"/>
      <c r="E120" s="16"/>
      <c r="F120" s="15"/>
    </row>
    <row r="121" spans="2:6" ht="21" customHeight="1" thickBot="1">
      <c r="B121" s="17"/>
      <c r="C121" s="16"/>
      <c r="D121" s="16"/>
      <c r="E121" s="16"/>
      <c r="F121" s="15"/>
    </row>
    <row r="122" spans="2:6" ht="21" customHeight="1">
      <c r="B122" s="14"/>
      <c r="C122" s="13"/>
      <c r="D122" s="13"/>
      <c r="E122" s="13"/>
      <c r="F122" s="12"/>
    </row>
  </sheetData>
  <phoneticPr fontId="1" type="noConversion"/>
  <conditionalFormatting sqref="B2:B43">
    <cfRule type="duplicateValues" dxfId="2" priority="3"/>
  </conditionalFormatting>
  <conditionalFormatting sqref="B44:B45">
    <cfRule type="duplicateValues" dxfId="1" priority="1"/>
  </conditionalFormatting>
  <conditionalFormatting sqref="D1:D43 D46:D1048576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9B4A-F01E-47F6-8C91-AD2C55CE3772}">
  <dimension ref="B2:E3"/>
  <sheetViews>
    <sheetView workbookViewId="0">
      <selection activeCell="D7" sqref="D7"/>
    </sheetView>
  </sheetViews>
  <sheetFormatPr defaultRowHeight="16.5"/>
  <cols>
    <col min="2" max="2" width="5" customWidth="1"/>
    <col min="3" max="5" width="10" style="2" customWidth="1"/>
  </cols>
  <sheetData>
    <row r="2" spans="2:5" ht="21" customHeight="1">
      <c r="B2" s="42" t="s">
        <v>1</v>
      </c>
      <c r="C2" s="1" t="s">
        <v>2</v>
      </c>
      <c r="D2" s="1" t="s">
        <v>3</v>
      </c>
      <c r="E2" s="1" t="s">
        <v>4</v>
      </c>
    </row>
    <row r="3" spans="2:5" ht="48.75" customHeight="1">
      <c r="B3" s="43"/>
      <c r="C3" s="1"/>
      <c r="D3" s="1"/>
      <c r="E3" s="1"/>
    </row>
  </sheetData>
  <mergeCells count="1"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양식</vt:lpstr>
      <vt:lpstr>양식 (260818) 품번항목삭제,불량명항목추가</vt:lpstr>
      <vt:lpstr>양식 (260909) 문서번호부여</vt:lpstr>
      <vt:lpstr>DATA</vt:lpstr>
      <vt:lpstr>Sheet1</vt:lpstr>
      <vt:lpstr>Sheet2</vt:lpstr>
      <vt:lpstr>DATA!Print_Area</vt:lpstr>
      <vt:lpstr>양식!Print_Area</vt:lpstr>
      <vt:lpstr>'양식 (260818) 품번항목삭제,불량명항목추가'!Print_Area</vt:lpstr>
      <vt:lpstr>'양식 (260909) 문서번호부여'!Print_Area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H610M-H</cp:lastModifiedBy>
  <cp:lastPrinted>2026-09-09T06:56:59Z</cp:lastPrinted>
  <dcterms:created xsi:type="dcterms:W3CDTF">2026-06-19T01:55:49Z</dcterms:created>
  <dcterms:modified xsi:type="dcterms:W3CDTF">2026-10-06T06:26:19Z</dcterms:modified>
</cp:coreProperties>
</file>