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현황" sheetId="2" state="visible" r:id="rId2"/>
    <sheet xmlns:r="http://schemas.openxmlformats.org/officeDocument/2006/relationships" name="2_선택지 비교" sheetId="3" state="visible" r:id="rId3"/>
    <sheet xmlns:r="http://schemas.openxmlformats.org/officeDocument/2006/relationships" name="3_대장 등록 예시(안 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기안번호 체계 정리 제안서 (2026-10-29)</t>
        </is>
      </c>
    </row>
    <row r="2">
      <c r="A2" s="2" t="inlineStr">
        <is>
          <t>배경: 업로드된 기안서 2건의 기안번호는 SH-GI-YYMMDD-001 형식(SH-GI-261019-001, SH-GI-261023-001)인데, 같은 파일의 "기안번호관리" 대장 수식은 SH-GI-연도-순번(예: SH-GI-2026-001)을 만듭니다. 대장에는 작성 예시 행만 있고 두 번호가 등록되어 있지 않으며, 대장이 기안서 파일마다 따로 들어 있습니다.</t>
        </is>
      </c>
    </row>
    <row r="3">
      <c r="A3" s="2" t="inlineStr">
        <is>
          <t>이 문서는 선택지를 비교한 제안서이며 번호 체계는 사용자(또는 경영관리팀)가 정합니다. 제가 번호를 바꾸거나 대장에 등록하지 않았습니다.</t>
        </is>
      </c>
    </row>
    <row r="4">
      <c r="A4" s="2" t="inlineStr">
        <is>
          <t>기안서·대장이 관리 문서(양식 번호가 있는 SH-FM)인지는 확인되지 않았습니다. 관리 양식이면 수식 변경은 같은 Rev 재개정 대상일 수 있습니다.</t>
        </is>
      </c>
    </row>
    <row r="5">
      <c r="A5" s="2" t="inlineStr">
        <is>
          <t>시트: 1_현황 / 2_선택지 비교 / 3_대장 등록 예시(안 C 수식, 두 건).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46" customWidth="1" min="3" max="3"/>
  </cols>
  <sheetData>
    <row r="1">
      <c r="A1" s="3" t="inlineStr">
        <is>
          <t>구분</t>
        </is>
      </c>
      <c r="B1" s="3" t="inlineStr">
        <is>
          <t>확인 내용</t>
        </is>
      </c>
      <c r="C1" s="3" t="inlineStr">
        <is>
          <t>비고</t>
        </is>
      </c>
    </row>
    <row r="2">
      <c r="A2" s="4" t="inlineStr">
        <is>
          <t>기안서 번호 형식</t>
        </is>
      </c>
      <c r="B2" s="4" t="inlineStr">
        <is>
          <t>SH-GI-YYMMDD-001 (ISO: SH-GI-261019-001, IATF: SH-GI-261023-001)</t>
        </is>
      </c>
      <c r="C2" s="4" t="inlineStr">
        <is>
          <t>기안일 + 일자별 순번 3자리로 보임</t>
        </is>
      </c>
    </row>
    <row r="3">
      <c r="A3" s="4" t="inlineStr">
        <is>
          <t>대장 수식 형식</t>
        </is>
      </c>
      <c r="B3" s="4" t="inlineStr">
        <is>
          <t>"SH-GI-"&amp;연도&amp;"-"&amp;연간 순번(3자리) → SH-GI-2026-001</t>
        </is>
      </c>
      <c r="C3" s="4" t="inlineStr">
        <is>
          <t>대장 예시 행(2026-09-11, 홍길동)만 있음</t>
        </is>
      </c>
    </row>
    <row r="4">
      <c r="A4" s="4" t="inlineStr">
        <is>
          <t>대장 위치</t>
        </is>
      </c>
      <c r="B4" s="4" t="inlineStr">
        <is>
          <t>기안서 파일마다 시트 「기안번호관리」가 별도로 포함</t>
        </is>
      </c>
      <c r="C4" s="4" t="inlineStr">
        <is>
          <t>중앙 단일 대장이 아님 → 번호 중복·누락 확인 불가</t>
        </is>
      </c>
    </row>
    <row r="5">
      <c r="A5" s="4" t="inlineStr">
        <is>
          <t>등록 현황</t>
        </is>
      </c>
      <c r="B5" s="4" t="inlineStr">
        <is>
          <t>두 기안번호 모두 대장 미등록</t>
        </is>
      </c>
      <c r="C5" s="4" t="inlineStr">
        <is>
          <t>관리부서 확인 필요</t>
        </is>
      </c>
    </row>
    <row r="6">
      <c r="A6" s="4" t="inlineStr">
        <is>
          <t>기안자·부서</t>
        </is>
      </c>
      <c r="B6" s="4" t="inlineStr">
        <is>
          <t>박철호 · 선행품질팀 (관련부서 경영관리팀)</t>
        </is>
      </c>
      <c r="C6" s="4" t="inlineStr">
        <is>
          <t>기안서 기재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36" customWidth="1" min="4" max="4"/>
    <col width="44" customWidth="1" min="5" max="5"/>
    <col width="30" customWidth="1" min="6" max="6"/>
    <col width="16" customWidth="1" min="7" max="7"/>
  </cols>
  <sheetData>
    <row r="1">
      <c r="A1" s="3" t="inlineStr">
        <is>
          <t>안</t>
        </is>
      </c>
      <c r="B1" s="3" t="inlineStr">
        <is>
          <t>번호 형식</t>
        </is>
      </c>
      <c r="C1" s="3" t="inlineStr">
        <is>
          <t>방법</t>
        </is>
      </c>
      <c r="D1" s="3" t="inlineStr">
        <is>
          <t>장점</t>
        </is>
      </c>
      <c r="E1" s="3" t="inlineStr">
        <is>
          <t>단점·위험</t>
        </is>
      </c>
      <c r="F1" s="3" t="inlineStr">
        <is>
          <t>결재 전 조치</t>
        </is>
      </c>
      <c r="G1" s="3" t="inlineStr">
        <is>
          <t>추천</t>
        </is>
      </c>
    </row>
    <row r="2" ht="90" customHeight="1">
      <c r="A2" s="4" t="inlineStr">
        <is>
          <t>A: 기안서 형식 채택</t>
        </is>
      </c>
      <c r="B2" s="4" t="inlineStr">
        <is>
          <t>SH-GI-YYMMDD-NNN (현행 기안서)</t>
        </is>
      </c>
      <c r="C2" s="4" t="inlineStr">
        <is>
          <t>대장 수식을 일자-순번 형식으로 교체</t>
        </is>
      </c>
      <c r="D2" s="4" t="inlineStr">
        <is>
          <t>이미 쓴 두 번호 유지, 번호만 보고 기안일 파악</t>
        </is>
      </c>
      <c r="E2" s="4" t="inlineStr">
        <is>
          <t>대장 수식 교체(양식 변경) 필요, 일자 기준이라 연도 누계 확인은 불가</t>
        </is>
      </c>
      <c r="F2" s="4" t="inlineStr">
        <is>
          <t>대장 수식만 교체</t>
        </is>
      </c>
      <c r="G2" s="5" t="inlineStr">
        <is>
          <t>권장(최소 변경)</t>
        </is>
      </c>
    </row>
    <row r="3" ht="90" customHeight="1">
      <c r="A3" s="4" t="inlineStr">
        <is>
          <t>B: 대장 형식 채택</t>
        </is>
      </c>
      <c r="B3" s="4" t="inlineStr">
        <is>
          <t>SH-GI-YYYY-NNN (연도-연간 순번)</t>
        </is>
      </c>
      <c r="C3" s="4" t="inlineStr">
        <is>
          <t>기안서 번호 2건을 SH-GI-2026-001·002로 재채번</t>
        </is>
      </c>
      <c r="D3" s="4" t="inlineStr">
        <is>
          <t>대장 수식 그대로 사용, 연간 연속번호라 누락 확인 쉬움</t>
        </is>
      </c>
      <c r="E3" s="4" t="inlineStr">
        <is>
          <t>기안서 번호 수정 필요(두 기안서·체크리스트·지급 체크 등 이미 참조), 기안 일자는 번호로 알 수 없음</t>
        </is>
      </c>
      <c r="F3" s="4" t="inlineStr">
        <is>
          <t>결재 전 두 기안서 번호 수정·참조 문서 정정</t>
        </is>
      </c>
      <c r="G3" s="6" t="inlineStr">
        <is>
          <t>조건부(번호 변경 허용 시)</t>
        </is>
      </c>
    </row>
    <row r="4" ht="90" customHeight="1">
      <c r="A4" s="4" t="inlineStr">
        <is>
          <t>C: 하이브리드</t>
        </is>
      </c>
      <c r="B4" s="4" t="inlineStr">
        <is>
          <t>SH-GI-YYMMDD-NNN 유지 + 연간 누적 번호 별도 열</t>
        </is>
      </c>
      <c r="C4" s="4" t="inlineStr">
        <is>
          <t>대장에 연도 누적 순번 열 추가</t>
        </is>
      </c>
      <c r="D4" s="4" t="inlineStr">
        <is>
          <t>현행 번호 유지 + 연간 누계 확인</t>
        </is>
      </c>
      <c r="E4" s="4" t="inlineStr">
        <is>
          <t>열 추가로 대장 양식 변경</t>
        </is>
      </c>
      <c r="F4" s="4" t="inlineStr">
        <is>
          <t>대장 열 추가</t>
        </is>
      </c>
      <c r="G4" s="6" t="inlineStr">
        <is>
          <t>선택 가능</t>
        </is>
      </c>
    </row>
    <row r="6" ht="40" customHeight="1">
      <c r="A6" s="7" t="inlineStr">
        <is>
          <t>공통 권고: (1) 대장을 기안서 파일 밖의 단일 파일로 두고 (2) 두 기안번호를 등록하며 (3) 결재 전에 번호 체계를 확정하세요. 이미 만든 체크리스트·지급 체크는 기안서 번호(YYMMDD형) 기준으로 적었습니다.</t>
        </is>
      </c>
    </row>
  </sheetData>
  <mergeCells count="1">
    <mergeCell ref="A6:G6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12" customWidth="1" min="4" max="4"/>
    <col width="12" customWidth="1" min="5" max="5"/>
    <col width="10" customWidth="1" min="6" max="6"/>
    <col width="50" customWidth="1" min="7" max="7"/>
    <col width="34" customWidth="1" min="8" max="8"/>
  </cols>
  <sheetData>
    <row r="1">
      <c r="A1" s="3" t="inlineStr">
        <is>
          <t>순번</t>
        </is>
      </c>
      <c r="B1" s="3" t="inlineStr">
        <is>
          <t>연도</t>
        </is>
      </c>
      <c r="C1" s="3" t="inlineStr">
        <is>
          <t>기안번호(수식)</t>
        </is>
      </c>
      <c r="D1" s="3" t="inlineStr">
        <is>
          <t>기안일자</t>
        </is>
      </c>
      <c r="E1" s="3" t="inlineStr">
        <is>
          <t>부서</t>
        </is>
      </c>
      <c r="F1" s="3" t="inlineStr">
        <is>
          <t>기안자</t>
        </is>
      </c>
      <c r="G1" s="3" t="inlineStr">
        <is>
          <t>제목</t>
        </is>
      </c>
      <c r="H1" s="3" t="inlineStr">
        <is>
          <t>비고</t>
        </is>
      </c>
    </row>
    <row r="2">
      <c r="A2" s="4">
        <f>IF(D2="","",COUNTA($D$2:D2))</f>
        <v/>
      </c>
      <c r="B2" s="4">
        <f>IF(D2="","",YEAR(D2))</f>
        <v/>
      </c>
      <c r="C2" s="4">
        <f>IF(D2="","","SH-GI-"&amp;TEXT(D2,"YYMMDD")&amp;"-"&amp;TEXT(COUNTIF($D$2:D2,D2),"000"))</f>
        <v/>
      </c>
      <c r="D2" s="8" t="n">
        <v>46314</v>
      </c>
      <c r="E2" s="4" t="inlineStr">
        <is>
          <t>선행품질팀</t>
        </is>
      </c>
      <c r="F2" s="4" t="inlineStr">
        <is>
          <t>박철호</t>
        </is>
      </c>
      <c r="G2" s="4" t="inlineStr">
        <is>
          <t>ISO 14001 환경경영시스템 갱신심사 시행 및 심사비용 지급의 건</t>
        </is>
      </c>
      <c r="H2" s="4" t="inlineStr">
        <is>
          <t>결재란 비어 있음(2026-10-29 확인)</t>
        </is>
      </c>
    </row>
    <row r="3">
      <c r="A3" s="4">
        <f>IF(D3="","",COUNTA($D$2:D3))</f>
        <v/>
      </c>
      <c r="B3" s="4">
        <f>IF(D3="","",YEAR(D3))</f>
        <v/>
      </c>
      <c r="C3" s="4">
        <f>IF(D3="","","SH-GI-"&amp;TEXT(D3,"YYMMDD")&amp;"-"&amp;TEXT(COUNTIF($D$2:D3,D3),"000"))</f>
        <v/>
      </c>
      <c r="D3" s="8" t="n">
        <v>46318</v>
      </c>
      <c r="E3" s="4" t="inlineStr">
        <is>
          <t>선행품질팀</t>
        </is>
      </c>
      <c r="F3" s="4" t="inlineStr">
        <is>
          <t>박철호</t>
        </is>
      </c>
      <c r="G3" s="4" t="inlineStr">
        <is>
          <t>IATF 16949:2016 사후심사 및 심사비용 지급의 건</t>
        </is>
      </c>
      <c r="H3" s="4" t="inlineStr">
        <is>
          <t>결재란 비어 있음, 일정 문구 수정 제안 중</t>
        </is>
      </c>
    </row>
    <row r="4">
      <c r="A4" s="9">
        <f>IF(D4="","",COUNTA($D$2:D4))</f>
        <v/>
      </c>
      <c r="B4" s="9">
        <f>IF(D4="","",YEAR(D4))</f>
        <v/>
      </c>
      <c r="C4" s="9">
        <f>IF(D4="","","SH-GI-"&amp;TEXT(D4,"YYMMDD")&amp;"-"&amp;TEXT(COUNTIF($D$2:D4,D4),"000"))</f>
        <v/>
      </c>
      <c r="D4" s="9" t="n"/>
      <c r="E4" s="9" t="n"/>
      <c r="F4" s="9" t="n"/>
      <c r="G4" s="9" t="n"/>
      <c r="H4" s="9" t="n"/>
    </row>
    <row r="5">
      <c r="A5" s="9">
        <f>IF(D5="","",COUNTA($D$2:D5))</f>
        <v/>
      </c>
      <c r="B5" s="9">
        <f>IF(D5="","",YEAR(D5))</f>
        <v/>
      </c>
      <c r="C5" s="9">
        <f>IF(D5="","","SH-GI-"&amp;TEXT(D5,"YYMMDD")&amp;"-"&amp;TEXT(COUNTIF($D$2:D5,D5),"000"))</f>
        <v/>
      </c>
      <c r="D5" s="9" t="n"/>
      <c r="E5" s="9" t="n"/>
      <c r="F5" s="9" t="n"/>
      <c r="G5" s="9" t="n"/>
      <c r="H5" s="9" t="n"/>
    </row>
    <row r="6">
      <c r="A6" s="9">
        <f>IF(D6="","",COUNTA($D$2:D6))</f>
        <v/>
      </c>
      <c r="B6" s="9">
        <f>IF(D6="","",YEAR(D6))</f>
        <v/>
      </c>
      <c r="C6" s="9">
        <f>IF(D6="","","SH-GI-"&amp;TEXT(D6,"YYMMDD")&amp;"-"&amp;TEXT(COUNTIF($D$2:D6,D6),"000"))</f>
        <v/>
      </c>
      <c r="D6" s="9" t="n"/>
      <c r="E6" s="9" t="n"/>
      <c r="F6" s="9" t="n"/>
      <c r="G6" s="9" t="n"/>
      <c r="H6" s="9" t="n"/>
    </row>
    <row r="7">
      <c r="A7" s="9">
        <f>IF(D7="","",COUNTA($D$2:D7))</f>
        <v/>
      </c>
      <c r="B7" s="9">
        <f>IF(D7="","",YEAR(D7))</f>
        <v/>
      </c>
      <c r="C7" s="9">
        <f>IF(D7="","","SH-GI-"&amp;TEXT(D7,"YYMMDD")&amp;"-"&amp;TEXT(COUNTIF($D$2:D7,D7),"000"))</f>
        <v/>
      </c>
      <c r="D7" s="9" t="n"/>
      <c r="E7" s="9" t="n"/>
      <c r="F7" s="9" t="n"/>
      <c r="G7" s="9" t="n"/>
      <c r="H7" s="9" t="n"/>
    </row>
    <row r="8">
      <c r="A8" s="9">
        <f>IF(D8="","",COUNTA($D$2:D8))</f>
        <v/>
      </c>
      <c r="B8" s="9">
        <f>IF(D8="","",YEAR(D8))</f>
        <v/>
      </c>
      <c r="C8" s="9">
        <f>IF(D8="","","SH-GI-"&amp;TEXT(D8,"YYMMDD")&amp;"-"&amp;TEXT(COUNTIF($D$2:D8,D8),"000"))</f>
        <v/>
      </c>
      <c r="D8" s="9" t="n"/>
      <c r="E8" s="9" t="n"/>
      <c r="F8" s="9" t="n"/>
      <c r="G8" s="9" t="n"/>
      <c r="H8" s="9" t="n"/>
    </row>
    <row r="10" ht="48" customHeight="1">
      <c r="A10" s="7" t="inlineStr">
        <is>
          <t>※ 안 A(대장 수식을 YYMMDD 형식으로 교체)를 적용한 예시입니다. 이 표는 초안이며 공식 대장이 아닙니다. 안 B를 택하면 수식은 기존(연도-순번)을 쓰고 기안번호를 SH-GI-2026-001·002로 바꿔야 합니다.</t>
        </is>
      </c>
    </row>
  </sheetData>
  <mergeCells count="1">
    <mergeCell ref="A10:H10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2026-10-29T02:20:08Z</dcterms:created>
  <dcterms:modified xmlns:dcterms="http://purl.org/dc/terms/" xmlns:xsi="http://www.w3.org/2001/XMLSchema-instance" xsi:type="dcterms:W3CDTF">2026-10-29T02:20:08Z</dcterms:modified>
</cp:coreProperties>
</file>