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모의심사 20항목" sheetId="2" state="visible" r:id="rId2"/>
    <sheet xmlns:r="http://schemas.openxmlformats.org/officeDocument/2006/relationships" name="2_LOT 추적 실습" sheetId="3" state="visible" r:id="rId3"/>
    <sheet xmlns:r="http://schemas.openxmlformats.org/officeDocument/2006/relationships" name="4_일정 제안" sheetId="4" state="visible" r:id="rId4"/>
    <sheet xmlns:r="http://schemas.openxmlformats.org/officeDocument/2006/relationships" name="3_결과 요약" sheetId="5" state="visible" r:id="rId5"/>
  </sheets>
  <definedNames>
    <definedName name="_xlnm.Print_Titles" localSheetId="1">'1_모의심사 20항목'!$1:$1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IATF 16949 사후심사 모의심사 준비표 v2 (2026-10-29) — 증빙 U12</t>
        </is>
      </c>
    </row>
    <row r="2">
      <c r="A2" s="2" t="inlineStr">
        <is>
          <t>목적: 심사 전에 20개 질문(M01~M20)으로 모의심사를 실시하고, 대표 LOT 정·역추적 실습의 실제 소요시간과 수량 대조를 기록하기 위한 점검 틀입니다.</t>
        </is>
      </c>
    </row>
    <row r="3">
      <c r="A3" s="2" t="inlineStr">
        <is>
          <t>근거: ChatGPT 프로젝트 「신화_IATF16949인증갱신심사」 EXECUTION MASTER Rev02의 03_모의심사 질문 20개와 LOT 추적 실습 항목(질문·확인 기준은 그 파일 내용을 옮겼고, 대응 담당 후보는 E01~E20 분담안 제안을 연결한 것이며 확정이 아닙니다).</t>
        </is>
      </c>
    </row>
    <row r="4">
      <c r="A4" s="2" t="inlineStr">
        <is>
          <t>모든 결과 칸은 비어 있고 상태는 "미실시"입니다. 실제로 실시한 날짜·응답자·증거·판정만 기록하며, LOT 값·시각·수량은 실제 양산 LOT로 실습한 뒤 입력합니다(예시·가정 값 없음, 소급 작성 금지).</t>
        </is>
      </c>
    </row>
    <row r="5">
      <c r="A5" s="2" t="inlineStr">
        <is>
          <t>일정: IATF 사후심사 2026-12-07(월)~12-08(화) 확정(NQA 공문 NQA202610-1901). 모의심사 목표일은 SQ 방안 A 일정(M4 11/25, M5·양식 11/27, M6 11/30, M7 12/01~M9 12/03)과 ISO 14001 심사(11/19~20)를 피해 제안한 값이며 확정이 아닙니다. 담당은 IATF 박철호 부장(대체 이광재 부장).</t>
        </is>
      </c>
    </row>
    <row r="6">
      <c r="A6" s="2" t="inlineStr">
        <is>
          <t>LOT 추적 목표시간 1시간(60분)은 MASTER가 내부 WI-005 목표로 적은 값입니다. 승인 문서(SH-QP-018·SH-WI-005)와 대조해 확정하세요.</t>
        </is>
      </c>
    </row>
    <row r="7">
      <c r="A7" s="2" t="inlineStr">
        <is>
          <t>시트: 1_모의심사 20항목 / 2_LOT 추적 실습 / 3_결과 요약(자동 집계).</t>
        </is>
      </c>
    </row>
    <row r="8">
      <c r="A8" s="2" t="inlineStr">
        <is>
          <t>v2(2026-10-29): 모의심사 20항목에 "목표일(제안)" 열과 시트 「일정 제안」을 추가했습니다. 결과·응답자·증거·LOT 값은 그대로 비어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4" customWidth="1" min="4" max="4"/>
    <col width="10" customWidth="1" min="5" max="5"/>
    <col width="20" customWidth="1" min="6" max="6"/>
    <col width="14" customWidth="1" min="7" max="7"/>
    <col width="11" customWidth="1" min="8" max="8"/>
    <col width="11" customWidth="1" min="9" max="9"/>
    <col width="28" customWidth="1" min="10" max="10"/>
    <col width="18" customWidth="1" min="11" max="11"/>
    <col width="10" customWidth="1" min="12" max="12"/>
    <col width="18" customWidth="1" min="13" max="13"/>
  </cols>
  <sheetData>
    <row r="1">
      <c r="A1" s="3" t="inlineStr">
        <is>
          <t>ID</t>
        </is>
      </c>
      <c r="B1" s="3" t="inlineStr">
        <is>
          <t>심사 질문</t>
        </is>
      </c>
      <c r="C1" s="3" t="inlineStr">
        <is>
          <t>답변·현장 확인 기준</t>
        </is>
      </c>
      <c r="D1" s="3" t="inlineStr">
        <is>
          <t>대응부서(안)</t>
        </is>
      </c>
      <c r="E1" s="3" t="inlineStr">
        <is>
          <t>연계 항목</t>
        </is>
      </c>
      <c r="F1" s="3" t="inlineStr">
        <is>
          <t>대응 담당 후보(분담안 제안)</t>
        </is>
      </c>
      <c r="G1" s="3" t="inlineStr">
        <is>
          <t>확정 응답자(입력)</t>
        </is>
      </c>
      <c r="H1" s="3" t="inlineStr">
        <is>
          <t>실시일(입력)</t>
        </is>
      </c>
      <c r="I1" s="3" t="inlineStr">
        <is>
          <t>결과(입력)</t>
        </is>
      </c>
      <c r="J1" s="3" t="inlineStr">
        <is>
          <t>객관적 증거·기록 위치(입력)</t>
        </is>
      </c>
      <c r="K1" s="3" t="inlineStr">
        <is>
          <t>발견사항·조치번호(입력)</t>
        </is>
      </c>
      <c r="L1" s="3" t="inlineStr">
        <is>
          <t>확인자(입력)</t>
        </is>
      </c>
      <c r="M1" s="3" t="inlineStr">
        <is>
          <t>목표일(제안)</t>
        </is>
      </c>
    </row>
    <row r="2" ht="58" customHeight="1">
      <c r="A2" s="4" t="inlineStr">
        <is>
          <t>M01</t>
        </is>
      </c>
      <c r="B2" s="4" t="inlineStr">
        <is>
          <t>최신 문서는 어디서 확인하고 구본 사용은 어떻게 막습니까?</t>
        </is>
      </c>
      <c r="C2" s="4" t="inlineStr">
        <is>
          <t>최신본 조회와 실제 배포·회수 사례를 제시</t>
        </is>
      </c>
      <c r="D2" s="4" t="inlineStr">
        <is>
          <t>문서관리</t>
        </is>
      </c>
      <c r="E2" s="4" t="inlineStr">
        <is>
          <t>E01~E05</t>
        </is>
      </c>
      <c r="F2" s="4" t="inlineStr">
        <is>
          <t>안혜정 대리 / 지성규 부장</t>
        </is>
      </c>
      <c r="G2" s="5" t="n"/>
      <c r="H2" s="5" t="n"/>
      <c r="I2" s="5" t="inlineStr">
        <is>
          <t>미실시</t>
        </is>
      </c>
      <c r="J2" s="5" t="n"/>
      <c r="K2" s="5" t="n"/>
      <c r="L2" s="5" t="n"/>
      <c r="M2" s="5" t="inlineStr">
        <is>
          <t>2026-11-23</t>
        </is>
      </c>
    </row>
    <row r="3" ht="58" customHeight="1">
      <c r="A3" s="4" t="inlineStr">
        <is>
          <t>M02</t>
        </is>
      </c>
      <c r="B3" s="4" t="inlineStr">
        <is>
          <t>심사범위와 사업장·지원기능·교대는 실제 운영과 같습니까?</t>
        </is>
      </c>
      <c r="C3" s="4" t="inlineStr">
        <is>
          <t>인증서·계획·현행 조직 및 교대정보 대조</t>
        </is>
      </c>
      <c r="D3" s="4" t="inlineStr">
        <is>
          <t>품질 / 인사</t>
        </is>
      </c>
      <c r="E3" s="4" t="inlineStr">
        <is>
          <t>U01·U02</t>
        </is>
      </c>
      <c r="F3" s="4" t="inlineStr">
        <is>
          <t>박철호 부장(U 항목)</t>
        </is>
      </c>
      <c r="G3" s="5" t="n"/>
      <c r="H3" s="5" t="n"/>
      <c r="I3" s="5" t="inlineStr">
        <is>
          <t>미실시</t>
        </is>
      </c>
      <c r="J3" s="5" t="n"/>
      <c r="K3" s="5" t="n"/>
      <c r="L3" s="5" t="n"/>
      <c r="M3" s="5" t="inlineStr">
        <is>
          <t>2026-11-23</t>
        </is>
      </c>
    </row>
    <row r="4" ht="58" customHeight="1">
      <c r="A4" s="4" t="inlineStr">
        <is>
          <t>M03</t>
        </is>
      </c>
      <c r="B4" s="4" t="inlineStr">
        <is>
          <t>최근 내부심사에서 무엇을 발견했고 어떻게 종결했습니까?</t>
        </is>
      </c>
      <c r="C4" s="4" t="inlineStr">
        <is>
          <t>QMS·공정·제품심사 실제 결과와 시정·효과 증빙</t>
        </is>
      </c>
      <c r="D4" s="4" t="inlineStr">
        <is>
          <t>품질</t>
        </is>
      </c>
      <c r="E4" s="4" t="inlineStr">
        <is>
          <t>E09</t>
        </is>
      </c>
      <c r="F4" s="4" t="inlineStr">
        <is>
          <t>김주태 이사</t>
        </is>
      </c>
      <c r="G4" s="5" t="n"/>
      <c r="H4" s="5" t="n"/>
      <c r="I4" s="5" t="inlineStr">
        <is>
          <t>미실시</t>
        </is>
      </c>
      <c r="J4" s="5" t="n"/>
      <c r="K4" s="5" t="n"/>
      <c r="L4" s="5" t="n"/>
      <c r="M4" s="5" t="inlineStr">
        <is>
          <t>2026-11-23</t>
        </is>
      </c>
    </row>
    <row r="5" ht="58" customHeight="1">
      <c r="A5" s="4" t="inlineStr">
        <is>
          <t>M04</t>
        </is>
      </c>
      <c r="B5" s="4" t="inlineStr">
        <is>
          <t>경영검토에서 무엇을 결정했고 이행되었습니까?</t>
        </is>
      </c>
      <c r="C5" s="4" t="inlineStr">
        <is>
          <t>입력자료·회의록·결정·책임·완료근거 연결</t>
        </is>
      </c>
      <c r="D5" s="4" t="inlineStr">
        <is>
          <t>경영 / 품질</t>
        </is>
      </c>
      <c r="E5" s="4" t="inlineStr">
        <is>
          <t>E10</t>
        </is>
      </c>
      <c r="F5" s="4" t="inlineStr">
        <is>
          <t>김흥수 이사</t>
        </is>
      </c>
      <c r="G5" s="5" t="n"/>
      <c r="H5" s="5" t="n"/>
      <c r="I5" s="5" t="inlineStr">
        <is>
          <t>미실시</t>
        </is>
      </c>
      <c r="J5" s="5" t="n"/>
      <c r="K5" s="5" t="n"/>
      <c r="L5" s="5" t="n"/>
      <c r="M5" s="5" t="inlineStr">
        <is>
          <t>2026-11-23</t>
        </is>
      </c>
    </row>
    <row r="6" ht="58" customHeight="1">
      <c r="A6" s="4" t="inlineStr">
        <is>
          <t>M05</t>
        </is>
      </c>
      <c r="B6" s="4" t="inlineStr">
        <is>
          <t>고객의 최신 요구와 품질성과는 어떻게 관리합니까?</t>
        </is>
      </c>
      <c r="C6" s="4" t="inlineStr">
        <is>
          <t>적용 CSR·스코어카드·실적·미달조치 제시</t>
        </is>
      </c>
      <c r="D6" s="4" t="inlineStr">
        <is>
          <t>영업 / 품질</t>
        </is>
      </c>
      <c r="E6" s="4" t="inlineStr">
        <is>
          <t>E11</t>
        </is>
      </c>
      <c r="F6" s="4" t="inlineStr">
        <is>
          <t>이광재 부장</t>
        </is>
      </c>
      <c r="G6" s="5" t="n"/>
      <c r="H6" s="5" t="n"/>
      <c r="I6" s="5" t="inlineStr">
        <is>
          <t>미실시</t>
        </is>
      </c>
      <c r="J6" s="5" t="n"/>
      <c r="K6" s="5" t="n"/>
      <c r="L6" s="5" t="n"/>
      <c r="M6" s="5" t="inlineStr">
        <is>
          <t>2026-11-23</t>
        </is>
      </c>
    </row>
    <row r="7" ht="58" customHeight="1">
      <c r="A7" s="4" t="inlineStr">
        <is>
          <t>M06</t>
        </is>
      </c>
      <c r="B7" s="4" t="inlineStr">
        <is>
          <t>이 품번의 공정흐름·PFMEA·CP·WI는 일치합니까?</t>
        </is>
      </c>
      <c r="C7" s="4" t="inlineStr">
        <is>
          <t>동일 품번·공정번호·특별특성·반응계획 연결</t>
        </is>
      </c>
      <c r="D7" s="4" t="inlineStr">
        <is>
          <t>개발 / 품질</t>
        </is>
      </c>
      <c r="E7" s="4" t="inlineStr">
        <is>
          <t>E12</t>
        </is>
      </c>
      <c r="F7" s="4" t="inlineStr">
        <is>
          <t>이광재 부장</t>
        </is>
      </c>
      <c r="G7" s="5" t="n"/>
      <c r="H7" s="5" t="n"/>
      <c r="I7" s="5" t="inlineStr">
        <is>
          <t>미실시</t>
        </is>
      </c>
      <c r="J7" s="5" t="n"/>
      <c r="K7" s="5" t="n"/>
      <c r="L7" s="5" t="n"/>
      <c r="M7" s="5" t="inlineStr">
        <is>
          <t>2026-11-23</t>
        </is>
      </c>
    </row>
    <row r="8" ht="58" customHeight="1">
      <c r="A8" s="4" t="inlineStr">
        <is>
          <t>M07</t>
        </is>
      </c>
      <c r="B8" s="4" t="inlineStr">
        <is>
          <t>이 출하 LOT의 원자재·설비·검사·납품처를 추적해 주세요.</t>
        </is>
      </c>
      <c r="C8" s="4" t="inlineStr">
        <is>
          <t>대표 LOT의 정·역추적과 수량 대조. 내부 WI005 목표 1시간은 실제 시간으로 검증</t>
        </is>
      </c>
      <c r="D8" s="4" t="inlineStr">
        <is>
          <t>생산관리 / 자재</t>
        </is>
      </c>
      <c r="E8" s="4" t="inlineStr">
        <is>
          <t>E13</t>
        </is>
      </c>
      <c r="F8" s="4" t="inlineStr">
        <is>
          <t>지성규 부장</t>
        </is>
      </c>
      <c r="G8" s="5" t="n"/>
      <c r="H8" s="5" t="n"/>
      <c r="I8" s="5" t="inlineStr">
        <is>
          <t>미실시</t>
        </is>
      </c>
      <c r="J8" s="5" t="n"/>
      <c r="K8" s="5" t="n"/>
      <c r="L8" s="5" t="n"/>
      <c r="M8" s="5" t="inlineStr">
        <is>
          <t>2026-11-24(LOT 실습 11/25와 연계)</t>
        </is>
      </c>
    </row>
    <row r="9" ht="58" customHeight="1">
      <c r="A9" s="4" t="inlineStr">
        <is>
          <t>M08</t>
        </is>
      </c>
      <c r="B9" s="4" t="inlineStr">
        <is>
          <t>제품안전 특성과 이상보고 책임은 누구입니까?</t>
        </is>
      </c>
      <c r="C9" s="4" t="inlineStr">
        <is>
          <t>적용요구·책임·교육·에스컬레이션 실제 근거</t>
        </is>
      </c>
      <c r="D9" s="4" t="inlineStr">
        <is>
          <t>제품안전 / 품질</t>
        </is>
      </c>
      <c r="E9" s="4" t="inlineStr">
        <is>
          <t>E06</t>
        </is>
      </c>
      <c r="F9" s="4" t="inlineStr">
        <is>
          <t>이광재 부장</t>
        </is>
      </c>
      <c r="G9" s="5" t="n"/>
      <c r="H9" s="5" t="n"/>
      <c r="I9" s="5" t="inlineStr">
        <is>
          <t>미실시</t>
        </is>
      </c>
      <c r="J9" s="5" t="n"/>
      <c r="K9" s="5" t="n"/>
      <c r="L9" s="5" t="n"/>
      <c r="M9" s="5" t="inlineStr">
        <is>
          <t>2026-11-23</t>
        </is>
      </c>
    </row>
    <row r="10" ht="58" customHeight="1">
      <c r="A10" s="4" t="inlineStr">
        <is>
          <t>M09</t>
        </is>
      </c>
      <c r="B10" s="4" t="inlineStr">
        <is>
          <t>SPC 특성에서 이상이 발생하면 어떻게 조치합니까?</t>
        </is>
      </c>
      <c r="C10" s="4" t="inlineStr">
        <is>
          <t>실측 원자료·관리기준·판정·제품 봉쇄·효과 제시</t>
        </is>
      </c>
      <c r="D10" s="4" t="inlineStr">
        <is>
          <t>생산 / 품질</t>
        </is>
      </c>
      <c r="E10" s="4" t="inlineStr">
        <is>
          <t>E07</t>
        </is>
      </c>
      <c r="F10" s="4" t="inlineStr">
        <is>
          <t>이광재 부장</t>
        </is>
      </c>
      <c r="G10" s="5" t="n"/>
      <c r="H10" s="5" t="n"/>
      <c r="I10" s="5" t="inlineStr">
        <is>
          <t>미실시</t>
        </is>
      </c>
      <c r="J10" s="5" t="n"/>
      <c r="K10" s="5" t="n"/>
      <c r="L10" s="5" t="n"/>
      <c r="M10" s="5" t="inlineStr">
        <is>
          <t>2026-11-23</t>
        </is>
      </c>
    </row>
    <row r="11" ht="58" customHeight="1">
      <c r="A11" s="4" t="inlineStr">
        <is>
          <t>M10</t>
        </is>
      </c>
      <c r="B11" s="4" t="inlineStr">
        <is>
          <t>품질비용과 개선과제는 실제 금액·효과로 확인됩니까?</t>
        </is>
      </c>
      <c r="C11" s="4" t="inlineStr">
        <is>
          <t>비용 원장·COPQ·과제 전후 실적 연결</t>
        </is>
      </c>
      <c r="D11" s="4" t="inlineStr">
        <is>
          <t>품질 / 회계</t>
        </is>
      </c>
      <c r="E11" s="4" t="inlineStr">
        <is>
          <t>E08</t>
        </is>
      </c>
      <c r="F11" s="4" t="inlineStr">
        <is>
          <t>안혜정 대리</t>
        </is>
      </c>
      <c r="G11" s="5" t="n"/>
      <c r="H11" s="5" t="n"/>
      <c r="I11" s="5" t="inlineStr">
        <is>
          <t>미실시</t>
        </is>
      </c>
      <c r="J11" s="5" t="n"/>
      <c r="K11" s="5" t="n"/>
      <c r="L11" s="5" t="n"/>
      <c r="M11" s="5" t="inlineStr">
        <is>
          <t>2026-11-23</t>
        </is>
      </c>
    </row>
    <row r="12" ht="58" customHeight="1">
      <c r="A12" s="4" t="inlineStr">
        <is>
          <t>M11</t>
        </is>
      </c>
      <c r="B12" s="4" t="inlineStr">
        <is>
          <t>이 측정기는 유효하고 이 특성 측정에 적합합니까?</t>
        </is>
      </c>
      <c r="C12" s="4" t="inlineStr">
        <is>
          <t>교정·MSA·이탈영향 평가와 CP 적용 확인</t>
        </is>
      </c>
      <c r="D12" s="4" t="inlineStr">
        <is>
          <t>품질</t>
        </is>
      </c>
      <c r="E12" s="4" t="inlineStr">
        <is>
          <t>E14</t>
        </is>
      </c>
      <c r="F12" s="4" t="inlineStr">
        <is>
          <t>이광재 부장</t>
        </is>
      </c>
      <c r="G12" s="5" t="n"/>
      <c r="H12" s="5" t="n"/>
      <c r="I12" s="5" t="inlineStr">
        <is>
          <t>미실시</t>
        </is>
      </c>
      <c r="J12" s="5" t="n"/>
      <c r="K12" s="5" t="n"/>
      <c r="L12" s="5" t="n"/>
      <c r="M12" s="5" t="inlineStr">
        <is>
          <t>2026-11-24</t>
        </is>
      </c>
    </row>
    <row r="13" ht="58" customHeight="1">
      <c r="A13" s="4" t="inlineStr">
        <is>
          <t>M12</t>
        </is>
      </c>
      <c r="B13" s="4" t="inlineStr">
        <is>
          <t>설비보전 계획 대비 미실시·고장은 어떻게 처리합니까?</t>
        </is>
      </c>
      <c r="C13" s="4" t="inlineStr">
        <is>
          <t>중요설비 점검·보전·고장·복구·지연조치 기록</t>
        </is>
      </c>
      <c r="D13" s="4" t="inlineStr">
        <is>
          <t>설비 / 생산</t>
        </is>
      </c>
      <c r="E13" s="4" t="inlineStr">
        <is>
          <t>E15</t>
        </is>
      </c>
      <c r="F13" s="4" t="inlineStr">
        <is>
          <t>지성규 부장</t>
        </is>
      </c>
      <c r="G13" s="5" t="n"/>
      <c r="H13" s="5" t="n"/>
      <c r="I13" s="5" t="inlineStr">
        <is>
          <t>미실시</t>
        </is>
      </c>
      <c r="J13" s="5" t="n"/>
      <c r="K13" s="5" t="n"/>
      <c r="L13" s="5" t="n"/>
      <c r="M13" s="5" t="inlineStr">
        <is>
          <t>2026-11-24</t>
        </is>
      </c>
    </row>
    <row r="14" ht="58" customHeight="1">
      <c r="A14" s="4" t="inlineStr">
        <is>
          <t>M13</t>
        </is>
      </c>
      <c r="B14" s="4" t="inlineStr">
        <is>
          <t>이 작업자는 작업·특별특성·이상조치를 설명할 수 있습니까?</t>
        </is>
      </c>
      <c r="C14" s="4" t="inlineStr">
        <is>
          <t>실제 작업 관찰·교육·역량평가·자격 대조</t>
        </is>
      </c>
      <c r="D14" s="4" t="inlineStr">
        <is>
          <t>생산 / 교육</t>
        </is>
      </c>
      <c r="E14" s="4" t="inlineStr">
        <is>
          <t>E16</t>
        </is>
      </c>
      <c r="F14" s="4" t="inlineStr">
        <is>
          <t>안혜정 대리</t>
        </is>
      </c>
      <c r="G14" s="5" t="n"/>
      <c r="H14" s="5" t="n"/>
      <c r="I14" s="5" t="inlineStr">
        <is>
          <t>미실시</t>
        </is>
      </c>
      <c r="J14" s="5" t="n"/>
      <c r="K14" s="5" t="n"/>
      <c r="L14" s="5" t="n"/>
      <c r="M14" s="5" t="inlineStr">
        <is>
          <t>2026-11-24</t>
        </is>
      </c>
    </row>
    <row r="15" ht="58" customHeight="1">
      <c r="A15" s="4" t="inlineStr">
        <is>
          <t>M14</t>
        </is>
      </c>
      <c r="B15" s="4" t="inlineStr">
        <is>
          <t>공급자 평가는 어떤 기준과 실제 성과로 결정합니까?</t>
        </is>
      </c>
      <c r="C15" s="4" t="inlineStr">
        <is>
          <t>승인 평가기준·품질·납기·후속조치 제시</t>
        </is>
      </c>
      <c r="D15" s="4" t="inlineStr">
        <is>
          <t>구매 / 품질</t>
        </is>
      </c>
      <c r="E15" s="4" t="inlineStr">
        <is>
          <t>E17</t>
        </is>
      </c>
      <c r="F15" s="4" t="inlineStr">
        <is>
          <t>안혜정 대리</t>
        </is>
      </c>
      <c r="G15" s="5" t="n"/>
      <c r="H15" s="5" t="n"/>
      <c r="I15" s="5" t="inlineStr">
        <is>
          <t>미실시</t>
        </is>
      </c>
      <c r="J15" s="5" t="n"/>
      <c r="K15" s="5" t="n"/>
      <c r="L15" s="5" t="n"/>
      <c r="M15" s="5" t="inlineStr">
        <is>
          <t>2026-11-24</t>
        </is>
      </c>
    </row>
    <row r="16" ht="58" customHeight="1">
      <c r="A16" s="4" t="inlineStr">
        <is>
          <t>M15</t>
        </is>
      </c>
      <c r="B16" s="4" t="inlineStr">
        <is>
          <t>부적합품과 재작업품의 혼입을 어떻게 막습니까?</t>
        </is>
      </c>
      <c r="C16" s="4" t="inlineStr">
        <is>
          <t>격리·처분·재검사·원 LOT·승인 이력</t>
        </is>
      </c>
      <c r="D16" s="4" t="inlineStr">
        <is>
          <t>생산 / 품질</t>
        </is>
      </c>
      <c r="E16" s="4" t="inlineStr">
        <is>
          <t>E18</t>
        </is>
      </c>
      <c r="F16" s="4" t="inlineStr">
        <is>
          <t>이광재 부장</t>
        </is>
      </c>
      <c r="G16" s="5" t="n"/>
      <c r="H16" s="5" t="n"/>
      <c r="I16" s="5" t="inlineStr">
        <is>
          <t>미실시</t>
        </is>
      </c>
      <c r="J16" s="5" t="n"/>
      <c r="K16" s="5" t="n"/>
      <c r="L16" s="5" t="n"/>
      <c r="M16" s="5" t="inlineStr">
        <is>
          <t>2026-11-24</t>
        </is>
      </c>
    </row>
    <row r="17" ht="58" customHeight="1">
      <c r="A17" s="4" t="inlineStr">
        <is>
          <t>M16</t>
        </is>
      </c>
      <c r="B17" s="4" t="inlineStr">
        <is>
          <t>최근 고객불만은 재발하지 않는다고 어떻게 확인했습니까?</t>
        </is>
      </c>
      <c r="C17" s="4" t="inlineStr">
        <is>
          <t>실제 8D·수평전개·효과 기준·관찰결과 제시</t>
        </is>
      </c>
      <c r="D17" s="4" t="inlineStr">
        <is>
          <t>품질</t>
        </is>
      </c>
      <c r="E17" s="4" t="inlineStr">
        <is>
          <t>E18·E20</t>
        </is>
      </c>
      <c r="F17" s="4" t="inlineStr">
        <is>
          <t>이광재 부장</t>
        </is>
      </c>
      <c r="G17" s="5" t="n"/>
      <c r="H17" s="5" t="n"/>
      <c r="I17" s="5" t="inlineStr">
        <is>
          <t>미실시</t>
        </is>
      </c>
      <c r="J17" s="5" t="n"/>
      <c r="K17" s="5" t="n"/>
      <c r="L17" s="5" t="n"/>
      <c r="M17" s="5" t="inlineStr">
        <is>
          <t>2026-11-24</t>
        </is>
      </c>
    </row>
    <row r="18" ht="58" customHeight="1">
      <c r="A18" s="4" t="inlineStr">
        <is>
          <t>M17</t>
        </is>
      </c>
      <c r="B18" s="4" t="inlineStr">
        <is>
          <t>스캔본과 종이 원본이 다르면 어떻게 처리합니까?</t>
        </is>
      </c>
      <c r="C18" s="4" t="inlineStr">
        <is>
          <t>QP018의 보류·원본대조·재스캔·긴급추적 승인과 FM363 실제 기록</t>
        </is>
      </c>
      <c r="D18" s="4" t="inlineStr">
        <is>
          <t>품질 / 자재출하</t>
        </is>
      </c>
      <c r="E18" s="4" t="inlineStr">
        <is>
          <t>E13·E19</t>
        </is>
      </c>
      <c r="F18" s="4" t="inlineStr">
        <is>
          <t>지성규 부장</t>
        </is>
      </c>
      <c r="G18" s="5" t="n"/>
      <c r="H18" s="5" t="n"/>
      <c r="I18" s="5" t="inlineStr">
        <is>
          <t>미실시</t>
        </is>
      </c>
      <c r="J18" s="5" t="n"/>
      <c r="K18" s="5" t="n"/>
      <c r="L18" s="5" t="n"/>
      <c r="M18" s="5" t="inlineStr">
        <is>
          <t>2026-11-24</t>
        </is>
      </c>
    </row>
    <row r="19" ht="58" customHeight="1">
      <c r="A19" s="4" t="inlineStr">
        <is>
          <t>M18</t>
        </is>
      </c>
      <c r="B19" s="4" t="inlineStr">
        <is>
          <t>백업 파일을 실제로 복구해 본 결과를 보여주세요.</t>
        </is>
      </c>
      <c r="C19" s="4" t="inlineStr">
        <is>
          <t>QP018 내부 기준 월 1회·무작위 3건과 FM364 실제 결과 대조</t>
        </is>
      </c>
      <c r="D19" s="4" t="inlineStr">
        <is>
          <t>품질 / 관리</t>
        </is>
      </c>
      <c r="E19" s="4" t="inlineStr">
        <is>
          <t>E19</t>
        </is>
      </c>
      <c r="F19" s="4" t="inlineStr">
        <is>
          <t>지성규 부장</t>
        </is>
      </c>
      <c r="G19" s="5" t="n"/>
      <c r="H19" s="5" t="n"/>
      <c r="I19" s="5" t="inlineStr">
        <is>
          <t>미실시</t>
        </is>
      </c>
      <c r="J19" s="5" t="n"/>
      <c r="K19" s="5" t="n"/>
      <c r="L19" s="5" t="n"/>
      <c r="M19" s="5" t="inlineStr">
        <is>
          <t>2026-11-24</t>
        </is>
      </c>
    </row>
    <row r="20" ht="58" customHeight="1">
      <c r="A20" s="4" t="inlineStr">
        <is>
          <t>M19</t>
        </is>
      </c>
      <c r="B20" s="4" t="inlineStr">
        <is>
          <t>비상상황 후 고객 공급과 제품 적합성을 어떻게 확인합니까?</t>
        </is>
      </c>
      <c r="C20" s="4" t="inlineStr">
        <is>
          <t>실제 훈련·고객통보 판단·복구·재개검증·개선</t>
        </is>
      </c>
      <c r="D20" s="4" t="inlineStr">
        <is>
          <t>생산 / 품질</t>
        </is>
      </c>
      <c r="E20" s="4" t="inlineStr">
        <is>
          <t>E19</t>
        </is>
      </c>
      <c r="F20" s="4" t="inlineStr">
        <is>
          <t>지성규 부장</t>
        </is>
      </c>
      <c r="G20" s="5" t="n"/>
      <c r="H20" s="5" t="n"/>
      <c r="I20" s="5" t="inlineStr">
        <is>
          <t>미실시</t>
        </is>
      </c>
      <c r="J20" s="5" t="n"/>
      <c r="K20" s="5" t="n"/>
      <c r="L20" s="5" t="n"/>
      <c r="M20" s="5" t="inlineStr">
        <is>
          <t>2026-11-24</t>
        </is>
      </c>
    </row>
    <row r="21" ht="58" customHeight="1">
      <c r="A21" s="4" t="inlineStr">
        <is>
          <t>M20</t>
        </is>
      </c>
      <c r="B21" s="4" t="inlineStr">
        <is>
          <t>직전 심사 지적과 주요 변경은 현재도 관리됩니까?</t>
        </is>
      </c>
      <c r="C21" s="4" t="inlineStr">
        <is>
          <t>기관 종결·현장 재발 여부·변경승인·고객승인 근거</t>
        </is>
      </c>
      <c r="D21" s="4" t="inlineStr">
        <is>
          <t>품질 / 개발</t>
        </is>
      </c>
      <c r="E21" s="4" t="inlineStr">
        <is>
          <t>E20·E12</t>
        </is>
      </c>
      <c r="F21" s="4" t="inlineStr">
        <is>
          <t>이광재 부장</t>
        </is>
      </c>
      <c r="G21" s="5" t="n"/>
      <c r="H21" s="5" t="n"/>
      <c r="I21" s="5" t="inlineStr">
        <is>
          <t>미실시</t>
        </is>
      </c>
      <c r="J21" s="5" t="n"/>
      <c r="K21" s="5" t="n"/>
      <c r="L21" s="5" t="n"/>
      <c r="M21" s="5" t="inlineStr">
        <is>
          <t>2026-11-24</t>
        </is>
      </c>
    </row>
  </sheetData>
  <dataValidations count="1">
    <dataValidation sqref="I2:I21" showDropDown="0" showInputMessage="0" showErrorMessage="0" allowBlank="1" type="list">
      <formula1>"미실시,적합,부분 적합,부적합,개선 필요"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48" customWidth="1" min="3" max="3"/>
    <col width="26" customWidth="1" min="4" max="4"/>
    <col width="16" customWidth="1" min="5" max="5"/>
    <col width="16" customWidth="1" min="6" max="6"/>
  </cols>
  <sheetData>
    <row r="1">
      <c r="A1" s="3" t="inlineStr">
        <is>
          <t>실습 항목</t>
        </is>
      </c>
      <c r="B1" s="3" t="inlineStr">
        <is>
          <t>입력값·실측결과(입력)</t>
        </is>
      </c>
      <c r="C1" s="3" t="inlineStr">
        <is>
          <t>확인할 내용</t>
        </is>
      </c>
      <c r="D1" s="3" t="inlineStr">
        <is>
          <t>증거 경로·기록번호(입력)</t>
        </is>
      </c>
      <c r="E1" s="3" t="inlineStr">
        <is>
          <t>실제 확인자(입력)</t>
        </is>
      </c>
      <c r="F1" s="3" t="inlineStr">
        <is>
          <t>확인일시(입력)</t>
        </is>
      </c>
    </row>
    <row r="2" ht="30" customHeight="1">
      <c r="A2" s="4" t="inlineStr">
        <is>
          <t>실습 구분</t>
        </is>
      </c>
      <c r="B2" s="5" t="n"/>
      <c r="C2" s="4" t="inlineStr">
        <is>
          <t>정방향·역방향 및 실제 대상 공정</t>
        </is>
      </c>
      <c r="D2" s="5" t="n"/>
      <c r="E2" s="5" t="n"/>
      <c r="F2" s="5" t="n"/>
    </row>
    <row r="3" ht="30" customHeight="1">
      <c r="A3" s="4" t="inlineStr">
        <is>
          <t>대표 품번·품명</t>
        </is>
      </c>
      <c r="B3" s="5" t="n"/>
      <c r="C3" s="4" t="inlineStr">
        <is>
          <t>실제 양산 품번과 고객 요구 대상 확인</t>
        </is>
      </c>
      <c r="D3" s="5" t="n"/>
      <c r="E3" s="5" t="n"/>
      <c r="F3" s="5" t="n"/>
    </row>
    <row r="4" ht="30" customHeight="1">
      <c r="A4" s="4" t="inlineStr">
        <is>
          <t>출하 LOT·납품처</t>
        </is>
      </c>
      <c r="B4" s="5" t="n"/>
      <c r="C4" s="4" t="inlineStr">
        <is>
          <t>출하일·납품처·출하명세 원본 연결</t>
        </is>
      </c>
      <c r="D4" s="5" t="n"/>
      <c r="E4" s="5" t="n"/>
      <c r="F4" s="5" t="n"/>
    </row>
    <row r="5" ht="30" customHeight="1">
      <c r="A5" s="4" t="inlineStr">
        <is>
          <t>실시일·실시자</t>
        </is>
      </c>
      <c r="B5" s="5" t="n"/>
      <c r="C5" s="4" t="inlineStr">
        <is>
          <t>실제 실시일과 수행자 기록</t>
        </is>
      </c>
      <c r="D5" s="5" t="n"/>
      <c r="E5" s="5" t="n"/>
      <c r="F5" s="5" t="n"/>
    </row>
    <row r="6" ht="30" customHeight="1">
      <c r="A6" s="4" t="inlineStr">
        <is>
          <t>정방향 시작시각</t>
        </is>
      </c>
      <c r="B6" s="5" t="n"/>
      <c r="C6" s="4" t="inlineStr">
        <is>
          <t>원자재 입고 LOT에서 출하까지 추적 시작 (yyyy-mm-dd hh:mm)</t>
        </is>
      </c>
      <c r="D6" s="5" t="n"/>
      <c r="E6" s="5" t="n"/>
      <c r="F6" s="5" t="n"/>
    </row>
    <row r="7" ht="30" customHeight="1">
      <c r="A7" s="4" t="inlineStr">
        <is>
          <t>정방향 종료시각</t>
        </is>
      </c>
      <c r="B7" s="5" t="n"/>
      <c r="C7" s="4" t="inlineStr">
        <is>
          <t>정방향 추적 완료시각</t>
        </is>
      </c>
      <c r="D7" s="5" t="n"/>
      <c r="E7" s="5" t="n"/>
      <c r="F7" s="5" t="n"/>
    </row>
    <row r="8" ht="30" customHeight="1">
      <c r="A8" s="4" t="inlineStr">
        <is>
          <t>정방향 소요분</t>
        </is>
      </c>
      <c r="B8" s="4">
        <f>IF(AND(ISNUMBER(B6),ISNUMBER(B7)),IF(B7&gt;=B6,ROUND((B7-B6)*1440,0),"종료시각 확인"),"")</f>
        <v/>
      </c>
      <c r="C8" s="4" t="inlineStr">
        <is>
          <t>시각을 날짜 포함으로 입력하면 자동 계산</t>
        </is>
      </c>
      <c r="D8" s="5" t="n"/>
      <c r="E8" s="5" t="n"/>
      <c r="F8" s="5" t="n"/>
    </row>
    <row r="9" ht="30" customHeight="1">
      <c r="A9" s="4" t="inlineStr">
        <is>
          <t>역방향 시작시각</t>
        </is>
      </c>
      <c r="B9" s="5" t="n"/>
      <c r="C9" s="4" t="inlineStr">
        <is>
          <t>출하 LOT에서 원자재까지 추적 시작</t>
        </is>
      </c>
      <c r="D9" s="5" t="n"/>
      <c r="E9" s="5" t="n"/>
      <c r="F9" s="5" t="n"/>
    </row>
    <row r="10" ht="30" customHeight="1">
      <c r="A10" s="4" t="inlineStr">
        <is>
          <t>역방향 종료시각</t>
        </is>
      </c>
      <c r="B10" s="5" t="n"/>
      <c r="C10" s="4" t="inlineStr">
        <is>
          <t>역방향 추적 완료시각</t>
        </is>
      </c>
      <c r="D10" s="5" t="n"/>
      <c r="E10" s="5" t="n"/>
      <c r="F10" s="5" t="n"/>
    </row>
    <row r="11" ht="30" customHeight="1">
      <c r="A11" s="4" t="inlineStr">
        <is>
          <t>역방향 소요분</t>
        </is>
      </c>
      <c r="B11" s="4">
        <f>IF(AND(ISNUMBER(B9),ISNUMBER(B10)),IF(B10&gt;=B9,ROUND((B10-B9)*1440,0),"종료시각 확인"),"")</f>
        <v/>
      </c>
      <c r="C11" s="4" t="inlineStr">
        <is>
          <t>내부 목표 60분(MASTER 기재, 승인 문서와 대조)과 실측값 대조</t>
        </is>
      </c>
      <c r="D11" s="5" t="n"/>
      <c r="E11" s="5" t="n"/>
      <c r="F11" s="5" t="n"/>
    </row>
    <row r="12" ht="30" customHeight="1">
      <c r="A12" s="4" t="inlineStr">
        <is>
          <t>원자재·공급자 LOT</t>
        </is>
      </c>
      <c r="B12" s="5" t="n"/>
      <c r="C12" s="4" t="inlineStr">
        <is>
          <t>입고·수입검사 기록 연결</t>
        </is>
      </c>
      <c r="D12" s="5" t="n"/>
      <c r="E12" s="5" t="n"/>
      <c r="F12" s="5" t="n"/>
    </row>
    <row r="13" ht="30" customHeight="1">
      <c r="A13" s="4" t="inlineStr">
        <is>
          <t>투입수량</t>
        </is>
      </c>
      <c r="B13" s="5" t="n"/>
      <c r="C13" s="4" t="inlineStr">
        <is>
          <t>정방향 대상 LOT의 총 투입수량</t>
        </is>
      </c>
      <c r="D13" s="5" t="n"/>
      <c r="E13" s="5" t="n"/>
      <c r="F13" s="5" t="n"/>
    </row>
    <row r="14" ht="30" customHeight="1">
      <c r="A14" s="4" t="inlineStr">
        <is>
          <t>양품 출하수량</t>
        </is>
      </c>
      <c r="B14" s="5" t="n"/>
      <c r="C14" s="4" t="inlineStr">
        <is>
          <t>동일 LOT의 실제 출하수량</t>
        </is>
      </c>
      <c r="D14" s="5" t="n"/>
      <c r="E14" s="5" t="n"/>
      <c r="F14" s="5" t="n"/>
    </row>
    <row r="15" ht="30" customHeight="1">
      <c r="A15" s="4" t="inlineStr">
        <is>
          <t>재고·재공수량</t>
        </is>
      </c>
      <c r="B15" s="5" t="n"/>
      <c r="C15" s="4" t="inlineStr">
        <is>
          <t>동일 LOT의 현재 잔량</t>
        </is>
      </c>
      <c r="D15" s="5" t="n"/>
      <c r="E15" s="5" t="n"/>
      <c r="F15" s="5" t="n"/>
    </row>
    <row r="16" ht="30" customHeight="1">
      <c r="A16" s="4" t="inlineStr">
        <is>
          <t>부적합·폐기수량</t>
        </is>
      </c>
      <c r="B16" s="5" t="n"/>
      <c r="C16" s="4" t="inlineStr">
        <is>
          <t>별도 집계한 수량(중복 제외)</t>
        </is>
      </c>
      <c r="D16" s="5" t="n"/>
      <c r="E16" s="5" t="n"/>
      <c r="F16" s="5" t="n"/>
    </row>
    <row r="17" ht="30" customHeight="1">
      <c r="A17" s="4" t="inlineStr">
        <is>
          <t>수량 차이</t>
        </is>
      </c>
      <c r="B17" s="4">
        <f>IF(COUNT(B13:B16)=4,B13-SUM(B14:B16),"")</f>
        <v/>
      </c>
      <c r="C17" s="4" t="inlineStr">
        <is>
          <t>투입수량 − 출하 − 재고재공 − 부적합폐기</t>
        </is>
      </c>
      <c r="D17" s="5" t="n"/>
      <c r="E17" s="5" t="n"/>
      <c r="F17" s="5" t="n"/>
    </row>
    <row r="18" ht="30" customHeight="1">
      <c r="A18" s="4" t="inlineStr">
        <is>
          <t>수량 차이 사유</t>
        </is>
      </c>
      <c r="B18" s="5" t="n"/>
      <c r="C18" s="4" t="inlineStr">
        <is>
          <t>공정수율·단위 환산 등 차이 발생 근거</t>
        </is>
      </c>
      <c r="D18" s="5" t="n"/>
      <c r="E18" s="5" t="n"/>
      <c r="F18" s="5" t="n"/>
    </row>
    <row r="19" ht="30" customHeight="1">
      <c r="A19" s="4" t="inlineStr">
        <is>
          <t>설비·공정·작업자</t>
        </is>
      </c>
      <c r="B19" s="5" t="n"/>
      <c r="C19" s="4" t="inlineStr">
        <is>
          <t>생산실적과 실제 수행 이력</t>
        </is>
      </c>
      <c r="D19" s="5" t="n"/>
      <c r="E19" s="5" t="n"/>
      <c r="F19" s="5" t="n"/>
    </row>
    <row r="20" ht="30" customHeight="1">
      <c r="A20" s="4" t="inlineStr">
        <is>
          <t>검사·측정기 연결</t>
        </is>
      </c>
      <c r="B20" s="5" t="n"/>
      <c r="C20" s="4" t="inlineStr">
        <is>
          <t>검사결과·교정유효성·합부판정</t>
        </is>
      </c>
      <c r="D20" s="5" t="n"/>
      <c r="E20" s="5" t="n"/>
      <c r="F20" s="5" t="n"/>
    </row>
    <row r="21" ht="30" customHeight="1">
      <c r="A21" s="4" t="inlineStr">
        <is>
          <t>종이·전자 대조</t>
        </is>
      </c>
      <c r="B21" s="5" t="n"/>
      <c r="C21" s="4" t="inlineStr">
        <is>
          <t>차이 발생 시 보류·대조·재스캔 및 승인(SH-QP-018)</t>
        </is>
      </c>
      <c r="D21" s="5" t="n"/>
      <c r="E21" s="5" t="n"/>
      <c r="F21" s="5" t="n"/>
    </row>
    <row r="22" ht="30" customHeight="1">
      <c r="A22" s="4" t="inlineStr">
        <is>
          <t>복구 표본 3건</t>
        </is>
      </c>
      <c r="B22" s="5" t="n"/>
      <c r="C22" s="4" t="inlineStr">
        <is>
          <t>백업 복구 실제 결과(SH-FM-364) 근거</t>
        </is>
      </c>
      <c r="D22" s="5" t="n"/>
      <c r="E22" s="5" t="n"/>
      <c r="F22" s="5" t="n"/>
    </row>
    <row r="23" ht="30" customHeight="1">
      <c r="A23" s="4" t="inlineStr">
        <is>
          <t>발견사항·조치번호</t>
        </is>
      </c>
      <c r="B23" s="5" t="n"/>
      <c r="C23" s="4" t="inlineStr">
        <is>
          <t>발견 시 시정조치 실제 번호 연결</t>
        </is>
      </c>
      <c r="D23" s="5" t="n"/>
      <c r="E23" s="5" t="n"/>
      <c r="F23" s="5" t="n"/>
    </row>
    <row r="24" ht="30" customHeight="1">
      <c r="A24" s="4" t="inlineStr">
        <is>
          <t>실습 최종 확인</t>
        </is>
      </c>
      <c r="B24" s="5" t="n"/>
      <c r="C24" s="4" t="inlineStr">
        <is>
          <t>실측·수량·증거·확인자 검토 후 직접 기록</t>
        </is>
      </c>
      <c r="D24" s="5" t="n"/>
      <c r="E24" s="5" t="n"/>
      <c r="F24" s="5" t="n"/>
    </row>
  </sheetData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52" customWidth="1" min="4" max="4"/>
    <col width="18" customWidth="1" min="5" max="5"/>
  </cols>
  <sheetData>
    <row r="1">
      <c r="A1" s="7" t="inlineStr">
        <is>
          <t>날짜</t>
        </is>
      </c>
      <c r="B1" s="7" t="inlineStr">
        <is>
          <t>내용</t>
        </is>
      </c>
      <c r="C1" s="7" t="inlineStr">
        <is>
          <t>담당(제안)</t>
        </is>
      </c>
      <c r="D1" s="7" t="inlineStr">
        <is>
          <t>SQ·ISO와의 관계</t>
        </is>
      </c>
      <c r="E1" s="7" t="inlineStr">
        <is>
          <t>확정 여부</t>
        </is>
      </c>
    </row>
    <row r="2">
      <c r="A2" s="4" t="inlineStr">
        <is>
          <t>2026-11-06</t>
        </is>
      </c>
      <c r="B2" s="4" t="inlineStr">
        <is>
          <t>사전심사기획정보 제출(U15)</t>
        </is>
      </c>
      <c r="C2" s="4" t="inlineStr">
        <is>
          <t>박철호 부장 (대체 이광재 부장)</t>
        </is>
      </c>
      <c r="D2" s="4" t="inlineStr">
        <is>
          <t>NQA 공문 4항, 11/07 토 전 마감</t>
        </is>
      </c>
      <c r="E2" s="4" t="inlineStr">
        <is>
          <t>확정(공문)</t>
        </is>
      </c>
    </row>
    <row r="3">
      <c r="A3" s="4" t="inlineStr">
        <is>
          <t>2026-11-19~20</t>
        </is>
      </c>
      <c r="B3" s="4" t="inlineStr">
        <is>
          <t>ISO 14001 갱신심사(NQA)</t>
        </is>
      </c>
      <c r="C3" s="4" t="inlineStr">
        <is>
          <t>전 부서</t>
        </is>
      </c>
      <c r="D3" s="4" t="inlineStr">
        <is>
          <t>모의심사는 이 이후로 배치</t>
        </is>
      </c>
      <c r="E3" s="4" t="inlineStr">
        <is>
          <t>확정(공문)</t>
        </is>
      </c>
    </row>
    <row r="4">
      <c r="A4" s="4" t="inlineStr">
        <is>
          <t>2026-11-23</t>
        </is>
      </c>
      <c r="B4" s="4" t="inlineStr">
        <is>
          <t>IATF 모의심사 1일차: M01~M10(문서·고객·개발·제품안전·SPC·품질비용 등)</t>
        </is>
      </c>
      <c r="C4" s="4" t="inlineStr">
        <is>
          <t>박철호 부장 / 대응부서</t>
        </is>
      </c>
      <c r="D4" s="4" t="inlineStr">
        <is>
          <t>ISO 심사 직후, SQ M4(11/25) 전</t>
        </is>
      </c>
      <c r="E4" s="5" t="inlineStr">
        <is>
          <t>제안</t>
        </is>
      </c>
    </row>
    <row r="5">
      <c r="A5" s="4" t="inlineStr">
        <is>
          <t>2026-11-24</t>
        </is>
      </c>
      <c r="B5" s="4" t="inlineStr">
        <is>
          <t>IATF 모의심사 2일차: M11~M20 + M07 LOT 질문</t>
        </is>
      </c>
      <c r="C5" s="4" t="inlineStr">
        <is>
          <t>박철호 부장 / 대응부서</t>
        </is>
      </c>
      <c r="D5" s="4" t="inlineStr">
        <is>
          <t>SQ M4 전날</t>
        </is>
      </c>
      <c r="E5" s="5" t="inlineStr">
        <is>
          <t>제안</t>
        </is>
      </c>
    </row>
    <row r="6">
      <c r="A6" s="4" t="inlineStr">
        <is>
          <t>2026-11-25</t>
        </is>
      </c>
      <c r="B6" s="4" t="inlineStr">
        <is>
          <t>대표 LOT 정·역추적 실습(U12) — SQ M4 LOT 모의추적(60분 기준)과 같은 실습으로 겸용 가능 여부 확인</t>
        </is>
      </c>
      <c r="C6" s="4" t="inlineStr">
        <is>
          <t>품질·생산·자재</t>
        </is>
      </c>
      <c r="D6" s="4" t="inlineStr">
        <is>
          <t>SQ M4와 같은 날. 같은 대표 LOT 실습으로 두 심사 증빙에 쓸 수 있는지 검토(다른 고객 요구가 있으면 별도)</t>
        </is>
      </c>
      <c r="E6" s="5" t="inlineStr">
        <is>
          <t>제안</t>
        </is>
      </c>
    </row>
    <row r="7">
      <c r="A7" s="4" t="inlineStr">
        <is>
          <t>2026-11-27</t>
        </is>
      </c>
      <c r="B7" s="4" t="inlineStr">
        <is>
          <t>발견사항 조치 시작(시정조치 05_시정조치)</t>
        </is>
      </c>
      <c r="C7" s="4" t="inlineStr">
        <is>
          <t>해당 부서</t>
        </is>
      </c>
      <c r="D7" s="4" t="inlineStr">
        <is>
          <t>SQ M5 자체점검·양식 재개정과 같은 날</t>
        </is>
      </c>
      <c r="E7" s="5" t="inlineStr">
        <is>
          <t>제안</t>
        </is>
      </c>
    </row>
    <row r="8">
      <c r="A8" s="4" t="inlineStr">
        <is>
          <t>2026-11-30</t>
        </is>
      </c>
      <c r="B8" s="4" t="inlineStr">
        <is>
          <t>IATF 심사비 입금 기한 / 발견사항 시정 1차 마감</t>
        </is>
      </c>
      <c r="C8" s="4" t="inlineStr">
        <is>
          <t>회계 / 해당 부서</t>
        </is>
      </c>
      <c r="D8" s="4" t="inlineStr">
        <is>
          <t>SQ M6 미흡 종결과 같은 날</t>
        </is>
      </c>
      <c r="E8" s="4" t="inlineStr">
        <is>
          <t>확정(입금 기한) / 제안</t>
        </is>
      </c>
    </row>
    <row r="9">
      <c r="A9" s="4" t="inlineStr">
        <is>
          <t>2026-12-01~03</t>
        </is>
      </c>
      <c r="B9" s="4" t="inlineStr">
        <is>
          <t>발견사항 시정·효과 확인(SQ M7~M9와 병행)</t>
        </is>
      </c>
      <c r="C9" s="4" t="inlineStr">
        <is>
          <t>해당 부서</t>
        </is>
      </c>
      <c r="D9" s="4" t="inlineStr">
        <is>
          <t>SQ 모의심사·최종검토·준비완료 판정 기간</t>
        </is>
      </c>
      <c r="E9" s="5" t="inlineStr">
        <is>
          <t>제안</t>
        </is>
      </c>
    </row>
    <row r="10">
      <c r="A10" s="4" t="inlineStr">
        <is>
          <t>2026-12-04</t>
        </is>
      </c>
      <c r="B10" s="4" t="inlineStr">
        <is>
          <t>IATF 최종 정비(대응 인원·자료·출입·시간표 확인)</t>
        </is>
      </c>
      <c r="C10" s="4" t="inlineStr">
        <is>
          <t>박철호 부장</t>
        </is>
      </c>
      <c r="D10" s="4" t="inlineStr">
        <is>
          <t>방안 A 예비일(SQ 재점검과 공용)</t>
        </is>
      </c>
      <c r="E10" s="5" t="inlineStr">
        <is>
          <t>제안</t>
        </is>
      </c>
    </row>
    <row r="11">
      <c r="A11" s="4" t="inlineStr">
        <is>
          <t>2026-12-07~08</t>
        </is>
      </c>
      <c r="B11" s="4" t="inlineStr">
        <is>
          <t>IATF 사후심사</t>
        </is>
      </c>
      <c r="C11" s="4" t="inlineStr">
        <is>
          <t>전 부서</t>
        </is>
      </c>
      <c r="D11" s="4" t="inlineStr">
        <is>
          <t>SQ 일정 없음(방안 A)</t>
        </is>
      </c>
      <c r="E11" s="4" t="inlineStr">
        <is>
          <t>확정(공문)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3" t="inlineStr">
        <is>
          <t>구분</t>
        </is>
      </c>
      <c r="B1" s="3" t="inlineStr">
        <is>
          <t>건수</t>
        </is>
      </c>
    </row>
    <row r="2">
      <c r="A2" s="6" t="inlineStr">
        <is>
          <t>미실시</t>
        </is>
      </c>
      <c r="B2" s="6">
        <f>COUNTIF('1_모의심사 20항목'!I2:I21,A2)</f>
        <v/>
      </c>
    </row>
    <row r="3">
      <c r="A3" s="6" t="inlineStr">
        <is>
          <t>적합</t>
        </is>
      </c>
      <c r="B3" s="6">
        <f>COUNTIF('1_모의심사 20항목'!I2:I21,A3)</f>
        <v/>
      </c>
    </row>
    <row r="4">
      <c r="A4" s="6" t="inlineStr">
        <is>
          <t>부분 적합</t>
        </is>
      </c>
      <c r="B4" s="6">
        <f>COUNTIF('1_모의심사 20항목'!I2:I21,A4)</f>
        <v/>
      </c>
    </row>
    <row r="5">
      <c r="A5" s="6" t="inlineStr">
        <is>
          <t>부적합</t>
        </is>
      </c>
      <c r="B5" s="6">
        <f>COUNTIF('1_모의심사 20항목'!I2:I21,A5)</f>
        <v/>
      </c>
    </row>
    <row r="6">
      <c r="A6" s="6" t="inlineStr">
        <is>
          <t>개선 필요</t>
        </is>
      </c>
      <c r="B6" s="6">
        <f>COUNTIF('1_모의심사 20항목'!I2:I21,A6)</f>
        <v/>
      </c>
    </row>
    <row r="7">
      <c r="A7" s="6" t="inlineStr">
        <is>
          <t>합계</t>
        </is>
      </c>
      <c r="B7" s="6">
        <f>SUM(B2:B6)</f>
        <v/>
      </c>
    </row>
    <row r="9">
      <c r="A9" t="inlineStr">
        <is>
          <t>LOT 추적 정방향 소요(분)</t>
        </is>
      </c>
      <c r="B9">
        <f>'2_LOT 추적 실습'!B8</f>
        <v/>
      </c>
    </row>
    <row r="10">
      <c r="A10" t="inlineStr">
        <is>
          <t>LOT 추적 역방향 소요(분)</t>
        </is>
      </c>
      <c r="B10">
        <f>'2_LOT 추적 실습'!B11</f>
        <v/>
      </c>
    </row>
    <row r="11">
      <c r="A11" t="inlineStr">
        <is>
          <t>LOT 수량 차이</t>
        </is>
      </c>
      <c r="B11">
        <f>'2_LOT 추적 실습'!B17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2026-10-28T23:47:34Z</dcterms:created>
  <dcterms:modified xmlns:dcterms="http://purl.org/dc/terms/" xmlns:xsi="http://www.w3.org/2001/XMLSchema-instance" xsi:type="dcterms:W3CDTF">2026-10-29T01:54:07Z</dcterms:modified>
</cp:coreProperties>
</file>