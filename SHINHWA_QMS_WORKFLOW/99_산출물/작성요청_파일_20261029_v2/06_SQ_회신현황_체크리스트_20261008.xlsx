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담당자별 현황" sheetId="1" state="visible" r:id="rId1"/>
    <sheet xmlns:r="http://schemas.openxmlformats.org/officeDocument/2006/relationships" name="유형별 현황" sheetId="2" state="visible" r:id="rId2"/>
    <sheet xmlns:r="http://schemas.openxmlformats.org/officeDocument/2006/relationships" name="상세" sheetId="3" state="visible" r:id="rId3"/>
    <sheet xmlns:r="http://schemas.openxmlformats.org/officeDocument/2006/relationships" name="사용 안내" sheetId="4" state="visible" r:id="rId4"/>
  </sheets>
  <definedNames>
    <definedName name="_xlnm._FilterDatabase" localSheetId="2" hidden="1">'상세'!$A$1:$T$241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9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4" fillId="0" borderId="0" pivotButton="0" quotePrefix="0" xfId="0"/>
    <xf numFmtId="1" fontId="0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bgColor rgb="00FFC7CE"/>
        </patternFill>
      </fill>
    </dxf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7" customWidth="1" min="3" max="3"/>
    <col width="7" customWidth="1" min="4" max="4"/>
    <col width="6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7" customWidth="1" min="11" max="11"/>
    <col width="8" customWidth="1" min="12" max="12"/>
    <col width="7" customWidth="1" min="13" max="13"/>
    <col width="11" customWidth="1" min="14" max="14"/>
    <col width="6" customWidth="1" min="15" max="15"/>
    <col width="8" customWidth="1" min="16" max="16"/>
    <col width="12" customWidth="1" min="17" max="17"/>
    <col width="14" customWidth="1" min="18" max="18"/>
    <col width="26" customWidth="1" min="19" max="19"/>
    <col width="30" customWidth="1" min="20" max="20"/>
    <col width="30" customWidth="1" min="21" max="21"/>
    <col width="12" customWidth="1" min="22" max="22"/>
    <col width="20" customWidth="1" min="23" max="23"/>
  </cols>
  <sheetData>
    <row r="1">
      <c r="A1" s="1" t="inlineStr">
        <is>
          <t>SQ 요청 회신 현황 — 담당자별 (회신 기한 2026-11-05 · 한온 SQ 심사 2026-12-10 · 담당자 정정본4 기준 2026-10-28)</t>
        </is>
      </c>
    </row>
    <row r="2">
      <c r="A2" t="inlineStr">
        <is>
          <t>'상세' 시트의 발송일·회신 상태를 입력하면 자동 집계됩니다. 지연 = 발송했으나 회신 완료가 아니고 기한이 지난 건(오늘 기준). 담당자는 정정본4 기준(미지정 4건은 2026-10-28 지성규·이광재로 확정)이며 인쇄물 전달 당시와 다른 건은 상세 R열에 표시했습니다. SQ NO 목록은 2026-10-27 기준(보완 필요는 상세 참고).</t>
        </is>
      </c>
    </row>
    <row r="4">
      <c r="A4" s="2" t="inlineStr">
        <is>
          <t>담당자</t>
        </is>
      </c>
      <c r="B4" s="2" t="inlineStr">
        <is>
          <t>발송 메시지</t>
        </is>
      </c>
      <c r="C4" s="2" t="inlineStr">
        <is>
          <t>총 건수</t>
        </is>
      </c>
      <c r="D4" s="2" t="inlineStr">
        <is>
          <t>판단 보류</t>
        </is>
      </c>
      <c r="E4" s="2" t="inlineStr">
        <is>
          <t>미비</t>
        </is>
      </c>
      <c r="F4" s="2" t="inlineStr">
        <is>
          <t>보완 필요</t>
        </is>
      </c>
      <c r="G4" s="2" t="inlineStr">
        <is>
          <t>보유 확인</t>
        </is>
      </c>
      <c r="H4" s="2" t="inlineStr">
        <is>
          <t>미발송</t>
        </is>
      </c>
      <c r="I4" s="2" t="inlineStr">
        <is>
          <t>발송(회신 대기)</t>
        </is>
      </c>
      <c r="J4" s="2" t="inlineStr">
        <is>
          <t>일부 회신</t>
        </is>
      </c>
      <c r="K4" s="2" t="inlineStr">
        <is>
          <t>재요청</t>
        </is>
      </c>
      <c r="L4" s="2" t="inlineStr">
        <is>
          <t>회신 완료</t>
        </is>
      </c>
      <c r="M4" s="2" t="inlineStr">
        <is>
          <t>회신율</t>
        </is>
      </c>
      <c r="N4" s="2" t="inlineStr">
        <is>
          <t>미회신(회신 완료 제외)</t>
        </is>
      </c>
      <c r="O4" s="2" t="inlineStr">
        <is>
          <t>지연</t>
        </is>
      </c>
      <c r="P4" s="2" t="inlineStr">
        <is>
          <t>조치 완료</t>
        </is>
      </c>
      <c r="Q4" s="2" t="inlineStr">
        <is>
          <t>최근 발송일</t>
        </is>
      </c>
      <c r="R4" s="2" t="inlineStr">
        <is>
          <t>가장 이른 미회신 기한</t>
        </is>
      </c>
      <c r="S4" s="2" t="inlineStr">
        <is>
          <t>다음 조치</t>
        </is>
      </c>
      <c r="T4" s="2" t="inlineStr">
        <is>
          <t>판단 보류 SQ NO</t>
        </is>
      </c>
      <c r="U4" s="2" t="inlineStr">
        <is>
          <t>미비 SQ NO</t>
        </is>
      </c>
      <c r="V4" s="2" t="inlineStr">
        <is>
          <t>보유 확인 SQ NO</t>
        </is>
      </c>
      <c r="W4" s="2" t="inlineStr">
        <is>
          <t>한 통 묶음 여부</t>
        </is>
      </c>
    </row>
    <row r="5">
      <c r="A5" s="7" t="inlineStr">
        <is>
          <t>지성규</t>
        </is>
      </c>
      <c r="B5" s="7" t="inlineStr">
        <is>
          <t>메시지_지성규.txt</t>
        </is>
      </c>
      <c r="C5" s="7">
        <f>COUNTIFS(상세!$H:$H,$A5)</f>
        <v/>
      </c>
      <c r="D5" s="7">
        <f>COUNTIFS(상세!$H:$H,$A5,상세!$E:$E,"판단 보류")</f>
        <v/>
      </c>
      <c r="E5" s="7">
        <f>COUNTIFS(상세!$H:$H,$A5,상세!$E:$E,"미비")</f>
        <v/>
      </c>
      <c r="F5" s="7">
        <f>COUNTIFS(상세!$H:$H,$A5,상세!$E:$E,"보완 필요")</f>
        <v/>
      </c>
      <c r="G5" s="7">
        <f>COUNTIFS(상세!$H:$H,$A5,상세!$E:$E,"보유 확인")</f>
        <v/>
      </c>
      <c r="H5" s="7">
        <f>COUNTIFS(상세!$H:$H,$A5,상세!$L:$L,"미발송")</f>
        <v/>
      </c>
      <c r="I5" s="7">
        <f>COUNTIFS(상세!$H:$H,$A5,상세!$L:$L,"발송(회신 대기)")</f>
        <v/>
      </c>
      <c r="J5" s="7">
        <f>COUNTIFS(상세!$H:$H,$A5,상세!$L:$L,"일부 회신")</f>
        <v/>
      </c>
      <c r="K5" s="7">
        <f>COUNTIFS(상세!$H:$H,$A5,상세!$L:$L,"재요청")</f>
        <v/>
      </c>
      <c r="L5" s="7">
        <f>COUNTIFS(상세!$H:$H,$A5,상세!$L:$L,"회신 완료")</f>
        <v/>
      </c>
      <c r="M5" s="11">
        <f>IF(C5=0,0,L5/C5)</f>
        <v/>
      </c>
      <c r="N5" s="7">
        <f>COUNTIFS(상세!$H:$H,$A5,상세!$L:$L,"&lt;&gt;회신 완료")</f>
        <v/>
      </c>
      <c r="O5" s="7">
        <f>COUNTIFS(상세!$H:$H,$A5,상세!$L:$L,"&lt;&gt;회신 완료",상세!$K:$K,"&lt;&gt;",상세!$J:$J,"&lt;"&amp;TODAY())</f>
        <v/>
      </c>
      <c r="P5" s="7">
        <f>COUNTIFS(상세!$H:$H,$A5,상세!$Q:$Q,"완료")</f>
        <v/>
      </c>
      <c r="Q5" s="8">
        <f>IF(COUNTIFS(상세!$H:$H,$A5,상세!$K:$K,"&lt;&gt;")=0,"",_xlfn.MAXIFS(상세!$K:$K,상세!$H:$H,$A5))</f>
        <v/>
      </c>
      <c r="R5" s="8">
        <f>IF(N5=0,"",_xlfn.MINIFS(상세!$J:$J,상세!$H:$H,$A5,상세!$L:$L,"&lt;&gt;회신 완료"))</f>
        <v/>
      </c>
      <c r="S5" s="7">
        <f>IF(C5=L5,"회신 완료 — 조치 완료 여부 확인",IF(O5&gt;0,"지연 — 재촉 필요",IF(H5=C5,"발송 필요",IF(H5&gt;0,"일부 미발송 — 확인","회신 대기"))))</f>
        <v/>
      </c>
      <c r="T5" s="7" t="inlineStr">
        <is>
          <t>7, 45, 71, 123, 126, 133, 135, 170, 197, 230</t>
        </is>
      </c>
      <c r="U5" s="7" t="inlineStr">
        <is>
          <t>-</t>
        </is>
      </c>
      <c r="V5" s="7" t="inlineStr">
        <is>
          <t>4, 115, 140</t>
        </is>
      </c>
      <c r="W5" s="7" t="inlineStr">
        <is>
          <t>보유 확인 합쳐 한 통</t>
        </is>
      </c>
    </row>
    <row r="6">
      <c r="A6" s="7" t="inlineStr">
        <is>
          <t>이광재</t>
        </is>
      </c>
      <c r="B6" s="7" t="inlineStr">
        <is>
          <t>메시지_이광재.txt</t>
        </is>
      </c>
      <c r="C6" s="7">
        <f>COUNTIFS(상세!$H:$H,$A6)</f>
        <v/>
      </c>
      <c r="D6" s="7">
        <f>COUNTIFS(상세!$H:$H,$A6,상세!$E:$E,"판단 보류")</f>
        <v/>
      </c>
      <c r="E6" s="7">
        <f>COUNTIFS(상세!$H:$H,$A6,상세!$E:$E,"미비")</f>
        <v/>
      </c>
      <c r="F6" s="7">
        <f>COUNTIFS(상세!$H:$H,$A6,상세!$E:$E,"보완 필요")</f>
        <v/>
      </c>
      <c r="G6" s="7">
        <f>COUNTIFS(상세!$H:$H,$A6,상세!$E:$E,"보유 확인")</f>
        <v/>
      </c>
      <c r="H6" s="7">
        <f>COUNTIFS(상세!$H:$H,$A6,상세!$L:$L,"미발송")</f>
        <v/>
      </c>
      <c r="I6" s="7">
        <f>COUNTIFS(상세!$H:$H,$A6,상세!$L:$L,"발송(회신 대기)")</f>
        <v/>
      </c>
      <c r="J6" s="7">
        <f>COUNTIFS(상세!$H:$H,$A6,상세!$L:$L,"일부 회신")</f>
        <v/>
      </c>
      <c r="K6" s="7">
        <f>COUNTIFS(상세!$H:$H,$A6,상세!$L:$L,"재요청")</f>
        <v/>
      </c>
      <c r="L6" s="7">
        <f>COUNTIFS(상세!$H:$H,$A6,상세!$L:$L,"회신 완료")</f>
        <v/>
      </c>
      <c r="M6" s="11">
        <f>IF(C6=0,0,L6/C6)</f>
        <v/>
      </c>
      <c r="N6" s="7">
        <f>COUNTIFS(상세!$H:$H,$A6,상세!$L:$L,"&lt;&gt;회신 완료")</f>
        <v/>
      </c>
      <c r="O6" s="7">
        <f>COUNTIFS(상세!$H:$H,$A6,상세!$L:$L,"&lt;&gt;회신 완료",상세!$K:$K,"&lt;&gt;",상세!$J:$J,"&lt;"&amp;TODAY())</f>
        <v/>
      </c>
      <c r="P6" s="7">
        <f>COUNTIFS(상세!$H:$H,$A6,상세!$Q:$Q,"완료")</f>
        <v/>
      </c>
      <c r="Q6" s="8">
        <f>IF(COUNTIFS(상세!$H:$H,$A6,상세!$K:$K,"&lt;&gt;")=0,"",_xlfn.MAXIFS(상세!$K:$K,상세!$H:$H,$A6))</f>
        <v/>
      </c>
      <c r="R6" s="8">
        <f>IF(N6=0,"",_xlfn.MINIFS(상세!$J:$J,상세!$H:$H,$A6,상세!$L:$L,"&lt;&gt;회신 완료"))</f>
        <v/>
      </c>
      <c r="S6" s="7">
        <f>IF(C6=L6,"회신 완료 — 조치 완료 여부 확인",IF(O6&gt;0,"지연 — 재촉 필요",IF(H6=C6,"발송 필요",IF(H6&gt;0,"일부 미발송 — 확인","회신 대기"))))</f>
        <v/>
      </c>
      <c r="T6" s="7" t="inlineStr">
        <is>
          <t>14, 15, 41, 185</t>
        </is>
      </c>
      <c r="U6" s="7" t="inlineStr">
        <is>
          <t>-</t>
        </is>
      </c>
      <c r="V6" s="7" t="inlineStr">
        <is>
          <t>-</t>
        </is>
      </c>
      <c r="W6" s="7" t="inlineStr">
        <is>
          <t>보유 확인 합쳐 한 통</t>
        </is>
      </c>
    </row>
    <row r="7">
      <c r="A7" s="7" t="inlineStr">
        <is>
          <t>김명용</t>
        </is>
      </c>
      <c r="B7" s="7" t="inlineStr">
        <is>
          <t>메시지_김명용.txt</t>
        </is>
      </c>
      <c r="C7" s="7">
        <f>COUNTIFS(상세!$H:$H,$A7)</f>
        <v/>
      </c>
      <c r="D7" s="7">
        <f>COUNTIFS(상세!$H:$H,$A7,상세!$E:$E,"판단 보류")</f>
        <v/>
      </c>
      <c r="E7" s="7">
        <f>COUNTIFS(상세!$H:$H,$A7,상세!$E:$E,"미비")</f>
        <v/>
      </c>
      <c r="F7" s="7">
        <f>COUNTIFS(상세!$H:$H,$A7,상세!$E:$E,"보완 필요")</f>
        <v/>
      </c>
      <c r="G7" s="7">
        <f>COUNTIFS(상세!$H:$H,$A7,상세!$E:$E,"보유 확인")</f>
        <v/>
      </c>
      <c r="H7" s="7">
        <f>COUNTIFS(상세!$H:$H,$A7,상세!$L:$L,"미발송")</f>
        <v/>
      </c>
      <c r="I7" s="7">
        <f>COUNTIFS(상세!$H:$H,$A7,상세!$L:$L,"발송(회신 대기)")</f>
        <v/>
      </c>
      <c r="J7" s="7">
        <f>COUNTIFS(상세!$H:$H,$A7,상세!$L:$L,"일부 회신")</f>
        <v/>
      </c>
      <c r="K7" s="7">
        <f>COUNTIFS(상세!$H:$H,$A7,상세!$L:$L,"재요청")</f>
        <v/>
      </c>
      <c r="L7" s="7">
        <f>COUNTIFS(상세!$H:$H,$A7,상세!$L:$L,"회신 완료")</f>
        <v/>
      </c>
      <c r="M7" s="11">
        <f>IF(C7=0,0,L7/C7)</f>
        <v/>
      </c>
      <c r="N7" s="7">
        <f>COUNTIFS(상세!$H:$H,$A7,상세!$L:$L,"&lt;&gt;회신 완료")</f>
        <v/>
      </c>
      <c r="O7" s="7">
        <f>COUNTIFS(상세!$H:$H,$A7,상세!$L:$L,"&lt;&gt;회신 완료",상세!$K:$K,"&lt;&gt;",상세!$J:$J,"&lt;"&amp;TODAY())</f>
        <v/>
      </c>
      <c r="P7" s="7">
        <f>COUNTIFS(상세!$H:$H,$A7,상세!$Q:$Q,"완료")</f>
        <v/>
      </c>
      <c r="Q7" s="8">
        <f>IF(COUNTIFS(상세!$H:$H,$A7,상세!$K:$K,"&lt;&gt;")=0,"",_xlfn.MAXIFS(상세!$K:$K,상세!$H:$H,$A7))</f>
        <v/>
      </c>
      <c r="R7" s="8">
        <f>IF(N7=0,"",_xlfn.MINIFS(상세!$J:$J,상세!$H:$H,$A7,상세!$L:$L,"&lt;&gt;회신 완료"))</f>
        <v/>
      </c>
      <c r="S7" s="7">
        <f>IF(C7=L7,"회신 완료 — 조치 완료 여부 확인",IF(O7&gt;0,"지연 — 재촉 필요",IF(H7=C7,"발송 필요",IF(H7&gt;0,"일부 미발송 — 확인","회신 대기"))))</f>
        <v/>
      </c>
      <c r="T7" s="7" t="inlineStr">
        <is>
          <t>51, 75, 76, 224</t>
        </is>
      </c>
      <c r="U7" s="7" t="inlineStr">
        <is>
          <t>-</t>
        </is>
      </c>
      <c r="V7" s="7" t="inlineStr">
        <is>
          <t>-</t>
        </is>
      </c>
      <c r="W7" s="7" t="inlineStr">
        <is>
          <t>요청만</t>
        </is>
      </c>
    </row>
    <row r="8">
      <c r="A8" s="7" t="inlineStr">
        <is>
          <t>이은주</t>
        </is>
      </c>
      <c r="B8" s="7" t="inlineStr">
        <is>
          <t>메시지_이은주.txt</t>
        </is>
      </c>
      <c r="C8" s="7">
        <f>COUNTIFS(상세!$H:$H,$A8)</f>
        <v/>
      </c>
      <c r="D8" s="7">
        <f>COUNTIFS(상세!$H:$H,$A8,상세!$E:$E,"판단 보류")</f>
        <v/>
      </c>
      <c r="E8" s="7">
        <f>COUNTIFS(상세!$H:$H,$A8,상세!$E:$E,"미비")</f>
        <v/>
      </c>
      <c r="F8" s="7">
        <f>COUNTIFS(상세!$H:$H,$A8,상세!$E:$E,"보완 필요")</f>
        <v/>
      </c>
      <c r="G8" s="7">
        <f>COUNTIFS(상세!$H:$H,$A8,상세!$E:$E,"보유 확인")</f>
        <v/>
      </c>
      <c r="H8" s="7">
        <f>COUNTIFS(상세!$H:$H,$A8,상세!$L:$L,"미발송")</f>
        <v/>
      </c>
      <c r="I8" s="7">
        <f>COUNTIFS(상세!$H:$H,$A8,상세!$L:$L,"발송(회신 대기)")</f>
        <v/>
      </c>
      <c r="J8" s="7">
        <f>COUNTIFS(상세!$H:$H,$A8,상세!$L:$L,"일부 회신")</f>
        <v/>
      </c>
      <c r="K8" s="7">
        <f>COUNTIFS(상세!$H:$H,$A8,상세!$L:$L,"재요청")</f>
        <v/>
      </c>
      <c r="L8" s="7">
        <f>COUNTIFS(상세!$H:$H,$A8,상세!$L:$L,"회신 완료")</f>
        <v/>
      </c>
      <c r="M8" s="11">
        <f>IF(C8=0,0,L8/C8)</f>
        <v/>
      </c>
      <c r="N8" s="7">
        <f>COUNTIFS(상세!$H:$H,$A8,상세!$L:$L,"&lt;&gt;회신 완료")</f>
        <v/>
      </c>
      <c r="O8" s="7">
        <f>COUNTIFS(상세!$H:$H,$A8,상세!$L:$L,"&lt;&gt;회신 완료",상세!$K:$K,"&lt;&gt;",상세!$J:$J,"&lt;"&amp;TODAY())</f>
        <v/>
      </c>
      <c r="P8" s="7">
        <f>COUNTIFS(상세!$H:$H,$A8,상세!$Q:$Q,"완료")</f>
        <v/>
      </c>
      <c r="Q8" s="8">
        <f>IF(COUNTIFS(상세!$H:$H,$A8,상세!$K:$K,"&lt;&gt;")=0,"",_xlfn.MAXIFS(상세!$K:$K,상세!$H:$H,$A8))</f>
        <v/>
      </c>
      <c r="R8" s="8">
        <f>IF(N8=0,"",_xlfn.MINIFS(상세!$J:$J,상세!$H:$H,$A8,상세!$L:$L,"&lt;&gt;회신 완료"))</f>
        <v/>
      </c>
      <c r="S8" s="7">
        <f>IF(C8=L8,"회신 완료 — 조치 완료 여부 확인",IF(O8&gt;0,"지연 — 재촉 필요",IF(H8=C8,"발송 필요",IF(H8&gt;0,"일부 미발송 — 확인","회신 대기"))))</f>
        <v/>
      </c>
      <c r="T8" s="7" t="inlineStr">
        <is>
          <t>142, 143, 145, 155</t>
        </is>
      </c>
      <c r="U8" s="7" t="inlineStr">
        <is>
          <t>-</t>
        </is>
      </c>
      <c r="V8" s="7" t="inlineStr">
        <is>
          <t>147</t>
        </is>
      </c>
      <c r="W8" s="7" t="inlineStr">
        <is>
          <t>보유 확인 합쳐 한 통</t>
        </is>
      </c>
    </row>
    <row r="9">
      <c r="A9" s="7" t="inlineStr">
        <is>
          <t>황지환</t>
        </is>
      </c>
      <c r="B9" s="7" t="inlineStr">
        <is>
          <t>메시지_황지환.txt</t>
        </is>
      </c>
      <c r="C9" s="7">
        <f>COUNTIFS(상세!$H:$H,$A9)</f>
        <v/>
      </c>
      <c r="D9" s="7">
        <f>COUNTIFS(상세!$H:$H,$A9,상세!$E:$E,"판단 보류")</f>
        <v/>
      </c>
      <c r="E9" s="7">
        <f>COUNTIFS(상세!$H:$H,$A9,상세!$E:$E,"미비")</f>
        <v/>
      </c>
      <c r="F9" s="7">
        <f>COUNTIFS(상세!$H:$H,$A9,상세!$E:$E,"보완 필요")</f>
        <v/>
      </c>
      <c r="G9" s="7">
        <f>COUNTIFS(상세!$H:$H,$A9,상세!$E:$E,"보유 확인")</f>
        <v/>
      </c>
      <c r="H9" s="7">
        <f>COUNTIFS(상세!$H:$H,$A9,상세!$L:$L,"미발송")</f>
        <v/>
      </c>
      <c r="I9" s="7">
        <f>COUNTIFS(상세!$H:$H,$A9,상세!$L:$L,"발송(회신 대기)")</f>
        <v/>
      </c>
      <c r="J9" s="7">
        <f>COUNTIFS(상세!$H:$H,$A9,상세!$L:$L,"일부 회신")</f>
        <v/>
      </c>
      <c r="K9" s="7">
        <f>COUNTIFS(상세!$H:$H,$A9,상세!$L:$L,"재요청")</f>
        <v/>
      </c>
      <c r="L9" s="7">
        <f>COUNTIFS(상세!$H:$H,$A9,상세!$L:$L,"회신 완료")</f>
        <v/>
      </c>
      <c r="M9" s="11">
        <f>IF(C9=0,0,L9/C9)</f>
        <v/>
      </c>
      <c r="N9" s="7">
        <f>COUNTIFS(상세!$H:$H,$A9,상세!$L:$L,"&lt;&gt;회신 완료")</f>
        <v/>
      </c>
      <c r="O9" s="7">
        <f>COUNTIFS(상세!$H:$H,$A9,상세!$L:$L,"&lt;&gt;회신 완료",상세!$K:$K,"&lt;&gt;",상세!$J:$J,"&lt;"&amp;TODAY())</f>
        <v/>
      </c>
      <c r="P9" s="7">
        <f>COUNTIFS(상세!$H:$H,$A9,상세!$Q:$Q,"완료")</f>
        <v/>
      </c>
      <c r="Q9" s="8">
        <f>IF(COUNTIFS(상세!$H:$H,$A9,상세!$K:$K,"&lt;&gt;")=0,"",_xlfn.MAXIFS(상세!$K:$K,상세!$H:$H,$A9))</f>
        <v/>
      </c>
      <c r="R9" s="8">
        <f>IF(N9=0,"",_xlfn.MINIFS(상세!$J:$J,상세!$H:$H,$A9,상세!$L:$L,"&lt;&gt;회신 완료"))</f>
        <v/>
      </c>
      <c r="S9" s="7">
        <f>IF(C9=L9,"회신 완료 — 조치 완료 여부 확인",IF(O9&gt;0,"지연 — 재촉 필요",IF(H9=C9,"발송 필요",IF(H9&gt;0,"일부 미발송 — 확인","회신 대기"))))</f>
        <v/>
      </c>
      <c r="T9" s="7" t="inlineStr">
        <is>
          <t>77, 99</t>
        </is>
      </c>
      <c r="U9" s="7" t="inlineStr">
        <is>
          <t>-</t>
        </is>
      </c>
      <c r="V9" s="7" t="inlineStr">
        <is>
          <t>19</t>
        </is>
      </c>
      <c r="W9" s="7" t="inlineStr">
        <is>
          <t>요청만</t>
        </is>
      </c>
    </row>
    <row r="10">
      <c r="A10" s="7" t="inlineStr">
        <is>
          <t>한상돈</t>
        </is>
      </c>
      <c r="B10" s="7" t="inlineStr">
        <is>
          <t>메시지_한상돈.txt</t>
        </is>
      </c>
      <c r="C10" s="7">
        <f>COUNTIFS(상세!$H:$H,$A10)</f>
        <v/>
      </c>
      <c r="D10" s="7">
        <f>COUNTIFS(상세!$H:$H,$A10,상세!$E:$E,"판단 보류")</f>
        <v/>
      </c>
      <c r="E10" s="7">
        <f>COUNTIFS(상세!$H:$H,$A10,상세!$E:$E,"미비")</f>
        <v/>
      </c>
      <c r="F10" s="7">
        <f>COUNTIFS(상세!$H:$H,$A10,상세!$E:$E,"보완 필요")</f>
        <v/>
      </c>
      <c r="G10" s="7">
        <f>COUNTIFS(상세!$H:$H,$A10,상세!$E:$E,"보유 확인")</f>
        <v/>
      </c>
      <c r="H10" s="7">
        <f>COUNTIFS(상세!$H:$H,$A10,상세!$L:$L,"미발송")</f>
        <v/>
      </c>
      <c r="I10" s="7">
        <f>COUNTIFS(상세!$H:$H,$A10,상세!$L:$L,"발송(회신 대기)")</f>
        <v/>
      </c>
      <c r="J10" s="7">
        <f>COUNTIFS(상세!$H:$H,$A10,상세!$L:$L,"일부 회신")</f>
        <v/>
      </c>
      <c r="K10" s="7">
        <f>COUNTIFS(상세!$H:$H,$A10,상세!$L:$L,"재요청")</f>
        <v/>
      </c>
      <c r="L10" s="7">
        <f>COUNTIFS(상세!$H:$H,$A10,상세!$L:$L,"회신 완료")</f>
        <v/>
      </c>
      <c r="M10" s="11">
        <f>IF(C10=0,0,L10/C10)</f>
        <v/>
      </c>
      <c r="N10" s="7">
        <f>COUNTIFS(상세!$H:$H,$A10,상세!$L:$L,"&lt;&gt;회신 완료")</f>
        <v/>
      </c>
      <c r="O10" s="7">
        <f>COUNTIFS(상세!$H:$H,$A10,상세!$L:$L,"&lt;&gt;회신 완료",상세!$K:$K,"&lt;&gt;",상세!$J:$J,"&lt;"&amp;TODAY())</f>
        <v/>
      </c>
      <c r="P10" s="7">
        <f>COUNTIFS(상세!$H:$H,$A10,상세!$Q:$Q,"완료")</f>
        <v/>
      </c>
      <c r="Q10" s="8">
        <f>IF(COUNTIFS(상세!$H:$H,$A10,상세!$K:$K,"&lt;&gt;")=0,"",_xlfn.MAXIFS(상세!$K:$K,상세!$H:$H,$A10))</f>
        <v/>
      </c>
      <c r="R10" s="8">
        <f>IF(N10=0,"",_xlfn.MINIFS(상세!$J:$J,상세!$H:$H,$A10,상세!$L:$L,"&lt;&gt;회신 완료"))</f>
        <v/>
      </c>
      <c r="S10" s="7">
        <f>IF(C10=L10,"회신 완료 — 조치 완료 여부 확인",IF(O10&gt;0,"지연 — 재촉 필요",IF(H10=C10,"발송 필요",IF(H10&gt;0,"일부 미발송 — 확인","회신 대기"))))</f>
        <v/>
      </c>
      <c r="T10" s="7" t="inlineStr">
        <is>
          <t>83, 84, 88</t>
        </is>
      </c>
      <c r="U10" s="7" t="inlineStr">
        <is>
          <t>-</t>
        </is>
      </c>
      <c r="V10" s="7" t="inlineStr">
        <is>
          <t>86</t>
        </is>
      </c>
      <c r="W10" s="7" t="inlineStr">
        <is>
          <t>요청만</t>
        </is>
      </c>
    </row>
    <row r="11">
      <c r="A11" s="7" t="inlineStr">
        <is>
          <t>김주태</t>
        </is>
      </c>
      <c r="B11" s="7" t="inlineStr">
        <is>
          <t>메시지_김주태.txt</t>
        </is>
      </c>
      <c r="C11" s="7">
        <f>COUNTIFS(상세!$H:$H,$A11)</f>
        <v/>
      </c>
      <c r="D11" s="7">
        <f>COUNTIFS(상세!$H:$H,$A11,상세!$E:$E,"판단 보류")</f>
        <v/>
      </c>
      <c r="E11" s="7">
        <f>COUNTIFS(상세!$H:$H,$A11,상세!$E:$E,"미비")</f>
        <v/>
      </c>
      <c r="F11" s="7">
        <f>COUNTIFS(상세!$H:$H,$A11,상세!$E:$E,"보완 필요")</f>
        <v/>
      </c>
      <c r="G11" s="7">
        <f>COUNTIFS(상세!$H:$H,$A11,상세!$E:$E,"보유 확인")</f>
        <v/>
      </c>
      <c r="H11" s="7">
        <f>COUNTIFS(상세!$H:$H,$A11,상세!$L:$L,"미발송")</f>
        <v/>
      </c>
      <c r="I11" s="7">
        <f>COUNTIFS(상세!$H:$H,$A11,상세!$L:$L,"발송(회신 대기)")</f>
        <v/>
      </c>
      <c r="J11" s="7">
        <f>COUNTIFS(상세!$H:$H,$A11,상세!$L:$L,"일부 회신")</f>
        <v/>
      </c>
      <c r="K11" s="7">
        <f>COUNTIFS(상세!$H:$H,$A11,상세!$L:$L,"재요청")</f>
        <v/>
      </c>
      <c r="L11" s="7">
        <f>COUNTIFS(상세!$H:$H,$A11,상세!$L:$L,"회신 완료")</f>
        <v/>
      </c>
      <c r="M11" s="11">
        <f>IF(C11=0,0,L11/C11)</f>
        <v/>
      </c>
      <c r="N11" s="7">
        <f>COUNTIFS(상세!$H:$H,$A11,상세!$L:$L,"&lt;&gt;회신 완료")</f>
        <v/>
      </c>
      <c r="O11" s="7">
        <f>COUNTIFS(상세!$H:$H,$A11,상세!$L:$L,"&lt;&gt;회신 완료",상세!$K:$K,"&lt;&gt;",상세!$J:$J,"&lt;"&amp;TODAY())</f>
        <v/>
      </c>
      <c r="P11" s="7">
        <f>COUNTIFS(상세!$H:$H,$A11,상세!$Q:$Q,"완료")</f>
        <v/>
      </c>
      <c r="Q11" s="8">
        <f>IF(COUNTIFS(상세!$H:$H,$A11,상세!$K:$K,"&lt;&gt;")=0,"",_xlfn.MAXIFS(상세!$K:$K,상세!$H:$H,$A11))</f>
        <v/>
      </c>
      <c r="R11" s="8">
        <f>IF(N11=0,"",_xlfn.MINIFS(상세!$J:$J,상세!$H:$H,$A11,상세!$L:$L,"&lt;&gt;회신 완료"))</f>
        <v/>
      </c>
      <c r="S11" s="7">
        <f>IF(C11=L11,"회신 완료 — 조치 완료 여부 확인",IF(O11&gt;0,"지연 — 재촉 필요",IF(H11=C11,"발송 필요",IF(H11&gt;0,"일부 미발송 — 확인","회신 대기"))))</f>
        <v/>
      </c>
      <c r="T11" s="7" t="inlineStr">
        <is>
          <t>-</t>
        </is>
      </c>
      <c r="U11" s="7" t="inlineStr">
        <is>
          <t>-</t>
        </is>
      </c>
      <c r="V11" s="7" t="inlineStr">
        <is>
          <t>-</t>
        </is>
      </c>
      <c r="W11" s="7" t="inlineStr">
        <is>
          <t>요청만</t>
        </is>
      </c>
    </row>
    <row r="12">
      <c r="A12" s="7" t="inlineStr">
        <is>
          <t>박철호</t>
        </is>
      </c>
      <c r="B12" s="7" t="inlineStr">
        <is>
          <t>메시지_박철호.txt</t>
        </is>
      </c>
      <c r="C12" s="7">
        <f>COUNTIFS(상세!$H:$H,$A12)</f>
        <v/>
      </c>
      <c r="D12" s="7">
        <f>COUNTIFS(상세!$H:$H,$A12,상세!$E:$E,"판단 보류")</f>
        <v/>
      </c>
      <c r="E12" s="7">
        <f>COUNTIFS(상세!$H:$H,$A12,상세!$E:$E,"미비")</f>
        <v/>
      </c>
      <c r="F12" s="7">
        <f>COUNTIFS(상세!$H:$H,$A12,상세!$E:$E,"보완 필요")</f>
        <v/>
      </c>
      <c r="G12" s="7">
        <f>COUNTIFS(상세!$H:$H,$A12,상세!$E:$E,"보유 확인")</f>
        <v/>
      </c>
      <c r="H12" s="7">
        <f>COUNTIFS(상세!$H:$H,$A12,상세!$L:$L,"미발송")</f>
        <v/>
      </c>
      <c r="I12" s="7">
        <f>COUNTIFS(상세!$H:$H,$A12,상세!$L:$L,"발송(회신 대기)")</f>
        <v/>
      </c>
      <c r="J12" s="7">
        <f>COUNTIFS(상세!$H:$H,$A12,상세!$L:$L,"일부 회신")</f>
        <v/>
      </c>
      <c r="K12" s="7">
        <f>COUNTIFS(상세!$H:$H,$A12,상세!$L:$L,"재요청")</f>
        <v/>
      </c>
      <c r="L12" s="7">
        <f>COUNTIFS(상세!$H:$H,$A12,상세!$L:$L,"회신 완료")</f>
        <v/>
      </c>
      <c r="M12" s="11">
        <f>IF(C12=0,0,L12/C12)</f>
        <v/>
      </c>
      <c r="N12" s="7">
        <f>COUNTIFS(상세!$H:$H,$A12,상세!$L:$L,"&lt;&gt;회신 완료")</f>
        <v/>
      </c>
      <c r="O12" s="7">
        <f>COUNTIFS(상세!$H:$H,$A12,상세!$L:$L,"&lt;&gt;회신 완료",상세!$K:$K,"&lt;&gt;",상세!$J:$J,"&lt;"&amp;TODAY())</f>
        <v/>
      </c>
      <c r="P12" s="7">
        <f>COUNTIFS(상세!$H:$H,$A12,상세!$Q:$Q,"완료")</f>
        <v/>
      </c>
      <c r="Q12" s="8">
        <f>IF(COUNTIFS(상세!$H:$H,$A12,상세!$K:$K,"&lt;&gt;")=0,"",_xlfn.MAXIFS(상세!$K:$K,상세!$H:$H,$A12))</f>
        <v/>
      </c>
      <c r="R12" s="8">
        <f>IF(N12=0,"",_xlfn.MINIFS(상세!$J:$J,상세!$H:$H,$A12,상세!$L:$L,"&lt;&gt;회신 완료"))</f>
        <v/>
      </c>
      <c r="S12" s="7">
        <f>IF(C12=L12,"회신 완료 — 조치 완료 여부 확인",IF(O12&gt;0,"지연 — 재촉 필요",IF(H12=C12,"발송 필요",IF(H12&gt;0,"일부 미발송 — 확인","회신 대기"))))</f>
        <v/>
      </c>
      <c r="T12" s="7" t="inlineStr">
        <is>
          <t>-</t>
        </is>
      </c>
      <c r="U12" s="7" t="inlineStr">
        <is>
          <t>-</t>
        </is>
      </c>
      <c r="V12" s="7" t="inlineStr">
        <is>
          <t>-</t>
        </is>
      </c>
      <c r="W12" s="7" t="inlineStr">
        <is>
          <t>요청만</t>
        </is>
      </c>
    </row>
    <row r="13">
      <c r="A13" s="7" t="inlineStr">
        <is>
          <t>김운주</t>
        </is>
      </c>
      <c r="B13" s="7" t="inlineStr">
        <is>
          <t>메시지_김운주.txt</t>
        </is>
      </c>
      <c r="C13" s="7">
        <f>COUNTIFS(상세!$H:$H,$A13)</f>
        <v/>
      </c>
      <c r="D13" s="7">
        <f>COUNTIFS(상세!$H:$H,$A13,상세!$E:$E,"판단 보류")</f>
        <v/>
      </c>
      <c r="E13" s="7">
        <f>COUNTIFS(상세!$H:$H,$A13,상세!$E:$E,"미비")</f>
        <v/>
      </c>
      <c r="F13" s="7">
        <f>COUNTIFS(상세!$H:$H,$A13,상세!$E:$E,"보완 필요")</f>
        <v/>
      </c>
      <c r="G13" s="7">
        <f>COUNTIFS(상세!$H:$H,$A13,상세!$E:$E,"보유 확인")</f>
        <v/>
      </c>
      <c r="H13" s="7">
        <f>COUNTIFS(상세!$H:$H,$A13,상세!$L:$L,"미발송")</f>
        <v/>
      </c>
      <c r="I13" s="7">
        <f>COUNTIFS(상세!$H:$H,$A13,상세!$L:$L,"발송(회신 대기)")</f>
        <v/>
      </c>
      <c r="J13" s="7">
        <f>COUNTIFS(상세!$H:$H,$A13,상세!$L:$L,"일부 회신")</f>
        <v/>
      </c>
      <c r="K13" s="7">
        <f>COUNTIFS(상세!$H:$H,$A13,상세!$L:$L,"재요청")</f>
        <v/>
      </c>
      <c r="L13" s="7">
        <f>COUNTIFS(상세!$H:$H,$A13,상세!$L:$L,"회신 완료")</f>
        <v/>
      </c>
      <c r="M13" s="11">
        <f>IF(C13=0,0,L13/C13)</f>
        <v/>
      </c>
      <c r="N13" s="7">
        <f>COUNTIFS(상세!$H:$H,$A13,상세!$L:$L,"&lt;&gt;회신 완료")</f>
        <v/>
      </c>
      <c r="O13" s="7">
        <f>COUNTIFS(상세!$H:$H,$A13,상세!$L:$L,"&lt;&gt;회신 완료",상세!$K:$K,"&lt;&gt;",상세!$J:$J,"&lt;"&amp;TODAY())</f>
        <v/>
      </c>
      <c r="P13" s="7">
        <f>COUNTIFS(상세!$H:$H,$A13,상세!$Q:$Q,"완료")</f>
        <v/>
      </c>
      <c r="Q13" s="8">
        <f>IF(COUNTIFS(상세!$H:$H,$A13,상세!$K:$K,"&lt;&gt;")=0,"",_xlfn.MAXIFS(상세!$K:$K,상세!$H:$H,$A13))</f>
        <v/>
      </c>
      <c r="R13" s="8">
        <f>IF(N13=0,"",_xlfn.MINIFS(상세!$J:$J,상세!$H:$H,$A13,상세!$L:$L,"&lt;&gt;회신 완료"))</f>
        <v/>
      </c>
      <c r="S13" s="7">
        <f>IF(C13=L13,"회신 완료 — 조치 완료 여부 확인",IF(O13&gt;0,"지연 — 재촉 필요",IF(H13=C13,"발송 필요",IF(H13&gt;0,"일부 미발송 — 확인","회신 대기"))))</f>
        <v/>
      </c>
      <c r="T13" s="7" t="inlineStr">
        <is>
          <t>102</t>
        </is>
      </c>
      <c r="U13" s="7" t="inlineStr">
        <is>
          <t>-</t>
        </is>
      </c>
      <c r="V13" s="7" t="inlineStr">
        <is>
          <t>-</t>
        </is>
      </c>
      <c r="W13" s="7" t="inlineStr">
        <is>
          <t>요청만</t>
        </is>
      </c>
    </row>
    <row r="14">
      <c r="A14" s="7" t="inlineStr">
        <is>
          <t>안종명</t>
        </is>
      </c>
      <c r="B14" s="7" t="inlineStr">
        <is>
          <t>메시지_안종명.txt</t>
        </is>
      </c>
      <c r="C14" s="7">
        <f>COUNTIFS(상세!$H:$H,$A14)</f>
        <v/>
      </c>
      <c r="D14" s="7">
        <f>COUNTIFS(상세!$H:$H,$A14,상세!$E:$E,"판단 보류")</f>
        <v/>
      </c>
      <c r="E14" s="7">
        <f>COUNTIFS(상세!$H:$H,$A14,상세!$E:$E,"미비")</f>
        <v/>
      </c>
      <c r="F14" s="7">
        <f>COUNTIFS(상세!$H:$H,$A14,상세!$E:$E,"보완 필요")</f>
        <v/>
      </c>
      <c r="G14" s="7">
        <f>COUNTIFS(상세!$H:$H,$A14,상세!$E:$E,"보유 확인")</f>
        <v/>
      </c>
      <c r="H14" s="7">
        <f>COUNTIFS(상세!$H:$H,$A14,상세!$L:$L,"미발송")</f>
        <v/>
      </c>
      <c r="I14" s="7">
        <f>COUNTIFS(상세!$H:$H,$A14,상세!$L:$L,"발송(회신 대기)")</f>
        <v/>
      </c>
      <c r="J14" s="7">
        <f>COUNTIFS(상세!$H:$H,$A14,상세!$L:$L,"일부 회신")</f>
        <v/>
      </c>
      <c r="K14" s="7">
        <f>COUNTIFS(상세!$H:$H,$A14,상세!$L:$L,"재요청")</f>
        <v/>
      </c>
      <c r="L14" s="7">
        <f>COUNTIFS(상세!$H:$H,$A14,상세!$L:$L,"회신 완료")</f>
        <v/>
      </c>
      <c r="M14" s="11">
        <f>IF(C14=0,0,L14/C14)</f>
        <v/>
      </c>
      <c r="N14" s="7">
        <f>COUNTIFS(상세!$H:$H,$A14,상세!$L:$L,"&lt;&gt;회신 완료")</f>
        <v/>
      </c>
      <c r="O14" s="7">
        <f>COUNTIFS(상세!$H:$H,$A14,상세!$L:$L,"&lt;&gt;회신 완료",상세!$K:$K,"&lt;&gt;",상세!$J:$J,"&lt;"&amp;TODAY())</f>
        <v/>
      </c>
      <c r="P14" s="7">
        <f>COUNTIFS(상세!$H:$H,$A14,상세!$Q:$Q,"완료")</f>
        <v/>
      </c>
      <c r="Q14" s="8">
        <f>IF(COUNTIFS(상세!$H:$H,$A14,상세!$K:$K,"&lt;&gt;")=0,"",_xlfn.MAXIFS(상세!$K:$K,상세!$H:$H,$A14))</f>
        <v/>
      </c>
      <c r="R14" s="8">
        <f>IF(N14=0,"",_xlfn.MINIFS(상세!$J:$J,상세!$H:$H,$A14,상세!$L:$L,"&lt;&gt;회신 완료"))</f>
        <v/>
      </c>
      <c r="S14" s="7">
        <f>IF(C14=L14,"회신 완료 — 조치 완료 여부 확인",IF(O14&gt;0,"지연 — 재촉 필요",IF(H14=C14,"발송 필요",IF(H14&gt;0,"일부 미발송 — 확인","회신 대기"))))</f>
        <v/>
      </c>
      <c r="T14" s="7" t="inlineStr">
        <is>
          <t>233</t>
        </is>
      </c>
      <c r="U14" s="7" t="inlineStr">
        <is>
          <t>-</t>
        </is>
      </c>
      <c r="V14" s="7" t="inlineStr">
        <is>
          <t>-</t>
        </is>
      </c>
      <c r="W14" s="7" t="inlineStr">
        <is>
          <t>요청만</t>
        </is>
      </c>
    </row>
    <row r="15">
      <c r="A15" s="7" t="inlineStr">
        <is>
          <t>이은주·박철호(공동)</t>
        </is>
      </c>
      <c r="B15" s="7" t="inlineStr">
        <is>
          <t>메시지_이은주_박철호공동.txt</t>
        </is>
      </c>
      <c r="C15" s="7">
        <f>COUNTIFS(상세!$H:$H,$A15)</f>
        <v/>
      </c>
      <c r="D15" s="7">
        <f>COUNTIFS(상세!$H:$H,$A15,상세!$E:$E,"판단 보류")</f>
        <v/>
      </c>
      <c r="E15" s="7">
        <f>COUNTIFS(상세!$H:$H,$A15,상세!$E:$E,"미비")</f>
        <v/>
      </c>
      <c r="F15" s="7">
        <f>COUNTIFS(상세!$H:$H,$A15,상세!$E:$E,"보완 필요")</f>
        <v/>
      </c>
      <c r="G15" s="7">
        <f>COUNTIFS(상세!$H:$H,$A15,상세!$E:$E,"보유 확인")</f>
        <v/>
      </c>
      <c r="H15" s="7">
        <f>COUNTIFS(상세!$H:$H,$A15,상세!$L:$L,"미발송")</f>
        <v/>
      </c>
      <c r="I15" s="7">
        <f>COUNTIFS(상세!$H:$H,$A15,상세!$L:$L,"발송(회신 대기)")</f>
        <v/>
      </c>
      <c r="J15" s="7">
        <f>COUNTIFS(상세!$H:$H,$A15,상세!$L:$L,"일부 회신")</f>
        <v/>
      </c>
      <c r="K15" s="7">
        <f>COUNTIFS(상세!$H:$H,$A15,상세!$L:$L,"재요청")</f>
        <v/>
      </c>
      <c r="L15" s="7">
        <f>COUNTIFS(상세!$H:$H,$A15,상세!$L:$L,"회신 완료")</f>
        <v/>
      </c>
      <c r="M15" s="11">
        <f>IF(C15=0,0,L15/C15)</f>
        <v/>
      </c>
      <c r="N15" s="7">
        <f>COUNTIFS(상세!$H:$H,$A15,상세!$L:$L,"&lt;&gt;회신 완료")</f>
        <v/>
      </c>
      <c r="O15" s="7">
        <f>COUNTIFS(상세!$H:$H,$A15,상세!$L:$L,"&lt;&gt;회신 완료",상세!$K:$K,"&lt;&gt;",상세!$J:$J,"&lt;"&amp;TODAY())</f>
        <v/>
      </c>
      <c r="P15" s="7">
        <f>COUNTIFS(상세!$H:$H,$A15,상세!$Q:$Q,"완료")</f>
        <v/>
      </c>
      <c r="Q15" s="8">
        <f>IF(COUNTIFS(상세!$H:$H,$A15,상세!$K:$K,"&lt;&gt;")=0,"",_xlfn.MAXIFS(상세!$K:$K,상세!$H:$H,$A15))</f>
        <v/>
      </c>
      <c r="R15" s="8">
        <f>IF(N15=0,"",_xlfn.MINIFS(상세!$J:$J,상세!$H:$H,$A15,상세!$L:$L,"&lt;&gt;회신 완료"))</f>
        <v/>
      </c>
      <c r="S15" s="7">
        <f>IF(C15=L15,"회신 완료 — 조치 완료 여부 확인",IF(O15&gt;0,"지연 — 재촉 필요",IF(H15=C15,"발송 필요",IF(H15&gt;0,"일부 미발송 — 확인","회신 대기"))))</f>
        <v/>
      </c>
      <c r="T15" s="7" t="inlineStr">
        <is>
          <t>-</t>
        </is>
      </c>
      <c r="U15" s="7" t="inlineStr">
        <is>
          <t>-</t>
        </is>
      </c>
      <c r="V15" s="7" t="inlineStr">
        <is>
          <t>-</t>
        </is>
      </c>
      <c r="W15" s="7" t="inlineStr">
        <is>
          <t>요청만</t>
        </is>
      </c>
    </row>
    <row r="16">
      <c r="A16" s="7" t="inlineStr">
        <is>
          <t>(미지정)</t>
        </is>
      </c>
      <c r="B16" s="7" t="inlineStr">
        <is>
          <t>(담당자 미지정)</t>
        </is>
      </c>
      <c r="C16" s="7">
        <f>COUNTIFS(상세!$H:$H,$A16)</f>
        <v/>
      </c>
      <c r="D16" s="7">
        <f>COUNTIFS(상세!$H:$H,$A16,상세!$E:$E,"판단 보류")</f>
        <v/>
      </c>
      <c r="E16" s="7">
        <f>COUNTIFS(상세!$H:$H,$A16,상세!$E:$E,"미비")</f>
        <v/>
      </c>
      <c r="F16" s="7">
        <f>COUNTIFS(상세!$H:$H,$A16,상세!$E:$E,"보완 필요")</f>
        <v/>
      </c>
      <c r="G16" s="7">
        <f>COUNTIFS(상세!$H:$H,$A16,상세!$E:$E,"보유 확인")</f>
        <v/>
      </c>
      <c r="H16" s="7">
        <f>COUNTIFS(상세!$H:$H,$A16,상세!$L:$L,"미발송")</f>
        <v/>
      </c>
      <c r="I16" s="7">
        <f>COUNTIFS(상세!$H:$H,$A16,상세!$L:$L,"발송(회신 대기)")</f>
        <v/>
      </c>
      <c r="J16" s="7">
        <f>COUNTIFS(상세!$H:$H,$A16,상세!$L:$L,"일부 회신")</f>
        <v/>
      </c>
      <c r="K16" s="7">
        <f>COUNTIFS(상세!$H:$H,$A16,상세!$L:$L,"재요청")</f>
        <v/>
      </c>
      <c r="L16" s="7">
        <f>COUNTIFS(상세!$H:$H,$A16,상세!$L:$L,"회신 완료")</f>
        <v/>
      </c>
      <c r="M16" s="11">
        <f>IF(C16=0,0,L16/C16)</f>
        <v/>
      </c>
      <c r="N16" s="7">
        <f>COUNTIFS(상세!$H:$H,$A16,상세!$L:$L,"&lt;&gt;회신 완료")</f>
        <v/>
      </c>
      <c r="O16" s="7">
        <f>COUNTIFS(상세!$H:$H,$A16,상세!$L:$L,"&lt;&gt;회신 완료",상세!$K:$K,"&lt;&gt;",상세!$J:$J,"&lt;"&amp;TODAY())</f>
        <v/>
      </c>
      <c r="P16" s="7">
        <f>COUNTIFS(상세!$H:$H,$A16,상세!$Q:$Q,"완료")</f>
        <v/>
      </c>
      <c r="Q16" s="8">
        <f>IF(COUNTIFS(상세!$H:$H,$A16,상세!$K:$K,"&lt;&gt;")=0,"",_xlfn.MAXIFS(상세!$K:$K,상세!$H:$H,$A16))</f>
        <v/>
      </c>
      <c r="R16" s="8">
        <f>IF(N16=0,"",_xlfn.MINIFS(상세!$J:$J,상세!$H:$H,$A16,상세!$L:$L,"&lt;&gt;회신 완료"))</f>
        <v/>
      </c>
      <c r="S16" s="7">
        <f>IF(C16=L16,"회신 완료 — 조치 완료 여부 확인",IF(O16&gt;0,"지연 — 재촉 필요",IF(H16=C16,"발송 필요",IF(H16&gt;0,"일부 미발송 — 확인","회신 대기"))))</f>
        <v/>
      </c>
      <c r="T16" s="7" t="inlineStr">
        <is>
          <t>-</t>
        </is>
      </c>
      <c r="U16" s="7" t="inlineStr">
        <is>
          <t>-</t>
        </is>
      </c>
      <c r="V16" s="7" t="inlineStr">
        <is>
          <t>-</t>
        </is>
      </c>
      <c r="W16" s="7" t="inlineStr">
        <is>
          <t>담당자 지정 필요</t>
        </is>
      </c>
    </row>
    <row r="17">
      <c r="A17" s="9" t="inlineStr">
        <is>
          <t>합계</t>
        </is>
      </c>
      <c r="B17" s="9" t="inlineStr"/>
      <c r="C17" s="9">
        <f>SUM(C5:C16)</f>
        <v/>
      </c>
      <c r="D17" s="9">
        <f>SUM(D5:D16)</f>
        <v/>
      </c>
      <c r="E17" s="9">
        <f>SUM(E5:E16)</f>
        <v/>
      </c>
      <c r="F17" s="9">
        <f>SUM(F5:F16)</f>
        <v/>
      </c>
      <c r="G17" s="9">
        <f>SUM(G5:G16)</f>
        <v/>
      </c>
      <c r="H17" s="9">
        <f>SUM(H5:H16)</f>
        <v/>
      </c>
      <c r="I17" s="9">
        <f>SUM(I5:I16)</f>
        <v/>
      </c>
      <c r="J17" s="9">
        <f>SUM(J5:J16)</f>
        <v/>
      </c>
      <c r="K17" s="9">
        <f>SUM(K5:K16)</f>
        <v/>
      </c>
      <c r="L17" s="9">
        <f>SUM(L5:L16)</f>
        <v/>
      </c>
      <c r="M17" s="12">
        <f>IF(C17=0,0,L17/C17)</f>
        <v/>
      </c>
      <c r="N17" s="9">
        <f>SUM(N5:N16)</f>
        <v/>
      </c>
      <c r="O17" s="9">
        <f>SUM(O5:O16)</f>
        <v/>
      </c>
      <c r="P17" s="9">
        <f>SUM(P5:P16)</f>
        <v/>
      </c>
      <c r="Q17" s="10" t="inlineStr"/>
      <c r="R17" s="10" t="inlineStr"/>
      <c r="S17" s="9" t="inlineStr"/>
      <c r="T17" s="9" t="inlineStr"/>
      <c r="U17" s="9" t="inlineStr"/>
      <c r="V17" s="9" t="inlineStr"/>
      <c r="W17" s="9" t="inlineStr"/>
    </row>
  </sheetData>
  <conditionalFormatting sqref="A5:W16">
    <cfRule type="expression" priority="1" dxfId="0">
      <formula>$O5&gt;0</formula>
    </cfRule>
    <cfRule type="expression" priority="2" dxfId="1">
      <formula>AND($C5&gt;0,$C5=$L5)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4" customWidth="1" min="4" max="4"/>
    <col width="10" customWidth="1" min="5" max="5"/>
    <col width="8" customWidth="1" min="6" max="6"/>
    <col width="10" customWidth="1" min="7" max="7"/>
    <col width="8" customWidth="1" min="8" max="8"/>
    <col width="9" customWidth="1" min="9" max="9"/>
  </cols>
  <sheetData>
    <row r="1">
      <c r="A1" s="1" t="inlineStr">
        <is>
          <t>요청 유형별 현황</t>
        </is>
      </c>
    </row>
    <row r="3">
      <c r="A3" s="6" t="inlineStr">
        <is>
          <t>요청 유형</t>
        </is>
      </c>
      <c r="B3" s="6" t="inlineStr">
        <is>
          <t>총 건수</t>
        </is>
      </c>
      <c r="C3" s="6" t="inlineStr">
        <is>
          <t>미발송</t>
        </is>
      </c>
      <c r="D3" s="6" t="inlineStr">
        <is>
          <t>발송(회신 대기)</t>
        </is>
      </c>
      <c r="E3" s="6" t="inlineStr">
        <is>
          <t>일부 회신</t>
        </is>
      </c>
      <c r="F3" s="6" t="inlineStr">
        <is>
          <t>재요청</t>
        </is>
      </c>
      <c r="G3" s="6" t="inlineStr">
        <is>
          <t>회신 완료</t>
        </is>
      </c>
      <c r="H3" s="6" t="inlineStr">
        <is>
          <t>회신율</t>
        </is>
      </c>
      <c r="I3" s="6" t="inlineStr">
        <is>
          <t>조치 완료</t>
        </is>
      </c>
    </row>
    <row r="4">
      <c r="A4" t="inlineStr">
        <is>
          <t>판단 보류</t>
        </is>
      </c>
      <c r="B4">
        <f>COUNTIFS(상세!$E:$E,$A4)</f>
        <v/>
      </c>
      <c r="C4">
        <f>COUNTIFS(상세!$E:$E,$A4,상세!$L:$L,"미발송")</f>
        <v/>
      </c>
      <c r="D4">
        <f>COUNTIFS(상세!$E:$E,$A4,상세!$L:$L,"발송(회신 대기)")</f>
        <v/>
      </c>
      <c r="E4">
        <f>COUNTIFS(상세!$E:$E,$A4,상세!$L:$L,"일부 회신")</f>
        <v/>
      </c>
      <c r="F4">
        <f>COUNTIFS(상세!$E:$E,$A4,상세!$L:$L,"재요청")</f>
        <v/>
      </c>
      <c r="G4">
        <f>COUNTIFS(상세!$E:$E,$A4,상세!$L:$L,"회신 완료")</f>
        <v/>
      </c>
      <c r="H4" s="3">
        <f>IF(B4=0,0,G4/B4)</f>
        <v/>
      </c>
      <c r="I4">
        <f>COUNTIFS(상세!$E:$E,$A4,상세!$Q:$Q,"완료")</f>
        <v/>
      </c>
    </row>
    <row r="5">
      <c r="A5" t="inlineStr">
        <is>
          <t>미비</t>
        </is>
      </c>
      <c r="B5">
        <f>COUNTIFS(상세!$E:$E,$A5)</f>
        <v/>
      </c>
      <c r="C5">
        <f>COUNTIFS(상세!$E:$E,$A5,상세!$L:$L,"미발송")</f>
        <v/>
      </c>
      <c r="D5">
        <f>COUNTIFS(상세!$E:$E,$A5,상세!$L:$L,"발송(회신 대기)")</f>
        <v/>
      </c>
      <c r="E5">
        <f>COUNTIFS(상세!$E:$E,$A5,상세!$L:$L,"일부 회신")</f>
        <v/>
      </c>
      <c r="F5">
        <f>COUNTIFS(상세!$E:$E,$A5,상세!$L:$L,"재요청")</f>
        <v/>
      </c>
      <c r="G5">
        <f>COUNTIFS(상세!$E:$E,$A5,상세!$L:$L,"회신 완료")</f>
        <v/>
      </c>
      <c r="H5" s="3">
        <f>IF(B5=0,0,G5/B5)</f>
        <v/>
      </c>
      <c r="I5">
        <f>COUNTIFS(상세!$E:$E,$A5,상세!$Q:$Q,"완료")</f>
        <v/>
      </c>
    </row>
    <row r="6">
      <c r="A6" t="inlineStr">
        <is>
          <t>보완 필요</t>
        </is>
      </c>
      <c r="B6">
        <f>COUNTIFS(상세!$E:$E,$A6)</f>
        <v/>
      </c>
      <c r="C6">
        <f>COUNTIFS(상세!$E:$E,$A6,상세!$L:$L,"미발송")</f>
        <v/>
      </c>
      <c r="D6">
        <f>COUNTIFS(상세!$E:$E,$A6,상세!$L:$L,"발송(회신 대기)")</f>
        <v/>
      </c>
      <c r="E6">
        <f>COUNTIFS(상세!$E:$E,$A6,상세!$L:$L,"일부 회신")</f>
        <v/>
      </c>
      <c r="F6">
        <f>COUNTIFS(상세!$E:$E,$A6,상세!$L:$L,"재요청")</f>
        <v/>
      </c>
      <c r="G6">
        <f>COUNTIFS(상세!$E:$E,$A6,상세!$L:$L,"회신 완료")</f>
        <v/>
      </c>
      <c r="H6" s="3">
        <f>IF(B6=0,0,G6/B6)</f>
        <v/>
      </c>
      <c r="I6">
        <f>COUNTIFS(상세!$E:$E,$A6,상세!$Q:$Q,"완료")</f>
        <v/>
      </c>
    </row>
    <row r="7">
      <c r="A7" t="inlineStr">
        <is>
          <t>보유 확인</t>
        </is>
      </c>
      <c r="B7">
        <f>COUNTIFS(상세!$E:$E,$A7)</f>
        <v/>
      </c>
      <c r="C7">
        <f>COUNTIFS(상세!$E:$E,$A7,상세!$L:$L,"미발송")</f>
        <v/>
      </c>
      <c r="D7">
        <f>COUNTIFS(상세!$E:$E,$A7,상세!$L:$L,"발송(회신 대기)")</f>
        <v/>
      </c>
      <c r="E7">
        <f>COUNTIFS(상세!$E:$E,$A7,상세!$L:$L,"일부 회신")</f>
        <v/>
      </c>
      <c r="F7">
        <f>COUNTIFS(상세!$E:$E,$A7,상세!$L:$L,"재요청")</f>
        <v/>
      </c>
      <c r="G7">
        <f>COUNTIFS(상세!$E:$E,$A7,상세!$L:$L,"회신 완료")</f>
        <v/>
      </c>
      <c r="H7" s="3">
        <f>IF(B7=0,0,G7/B7)</f>
        <v/>
      </c>
      <c r="I7">
        <f>COUNTIFS(상세!$E:$E,$A7,상세!$Q:$Q,"완료")</f>
        <v/>
      </c>
    </row>
    <row r="8">
      <c r="A8" s="4" t="inlineStr">
        <is>
          <t>합계</t>
        </is>
      </c>
      <c r="B8" s="4">
        <f>SUM(B4:B7)</f>
        <v/>
      </c>
      <c r="C8" s="4">
        <f>SUM(C4:C7)</f>
        <v/>
      </c>
      <c r="D8" s="4">
        <f>SUM(D4:D7)</f>
        <v/>
      </c>
      <c r="E8" s="4">
        <f>SUM(E4:E7)</f>
        <v/>
      </c>
      <c r="F8" s="4">
        <f>SUM(F4:F7)</f>
        <v/>
      </c>
      <c r="G8" s="4">
        <f>SUM(G4:G7)</f>
        <v/>
      </c>
      <c r="H8" s="5">
        <f>IF(B8=0,0,G8/B8)</f>
        <v/>
      </c>
      <c r="I8" s="4">
        <f>SUM(I4:I7)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28" customWidth="1" min="4" max="4"/>
    <col width="11" customWidth="1" min="5" max="5"/>
    <col width="12" customWidth="1" min="6" max="6"/>
    <col width="12" customWidth="1" min="7" max="7"/>
    <col width="16" customWidth="1" min="8" max="8"/>
    <col width="30" customWidth="1" min="9" max="9"/>
    <col width="11" customWidth="1" min="10" max="10"/>
    <col width="11" customWidth="1" min="11" max="11"/>
    <col width="15" customWidth="1" min="12" max="12"/>
    <col width="11" customWidth="1" min="13" max="13"/>
    <col width="34" customWidth="1" min="14" max="14"/>
    <col width="10" customWidth="1" min="15" max="15"/>
    <col width="46" customWidth="1" min="16" max="16"/>
    <col width="12" customWidth="1" min="17" max="17"/>
    <col width="24" customWidth="1" min="18" max="18"/>
    <col width="11" customWidth="1" min="19" max="19"/>
    <col width="14" customWidth="1" min="20" max="20"/>
  </cols>
  <sheetData>
    <row r="1">
      <c r="A1" s="6" t="inlineStr">
        <is>
          <t>SQ NO</t>
        </is>
      </c>
      <c r="B1" s="6" t="inlineStr">
        <is>
          <t>분야</t>
        </is>
      </c>
      <c r="C1" s="6" t="inlineStr">
        <is>
          <t>번호</t>
        </is>
      </c>
      <c r="D1" s="6" t="inlineStr">
        <is>
          <t>필요서류</t>
        </is>
      </c>
      <c r="E1" s="6" t="inlineStr">
        <is>
          <t>요청 유형</t>
        </is>
      </c>
      <c r="F1" s="6" t="inlineStr">
        <is>
          <t>배정 FM</t>
        </is>
      </c>
      <c r="G1" s="6" t="inlineStr">
        <is>
          <t>대표 FM</t>
        </is>
      </c>
      <c r="H1" s="6" t="inlineStr">
        <is>
          <t>담당자</t>
        </is>
      </c>
      <c r="I1" s="6" t="inlineStr">
        <is>
          <t>발송 메시지 파일</t>
        </is>
      </c>
      <c r="J1" s="6" t="inlineStr">
        <is>
          <t>회신 기한</t>
        </is>
      </c>
      <c r="K1" s="6" t="inlineStr">
        <is>
          <t>발송일(입력)</t>
        </is>
      </c>
      <c r="L1" s="6" t="inlineStr">
        <is>
          <t>회신 상태(입력)</t>
        </is>
      </c>
      <c r="M1" s="6" t="inlineStr">
        <is>
          <t>회신일(입력)</t>
        </is>
      </c>
      <c r="N1" s="6" t="inlineStr">
        <is>
          <t>회신 내용 요약(입력)</t>
        </is>
      </c>
      <c r="O1" s="6" t="inlineStr">
        <is>
          <t>확인자(입력)</t>
        </is>
      </c>
      <c r="P1" s="6" t="inlineStr">
        <is>
          <t>회신 후 필요한 조치</t>
        </is>
      </c>
      <c r="Q1" s="6" t="inlineStr">
        <is>
          <t>조치 완료(입력)</t>
        </is>
      </c>
      <c r="R1" s="6" t="inlineStr">
        <is>
          <t>메모</t>
        </is>
      </c>
      <c r="S1" s="16" t="inlineStr">
        <is>
          <t>기한까지 남은 일수</t>
        </is>
      </c>
      <c r="T1" s="16" t="inlineStr">
        <is>
          <t>기한 상태</t>
        </is>
      </c>
    </row>
    <row r="2">
      <c r="A2" s="7" t="n">
        <v>51</v>
      </c>
      <c r="B2" s="7" t="inlineStr">
        <is>
          <t>검사시험</t>
        </is>
      </c>
      <c r="C2" s="7" t="inlineStr">
        <is>
          <t>2-5</t>
        </is>
      </c>
      <c r="D2" s="7" t="inlineStr">
        <is>
          <t>계측기관리대장</t>
        </is>
      </c>
      <c r="E2" s="7" t="inlineStr">
        <is>
          <t>판단 보류</t>
        </is>
      </c>
      <c r="F2" s="7" t="inlineStr">
        <is>
          <t>SH-FM-173</t>
        </is>
      </c>
      <c r="G2" s="7" t="inlineStr">
        <is>
          <t>SH-FM-023</t>
        </is>
      </c>
      <c r="H2" s="7" t="inlineStr">
        <is>
          <t>김명용</t>
        </is>
      </c>
      <c r="I2" s="7" t="inlineStr">
        <is>
          <t>발송용_담당자변경_20261027/메시지_김명용_20261027.txt</t>
        </is>
      </c>
      <c r="J2" s="8" t="n">
        <v>46331</v>
      </c>
      <c r="K2" s="8" t="n">
        <v>46322</v>
      </c>
      <c r="L2" s="7" t="inlineStr">
        <is>
          <t>발송(회신 대기)</t>
        </is>
      </c>
      <c r="M2" s="8" t="n"/>
      <c r="N2" s="7" t="n"/>
      <c r="O2" s="7" t="n"/>
      <c r="P2" s="7" t="inlineStr">
        <is>
          <t>원본 양식·승인 증빙 확보 → 대표 번호 릴리스 여부 결정</t>
        </is>
      </c>
      <c r="Q2" s="7" t="inlineStr">
        <is>
          <t>미완료</t>
        </is>
      </c>
      <c r="R2" s="7" t="inlineStr">
        <is>
          <t>담당자 변경 재안내 발송 2026-10-27</t>
        </is>
      </c>
      <c r="S2">
        <f>IF(L2="회신 완료","",J2-TODAY())</f>
        <v/>
      </c>
      <c r="T2">
        <f>IF(L2="회신 완료","완료",IF(J2&lt;TODAY(),"지연",IF(J2-TODAY()&lt;=1,"임박(D-1 이내)",IF(J2-TODAY()&lt;=3,"임박(D-3 이내)","여유"))))</f>
        <v/>
      </c>
    </row>
    <row r="3">
      <c r="A3" s="7" t="n">
        <v>75</v>
      </c>
      <c r="B3" s="7" t="inlineStr">
        <is>
          <t>검사시험</t>
        </is>
      </c>
      <c r="C3" s="7" t="inlineStr">
        <is>
          <t>2-8</t>
        </is>
      </c>
      <c r="D3" s="7" t="inlineStr">
        <is>
          <t>완성품보관장소선정</t>
        </is>
      </c>
      <c r="E3" s="7" t="inlineStr">
        <is>
          <t>판단 보류</t>
        </is>
      </c>
      <c r="F3" s="7" t="inlineStr">
        <is>
          <t>SH-FM-197</t>
        </is>
      </c>
      <c r="G3" s="7" t="inlineStr">
        <is>
          <t>SH-FM-197</t>
        </is>
      </c>
      <c r="H3" s="7" t="inlineStr">
        <is>
          <t>김명용</t>
        </is>
      </c>
      <c r="I3" s="7" t="inlineStr">
        <is>
          <t>발송용_담당자변경_20261027/메시지_김명용_20261027.txt</t>
        </is>
      </c>
      <c r="J3" s="8" t="n">
        <v>46331</v>
      </c>
      <c r="K3" s="8" t="n">
        <v>46322</v>
      </c>
      <c r="L3" s="7" t="inlineStr">
        <is>
          <t>발송(회신 대기)</t>
        </is>
      </c>
      <c r="M3" s="8" t="n"/>
      <c r="N3" s="7" t="n"/>
      <c r="O3" s="7" t="n"/>
      <c r="P3" s="7" t="inlineStr">
        <is>
          <t>현물 증빙(사진·위치) 확인 → 매핑표에 현물 보유 반영 검토</t>
        </is>
      </c>
      <c r="Q3" s="7" t="inlineStr">
        <is>
          <t>미완료</t>
        </is>
      </c>
      <c r="R3" s="7" t="inlineStr">
        <is>
          <t>담당자 변경 재안내 발송 2026-10-27</t>
        </is>
      </c>
      <c r="S3">
        <f>IF(L3="회신 완료","",J3-TODAY())</f>
        <v/>
      </c>
      <c r="T3">
        <f>IF(L3="회신 완료","완료",IF(J3&lt;TODAY(),"지연",IF(J3-TODAY()&lt;=1,"임박(D-1 이내)",IF(J3-TODAY()&lt;=3,"임박(D-3 이내)","여유"))))</f>
        <v/>
      </c>
    </row>
    <row r="4">
      <c r="A4" s="7" t="n">
        <v>76</v>
      </c>
      <c r="B4" s="7" t="inlineStr">
        <is>
          <t>검사시험</t>
        </is>
      </c>
      <c r="C4" s="7" t="inlineStr">
        <is>
          <t>2-8</t>
        </is>
      </c>
      <c r="D4" s="7" t="inlineStr">
        <is>
          <t>완성검사관리대제작</t>
        </is>
      </c>
      <c r="E4" s="7" t="inlineStr">
        <is>
          <t>판단 보류</t>
        </is>
      </c>
      <c r="F4" s="7" t="inlineStr">
        <is>
          <t>SH-FM-198</t>
        </is>
      </c>
      <c r="G4" s="7" t="inlineStr">
        <is>
          <t>SH-FM-198</t>
        </is>
      </c>
      <c r="H4" s="7" t="inlineStr">
        <is>
          <t>김명용</t>
        </is>
      </c>
      <c r="I4" s="7" t="inlineStr">
        <is>
          <t>발송용_담당자변경_20261027/메시지_김명용_20261027.txt</t>
        </is>
      </c>
      <c r="J4" s="8" t="n">
        <v>46331</v>
      </c>
      <c r="K4" s="8" t="n">
        <v>46322</v>
      </c>
      <c r="L4" s="7" t="inlineStr">
        <is>
          <t>발송(회신 대기)</t>
        </is>
      </c>
      <c r="M4" s="8" t="n"/>
      <c r="N4" s="7" t="n"/>
      <c r="O4" s="7" t="n"/>
      <c r="P4" s="7" t="inlineStr">
        <is>
          <t>현물 증빙(사진·위치) 확인 → 매핑표에 현물 보유 반영 검토</t>
        </is>
      </c>
      <c r="Q4" s="7" t="inlineStr">
        <is>
          <t>미완료</t>
        </is>
      </c>
      <c r="R4" s="7" t="inlineStr">
        <is>
          <t>담당자 변경 재안내 발송 2026-10-27</t>
        </is>
      </c>
      <c r="S4">
        <f>IF(L4="회신 완료","",J4-TODAY())</f>
        <v/>
      </c>
      <c r="T4">
        <f>IF(L4="회신 완료","완료",IF(J4&lt;TODAY(),"지연",IF(J4-TODAY()&lt;=1,"임박(D-1 이내)",IF(J4-TODAY()&lt;=3,"임박(D-3 이내)","여유"))))</f>
        <v/>
      </c>
    </row>
    <row r="5">
      <c r="A5" s="7" t="n">
        <v>77</v>
      </c>
      <c r="B5" s="7" t="inlineStr">
        <is>
          <t>검사시험</t>
        </is>
      </c>
      <c r="C5" s="7" t="inlineStr">
        <is>
          <t>2-8</t>
        </is>
      </c>
      <c r="D5" s="7" t="inlineStr">
        <is>
          <t>(QMS SYSTEM 운영시 컴퓨터설치운영)</t>
        </is>
      </c>
      <c r="E5" s="7" t="inlineStr">
        <is>
          <t>판단 보류</t>
        </is>
      </c>
      <c r="F5" s="7" t="inlineStr">
        <is>
          <t>SH-FM-199</t>
        </is>
      </c>
      <c r="G5" s="7" t="inlineStr">
        <is>
          <t>SH-FM-199</t>
        </is>
      </c>
      <c r="H5" s="7" t="inlineStr">
        <is>
          <t>황지환</t>
        </is>
      </c>
      <c r="I5" s="7" t="inlineStr">
        <is>
          <t>발송용_담당자변경_20261027/메시지_황지환_20261027.txt</t>
        </is>
      </c>
      <c r="J5" s="8" t="n">
        <v>46331</v>
      </c>
      <c r="K5" s="8" t="n">
        <v>46322</v>
      </c>
      <c r="L5" s="7" t="inlineStr">
        <is>
          <t>발송(회신 대기)</t>
        </is>
      </c>
      <c r="M5" s="8" t="n"/>
      <c r="N5" s="7" t="n"/>
      <c r="O5" s="7" t="n"/>
      <c r="P5" s="7" t="inlineStr">
        <is>
          <t>현물 증빙(사진·위치) 확인 → 매핑표에 현물 보유 반영 검토</t>
        </is>
      </c>
      <c r="Q5" s="7" t="inlineStr">
        <is>
          <t>미완료</t>
        </is>
      </c>
      <c r="R5" s="7" t="inlineStr">
        <is>
          <t>담당자 정정본3 기준 변경(인쇄물 전달 당시: 김명용); 담당자 변경 재안내 발송 2026-10-27</t>
        </is>
      </c>
      <c r="S5">
        <f>IF(L5="회신 완료","",J5-TODAY())</f>
        <v/>
      </c>
      <c r="T5">
        <f>IF(L5="회신 완료","완료",IF(J5&lt;TODAY(),"지연",IF(J5-TODAY()&lt;=1,"임박(D-1 이내)",IF(J5-TODAY()&lt;=3,"임박(D-3 이내)","여유"))))</f>
        <v/>
      </c>
    </row>
    <row r="6">
      <c r="A6" s="7" t="n">
        <v>224</v>
      </c>
      <c r="B6" s="7" t="inlineStr">
        <is>
          <t>품질경영체제</t>
        </is>
      </c>
      <c r="C6" s="7" t="inlineStr">
        <is>
          <t>6-11</t>
        </is>
      </c>
      <c r="D6" s="7" t="inlineStr">
        <is>
          <t>품질종합현황판 제작설치</t>
        </is>
      </c>
      <c r="E6" s="7" t="inlineStr">
        <is>
          <t>판단 보류</t>
        </is>
      </c>
      <c r="F6" s="7" t="inlineStr">
        <is>
          <t>SH-FM-346</t>
        </is>
      </c>
      <c r="G6" s="7" t="inlineStr">
        <is>
          <t>SH-FM-346</t>
        </is>
      </c>
      <c r="H6" s="7" t="inlineStr">
        <is>
          <t>김명용</t>
        </is>
      </c>
      <c r="I6" s="7" t="inlineStr">
        <is>
          <t>발송용_담당자변경_20261027/메시지_김명용_20261027.txt</t>
        </is>
      </c>
      <c r="J6" s="8" t="n">
        <v>46331</v>
      </c>
      <c r="K6" s="8" t="n">
        <v>46322</v>
      </c>
      <c r="L6" s="7" t="inlineStr">
        <is>
          <t>발송(회신 대기)</t>
        </is>
      </c>
      <c r="M6" s="8" t="n"/>
      <c r="N6" s="7" t="n"/>
      <c r="O6" s="7" t="n"/>
      <c r="P6" s="7" t="inlineStr">
        <is>
          <t>현물 증빙(사진·위치) 확인 → 매핑표에 현물 보유 반영 검토</t>
        </is>
      </c>
      <c r="Q6" s="7" t="inlineStr">
        <is>
          <t>미완료</t>
        </is>
      </c>
      <c r="R6" s="7" t="inlineStr">
        <is>
          <t>담당자 변경 재안내 발송 2026-10-27</t>
        </is>
      </c>
      <c r="S6">
        <f>IF(L6="회신 완료","",J6-TODAY())</f>
        <v/>
      </c>
      <c r="T6">
        <f>IF(L6="회신 완료","완료",IF(J6&lt;TODAY(),"지연",IF(J6-TODAY()&lt;=1,"임박(D-1 이내)",IF(J6-TODAY()&lt;=3,"임박(D-3 이내)","여유"))))</f>
        <v/>
      </c>
    </row>
    <row r="7">
      <c r="A7" s="7" t="n">
        <v>38</v>
      </c>
      <c r="B7" s="7" t="inlineStr">
        <is>
          <t>검사시험</t>
        </is>
      </c>
      <c r="C7" s="7" t="inlineStr">
        <is>
          <t>2-2</t>
        </is>
      </c>
      <c r="D7" s="7" t="inlineStr">
        <is>
          <t>외주품 수입검사기준서</t>
        </is>
      </c>
      <c r="E7" s="7" t="inlineStr">
        <is>
          <t>보완 필요</t>
        </is>
      </c>
      <c r="F7" s="7" t="inlineStr">
        <is>
          <t>SH-FM-160</t>
        </is>
      </c>
      <c r="G7" s="7" t="inlineStr">
        <is>
          <t>SH-FM-160</t>
        </is>
      </c>
      <c r="H7" s="7" t="inlineStr">
        <is>
          <t>김명용</t>
        </is>
      </c>
      <c r="I7" s="7" t="inlineStr">
        <is>
          <t>발송용_담당자변경_20261027/메시지_김명용_20261027.txt</t>
        </is>
      </c>
      <c r="J7" s="8" t="n">
        <v>46331</v>
      </c>
      <c r="K7" s="8" t="n">
        <v>46322</v>
      </c>
      <c r="L7" s="7" t="inlineStr">
        <is>
          <t>발송(회신 대기)</t>
        </is>
      </c>
      <c r="M7" s="8" t="n"/>
      <c r="N7" s="7" t="n"/>
      <c r="O7" s="7" t="n"/>
      <c r="P7" s="7" t="inlineStr">
        <is>
          <t>항목·기준 작성 파일 수령 → 같은 Rev.00 재개정(recheck → 승인·배포) → 매핑표 '보유'로 갱신</t>
        </is>
      </c>
      <c r="Q7" s="7" t="inlineStr">
        <is>
          <t>미완료</t>
        </is>
      </c>
      <c r="R7" s="7" t="inlineStr">
        <is>
          <t>담당자 변경 재안내 발송 2026-10-27</t>
        </is>
      </c>
      <c r="S7">
        <f>IF(L7="회신 완료","",J7-TODAY())</f>
        <v/>
      </c>
      <c r="T7">
        <f>IF(L7="회신 완료","완료",IF(J7&lt;TODAY(),"지연",IF(J7-TODAY()&lt;=1,"임박(D-1 이내)",IF(J7-TODAY()&lt;=3,"임박(D-3 이내)","여유"))))</f>
        <v/>
      </c>
    </row>
    <row r="8">
      <c r="A8" s="7" t="n">
        <v>40</v>
      </c>
      <c r="B8" s="7" t="inlineStr">
        <is>
          <t>검사시험</t>
        </is>
      </c>
      <c r="C8" s="7" t="inlineStr">
        <is>
          <t>2-2</t>
        </is>
      </c>
      <c r="D8" s="7" t="inlineStr">
        <is>
          <t>외주품 부적합처리기준서</t>
        </is>
      </c>
      <c r="E8" s="7" t="inlineStr">
        <is>
          <t>보완 필요</t>
        </is>
      </c>
      <c r="F8" s="7" t="inlineStr">
        <is>
          <t>SH-FM-162</t>
        </is>
      </c>
      <c r="G8" s="7" t="inlineStr">
        <is>
          <t>SH-FM-162</t>
        </is>
      </c>
      <c r="H8" s="7" t="inlineStr">
        <is>
          <t>김명용</t>
        </is>
      </c>
      <c r="I8" s="7" t="inlineStr">
        <is>
          <t>발송용_담당자변경_20261027/메시지_김명용_20261027.txt</t>
        </is>
      </c>
      <c r="J8" s="8" t="n">
        <v>46331</v>
      </c>
      <c r="K8" s="8" t="n">
        <v>46322</v>
      </c>
      <c r="L8" s="7" t="inlineStr">
        <is>
          <t>발송(회신 대기)</t>
        </is>
      </c>
      <c r="M8" s="8" t="n"/>
      <c r="N8" s="7" t="n"/>
      <c r="O8" s="7" t="n"/>
      <c r="P8" s="7" t="inlineStr">
        <is>
          <t>항목·기준 작성 파일 수령 → 같은 Rev.00 재개정(recheck → 승인·배포) → 매핑표 '보유'로 갱신</t>
        </is>
      </c>
      <c r="Q8" s="7" t="inlineStr">
        <is>
          <t>미완료</t>
        </is>
      </c>
      <c r="R8" s="7" t="inlineStr">
        <is>
          <t>담당자 변경 재안내 발송 2026-10-27</t>
        </is>
      </c>
      <c r="S8">
        <f>IF(L8="회신 완료","",J8-TODAY())</f>
        <v/>
      </c>
      <c r="T8">
        <f>IF(L8="회신 완료","완료",IF(J8&lt;TODAY(),"지연",IF(J8-TODAY()&lt;=1,"임박(D-1 이내)",IF(J8-TODAY()&lt;=3,"임박(D-3 이내)","여유"))))</f>
        <v/>
      </c>
    </row>
    <row r="9">
      <c r="A9" s="7" t="n">
        <v>42</v>
      </c>
      <c r="B9" s="7" t="inlineStr">
        <is>
          <t>검사시험</t>
        </is>
      </c>
      <c r="C9" s="7" t="inlineStr">
        <is>
          <t>2-2</t>
        </is>
      </c>
      <c r="D9" s="7" t="inlineStr">
        <is>
          <t>외주품 검사기준서</t>
        </is>
      </c>
      <c r="E9" s="7" t="inlineStr">
        <is>
          <t>보완 필요</t>
        </is>
      </c>
      <c r="F9" s="7" t="inlineStr">
        <is>
          <t>SH-FM-164</t>
        </is>
      </c>
      <c r="G9" s="7" t="inlineStr">
        <is>
          <t>SH-FM-160</t>
        </is>
      </c>
      <c r="H9" s="7" t="inlineStr">
        <is>
          <t>김명용</t>
        </is>
      </c>
      <c r="I9" s="7" t="inlineStr">
        <is>
          <t>발송용_담당자변경_20261027/메시지_김명용_20261027.txt</t>
        </is>
      </c>
      <c r="J9" s="8" t="n">
        <v>46331</v>
      </c>
      <c r="K9" s="8" t="n">
        <v>46322</v>
      </c>
      <c r="L9" s="7" t="inlineStr">
        <is>
          <t>발송(회신 대기)</t>
        </is>
      </c>
      <c r="M9" s="8" t="n"/>
      <c r="N9" s="7" t="n"/>
      <c r="O9" s="7" t="n"/>
      <c r="P9" s="7" t="inlineStr">
        <is>
          <t>항목·기준 작성 파일 수령 → 같은 Rev.00 재개정(recheck → 승인·배포) → 매핑표 '보유'로 갱신</t>
        </is>
      </c>
      <c r="Q9" s="7" t="inlineStr">
        <is>
          <t>미완료</t>
        </is>
      </c>
      <c r="R9" s="7" t="inlineStr">
        <is>
          <t>담당자 변경 재안내 발송 2026-10-27</t>
        </is>
      </c>
      <c r="S9">
        <f>IF(L9="회신 완료","",J9-TODAY())</f>
        <v/>
      </c>
      <c r="T9">
        <f>IF(L9="회신 완료","완료",IF(J9&lt;TODAY(),"지연",IF(J9-TODAY()&lt;=1,"임박(D-1 이내)",IF(J9-TODAY()&lt;=3,"임박(D-3 이내)","여유"))))</f>
        <v/>
      </c>
    </row>
    <row r="10">
      <c r="A10" s="7" t="n">
        <v>43</v>
      </c>
      <c r="B10" s="7" t="inlineStr">
        <is>
          <t>검사시험</t>
        </is>
      </c>
      <c r="C10" s="7" t="inlineStr">
        <is>
          <t>2-3</t>
        </is>
      </c>
      <c r="D10" s="7" t="inlineStr">
        <is>
          <t>한도견본 관리대장(외주품/완성품)</t>
        </is>
      </c>
      <c r="E10" s="7" t="inlineStr">
        <is>
          <t>보완 필요</t>
        </is>
      </c>
      <c r="F10" s="7" t="inlineStr">
        <is>
          <t>SH-FM-165</t>
        </is>
      </c>
      <c r="G10" s="7" t="inlineStr">
        <is>
          <t>SH-FM-165</t>
        </is>
      </c>
      <c r="H10" s="7" t="inlineStr">
        <is>
          <t>김명용</t>
        </is>
      </c>
      <c r="I10" s="7" t="inlineStr">
        <is>
          <t>발송용_담당자변경_20261027/메시지_김명용_20261027.txt</t>
        </is>
      </c>
      <c r="J10" s="8" t="n">
        <v>46331</v>
      </c>
      <c r="K10" s="8" t="n">
        <v>46322</v>
      </c>
      <c r="L10" s="7" t="inlineStr">
        <is>
          <t>발송(회신 대기)</t>
        </is>
      </c>
      <c r="M10" s="8" t="n"/>
      <c r="N10" s="7" t="n"/>
      <c r="O10" s="7" t="n"/>
      <c r="P10" s="7" t="inlineStr">
        <is>
          <t>항목·기준 작성 파일 수령 → 같은 Rev.00 재개정(recheck → 승인·배포) → 매핑표 '보유'로 갱신</t>
        </is>
      </c>
      <c r="Q10" s="7" t="inlineStr">
        <is>
          <t>미완료</t>
        </is>
      </c>
      <c r="R10" s="7" t="inlineStr">
        <is>
          <t>담당자 변경 재안내 발송 2026-10-27</t>
        </is>
      </c>
      <c r="S10">
        <f>IF(L10="회신 완료","",J10-TODAY())</f>
        <v/>
      </c>
      <c r="T10">
        <f>IF(L10="회신 완료","완료",IF(J10&lt;TODAY(),"지연",IF(J10-TODAY()&lt;=1,"임박(D-1 이내)",IF(J10-TODAY()&lt;=3,"임박(D-3 이내)","여유"))))</f>
        <v/>
      </c>
    </row>
    <row r="11">
      <c r="A11" s="7" t="n">
        <v>44</v>
      </c>
      <c r="B11" s="7" t="inlineStr">
        <is>
          <t>검사시험</t>
        </is>
      </c>
      <c r="C11" s="7" t="inlineStr">
        <is>
          <t>2-3</t>
        </is>
      </c>
      <c r="D11" s="7" t="inlineStr">
        <is>
          <t>한도견본 식별표</t>
        </is>
      </c>
      <c r="E11" s="7" t="inlineStr">
        <is>
          <t>보완 필요</t>
        </is>
      </c>
      <c r="F11" s="7" t="inlineStr">
        <is>
          <t>SH-FM-166</t>
        </is>
      </c>
      <c r="G11" s="7" t="inlineStr">
        <is>
          <t>SH-FM-166</t>
        </is>
      </c>
      <c r="H11" s="7" t="inlineStr">
        <is>
          <t>김명용</t>
        </is>
      </c>
      <c r="I11" s="7" t="inlineStr">
        <is>
          <t>발송용_담당자변경_20261027/메시지_김명용_20261027.txt</t>
        </is>
      </c>
      <c r="J11" s="8" t="n">
        <v>46331</v>
      </c>
      <c r="K11" s="8" t="n">
        <v>46322</v>
      </c>
      <c r="L11" s="7" t="inlineStr">
        <is>
          <t>발송(회신 대기)</t>
        </is>
      </c>
      <c r="M11" s="8" t="n"/>
      <c r="N11" s="7" t="n"/>
      <c r="O11" s="7" t="n"/>
      <c r="P11" s="7" t="inlineStr">
        <is>
          <t>항목·기준 작성 파일 수령 → 같은 Rev.00 재개정(recheck → 승인·배포) → 매핑표 '보유'로 갱신</t>
        </is>
      </c>
      <c r="Q11" s="7" t="inlineStr">
        <is>
          <t>미완료</t>
        </is>
      </c>
      <c r="R11" s="7" t="inlineStr">
        <is>
          <t>담당자 변경 재안내 발송 2026-10-27</t>
        </is>
      </c>
      <c r="S11">
        <f>IF(L11="회신 완료","",J11-TODAY())</f>
        <v/>
      </c>
      <c r="T11">
        <f>IF(L11="회신 완료","완료",IF(J11&lt;TODAY(),"지연",IF(J11-TODAY()&lt;=1,"임박(D-1 이내)",IF(J11-TODAY()&lt;=3,"임박(D-3 이내)","여유"))))</f>
        <v/>
      </c>
    </row>
    <row r="12">
      <c r="A12" s="7" t="n">
        <v>46</v>
      </c>
      <c r="B12" s="7" t="inlineStr">
        <is>
          <t>검사시험</t>
        </is>
      </c>
      <c r="C12" s="7" t="inlineStr">
        <is>
          <t>2-3</t>
        </is>
      </c>
      <c r="D12" s="7" t="inlineStr">
        <is>
          <t>외관검사기준서</t>
        </is>
      </c>
      <c r="E12" s="7" t="inlineStr">
        <is>
          <t>보완 필요</t>
        </is>
      </c>
      <c r="F12" s="7" t="inlineStr">
        <is>
          <t>SH-FM-168</t>
        </is>
      </c>
      <c r="G12" s="7" t="inlineStr">
        <is>
          <t>SH-FM-168</t>
        </is>
      </c>
      <c r="H12" s="7" t="inlineStr">
        <is>
          <t>김명용</t>
        </is>
      </c>
      <c r="I12" s="7" t="inlineStr">
        <is>
          <t>발송용_담당자변경_20261027/메시지_김명용_20261027.txt</t>
        </is>
      </c>
      <c r="J12" s="8" t="n">
        <v>46331</v>
      </c>
      <c r="K12" s="8" t="n">
        <v>46322</v>
      </c>
      <c r="L12" s="7" t="inlineStr">
        <is>
          <t>발송(회신 대기)</t>
        </is>
      </c>
      <c r="M12" s="8" t="n"/>
      <c r="N12" s="7" t="n"/>
      <c r="O12" s="7" t="n"/>
      <c r="P12" s="7" t="inlineStr">
        <is>
          <t>항목·기준 작성 파일 수령 → 같은 Rev.00 재개정(recheck → 승인·배포) → 매핑표 '보유'로 갱신</t>
        </is>
      </c>
      <c r="Q12" s="7" t="inlineStr">
        <is>
          <t>미완료</t>
        </is>
      </c>
      <c r="R12" s="7" t="inlineStr">
        <is>
          <t>담당자 변경 재안내 발송 2026-10-27</t>
        </is>
      </c>
      <c r="S12">
        <f>IF(L12="회신 완료","",J12-TODAY())</f>
        <v/>
      </c>
      <c r="T12">
        <f>IF(L12="회신 완료","완료",IF(J12&lt;TODAY(),"지연",IF(J12-TODAY()&lt;=1,"임박(D-1 이내)",IF(J12-TODAY()&lt;=3,"임박(D-3 이내)","여유"))))</f>
        <v/>
      </c>
    </row>
    <row r="13">
      <c r="A13" s="7" t="n">
        <v>52</v>
      </c>
      <c r="B13" s="7" t="inlineStr">
        <is>
          <t>검사시험</t>
        </is>
      </c>
      <c r="C13" s="7" t="inlineStr">
        <is>
          <t>2-5</t>
        </is>
      </c>
      <c r="D13" s="7" t="inlineStr">
        <is>
          <t>계측기이력카드</t>
        </is>
      </c>
      <c r="E13" s="7" t="inlineStr">
        <is>
          <t>보완 필요</t>
        </is>
      </c>
      <c r="F13" s="7" t="inlineStr">
        <is>
          <t>SH-FM-174</t>
        </is>
      </c>
      <c r="G13" s="7" t="inlineStr">
        <is>
          <t>SH-FM-174</t>
        </is>
      </c>
      <c r="H13" s="7" t="inlineStr">
        <is>
          <t>김명용</t>
        </is>
      </c>
      <c r="I13" s="7" t="inlineStr">
        <is>
          <t>발송용_담당자변경_20261027/메시지_김명용_20261027.txt</t>
        </is>
      </c>
      <c r="J13" s="8" t="n">
        <v>46331</v>
      </c>
      <c r="K13" s="8" t="n">
        <v>46322</v>
      </c>
      <c r="L13" s="7" t="inlineStr">
        <is>
          <t>발송(회신 대기)</t>
        </is>
      </c>
      <c r="M13" s="8" t="n"/>
      <c r="N13" s="7" t="n"/>
      <c r="O13" s="7" t="n"/>
      <c r="P13" s="7" t="inlineStr">
        <is>
          <t>항목·기준 작성 파일 수령 → 같은 Rev.00 재개정(recheck → 승인·배포) → 매핑표 '보유'로 갱신</t>
        </is>
      </c>
      <c r="Q13" s="7" t="inlineStr">
        <is>
          <t>미완료</t>
        </is>
      </c>
      <c r="R13" s="7" t="inlineStr">
        <is>
          <t>담당자 변경 재안내 발송 2026-10-27</t>
        </is>
      </c>
      <c r="S13">
        <f>IF(L13="회신 완료","",J13-TODAY())</f>
        <v/>
      </c>
      <c r="T13">
        <f>IF(L13="회신 완료","완료",IF(J13&lt;TODAY(),"지연",IF(J13-TODAY()&lt;=1,"임박(D-1 이내)",IF(J13-TODAY()&lt;=3,"임박(D-3 이내)","여유"))))</f>
        <v/>
      </c>
    </row>
    <row r="14">
      <c r="A14" s="7" t="n">
        <v>53</v>
      </c>
      <c r="B14" s="7" t="inlineStr">
        <is>
          <t>검사시험</t>
        </is>
      </c>
      <c r="C14" s="7" t="inlineStr">
        <is>
          <t>2-5</t>
        </is>
      </c>
      <c r="D14" s="7" t="inlineStr">
        <is>
          <t>계측기검교정 계획대실적표</t>
        </is>
      </c>
      <c r="E14" s="7" t="inlineStr">
        <is>
          <t>보완 필요</t>
        </is>
      </c>
      <c r="F14" s="7" t="inlineStr">
        <is>
          <t>SH-FM-175</t>
        </is>
      </c>
      <c r="G14" s="7" t="inlineStr">
        <is>
          <t>SH-FM-175</t>
        </is>
      </c>
      <c r="H14" s="7" t="inlineStr">
        <is>
          <t>김명용</t>
        </is>
      </c>
      <c r="I14" s="7" t="inlineStr">
        <is>
          <t>발송용_담당자변경_20261027/메시지_김명용_20261027.txt</t>
        </is>
      </c>
      <c r="J14" s="8" t="n">
        <v>46331</v>
      </c>
      <c r="K14" s="8" t="n">
        <v>46322</v>
      </c>
      <c r="L14" s="7" t="inlineStr">
        <is>
          <t>발송(회신 대기)</t>
        </is>
      </c>
      <c r="M14" s="8" t="n"/>
      <c r="N14" s="7" t="n"/>
      <c r="O14" s="7" t="n"/>
      <c r="P14" s="7" t="inlineStr">
        <is>
          <t>항목·기준 작성 파일 수령 → 같은 Rev.00 재개정(recheck → 승인·배포) → 매핑표 '보유'로 갱신</t>
        </is>
      </c>
      <c r="Q14" s="7" t="inlineStr">
        <is>
          <t>미완료</t>
        </is>
      </c>
      <c r="R14" s="7" t="inlineStr">
        <is>
          <t>담당자 변경 재안내 발송 2026-10-27</t>
        </is>
      </c>
      <c r="S14">
        <f>IF(L14="회신 완료","",J14-TODAY())</f>
        <v/>
      </c>
      <c r="T14">
        <f>IF(L14="회신 완료","완료",IF(J14&lt;TODAY(),"지연",IF(J14-TODAY()&lt;=1,"임박(D-1 이내)",IF(J14-TODAY()&lt;=3,"임박(D-3 이내)","여유"))))</f>
        <v/>
      </c>
    </row>
    <row r="15">
      <c r="A15" s="7" t="n">
        <v>54</v>
      </c>
      <c r="B15" s="7" t="inlineStr">
        <is>
          <t>검사시험</t>
        </is>
      </c>
      <c r="C15" s="7" t="inlineStr">
        <is>
          <t>2-5</t>
        </is>
      </c>
      <c r="D15" s="7" t="inlineStr">
        <is>
          <t>계측기검교정 성적서</t>
        </is>
      </c>
      <c r="E15" s="7" t="inlineStr">
        <is>
          <t>보완 필요</t>
        </is>
      </c>
      <c r="F15" s="7" t="inlineStr">
        <is>
          <t>SH-FM-176</t>
        </is>
      </c>
      <c r="G15" s="7" t="inlineStr">
        <is>
          <t>SH-FM-176</t>
        </is>
      </c>
      <c r="H15" s="7" t="inlineStr">
        <is>
          <t>김명용</t>
        </is>
      </c>
      <c r="I15" s="7" t="inlineStr">
        <is>
          <t>발송용_담당자변경_20261027/메시지_김명용_20261027.txt</t>
        </is>
      </c>
      <c r="J15" s="8" t="n">
        <v>46331</v>
      </c>
      <c r="K15" s="8" t="n">
        <v>46322</v>
      </c>
      <c r="L15" s="7" t="inlineStr">
        <is>
          <t>발송(회신 대기)</t>
        </is>
      </c>
      <c r="M15" s="8" t="n"/>
      <c r="N15" s="7" t="n"/>
      <c r="O15" s="7" t="n"/>
      <c r="P15" s="7" t="inlineStr">
        <is>
          <t>항목·기준 작성 파일 수령 → 같은 Rev.00 재개정(recheck → 승인·배포) → 매핑표 '보유'로 갱신</t>
        </is>
      </c>
      <c r="Q15" s="7" t="inlineStr">
        <is>
          <t>미완료</t>
        </is>
      </c>
      <c r="R15" s="7" t="inlineStr">
        <is>
          <t>담당자 변경 재안내 발송 2026-10-27</t>
        </is>
      </c>
      <c r="S15">
        <f>IF(L15="회신 완료","",J15-TODAY())</f>
        <v/>
      </c>
      <c r="T15">
        <f>IF(L15="회신 완료","완료",IF(J15&lt;TODAY(),"지연",IF(J15-TODAY()&lt;=1,"임박(D-1 이내)",IF(J15-TODAY()&lt;=3,"임박(D-3 이내)","여유"))))</f>
        <v/>
      </c>
    </row>
    <row r="16">
      <c r="A16" s="7" t="n">
        <v>55</v>
      </c>
      <c r="B16" s="7" t="inlineStr">
        <is>
          <t>검사시험</t>
        </is>
      </c>
      <c r="C16" s="7" t="inlineStr">
        <is>
          <t>2-5</t>
        </is>
      </c>
      <c r="D16" s="7" t="inlineStr">
        <is>
          <t>계측기보관함  위치지정및 레이아웃 주소화</t>
        </is>
      </c>
      <c r="E16" s="7" t="inlineStr">
        <is>
          <t>보완 필요</t>
        </is>
      </c>
      <c r="F16" s="7" t="inlineStr">
        <is>
          <t>SH-FM-177</t>
        </is>
      </c>
      <c r="G16" s="7" t="inlineStr">
        <is>
          <t>SH-FM-177</t>
        </is>
      </c>
      <c r="H16" s="7" t="inlineStr">
        <is>
          <t>김명용</t>
        </is>
      </c>
      <c r="I16" s="7" t="inlineStr">
        <is>
          <t>발송용_담당자변경_20261027/메시지_김명용_20261027.txt</t>
        </is>
      </c>
      <c r="J16" s="8" t="n">
        <v>46331</v>
      </c>
      <c r="K16" s="8" t="n">
        <v>46322</v>
      </c>
      <c r="L16" s="7" t="inlineStr">
        <is>
          <t>발송(회신 대기)</t>
        </is>
      </c>
      <c r="M16" s="8" t="n"/>
      <c r="N16" s="7" t="n"/>
      <c r="O16" s="7" t="n"/>
      <c r="P16" s="7" t="inlineStr">
        <is>
          <t>항목·기준 작성 파일 수령 → 같은 Rev.00 재개정(recheck → 승인·배포) → 매핑표 '보유'로 갱신</t>
        </is>
      </c>
      <c r="Q16" s="7" t="inlineStr">
        <is>
          <t>미완료</t>
        </is>
      </c>
      <c r="R16" s="7" t="inlineStr">
        <is>
          <t>담당자 변경 재안내 발송 2026-10-27</t>
        </is>
      </c>
      <c r="S16">
        <f>IF(L16="회신 완료","",J16-TODAY())</f>
        <v/>
      </c>
      <c r="T16">
        <f>IF(L16="회신 완료","완료",IF(J16&lt;TODAY(),"지연",IF(J16-TODAY()&lt;=1,"임박(D-1 이내)",IF(J16-TODAY()&lt;=3,"임박(D-3 이내)","여유"))))</f>
        <v/>
      </c>
    </row>
    <row r="17">
      <c r="A17" s="7" t="n">
        <v>62</v>
      </c>
      <c r="B17" s="7" t="inlineStr">
        <is>
          <t>검사시험</t>
        </is>
      </c>
      <c r="C17" s="7" t="inlineStr">
        <is>
          <t>2-6</t>
        </is>
      </c>
      <c r="D17" s="7" t="inlineStr">
        <is>
          <t>계측기 GAGE R&amp;R 계획대실적표</t>
        </is>
      </c>
      <c r="E17" s="7" t="inlineStr">
        <is>
          <t>보완 필요</t>
        </is>
      </c>
      <c r="F17" s="7" t="inlineStr">
        <is>
          <t>SH-FM-184</t>
        </is>
      </c>
      <c r="G17" s="7" t="inlineStr">
        <is>
          <t>SH-FM-184</t>
        </is>
      </c>
      <c r="H17" s="7" t="inlineStr">
        <is>
          <t>김명용</t>
        </is>
      </c>
      <c r="I17" s="7" t="inlineStr">
        <is>
          <t>발송용_담당자변경_20261027/메시지_김명용_20261027.txt</t>
        </is>
      </c>
      <c r="J17" s="8" t="n">
        <v>46331</v>
      </c>
      <c r="K17" s="8" t="n">
        <v>46322</v>
      </c>
      <c r="L17" s="7" t="inlineStr">
        <is>
          <t>발송(회신 대기)</t>
        </is>
      </c>
      <c r="M17" s="8" t="n"/>
      <c r="N17" s="7" t="n"/>
      <c r="O17" s="7" t="n"/>
      <c r="P17" s="7" t="inlineStr">
        <is>
          <t>항목·기준 작성 파일 수령 → 같은 Rev.00 재개정(recheck → 승인·배포) → 매핑표 '보유'로 갱신</t>
        </is>
      </c>
      <c r="Q17" s="7" t="inlineStr">
        <is>
          <t>미완료</t>
        </is>
      </c>
      <c r="R17" s="7" t="inlineStr">
        <is>
          <t>담당자 변경 재안내 발송 2026-10-27</t>
        </is>
      </c>
      <c r="S17">
        <f>IF(L17="회신 완료","",J17-TODAY())</f>
        <v/>
      </c>
      <c r="T17">
        <f>IF(L17="회신 완료","완료",IF(J17&lt;TODAY(),"지연",IF(J17-TODAY()&lt;=1,"임박(D-1 이내)",IF(J17-TODAY()&lt;=3,"임박(D-3 이내)","여유"))))</f>
        <v/>
      </c>
    </row>
    <row r="18">
      <c r="A18" s="7" t="n">
        <v>63</v>
      </c>
      <c r="B18" s="7" t="inlineStr">
        <is>
          <t>검사시험</t>
        </is>
      </c>
      <c r="C18" s="7" t="inlineStr">
        <is>
          <t>2-6</t>
        </is>
      </c>
      <c r="D18" s="7" t="inlineStr">
        <is>
          <t>계측기 GAGE R&amp;R 실시실적</t>
        </is>
      </c>
      <c r="E18" s="7" t="inlineStr">
        <is>
          <t>보완 필요</t>
        </is>
      </c>
      <c r="F18" s="7" t="inlineStr">
        <is>
          <t>SH-FM-185</t>
        </is>
      </c>
      <c r="G18" s="7" t="inlineStr">
        <is>
          <t>SH-FM-185</t>
        </is>
      </c>
      <c r="H18" s="7" t="inlineStr">
        <is>
          <t>김명용</t>
        </is>
      </c>
      <c r="I18" s="7" t="inlineStr">
        <is>
          <t>발송용_담당자변경_20261027/메시지_김명용_20261027.txt</t>
        </is>
      </c>
      <c r="J18" s="8" t="n">
        <v>46331</v>
      </c>
      <c r="K18" s="8" t="n">
        <v>46322</v>
      </c>
      <c r="L18" s="7" t="inlineStr">
        <is>
          <t>발송(회신 대기)</t>
        </is>
      </c>
      <c r="M18" s="8" t="n"/>
      <c r="N18" s="7" t="n"/>
      <c r="O18" s="7" t="n"/>
      <c r="P18" s="7" t="inlineStr">
        <is>
          <t>항목·기준 작성 파일 수령 → 같은 Rev.00 재개정(recheck → 승인·배포) → 매핑표 '보유'로 갱신</t>
        </is>
      </c>
      <c r="Q18" s="7" t="inlineStr">
        <is>
          <t>미완료</t>
        </is>
      </c>
      <c r="R18" s="7" t="inlineStr">
        <is>
          <t>담당자 변경 재안내 발송 2026-10-27</t>
        </is>
      </c>
      <c r="S18">
        <f>IF(L18="회신 완료","",J18-TODAY())</f>
        <v/>
      </c>
      <c r="T18">
        <f>IF(L18="회신 완료","완료",IF(J18&lt;TODAY(),"지연",IF(J18-TODAY()&lt;=1,"임박(D-1 이내)",IF(J18-TODAY()&lt;=3,"임박(D-3 이내)","여유"))))</f>
        <v/>
      </c>
    </row>
    <row r="19">
      <c r="A19" s="7" t="n">
        <v>64</v>
      </c>
      <c r="B19" s="7" t="inlineStr">
        <is>
          <t>검사시험</t>
        </is>
      </c>
      <c r="C19" s="7" t="inlineStr">
        <is>
          <t>2-6</t>
        </is>
      </c>
      <c r="D19" s="7" t="inlineStr">
        <is>
          <t>계측기 사용자 등록현황</t>
        </is>
      </c>
      <c r="E19" s="7" t="inlineStr">
        <is>
          <t>보완 필요</t>
        </is>
      </c>
      <c r="F19" s="7" t="inlineStr">
        <is>
          <t>SH-FM-186</t>
        </is>
      </c>
      <c r="G19" s="7" t="inlineStr">
        <is>
          <t>SH-FM-186</t>
        </is>
      </c>
      <c r="H19" s="7" t="inlineStr">
        <is>
          <t>김명용</t>
        </is>
      </c>
      <c r="I19" s="7" t="inlineStr">
        <is>
          <t>발송용_담당자변경_20261027/메시지_김명용_20261027.txt</t>
        </is>
      </c>
      <c r="J19" s="8" t="n">
        <v>46331</v>
      </c>
      <c r="K19" s="8" t="n">
        <v>46322</v>
      </c>
      <c r="L19" s="7" t="inlineStr">
        <is>
          <t>발송(회신 대기)</t>
        </is>
      </c>
      <c r="M19" s="8" t="n"/>
      <c r="N19" s="7" t="n"/>
      <c r="O19" s="7" t="n"/>
      <c r="P19" s="7" t="inlineStr">
        <is>
          <t>항목·기준 작성 파일 수령 → 같은 Rev.00 재개정(recheck → 승인·배포) → 매핑표 '보유'로 갱신</t>
        </is>
      </c>
      <c r="Q19" s="7" t="inlineStr">
        <is>
          <t>미완료</t>
        </is>
      </c>
      <c r="R19" s="7" t="inlineStr">
        <is>
          <t>담당자 변경 재안내 발송 2026-10-27</t>
        </is>
      </c>
      <c r="S19">
        <f>IF(L19="회신 완료","",J19-TODAY())</f>
        <v/>
      </c>
      <c r="T19">
        <f>IF(L19="회신 완료","완료",IF(J19&lt;TODAY(),"지연",IF(J19-TODAY()&lt;=1,"임박(D-1 이내)",IF(J19-TODAY()&lt;=3,"임박(D-3 이내)","여유"))))</f>
        <v/>
      </c>
    </row>
    <row r="20">
      <c r="A20" s="7" t="n">
        <v>72</v>
      </c>
      <c r="B20" s="7" t="inlineStr">
        <is>
          <t>검사시험</t>
        </is>
      </c>
      <c r="C20" s="7" t="inlineStr">
        <is>
          <t>2-8</t>
        </is>
      </c>
      <c r="D20" s="7" t="inlineStr">
        <is>
          <t>완성품검사기준서</t>
        </is>
      </c>
      <c r="E20" s="7" t="inlineStr">
        <is>
          <t>보완 필요</t>
        </is>
      </c>
      <c r="F20" s="7" t="inlineStr">
        <is>
          <t>SH-FM-194</t>
        </is>
      </c>
      <c r="G20" s="7" t="inlineStr">
        <is>
          <t>SH-FM-194</t>
        </is>
      </c>
      <c r="H20" s="7" t="inlineStr">
        <is>
          <t>김명용</t>
        </is>
      </c>
      <c r="I20" s="7" t="inlineStr">
        <is>
          <t>발송용_담당자변경_20261027/메시지_김명용_20261027.txt</t>
        </is>
      </c>
      <c r="J20" s="8" t="n">
        <v>46331</v>
      </c>
      <c r="K20" s="8" t="n">
        <v>46322</v>
      </c>
      <c r="L20" s="7" t="inlineStr">
        <is>
          <t>발송(회신 대기)</t>
        </is>
      </c>
      <c r="M20" s="8" t="n"/>
      <c r="N20" s="7" t="n"/>
      <c r="O20" s="7" t="n"/>
      <c r="P20" s="7" t="inlineStr">
        <is>
          <t>항목·기준 작성 파일 수령 → 같은 Rev.00 재개정(recheck → 승인·배포) → 매핑표 '보유'로 갱신</t>
        </is>
      </c>
      <c r="Q20" s="7" t="inlineStr">
        <is>
          <t>미완료</t>
        </is>
      </c>
      <c r="R20" s="7" t="inlineStr">
        <is>
          <t>담당자 변경 재안내 발송 2026-10-27</t>
        </is>
      </c>
      <c r="S20">
        <f>IF(L20="회신 완료","",J20-TODAY())</f>
        <v/>
      </c>
      <c r="T20">
        <f>IF(L20="회신 완료","완료",IF(J20&lt;TODAY(),"지연",IF(J20-TODAY()&lt;=1,"임박(D-1 이내)",IF(J20-TODAY()&lt;=3,"임박(D-3 이내)","여유"))))</f>
        <v/>
      </c>
    </row>
    <row r="21">
      <c r="A21" s="7" t="n">
        <v>73</v>
      </c>
      <c r="B21" s="7" t="inlineStr">
        <is>
          <t>검사시험</t>
        </is>
      </c>
      <c r="C21" s="7" t="inlineStr">
        <is>
          <t>2-8</t>
        </is>
      </c>
      <c r="D21" s="7" t="inlineStr">
        <is>
          <t>완성품검사체크시트</t>
        </is>
      </c>
      <c r="E21" s="7" t="inlineStr">
        <is>
          <t>보완 필요</t>
        </is>
      </c>
      <c r="F21" s="7" t="inlineStr">
        <is>
          <t>SH-FM-195</t>
        </is>
      </c>
      <c r="G21" s="7" t="inlineStr">
        <is>
          <t>SH-FM-195</t>
        </is>
      </c>
      <c r="H21" s="7" t="inlineStr">
        <is>
          <t>김명용</t>
        </is>
      </c>
      <c r="I21" s="7" t="inlineStr">
        <is>
          <t>발송용_담당자변경_20261027/메시지_김명용_20261027.txt</t>
        </is>
      </c>
      <c r="J21" s="8" t="n">
        <v>46331</v>
      </c>
      <c r="K21" s="8" t="n">
        <v>46322</v>
      </c>
      <c r="L21" s="7" t="inlineStr">
        <is>
          <t>발송(회신 대기)</t>
        </is>
      </c>
      <c r="M21" s="8" t="n"/>
      <c r="N21" s="7" t="n"/>
      <c r="O21" s="7" t="n"/>
      <c r="P21" s="7" t="inlineStr">
        <is>
          <t>항목·기준 작성 파일 수령 → 같은 Rev.00 재개정(recheck → 승인·배포) → 매핑표 '보유'로 갱신</t>
        </is>
      </c>
      <c r="Q21" s="7" t="inlineStr">
        <is>
          <t>미완료</t>
        </is>
      </c>
      <c r="R21" s="7" t="inlineStr">
        <is>
          <t>담당자 변경 재안내 발송 2026-10-27</t>
        </is>
      </c>
      <c r="S21">
        <f>IF(L21="회신 완료","",J21-TODAY())</f>
        <v/>
      </c>
      <c r="T21">
        <f>IF(L21="회신 완료","완료",IF(J21&lt;TODAY(),"지연",IF(J21-TODAY()&lt;=1,"임박(D-1 이내)",IF(J21-TODAY()&lt;=3,"임박(D-3 이내)","여유"))))</f>
        <v/>
      </c>
    </row>
    <row r="22">
      <c r="A22" s="7" t="n">
        <v>74</v>
      </c>
      <c r="B22" s="7" t="inlineStr">
        <is>
          <t>검사시험</t>
        </is>
      </c>
      <c r="C22" s="7" t="inlineStr">
        <is>
          <t>2-8</t>
        </is>
      </c>
      <c r="D22" s="7" t="inlineStr">
        <is>
          <t>완성품검사식별표</t>
        </is>
      </c>
      <c r="E22" s="7" t="inlineStr">
        <is>
          <t>보완 필요</t>
        </is>
      </c>
      <c r="F22" s="7" t="inlineStr">
        <is>
          <t>SH-FM-196</t>
        </is>
      </c>
      <c r="G22" s="7" t="inlineStr">
        <is>
          <t>SH-FM-196</t>
        </is>
      </c>
      <c r="H22" s="7" t="inlineStr">
        <is>
          <t>김명용</t>
        </is>
      </c>
      <c r="I22" s="7" t="inlineStr">
        <is>
          <t>발송용_담당자변경_20261027/메시지_김명용_20261027.txt</t>
        </is>
      </c>
      <c r="J22" s="8" t="n">
        <v>46331</v>
      </c>
      <c r="K22" s="8" t="n">
        <v>46322</v>
      </c>
      <c r="L22" s="7" t="inlineStr">
        <is>
          <t>발송(회신 대기)</t>
        </is>
      </c>
      <c r="M22" s="8" t="n"/>
      <c r="N22" s="7" t="n"/>
      <c r="O22" s="7" t="n"/>
      <c r="P22" s="7" t="inlineStr">
        <is>
          <t>항목·기준 작성 파일 수령 → 같은 Rev.00 재개정(recheck → 승인·배포) → 매핑표 '보유'로 갱신</t>
        </is>
      </c>
      <c r="Q22" s="7" t="inlineStr">
        <is>
          <t>미완료</t>
        </is>
      </c>
      <c r="R22" s="7" t="inlineStr">
        <is>
          <t>담당자 변경 재안내 발송 2026-10-27</t>
        </is>
      </c>
      <c r="S22">
        <f>IF(L22="회신 완료","",J22-TODAY())</f>
        <v/>
      </c>
      <c r="T22">
        <f>IF(L22="회신 완료","완료",IF(J22&lt;TODAY(),"지연",IF(J22-TODAY()&lt;=1,"임박(D-1 이내)",IF(J22-TODAY()&lt;=3,"임박(D-3 이내)","여유"))))</f>
        <v/>
      </c>
    </row>
    <row r="23">
      <c r="A23" s="7" t="n">
        <v>201</v>
      </c>
      <c r="B23" s="7" t="inlineStr">
        <is>
          <t>품질경영체제</t>
        </is>
      </c>
      <c r="C23" s="7" t="inlineStr">
        <is>
          <t>6-6</t>
        </is>
      </c>
      <c r="D23" s="7" t="inlineStr">
        <is>
          <t>교육교안</t>
        </is>
      </c>
      <c r="E23" s="7" t="inlineStr">
        <is>
          <t>보완 필요</t>
        </is>
      </c>
      <c r="F23" s="7" t="inlineStr">
        <is>
          <t>SH-FM-323</t>
        </is>
      </c>
      <c r="G23" s="7" t="inlineStr">
        <is>
          <t>SH-FM-323</t>
        </is>
      </c>
      <c r="H23" s="7" t="inlineStr">
        <is>
          <t>김명용</t>
        </is>
      </c>
      <c r="I23" s="7" t="inlineStr">
        <is>
          <t>발송용_담당자변경_20261027/메시지_김명용_20261027.txt</t>
        </is>
      </c>
      <c r="J23" s="8" t="n">
        <v>46331</v>
      </c>
      <c r="K23" s="8" t="n">
        <v>46322</v>
      </c>
      <c r="L23" s="7" t="inlineStr">
        <is>
          <t>발송(회신 대기)</t>
        </is>
      </c>
      <c r="M23" s="8" t="n"/>
      <c r="N23" s="7" t="n"/>
      <c r="O23" s="7" t="n"/>
      <c r="P23" s="7" t="inlineStr">
        <is>
          <t>항목·기준 작성 파일 수령 → 같은 Rev.00 재개정(recheck → 승인·배포) → 매핑표 '보유'로 갱신</t>
        </is>
      </c>
      <c r="Q23" s="7" t="inlineStr">
        <is>
          <t>미완료</t>
        </is>
      </c>
      <c r="R23" s="7" t="inlineStr">
        <is>
          <t>담당자 변경 재안내 발송 2026-10-27</t>
        </is>
      </c>
      <c r="S23">
        <f>IF(L23="회신 완료","",J23-TODAY())</f>
        <v/>
      </c>
      <c r="T23">
        <f>IF(L23="회신 완료","완료",IF(J23&lt;TODAY(),"지연",IF(J23-TODAY()&lt;=1,"임박(D-1 이내)",IF(J23-TODAY()&lt;=3,"임박(D-3 이내)","여유"))))</f>
        <v/>
      </c>
    </row>
    <row r="24">
      <c r="A24" s="7" t="n">
        <v>202</v>
      </c>
      <c r="B24" s="7" t="inlineStr">
        <is>
          <t>품질경영체제</t>
        </is>
      </c>
      <c r="C24" s="7" t="inlineStr">
        <is>
          <t>6-6</t>
        </is>
      </c>
      <c r="D24" s="7" t="inlineStr">
        <is>
          <t>2026년 교육계획대실적</t>
        </is>
      </c>
      <c r="E24" s="7" t="inlineStr">
        <is>
          <t>보완 필요</t>
        </is>
      </c>
      <c r="F24" s="7" t="inlineStr">
        <is>
          <t>SH-FM-324</t>
        </is>
      </c>
      <c r="G24" s="7" t="inlineStr">
        <is>
          <t>SH-FM-324</t>
        </is>
      </c>
      <c r="H24" s="7" t="inlineStr">
        <is>
          <t>김명용</t>
        </is>
      </c>
      <c r="I24" s="7" t="inlineStr">
        <is>
          <t>발송용_담당자변경_20261027/메시지_김명용_20261027.txt</t>
        </is>
      </c>
      <c r="J24" s="8" t="n">
        <v>46331</v>
      </c>
      <c r="K24" s="8" t="n">
        <v>46322</v>
      </c>
      <c r="L24" s="7" t="inlineStr">
        <is>
          <t>발송(회신 대기)</t>
        </is>
      </c>
      <c r="M24" s="8" t="n"/>
      <c r="N24" s="7" t="n"/>
      <c r="O24" s="7" t="n"/>
      <c r="P24" s="7" t="inlineStr">
        <is>
          <t>항목·기준 작성 파일 수령 → 같은 Rev.00 재개정(recheck → 승인·배포) → 매핑표 '보유'로 갱신</t>
        </is>
      </c>
      <c r="Q24" s="7" t="inlineStr">
        <is>
          <t>미완료</t>
        </is>
      </c>
      <c r="R24" s="7" t="inlineStr">
        <is>
          <t>담당자 변경 재안내 발송 2026-10-27</t>
        </is>
      </c>
      <c r="S24">
        <f>IF(L24="회신 완료","",J24-TODAY())</f>
        <v/>
      </c>
      <c r="T24">
        <f>IF(L24="회신 완료","완료",IF(J24&lt;TODAY(),"지연",IF(J24-TODAY()&lt;=1,"임박(D-1 이내)",IF(J24-TODAY()&lt;=3,"임박(D-3 이내)","여유"))))</f>
        <v/>
      </c>
    </row>
    <row r="25">
      <c r="A25" s="7" t="n">
        <v>203</v>
      </c>
      <c r="B25" s="7" t="inlineStr">
        <is>
          <t>품질경영체제</t>
        </is>
      </c>
      <c r="C25" s="7" t="inlineStr">
        <is>
          <t>6-6</t>
        </is>
      </c>
      <c r="D25" s="7" t="inlineStr">
        <is>
          <t>교육실시보고서 (교육사진/참석자서명)</t>
        </is>
      </c>
      <c r="E25" s="7" t="inlineStr">
        <is>
          <t>보완 필요</t>
        </is>
      </c>
      <c r="F25" s="7" t="inlineStr">
        <is>
          <t>SH-FM-325</t>
        </is>
      </c>
      <c r="G25" s="7" t="inlineStr">
        <is>
          <t>SH-FM-325</t>
        </is>
      </c>
      <c r="H25" s="7" t="inlineStr">
        <is>
          <t>김명용</t>
        </is>
      </c>
      <c r="I25" s="7" t="inlineStr">
        <is>
          <t>발송용_담당자변경_20261027/메시지_김명용_20261027.txt</t>
        </is>
      </c>
      <c r="J25" s="8" t="n">
        <v>46331</v>
      </c>
      <c r="K25" s="8" t="n">
        <v>46322</v>
      </c>
      <c r="L25" s="7" t="inlineStr">
        <is>
          <t>발송(회신 대기)</t>
        </is>
      </c>
      <c r="M25" s="8" t="n"/>
      <c r="N25" s="7" t="n"/>
      <c r="O25" s="7" t="n"/>
      <c r="P25" s="7" t="inlineStr">
        <is>
          <t>항목·기준 작성 파일 수령 → 같은 Rev.00 재개정(recheck → 승인·배포) → 매핑표 '보유'로 갱신</t>
        </is>
      </c>
      <c r="Q25" s="7" t="inlineStr">
        <is>
          <t>미완료</t>
        </is>
      </c>
      <c r="R25" s="7" t="inlineStr">
        <is>
          <t>담당자 변경 재안내 발송 2026-10-27</t>
        </is>
      </c>
      <c r="S25">
        <f>IF(L25="회신 완료","",J25-TODAY())</f>
        <v/>
      </c>
      <c r="T25">
        <f>IF(L25="회신 완료","완료",IF(J25&lt;TODAY(),"지연",IF(J25-TODAY()&lt;=1,"임박(D-1 이내)",IF(J25-TODAY()&lt;=3,"임박(D-3 이내)","여유"))))</f>
        <v/>
      </c>
    </row>
    <row r="26">
      <c r="A26" s="7" t="n">
        <v>204</v>
      </c>
      <c r="B26" s="7" t="inlineStr">
        <is>
          <t>품질경영체제</t>
        </is>
      </c>
      <c r="C26" s="7" t="inlineStr">
        <is>
          <t>6-6</t>
        </is>
      </c>
      <c r="D26" s="7" t="inlineStr">
        <is>
          <t>품질문제발생시 즉시교육실적보고서</t>
        </is>
      </c>
      <c r="E26" s="7" t="inlineStr">
        <is>
          <t>보완 필요</t>
        </is>
      </c>
      <c r="F26" s="7" t="inlineStr">
        <is>
          <t>SH-FM-326</t>
        </is>
      </c>
      <c r="G26" s="7" t="inlineStr">
        <is>
          <t>SH-FM-326</t>
        </is>
      </c>
      <c r="H26" s="7" t="inlineStr">
        <is>
          <t>김명용</t>
        </is>
      </c>
      <c r="I26" s="7" t="inlineStr">
        <is>
          <t>발송용_담당자변경_20261027/메시지_김명용_20261027.txt</t>
        </is>
      </c>
      <c r="J26" s="8" t="n">
        <v>46331</v>
      </c>
      <c r="K26" s="8" t="n">
        <v>46322</v>
      </c>
      <c r="L26" s="7" t="inlineStr">
        <is>
          <t>발송(회신 대기)</t>
        </is>
      </c>
      <c r="M26" s="8" t="n"/>
      <c r="N26" s="7" t="n"/>
      <c r="O26" s="7" t="n"/>
      <c r="P26" s="7" t="inlineStr">
        <is>
          <t>항목·기준 작성 파일 수령 → 같은 Rev.00 재개정(recheck → 승인·배포) → 매핑표 '보유'로 갱신</t>
        </is>
      </c>
      <c r="Q26" s="7" t="inlineStr">
        <is>
          <t>미완료</t>
        </is>
      </c>
      <c r="R26" s="7" t="inlineStr">
        <is>
          <t>담당자 변경 재안내 발송 2026-10-27</t>
        </is>
      </c>
      <c r="S26">
        <f>IF(L26="회신 완료","",J26-TODAY())</f>
        <v/>
      </c>
      <c r="T26">
        <f>IF(L26="회신 완료","완료",IF(J26&lt;TODAY(),"지연",IF(J26-TODAY()&lt;=1,"임박(D-1 이내)",IF(J26-TODAY()&lt;=3,"임박(D-3 이내)","여유"))))</f>
        <v/>
      </c>
    </row>
    <row r="27">
      <c r="A27" s="7" t="n">
        <v>225</v>
      </c>
      <c r="B27" s="7" t="inlineStr">
        <is>
          <t>품질경영체제</t>
        </is>
      </c>
      <c r="C27" s="7" t="inlineStr">
        <is>
          <t>6-11</t>
        </is>
      </c>
      <c r="D27" s="7" t="inlineStr">
        <is>
          <t>공정별 주요문제점 각공정별 비치</t>
        </is>
      </c>
      <c r="E27" s="7" t="inlineStr">
        <is>
          <t>보완 필요</t>
        </is>
      </c>
      <c r="F27" s="7" t="inlineStr">
        <is>
          <t>SH-FM-347</t>
        </is>
      </c>
      <c r="G27" s="7" t="inlineStr">
        <is>
          <t>SH-FM-347</t>
        </is>
      </c>
      <c r="H27" s="7" t="inlineStr">
        <is>
          <t>김명용</t>
        </is>
      </c>
      <c r="I27" s="7" t="inlineStr">
        <is>
          <t>발송용_담당자변경_20261027/메시지_김명용_20261027.txt</t>
        </is>
      </c>
      <c r="J27" s="8" t="n">
        <v>46331</v>
      </c>
      <c r="K27" s="8" t="n">
        <v>46322</v>
      </c>
      <c r="L27" s="7" t="inlineStr">
        <is>
          <t>발송(회신 대기)</t>
        </is>
      </c>
      <c r="M27" s="8" t="n"/>
      <c r="N27" s="7" t="n"/>
      <c r="O27" s="7" t="n"/>
      <c r="P27" s="7" t="inlineStr">
        <is>
          <t>항목·기준 작성 파일 수령 → 같은 Rev.00 재개정(recheck → 승인·배포) → 매핑표 '보유'로 갱신</t>
        </is>
      </c>
      <c r="Q27" s="7" t="inlineStr">
        <is>
          <t>미완료</t>
        </is>
      </c>
      <c r="R27" s="7" t="inlineStr">
        <is>
          <t>담당자 변경 재안내 발송 2026-10-27</t>
        </is>
      </c>
      <c r="S27">
        <f>IF(L27="회신 완료","",J27-TODAY())</f>
        <v/>
      </c>
      <c r="T27">
        <f>IF(L27="회신 완료","완료",IF(J27&lt;TODAY(),"지연",IF(J27-TODAY()&lt;=1,"임박(D-1 이내)",IF(J27-TODAY()&lt;=3,"임박(D-3 이내)","여유"))))</f>
        <v/>
      </c>
    </row>
    <row r="28">
      <c r="A28" s="7" t="n">
        <v>226</v>
      </c>
      <c r="B28" s="7" t="inlineStr">
        <is>
          <t>품질경영체제</t>
        </is>
      </c>
      <c r="C28" s="7" t="inlineStr">
        <is>
          <t>6-11</t>
        </is>
      </c>
      <c r="D28" s="7" t="inlineStr">
        <is>
          <t>중점관리POINT 선정 운영</t>
        </is>
      </c>
      <c r="E28" s="7" t="inlineStr">
        <is>
          <t>보완 필요</t>
        </is>
      </c>
      <c r="F28" s="7" t="inlineStr">
        <is>
          <t>SH-FM-348</t>
        </is>
      </c>
      <c r="G28" s="7" t="inlineStr">
        <is>
          <t>SH-FM-348</t>
        </is>
      </c>
      <c r="H28" s="7" t="inlineStr">
        <is>
          <t>김명용</t>
        </is>
      </c>
      <c r="I28" s="7" t="inlineStr">
        <is>
          <t>발송용_담당자변경_20261027/메시지_김명용_20261027.txt</t>
        </is>
      </c>
      <c r="J28" s="8" t="n">
        <v>46331</v>
      </c>
      <c r="K28" s="8" t="n">
        <v>46322</v>
      </c>
      <c r="L28" s="7" t="inlineStr">
        <is>
          <t>발송(회신 대기)</t>
        </is>
      </c>
      <c r="M28" s="8" t="n"/>
      <c r="N28" s="7" t="n"/>
      <c r="O28" s="7" t="n"/>
      <c r="P28" s="7" t="inlineStr">
        <is>
          <t>항목·기준 작성 파일 수령 → 같은 Rev.00 재개정(recheck → 승인·배포) → 매핑표 '보유'로 갱신</t>
        </is>
      </c>
      <c r="Q28" s="7" t="inlineStr">
        <is>
          <t>미완료</t>
        </is>
      </c>
      <c r="R28" s="7" t="inlineStr">
        <is>
          <t>담당자 변경 재안내 발송 2026-10-27</t>
        </is>
      </c>
      <c r="S28">
        <f>IF(L28="회신 완료","",J28-TODAY())</f>
        <v/>
      </c>
      <c r="T28">
        <f>IF(L28="회신 완료","완료",IF(J28&lt;TODAY(),"지연",IF(J28-TODAY()&lt;=1,"임박(D-1 이내)",IF(J28-TODAY()&lt;=3,"임박(D-3 이내)","여유"))))</f>
        <v/>
      </c>
    </row>
    <row r="29">
      <c r="A29" s="7" t="n">
        <v>235</v>
      </c>
      <c r="B29" s="7" t="inlineStr">
        <is>
          <t>품질경영체제</t>
        </is>
      </c>
      <c r="C29" s="7" t="inlineStr">
        <is>
          <t>6-13</t>
        </is>
      </c>
      <c r="D29" s="7" t="inlineStr">
        <is>
          <t>정성품질향상가이드</t>
        </is>
      </c>
      <c r="E29" s="7" t="inlineStr">
        <is>
          <t>보완 필요</t>
        </is>
      </c>
      <c r="F29" s="7" t="inlineStr">
        <is>
          <t>SH-FM-357</t>
        </is>
      </c>
      <c r="G29" s="7" t="inlineStr">
        <is>
          <t>SH-FM-357</t>
        </is>
      </c>
      <c r="H29" s="7" t="inlineStr">
        <is>
          <t>김명용</t>
        </is>
      </c>
      <c r="I29" s="7" t="inlineStr">
        <is>
          <t>발송용_담당자변경_20261027/메시지_김명용_20261027.txt</t>
        </is>
      </c>
      <c r="J29" s="8" t="n">
        <v>46331</v>
      </c>
      <c r="K29" s="8" t="n">
        <v>46322</v>
      </c>
      <c r="L29" s="7" t="inlineStr">
        <is>
          <t>발송(회신 대기)</t>
        </is>
      </c>
      <c r="M29" s="8" t="n"/>
      <c r="N29" s="7" t="n"/>
      <c r="O29" s="7" t="n"/>
      <c r="P29" s="7" t="inlineStr">
        <is>
          <t>항목·기준 작성 파일 수령 → 같은 Rev.00 재개정(recheck → 승인·배포) → 매핑표 '보유'로 갱신</t>
        </is>
      </c>
      <c r="Q29" s="7" t="inlineStr">
        <is>
          <t>미완료</t>
        </is>
      </c>
      <c r="R29" s="7" t="inlineStr">
        <is>
          <t>담당자 변경 재안내 발송 2026-10-27</t>
        </is>
      </c>
      <c r="S29">
        <f>IF(L29="회신 완료","",J29-TODAY())</f>
        <v/>
      </c>
      <c r="T29">
        <f>IF(L29="회신 완료","완료",IF(J29&lt;TODAY(),"지연",IF(J29-TODAY()&lt;=1,"임박(D-1 이내)",IF(J29-TODAY()&lt;=3,"임박(D-3 이내)","여유"))))</f>
        <v/>
      </c>
    </row>
    <row r="30">
      <c r="A30" s="7" t="n">
        <v>236</v>
      </c>
      <c r="B30" s="7" t="inlineStr">
        <is>
          <t>품질경영체제</t>
        </is>
      </c>
      <c r="C30" s="7" t="inlineStr">
        <is>
          <t>6-13</t>
        </is>
      </c>
      <c r="D30" s="7" t="inlineStr">
        <is>
          <t>정성품질 조직도 (키맨선정)</t>
        </is>
      </c>
      <c r="E30" s="7" t="inlineStr">
        <is>
          <t>보완 필요</t>
        </is>
      </c>
      <c r="F30" s="7" t="inlineStr">
        <is>
          <t>SH-FM-358</t>
        </is>
      </c>
      <c r="G30" s="7" t="inlineStr">
        <is>
          <t>SH-FM-358</t>
        </is>
      </c>
      <c r="H30" s="7" t="inlineStr">
        <is>
          <t>김명용</t>
        </is>
      </c>
      <c r="I30" s="7" t="inlineStr">
        <is>
          <t>발송용_담당자변경_20261027/메시지_김명용_20261027.txt</t>
        </is>
      </c>
      <c r="J30" s="8" t="n">
        <v>46331</v>
      </c>
      <c r="K30" s="8" t="n">
        <v>46322</v>
      </c>
      <c r="L30" s="7" t="inlineStr">
        <is>
          <t>발송(회신 대기)</t>
        </is>
      </c>
      <c r="M30" s="8" t="n"/>
      <c r="N30" s="7" t="n"/>
      <c r="O30" s="7" t="n"/>
      <c r="P30" s="7" t="inlineStr">
        <is>
          <t>항목·기준 작성 파일 수령 → 같은 Rev.00 재개정(recheck → 승인·배포) → 매핑표 '보유'로 갱신</t>
        </is>
      </c>
      <c r="Q30" s="7" t="inlineStr">
        <is>
          <t>미완료</t>
        </is>
      </c>
      <c r="R30" s="7" t="inlineStr">
        <is>
          <t>담당자 변경 재안내 발송 2026-10-27</t>
        </is>
      </c>
      <c r="S30">
        <f>IF(L30="회신 완료","",J30-TODAY())</f>
        <v/>
      </c>
      <c r="T30">
        <f>IF(L30="회신 완료","완료",IF(J30&lt;TODAY(),"지연",IF(J30-TODAY()&lt;=1,"임박(D-1 이내)",IF(J30-TODAY()&lt;=3,"임박(D-3 이내)","여유"))))</f>
        <v/>
      </c>
    </row>
    <row r="31">
      <c r="A31" s="7" t="n">
        <v>237</v>
      </c>
      <c r="B31" s="7" t="inlineStr">
        <is>
          <t>품질경영체제</t>
        </is>
      </c>
      <c r="C31" s="7" t="inlineStr">
        <is>
          <t>6-13</t>
        </is>
      </c>
      <c r="D31" s="7" t="inlineStr">
        <is>
          <t>정성품질 체크시트</t>
        </is>
      </c>
      <c r="E31" s="7" t="inlineStr">
        <is>
          <t>보완 필요</t>
        </is>
      </c>
      <c r="F31" s="7" t="inlineStr">
        <is>
          <t>SH-FM-359</t>
        </is>
      </c>
      <c r="G31" s="7" t="inlineStr">
        <is>
          <t>SH-FM-359</t>
        </is>
      </c>
      <c r="H31" s="7" t="inlineStr">
        <is>
          <t>김명용</t>
        </is>
      </c>
      <c r="I31" s="7" t="inlineStr">
        <is>
          <t>발송용_담당자변경_20261027/메시지_김명용_20261027.txt</t>
        </is>
      </c>
      <c r="J31" s="8" t="n">
        <v>46331</v>
      </c>
      <c r="K31" s="8" t="n">
        <v>46322</v>
      </c>
      <c r="L31" s="7" t="inlineStr">
        <is>
          <t>발송(회신 대기)</t>
        </is>
      </c>
      <c r="M31" s="8" t="n"/>
      <c r="N31" s="7" t="n"/>
      <c r="O31" s="7" t="n"/>
      <c r="P31" s="7" t="inlineStr">
        <is>
          <t>항목·기준 작성 파일 수령 → 같은 Rev.00 재개정(recheck → 승인·배포) → 매핑표 '보유'로 갱신</t>
        </is>
      </c>
      <c r="Q31" s="7" t="inlineStr">
        <is>
          <t>미완료</t>
        </is>
      </c>
      <c r="R31" s="7" t="inlineStr">
        <is>
          <t>담당자 변경 재안내 발송 2026-10-27</t>
        </is>
      </c>
      <c r="S31">
        <f>IF(L31="회신 완료","",J31-TODAY())</f>
        <v/>
      </c>
      <c r="T31">
        <f>IF(L31="회신 완료","완료",IF(J31&lt;TODAY(),"지연",IF(J31-TODAY()&lt;=1,"임박(D-1 이내)",IF(J31-TODAY()&lt;=3,"임박(D-3 이내)","여유"))))</f>
        <v/>
      </c>
    </row>
    <row r="32">
      <c r="A32" s="7" t="n">
        <v>238</v>
      </c>
      <c r="B32" s="7" t="inlineStr">
        <is>
          <t>품질경영체제</t>
        </is>
      </c>
      <c r="C32" s="7" t="inlineStr">
        <is>
          <t>6-13</t>
        </is>
      </c>
      <c r="D32" s="7" t="inlineStr">
        <is>
          <t>정성품질 개선추진보고서</t>
        </is>
      </c>
      <c r="E32" s="7" t="inlineStr">
        <is>
          <t>보완 필요</t>
        </is>
      </c>
      <c r="F32" s="7" t="inlineStr">
        <is>
          <t>SH-FM-360</t>
        </is>
      </c>
      <c r="G32" s="7" t="inlineStr">
        <is>
          <t>SH-FM-360</t>
        </is>
      </c>
      <c r="H32" s="7" t="inlineStr">
        <is>
          <t>김명용</t>
        </is>
      </c>
      <c r="I32" s="7" t="inlineStr">
        <is>
          <t>발송용_담당자변경_20261027/메시지_김명용_20261027.txt</t>
        </is>
      </c>
      <c r="J32" s="8" t="n">
        <v>46331</v>
      </c>
      <c r="K32" s="8" t="n">
        <v>46322</v>
      </c>
      <c r="L32" s="7" t="inlineStr">
        <is>
          <t>발송(회신 대기)</t>
        </is>
      </c>
      <c r="M32" s="8" t="n"/>
      <c r="N32" s="7" t="n"/>
      <c r="O32" s="7" t="n"/>
      <c r="P32" s="7" t="inlineStr">
        <is>
          <t>항목·기준 작성 파일 수령 → 같은 Rev.00 재개정(recheck → 승인·배포) → 매핑표 '보유'로 갱신</t>
        </is>
      </c>
      <c r="Q32" s="7" t="inlineStr">
        <is>
          <t>미완료</t>
        </is>
      </c>
      <c r="R32" s="7" t="inlineStr">
        <is>
          <t>담당자 변경 재안내 발송 2026-10-27</t>
        </is>
      </c>
      <c r="S32">
        <f>IF(L32="회신 완료","",J32-TODAY())</f>
        <v/>
      </c>
      <c r="T32">
        <f>IF(L32="회신 완료","완료",IF(J32&lt;TODAY(),"지연",IF(J32-TODAY()&lt;=1,"임박(D-1 이내)",IF(J32-TODAY()&lt;=3,"임박(D-3 이내)","여유"))))</f>
        <v/>
      </c>
    </row>
    <row r="33">
      <c r="A33" s="7" t="n">
        <v>239</v>
      </c>
      <c r="B33" s="7" t="inlineStr">
        <is>
          <t>품질경영체제</t>
        </is>
      </c>
      <c r="C33" s="7" t="inlineStr">
        <is>
          <t>6-13</t>
        </is>
      </c>
      <c r="D33" s="7" t="inlineStr">
        <is>
          <t>정성품질 포상제도 시행안 보고서</t>
        </is>
      </c>
      <c r="E33" s="7" t="inlineStr">
        <is>
          <t>보완 필요</t>
        </is>
      </c>
      <c r="F33" s="7" t="inlineStr">
        <is>
          <t>SH-FM-361</t>
        </is>
      </c>
      <c r="G33" s="7" t="inlineStr">
        <is>
          <t>SH-FM-361</t>
        </is>
      </c>
      <c r="H33" s="7" t="inlineStr">
        <is>
          <t>김명용</t>
        </is>
      </c>
      <c r="I33" s="7" t="inlineStr">
        <is>
          <t>발송용_담당자변경_20261027/메시지_김명용_20261027.txt</t>
        </is>
      </c>
      <c r="J33" s="8" t="n">
        <v>46331</v>
      </c>
      <c r="K33" s="8" t="n">
        <v>46322</v>
      </c>
      <c r="L33" s="7" t="inlineStr">
        <is>
          <t>발송(회신 대기)</t>
        </is>
      </c>
      <c r="M33" s="8" t="n"/>
      <c r="N33" s="7" t="n"/>
      <c r="O33" s="7" t="n"/>
      <c r="P33" s="7" t="inlineStr">
        <is>
          <t>항목·기준 작성 파일 수령 → 같은 Rev.00 재개정(recheck → 승인·배포) → 매핑표 '보유'로 갱신</t>
        </is>
      </c>
      <c r="Q33" s="7" t="inlineStr">
        <is>
          <t>미완료</t>
        </is>
      </c>
      <c r="R33" s="7" t="inlineStr">
        <is>
          <t>담당자 변경 재안내 발송 2026-10-27</t>
        </is>
      </c>
      <c r="S33">
        <f>IF(L33="회신 완료","",J33-TODAY())</f>
        <v/>
      </c>
      <c r="T33">
        <f>IF(L33="회신 완료","완료",IF(J33&lt;TODAY(),"지연",IF(J33-TODAY()&lt;=1,"임박(D-1 이내)",IF(J33-TODAY()&lt;=3,"임박(D-3 이내)","여유"))))</f>
        <v/>
      </c>
    </row>
    <row r="34">
      <c r="A34" s="7" t="n">
        <v>240</v>
      </c>
      <c r="B34" s="7" t="inlineStr">
        <is>
          <t>품질경영체제</t>
        </is>
      </c>
      <c r="C34" s="7" t="inlineStr">
        <is>
          <t>6-13</t>
        </is>
      </c>
      <c r="D34" s="7" t="inlineStr">
        <is>
          <t>정성품질 포상실행 품의서</t>
        </is>
      </c>
      <c r="E34" s="7" t="inlineStr">
        <is>
          <t>보완 필요</t>
        </is>
      </c>
      <c r="F34" s="7" t="inlineStr">
        <is>
          <t>SH-FM-362</t>
        </is>
      </c>
      <c r="G34" s="7" t="inlineStr">
        <is>
          <t>SH-FM-362</t>
        </is>
      </c>
      <c r="H34" s="7" t="inlineStr">
        <is>
          <t>김명용</t>
        </is>
      </c>
      <c r="I34" s="7" t="inlineStr">
        <is>
          <t>발송용_담당자변경_20261027/메시지_김명용_20261027.txt</t>
        </is>
      </c>
      <c r="J34" s="8" t="n">
        <v>46331</v>
      </c>
      <c r="K34" s="8" t="n">
        <v>46322</v>
      </c>
      <c r="L34" s="7" t="inlineStr">
        <is>
          <t>발송(회신 대기)</t>
        </is>
      </c>
      <c r="M34" s="8" t="n"/>
      <c r="N34" s="7" t="n"/>
      <c r="O34" s="7" t="n"/>
      <c r="P34" s="7" t="inlineStr">
        <is>
          <t>항목·기준 작성 파일 수령 → 같은 Rev.00 재개정(recheck → 승인·배포) → 매핑표 '보유'로 갱신</t>
        </is>
      </c>
      <c r="Q34" s="7" t="inlineStr">
        <is>
          <t>미완료</t>
        </is>
      </c>
      <c r="R34" s="7" t="inlineStr">
        <is>
          <t>담당자 변경 재안내 발송 2026-10-27</t>
        </is>
      </c>
      <c r="S34">
        <f>IF(L34="회신 완료","",J34-TODAY())</f>
        <v/>
      </c>
      <c r="T34">
        <f>IF(L34="회신 완료","완료",IF(J34&lt;TODAY(),"지연",IF(J34-TODAY()&lt;=1,"임박(D-1 이내)",IF(J34-TODAY()&lt;=3,"임박(D-3 이내)","여유"))))</f>
        <v/>
      </c>
    </row>
    <row r="35">
      <c r="A35" s="7" t="n">
        <v>102</v>
      </c>
      <c r="B35" s="7" t="inlineStr">
        <is>
          <t>설비관리</t>
        </is>
      </c>
      <c r="C35" s="7" t="inlineStr">
        <is>
          <t>3-3</t>
        </is>
      </c>
      <c r="D35" s="7" t="inlineStr">
        <is>
          <t>용접전극드레싱/교환 F/P장비설치</t>
        </is>
      </c>
      <c r="E35" s="7" t="inlineStr">
        <is>
          <t>판단 보류</t>
        </is>
      </c>
      <c r="F35" s="7" t="inlineStr">
        <is>
          <t>SH-FM-224</t>
        </is>
      </c>
      <c r="G35" s="7" t="inlineStr">
        <is>
          <t>SH-FM-224</t>
        </is>
      </c>
      <c r="H35" s="7" t="inlineStr">
        <is>
          <t>김운주</t>
        </is>
      </c>
      <c r="I35" s="7" t="inlineStr">
        <is>
          <t>발송용_최종_20261008/메시지_김운주.txt</t>
        </is>
      </c>
      <c r="J35" s="8" t="n">
        <v>46331</v>
      </c>
      <c r="K35" s="8" t="n">
        <v>46303</v>
      </c>
      <c r="L35" s="7" t="inlineStr">
        <is>
          <t>발송(회신 대기)</t>
        </is>
      </c>
      <c r="M35" s="8" t="n"/>
      <c r="N35" s="7" t="n"/>
      <c r="O35" s="7" t="n"/>
      <c r="P35" s="7" t="inlineStr">
        <is>
          <t>현물 증빙(사진·위치) 확인 → 매핑표에 현물 보유 반영 검토</t>
        </is>
      </c>
      <c r="Q35" s="7" t="inlineStr">
        <is>
          <t>미완료</t>
        </is>
      </c>
      <c r="R35" s="7" t="n"/>
      <c r="S35">
        <f>IF(L35="회신 완료","",J35-TODAY())</f>
        <v/>
      </c>
      <c r="T35">
        <f>IF(L35="회신 완료","완료",IF(J35&lt;TODAY(),"지연",IF(J35-TODAY()&lt;=1,"임박(D-1 이내)",IF(J35-TODAY()&lt;=3,"임박(D-3 이내)","여유"))))</f>
        <v/>
      </c>
    </row>
    <row r="36">
      <c r="A36" s="7" t="n">
        <v>100</v>
      </c>
      <c r="B36" s="7" t="inlineStr">
        <is>
          <t>설비관리</t>
        </is>
      </c>
      <c r="C36" s="7" t="inlineStr">
        <is>
          <t>3-3</t>
        </is>
      </c>
      <c r="D36" s="7" t="inlineStr">
        <is>
          <t>CO2용접원점확인장치</t>
        </is>
      </c>
      <c r="E36" s="7" t="inlineStr">
        <is>
          <t>보완 필요</t>
        </is>
      </c>
      <c r="F36" s="7" t="inlineStr">
        <is>
          <t>SH-FM-222</t>
        </is>
      </c>
      <c r="G36" s="7" t="inlineStr">
        <is>
          <t>SH-FM-222</t>
        </is>
      </c>
      <c r="H36" s="7" t="inlineStr">
        <is>
          <t>김운주</t>
        </is>
      </c>
      <c r="I36" s="7" t="inlineStr">
        <is>
          <t>발송용_최종_20261008/메시지_김운주.txt</t>
        </is>
      </c>
      <c r="J36" s="8" t="n">
        <v>46331</v>
      </c>
      <c r="K36" s="8" t="n">
        <v>46303</v>
      </c>
      <c r="L36" s="7" t="inlineStr">
        <is>
          <t>발송(회신 대기)</t>
        </is>
      </c>
      <c r="M36" s="8" t="n"/>
      <c r="N36" s="7" t="n"/>
      <c r="O36" s="7" t="n"/>
      <c r="P36" s="7" t="inlineStr">
        <is>
          <t>항목·기준 작성 파일 수령 → 같은 Rev.00 재개정(recheck → 승인·배포) → 매핑표 '보유'로 갱신</t>
        </is>
      </c>
      <c r="Q36" s="7" t="inlineStr">
        <is>
          <t>미완료</t>
        </is>
      </c>
      <c r="R36" s="7" t="n"/>
      <c r="S36">
        <f>IF(L36="회신 완료","",J36-TODAY())</f>
        <v/>
      </c>
      <c r="T36">
        <f>IF(L36="회신 완료","완료",IF(J36&lt;TODAY(),"지연",IF(J36-TODAY()&lt;=1,"임박(D-1 이내)",IF(J36-TODAY()&lt;=3,"임박(D-3 이내)","여유"))))</f>
        <v/>
      </c>
    </row>
    <row r="37">
      <c r="A37" s="7" t="n">
        <v>101</v>
      </c>
      <c r="B37" s="7" t="inlineStr">
        <is>
          <t>설비관리</t>
        </is>
      </c>
      <c r="C37" s="7" t="inlineStr">
        <is>
          <t>3-3</t>
        </is>
      </c>
      <c r="D37" s="7" t="inlineStr">
        <is>
          <t>스폿로봇 원점확인장치</t>
        </is>
      </c>
      <c r="E37" s="7" t="inlineStr">
        <is>
          <t>보완 필요</t>
        </is>
      </c>
      <c r="F37" s="7" t="inlineStr">
        <is>
          <t>SH-FM-223</t>
        </is>
      </c>
      <c r="G37" s="7" t="inlineStr">
        <is>
          <t>SH-FM-223</t>
        </is>
      </c>
      <c r="H37" s="7" t="inlineStr">
        <is>
          <t>김운주</t>
        </is>
      </c>
      <c r="I37" s="7" t="inlineStr">
        <is>
          <t>발송용_최종_20261008/메시지_김운주.txt</t>
        </is>
      </c>
      <c r="J37" s="8" t="n">
        <v>46331</v>
      </c>
      <c r="K37" s="8" t="n">
        <v>46303</v>
      </c>
      <c r="L37" s="7" t="inlineStr">
        <is>
          <t>발송(회신 대기)</t>
        </is>
      </c>
      <c r="M37" s="8" t="n"/>
      <c r="N37" s="7" t="n"/>
      <c r="O37" s="7" t="n"/>
      <c r="P37" s="7" t="inlineStr">
        <is>
          <t>항목·기준 작성 파일 수령 → 같은 Rev.00 재개정(recheck → 승인·배포) → 매핑표 '보유'로 갱신</t>
        </is>
      </c>
      <c r="Q37" s="7" t="inlineStr">
        <is>
          <t>미완료</t>
        </is>
      </c>
      <c r="R37" s="7" t="n"/>
      <c r="S37">
        <f>IF(L37="회신 완료","",J37-TODAY())</f>
        <v/>
      </c>
      <c r="T37">
        <f>IF(L37="회신 완료","완료",IF(J37&lt;TODAY(),"지연",IF(J37-TODAY()&lt;=1,"임박(D-1 이내)",IF(J37-TODAY()&lt;=3,"임박(D-3 이내)","여유"))))</f>
        <v/>
      </c>
    </row>
    <row r="38">
      <c r="A38" s="7" t="n">
        <v>56</v>
      </c>
      <c r="B38" s="7" t="inlineStr">
        <is>
          <t>검사시험</t>
        </is>
      </c>
      <c r="C38" s="7" t="inlineStr">
        <is>
          <t>2-5</t>
        </is>
      </c>
      <c r="D38" s="7" t="inlineStr">
        <is>
          <t>검사구관리대장</t>
        </is>
      </c>
      <c r="E38" s="7" t="inlineStr">
        <is>
          <t>보완 필요</t>
        </is>
      </c>
      <c r="F38" s="7" t="inlineStr">
        <is>
          <t>SH-FM-178</t>
        </is>
      </c>
      <c r="G38" s="7" t="inlineStr">
        <is>
          <t>SH-FM-178</t>
        </is>
      </c>
      <c r="H38" s="7" t="inlineStr">
        <is>
          <t>김주태</t>
        </is>
      </c>
      <c r="I38" s="7" t="inlineStr">
        <is>
          <t>발송용_최종_20261008/메시지_김주태.txt</t>
        </is>
      </c>
      <c r="J38" s="8" t="n">
        <v>46331</v>
      </c>
      <c r="K38" s="8" t="n">
        <v>46303</v>
      </c>
      <c r="L38" s="7" t="inlineStr">
        <is>
          <t>발송(회신 대기)</t>
        </is>
      </c>
      <c r="M38" s="8" t="n"/>
      <c r="N38" s="7" t="n"/>
      <c r="O38" s="7" t="n"/>
      <c r="P38" s="7" t="inlineStr">
        <is>
          <t>항목·기준 작성 파일 수령 → 같은 Rev.00 재개정(recheck → 승인·배포) → 매핑표 '보유'로 갱신</t>
        </is>
      </c>
      <c r="Q38" s="7" t="inlineStr">
        <is>
          <t>미완료</t>
        </is>
      </c>
      <c r="R38" s="7" t="n"/>
      <c r="S38">
        <f>IF(L38="회신 완료","",J38-TODAY())</f>
        <v/>
      </c>
      <c r="T38">
        <f>IF(L38="회신 완료","완료",IF(J38&lt;TODAY(),"지연",IF(J38-TODAY()&lt;=1,"임박(D-1 이내)",IF(J38-TODAY()&lt;=3,"임박(D-3 이내)","여유"))))</f>
        <v/>
      </c>
    </row>
    <row r="39">
      <c r="A39" s="7" t="n">
        <v>57</v>
      </c>
      <c r="B39" s="7" t="inlineStr">
        <is>
          <t>검사시험</t>
        </is>
      </c>
      <c r="C39" s="7" t="inlineStr">
        <is>
          <t>2-5</t>
        </is>
      </c>
      <c r="D39" s="7" t="inlineStr">
        <is>
          <t>검사구이력카드</t>
        </is>
      </c>
      <c r="E39" s="7" t="inlineStr">
        <is>
          <t>보완 필요</t>
        </is>
      </c>
      <c r="F39" s="7" t="inlineStr">
        <is>
          <t>SH-FM-179</t>
        </is>
      </c>
      <c r="G39" s="7" t="inlineStr">
        <is>
          <t>SH-FM-179</t>
        </is>
      </c>
      <c r="H39" s="7" t="inlineStr">
        <is>
          <t>김주태</t>
        </is>
      </c>
      <c r="I39" s="7" t="inlineStr">
        <is>
          <t>발송용_최종_20261008/메시지_김주태.txt</t>
        </is>
      </c>
      <c r="J39" s="8" t="n">
        <v>46331</v>
      </c>
      <c r="K39" s="8" t="n">
        <v>46303</v>
      </c>
      <c r="L39" s="7" t="inlineStr">
        <is>
          <t>발송(회신 대기)</t>
        </is>
      </c>
      <c r="M39" s="8" t="n"/>
      <c r="N39" s="7" t="n"/>
      <c r="O39" s="7" t="n"/>
      <c r="P39" s="7" t="inlineStr">
        <is>
          <t>항목·기준 작성 파일 수령 → 같은 Rev.00 재개정(recheck → 승인·배포) → 매핑표 '보유'로 갱신</t>
        </is>
      </c>
      <c r="Q39" s="7" t="inlineStr">
        <is>
          <t>미완료</t>
        </is>
      </c>
      <c r="R39" s="7" t="n"/>
      <c r="S39">
        <f>IF(L39="회신 완료","",J39-TODAY())</f>
        <v/>
      </c>
      <c r="T39">
        <f>IF(L39="회신 완료","완료",IF(J39&lt;TODAY(),"지연",IF(J39-TODAY()&lt;=1,"임박(D-1 이내)",IF(J39-TODAY()&lt;=3,"임박(D-3 이내)","여유"))))</f>
        <v/>
      </c>
    </row>
    <row r="40">
      <c r="A40" s="7" t="n">
        <v>58</v>
      </c>
      <c r="B40" s="7" t="inlineStr">
        <is>
          <t>검사시험</t>
        </is>
      </c>
      <c r="C40" s="7" t="inlineStr">
        <is>
          <t>2-5</t>
        </is>
      </c>
      <c r="D40" s="7" t="inlineStr">
        <is>
          <t>검사구정기점검 계획대실적표</t>
        </is>
      </c>
      <c r="E40" s="7" t="inlineStr">
        <is>
          <t>보완 필요</t>
        </is>
      </c>
      <c r="F40" s="7" t="inlineStr">
        <is>
          <t>SH-FM-180</t>
        </is>
      </c>
      <c r="G40" s="7" t="inlineStr">
        <is>
          <t>SH-FM-180</t>
        </is>
      </c>
      <c r="H40" s="7" t="inlineStr">
        <is>
          <t>김주태</t>
        </is>
      </c>
      <c r="I40" s="7" t="inlineStr">
        <is>
          <t>발송용_최종_20261008/메시지_김주태.txt</t>
        </is>
      </c>
      <c r="J40" s="8" t="n">
        <v>46331</v>
      </c>
      <c r="K40" s="8" t="n">
        <v>46303</v>
      </c>
      <c r="L40" s="7" t="inlineStr">
        <is>
          <t>발송(회신 대기)</t>
        </is>
      </c>
      <c r="M40" s="8" t="n"/>
      <c r="N40" s="7" t="n"/>
      <c r="O40" s="7" t="n"/>
      <c r="P40" s="7" t="inlineStr">
        <is>
          <t>항목·기준 작성 파일 수령 → 같은 Rev.00 재개정(recheck → 승인·배포) → 매핑표 '보유'로 갱신</t>
        </is>
      </c>
      <c r="Q40" s="7" t="inlineStr">
        <is>
          <t>미완료</t>
        </is>
      </c>
      <c r="R40" s="7" t="n"/>
      <c r="S40">
        <f>IF(L40="회신 완료","",J40-TODAY())</f>
        <v/>
      </c>
      <c r="T40">
        <f>IF(L40="회신 완료","완료",IF(J40&lt;TODAY(),"지연",IF(J40-TODAY()&lt;=1,"임박(D-1 이내)",IF(J40-TODAY()&lt;=3,"임박(D-3 이내)","여유"))))</f>
        <v/>
      </c>
    </row>
    <row r="41">
      <c r="A41" s="7" t="n">
        <v>59</v>
      </c>
      <c r="B41" s="7" t="inlineStr">
        <is>
          <t>검사시험</t>
        </is>
      </c>
      <c r="C41" s="7" t="inlineStr">
        <is>
          <t>2-5</t>
        </is>
      </c>
      <c r="D41" s="7" t="inlineStr">
        <is>
          <t>검사구점검체크시트</t>
        </is>
      </c>
      <c r="E41" s="7" t="inlineStr">
        <is>
          <t>보완 필요</t>
        </is>
      </c>
      <c r="F41" s="7" t="inlineStr">
        <is>
          <t>SH-FM-181</t>
        </is>
      </c>
      <c r="G41" s="7" t="inlineStr">
        <is>
          <t>SH-FM-181</t>
        </is>
      </c>
      <c r="H41" s="7" t="inlineStr">
        <is>
          <t>김주태</t>
        </is>
      </c>
      <c r="I41" s="7" t="inlineStr">
        <is>
          <t>발송용_최종_20261008/메시지_김주태.txt</t>
        </is>
      </c>
      <c r="J41" s="8" t="n">
        <v>46331</v>
      </c>
      <c r="K41" s="8" t="n">
        <v>46303</v>
      </c>
      <c r="L41" s="7" t="inlineStr">
        <is>
          <t>발송(회신 대기)</t>
        </is>
      </c>
      <c r="M41" s="8" t="n"/>
      <c r="N41" s="7" t="n"/>
      <c r="O41" s="7" t="n"/>
      <c r="P41" s="7" t="inlineStr">
        <is>
          <t>항목·기준 작성 파일 수령 → 같은 Rev.00 재개정(recheck → 승인·배포) → 매핑표 '보유'로 갱신</t>
        </is>
      </c>
      <c r="Q41" s="7" t="inlineStr">
        <is>
          <t>미완료</t>
        </is>
      </c>
      <c r="R41" s="7" t="n"/>
      <c r="S41">
        <f>IF(L41="회신 완료","",J41-TODAY())</f>
        <v/>
      </c>
      <c r="T41">
        <f>IF(L41="회신 완료","완료",IF(J41&lt;TODAY(),"지연",IF(J41-TODAY()&lt;=1,"임박(D-1 이내)",IF(J41-TODAY()&lt;=3,"임박(D-3 이내)","여유"))))</f>
        <v/>
      </c>
    </row>
    <row r="42">
      <c r="A42" s="7" t="n">
        <v>60</v>
      </c>
      <c r="B42" s="7" t="inlineStr">
        <is>
          <t>검사시험</t>
        </is>
      </c>
      <c r="C42" s="7" t="inlineStr">
        <is>
          <t>2-5</t>
        </is>
      </c>
      <c r="D42" s="7" t="inlineStr">
        <is>
          <t>검사구보관 lay-out</t>
        </is>
      </c>
      <c r="E42" s="7" t="inlineStr">
        <is>
          <t>보완 필요</t>
        </is>
      </c>
      <c r="F42" s="7" t="inlineStr">
        <is>
          <t>SH-FM-182</t>
        </is>
      </c>
      <c r="G42" s="7" t="inlineStr">
        <is>
          <t>SH-FM-182</t>
        </is>
      </c>
      <c r="H42" s="7" t="inlineStr">
        <is>
          <t>김주태</t>
        </is>
      </c>
      <c r="I42" s="7" t="inlineStr">
        <is>
          <t>발송용_최종_20261008/메시지_김주태.txt</t>
        </is>
      </c>
      <c r="J42" s="8" t="n">
        <v>46331</v>
      </c>
      <c r="K42" s="8" t="n">
        <v>46303</v>
      </c>
      <c r="L42" s="7" t="inlineStr">
        <is>
          <t>발송(회신 대기)</t>
        </is>
      </c>
      <c r="M42" s="8" t="n"/>
      <c r="N42" s="7" t="n"/>
      <c r="O42" s="7" t="n"/>
      <c r="P42" s="7" t="inlineStr">
        <is>
          <t>항목·기준 작성 파일 수령 → 같은 Rev.00 재개정(recheck → 승인·배포) → 매핑표 '보유'로 갱신</t>
        </is>
      </c>
      <c r="Q42" s="7" t="inlineStr">
        <is>
          <t>미완료</t>
        </is>
      </c>
      <c r="R42" s="7" t="n"/>
      <c r="S42">
        <f>IF(L42="회신 완료","",J42-TODAY())</f>
        <v/>
      </c>
      <c r="T42">
        <f>IF(L42="회신 완료","완료",IF(J42&lt;TODAY(),"지연",IF(J42-TODAY()&lt;=1,"임박(D-1 이내)",IF(J42-TODAY()&lt;=3,"임박(D-3 이내)","여유"))))</f>
        <v/>
      </c>
    </row>
    <row r="43">
      <c r="A43" s="7" t="n">
        <v>61</v>
      </c>
      <c r="B43" s="7" t="inlineStr">
        <is>
          <t>검사시험</t>
        </is>
      </c>
      <c r="C43" s="7" t="inlineStr">
        <is>
          <t>2-5</t>
        </is>
      </c>
      <c r="D43" s="7" t="inlineStr">
        <is>
          <t>검사구 식별표</t>
        </is>
      </c>
      <c r="E43" s="7" t="inlineStr">
        <is>
          <t>보완 필요</t>
        </is>
      </c>
      <c r="F43" s="7" t="inlineStr">
        <is>
          <t>SH-FM-183</t>
        </is>
      </c>
      <c r="G43" s="7" t="inlineStr">
        <is>
          <t>SH-FM-183</t>
        </is>
      </c>
      <c r="H43" s="7" t="inlineStr">
        <is>
          <t>김주태</t>
        </is>
      </c>
      <c r="I43" s="7" t="inlineStr">
        <is>
          <t>발송용_최종_20261008/메시지_김주태.txt</t>
        </is>
      </c>
      <c r="J43" s="8" t="n">
        <v>46331</v>
      </c>
      <c r="K43" s="8" t="n">
        <v>46303</v>
      </c>
      <c r="L43" s="7" t="inlineStr">
        <is>
          <t>발송(회신 대기)</t>
        </is>
      </c>
      <c r="M43" s="8" t="n"/>
      <c r="N43" s="7" t="n"/>
      <c r="O43" s="7" t="n"/>
      <c r="P43" s="7" t="inlineStr">
        <is>
          <t>항목·기준 작성 파일 수령 → 같은 Rev.00 재개정(recheck → 승인·배포) → 매핑표 '보유'로 갱신</t>
        </is>
      </c>
      <c r="Q43" s="7" t="inlineStr">
        <is>
          <t>미완료</t>
        </is>
      </c>
      <c r="R43" s="7" t="n"/>
      <c r="S43">
        <f>IF(L43="회신 완료","",J43-TODAY())</f>
        <v/>
      </c>
      <c r="T43">
        <f>IF(L43="회신 완료","완료",IF(J43&lt;TODAY(),"지연",IF(J43-TODAY()&lt;=1,"임박(D-1 이내)",IF(J43-TODAY()&lt;=3,"임박(D-3 이내)","여유"))))</f>
        <v/>
      </c>
    </row>
    <row r="44">
      <c r="A44" s="7" t="n">
        <v>210</v>
      </c>
      <c r="B44" s="7" t="inlineStr">
        <is>
          <t>품질경영체제</t>
        </is>
      </c>
      <c r="C44" s="7" t="inlineStr">
        <is>
          <t>6-8</t>
        </is>
      </c>
      <c r="D44" s="7" t="inlineStr">
        <is>
          <t>품질실적보고서 (전부서KPI목표대비실적)</t>
        </is>
      </c>
      <c r="E44" s="7" t="inlineStr">
        <is>
          <t>보완 필요</t>
        </is>
      </c>
      <c r="F44" s="7" t="inlineStr">
        <is>
          <t>SH-FM-332</t>
        </is>
      </c>
      <c r="G44" s="7" t="inlineStr">
        <is>
          <t>SH-FM-332</t>
        </is>
      </c>
      <c r="H44" s="7" t="inlineStr">
        <is>
          <t>박철호</t>
        </is>
      </c>
      <c r="I44" s="7" t="inlineStr">
        <is>
          <t>발송용_담당자변경_20261027/메시지_박철호_20261027.txt</t>
        </is>
      </c>
      <c r="J44" s="8" t="n">
        <v>46331</v>
      </c>
      <c r="K44" s="8" t="n">
        <v>46322</v>
      </c>
      <c r="L44" s="7" t="inlineStr">
        <is>
          <t>발송(회신 대기)</t>
        </is>
      </c>
      <c r="M44" s="8" t="n"/>
      <c r="N44" s="7" t="n"/>
      <c r="O44" s="7" t="n"/>
      <c r="P44" s="7" t="inlineStr">
        <is>
          <t>항목·기준 작성 파일 수령 → 같은 Rev.00 재개정(recheck → 승인·배포) → 매핑표 '보유'로 갱신</t>
        </is>
      </c>
      <c r="Q44" s="7" t="inlineStr">
        <is>
          <t>미완료</t>
        </is>
      </c>
      <c r="R44" s="7" t="inlineStr">
        <is>
          <t>담당자 변경 재안내 발송 2026-10-27</t>
        </is>
      </c>
      <c r="S44">
        <f>IF(L44="회신 완료","",J44-TODAY())</f>
        <v/>
      </c>
      <c r="T44">
        <f>IF(L44="회신 완료","완료",IF(J44&lt;TODAY(),"지연",IF(J44-TODAY()&lt;=1,"임박(D-1 이내)",IF(J44-TODAY()&lt;=3,"임박(D-3 이내)","여유"))))</f>
        <v/>
      </c>
    </row>
    <row r="45">
      <c r="A45" s="7" t="n">
        <v>211</v>
      </c>
      <c r="B45" s="7" t="inlineStr">
        <is>
          <t>품질경영체제</t>
        </is>
      </c>
      <c r="C45" s="7" t="inlineStr">
        <is>
          <t>6-8</t>
        </is>
      </c>
      <c r="D45" s="7" t="inlineStr">
        <is>
          <t>고객/공정/외주불량 실적PPM</t>
        </is>
      </c>
      <c r="E45" s="7" t="inlineStr">
        <is>
          <t>보완 필요</t>
        </is>
      </c>
      <c r="F45" s="7" t="inlineStr">
        <is>
          <t>SH-FM-333</t>
        </is>
      </c>
      <c r="G45" s="7" t="inlineStr">
        <is>
          <t>SH-FM-333</t>
        </is>
      </c>
      <c r="H45" s="7" t="inlineStr">
        <is>
          <t>박철호</t>
        </is>
      </c>
      <c r="I45" s="7" t="inlineStr">
        <is>
          <t>발송용_담당자변경_20261027/메시지_박철호_20261027.txt</t>
        </is>
      </c>
      <c r="J45" s="8" t="n">
        <v>46331</v>
      </c>
      <c r="K45" s="8" t="n">
        <v>46322</v>
      </c>
      <c r="L45" s="7" t="inlineStr">
        <is>
          <t>발송(회신 대기)</t>
        </is>
      </c>
      <c r="M45" s="8" t="n"/>
      <c r="N45" s="7" t="n"/>
      <c r="O45" s="7" t="n"/>
      <c r="P45" s="7" t="inlineStr">
        <is>
          <t>항목·기준 작성 파일 수령 → 같은 Rev.00 재개정(recheck → 승인·배포) → 매핑표 '보유'로 갱신</t>
        </is>
      </c>
      <c r="Q45" s="7" t="inlineStr">
        <is>
          <t>미완료</t>
        </is>
      </c>
      <c r="R45" s="7" t="inlineStr">
        <is>
          <t>담당자 변경 재안내 발송 2026-10-27</t>
        </is>
      </c>
      <c r="S45">
        <f>IF(L45="회신 완료","",J45-TODAY())</f>
        <v/>
      </c>
      <c r="T45">
        <f>IF(L45="회신 완료","완료",IF(J45&lt;TODAY(),"지연",IF(J45-TODAY()&lt;=1,"임박(D-1 이내)",IF(J45-TODAY()&lt;=3,"임박(D-3 이내)","여유"))))</f>
        <v/>
      </c>
    </row>
    <row r="46">
      <c r="A46" s="7" t="n">
        <v>212</v>
      </c>
      <c r="B46" s="7" t="inlineStr">
        <is>
          <t>품질경영체제</t>
        </is>
      </c>
      <c r="C46" s="7" t="inlineStr">
        <is>
          <t>6-8</t>
        </is>
      </c>
      <c r="D46" s="7" t="inlineStr">
        <is>
          <t>고객/공정/외주불량 개선대책서</t>
        </is>
      </c>
      <c r="E46" s="7" t="inlineStr">
        <is>
          <t>보완 필요</t>
        </is>
      </c>
      <c r="F46" s="7" t="inlineStr">
        <is>
          <t>SH-FM-334</t>
        </is>
      </c>
      <c r="G46" s="7" t="inlineStr">
        <is>
          <t>SH-FM-334</t>
        </is>
      </c>
      <c r="H46" s="7" t="inlineStr">
        <is>
          <t>박철호</t>
        </is>
      </c>
      <c r="I46" s="7" t="inlineStr">
        <is>
          <t>발송용_담당자변경_20261027/메시지_박철호_20261027.txt</t>
        </is>
      </c>
      <c r="J46" s="8" t="n">
        <v>46331</v>
      </c>
      <c r="K46" s="8" t="n">
        <v>46322</v>
      </c>
      <c r="L46" s="7" t="inlineStr">
        <is>
          <t>발송(회신 대기)</t>
        </is>
      </c>
      <c r="M46" s="8" t="n"/>
      <c r="N46" s="7" t="n"/>
      <c r="O46" s="7" t="n"/>
      <c r="P46" s="7" t="inlineStr">
        <is>
          <t>항목·기준 작성 파일 수령 → 같은 Rev.00 재개정(recheck → 승인·배포) → 매핑표 '보유'로 갱신</t>
        </is>
      </c>
      <c r="Q46" s="7" t="inlineStr">
        <is>
          <t>미완료</t>
        </is>
      </c>
      <c r="R46" s="7" t="inlineStr">
        <is>
          <t>담당자 변경 재안내 발송 2026-10-27</t>
        </is>
      </c>
      <c r="S46">
        <f>IF(L46="회신 완료","",J46-TODAY())</f>
        <v/>
      </c>
      <c r="T46">
        <f>IF(L46="회신 완료","완료",IF(J46&lt;TODAY(),"지연",IF(J46-TODAY()&lt;=1,"임박(D-1 이내)",IF(J46-TODAY()&lt;=3,"임박(D-3 이내)","여유"))))</f>
        <v/>
      </c>
    </row>
    <row r="47">
      <c r="A47" s="7" t="n">
        <v>213</v>
      </c>
      <c r="B47" s="7" t="inlineStr">
        <is>
          <t>품질경영체제</t>
        </is>
      </c>
      <c r="C47" s="7" t="inlineStr">
        <is>
          <t>6-8</t>
        </is>
      </c>
      <c r="D47" s="7" t="inlineStr">
        <is>
          <t>고객불량 유효성검증  MASTER LIST</t>
        </is>
      </c>
      <c r="E47" s="7" t="inlineStr">
        <is>
          <t>보완 필요</t>
        </is>
      </c>
      <c r="F47" s="7" t="inlineStr">
        <is>
          <t>SH-FM-335</t>
        </is>
      </c>
      <c r="G47" s="7" t="inlineStr">
        <is>
          <t>SH-FM-335</t>
        </is>
      </c>
      <c r="H47" s="7" t="inlineStr">
        <is>
          <t>박철호</t>
        </is>
      </c>
      <c r="I47" s="7" t="inlineStr">
        <is>
          <t>발송용_담당자변경_20261027/메시지_박철호_20261027.txt</t>
        </is>
      </c>
      <c r="J47" s="8" t="n">
        <v>46331</v>
      </c>
      <c r="K47" s="8" t="n">
        <v>46322</v>
      </c>
      <c r="L47" s="7" t="inlineStr">
        <is>
          <t>발송(회신 대기)</t>
        </is>
      </c>
      <c r="M47" s="8" t="n"/>
      <c r="N47" s="7" t="n"/>
      <c r="O47" s="7" t="n"/>
      <c r="P47" s="7" t="inlineStr">
        <is>
          <t>항목·기준 작성 파일 수령 → 같은 Rev.00 재개정(recheck → 승인·배포) → 매핑표 '보유'로 갱신</t>
        </is>
      </c>
      <c r="Q47" s="7" t="inlineStr">
        <is>
          <t>미완료</t>
        </is>
      </c>
      <c r="R47" s="7" t="inlineStr">
        <is>
          <t>담당자 변경 재안내 발송 2026-10-27</t>
        </is>
      </c>
      <c r="S47">
        <f>IF(L47="회신 완료","",J47-TODAY())</f>
        <v/>
      </c>
      <c r="T47">
        <f>IF(L47="회신 완료","완료",IF(J47&lt;TODAY(),"지연",IF(J47-TODAY()&lt;=1,"임박(D-1 이내)",IF(J47-TODAY()&lt;=3,"임박(D-3 이내)","여유"))))</f>
        <v/>
      </c>
    </row>
    <row r="48">
      <c r="A48" s="7" t="n">
        <v>214</v>
      </c>
      <c r="B48" s="7" t="inlineStr">
        <is>
          <t>품질경영체제</t>
        </is>
      </c>
      <c r="C48" s="7" t="inlineStr">
        <is>
          <t>6-8</t>
        </is>
      </c>
      <c r="D48" s="7" t="inlineStr">
        <is>
          <t>D+3개월 유효성검증</t>
        </is>
      </c>
      <c r="E48" s="7" t="inlineStr">
        <is>
          <t>보완 필요</t>
        </is>
      </c>
      <c r="F48" s="7" t="inlineStr">
        <is>
          <t>SH-FM-336</t>
        </is>
      </c>
      <c r="G48" s="7" t="inlineStr">
        <is>
          <t>SH-FM-336</t>
        </is>
      </c>
      <c r="H48" s="7" t="inlineStr">
        <is>
          <t>이광재</t>
        </is>
      </c>
      <c r="I48" s="7" t="inlineStr">
        <is>
          <t>발송용_담당자정정_20261028/메시지_이광재_20261028_정정.txt</t>
        </is>
      </c>
      <c r="J48" s="8" t="n">
        <v>46331</v>
      </c>
      <c r="K48" s="8" t="n"/>
      <c r="L48" s="7" t="inlineStr">
        <is>
          <t>미발송</t>
        </is>
      </c>
      <c r="M48" s="8" t="n"/>
      <c r="N48" s="7" t="n"/>
      <c r="O48" s="7" t="n"/>
      <c r="P48" s="7" t="inlineStr">
        <is>
          <t>항목·기준 작성 파일 수령 → 같은 Rev.00 재개정(recheck → 승인·배포) → 매핑표 '보유'로 갱신</t>
        </is>
      </c>
      <c r="Q48" s="7" t="inlineStr">
        <is>
          <t>미완료</t>
        </is>
      </c>
      <c r="R48" s="7" t="inlineStr">
        <is>
          <t>담당자 정정본4 기준 이광재 확정(2026-10-28, 인쇄물 전달 당시: 박철호). 정정 메시지 발송 후 발송일·상태 갱신</t>
        </is>
      </c>
      <c r="S48">
        <f>IF(L48="회신 완료","",J48-TODAY())</f>
        <v/>
      </c>
      <c r="T48">
        <f>IF(L48="회신 완료","완료",IF(J48&lt;TODAY(),"지연",IF(J48-TODAY()&lt;=1,"임박(D-1 이내)",IF(J48-TODAY()&lt;=3,"임박(D-3 이내)","여유"))))</f>
        <v/>
      </c>
    </row>
    <row r="49">
      <c r="A49" s="7" t="n">
        <v>233</v>
      </c>
      <c r="B49" s="7" t="inlineStr">
        <is>
          <t>품질경영체제</t>
        </is>
      </c>
      <c r="C49" s="7" t="inlineStr">
        <is>
          <t>6-12</t>
        </is>
      </c>
      <c r="D49" s="7" t="inlineStr">
        <is>
          <t>용접교육장설치</t>
        </is>
      </c>
      <c r="E49" s="7" t="inlineStr">
        <is>
          <t>판단 보류</t>
        </is>
      </c>
      <c r="F49" s="7" t="inlineStr">
        <is>
          <t>SH-FM-355</t>
        </is>
      </c>
      <c r="G49" s="7" t="inlineStr">
        <is>
          <t>SH-FM-355</t>
        </is>
      </c>
      <c r="H49" s="7" t="inlineStr">
        <is>
          <t>안종명</t>
        </is>
      </c>
      <c r="I49" s="7" t="inlineStr">
        <is>
          <t>발송용_최종_20261008/메시지_안종명.txt</t>
        </is>
      </c>
      <c r="J49" s="8" t="n">
        <v>46331</v>
      </c>
      <c r="K49" s="8" t="n">
        <v>46303</v>
      </c>
      <c r="L49" s="7" t="inlineStr">
        <is>
          <t>발송(회신 대기)</t>
        </is>
      </c>
      <c r="M49" s="8" t="n"/>
      <c r="N49" s="7" t="n"/>
      <c r="O49" s="7" t="n"/>
      <c r="P49" s="7" t="inlineStr">
        <is>
          <t>현물 증빙(사진·위치) 확인 → 매핑표에 현물 보유 반영 검토</t>
        </is>
      </c>
      <c r="Q49" s="7" t="inlineStr">
        <is>
          <t>미완료</t>
        </is>
      </c>
      <c r="R49" s="7" t="n"/>
      <c r="S49">
        <f>IF(L49="회신 완료","",J49-TODAY())</f>
        <v/>
      </c>
      <c r="T49">
        <f>IF(L49="회신 완료","완료",IF(J49&lt;TODAY(),"지연",IF(J49-TODAY()&lt;=1,"임박(D-1 이내)",IF(J49-TODAY()&lt;=3,"임박(D-3 이내)","여유"))))</f>
        <v/>
      </c>
    </row>
    <row r="50">
      <c r="A50" s="7" t="n">
        <v>234</v>
      </c>
      <c r="B50" s="7" t="inlineStr">
        <is>
          <t>품질경영체제</t>
        </is>
      </c>
      <c r="C50" s="7" t="inlineStr">
        <is>
          <t>6-12</t>
        </is>
      </c>
      <c r="D50" s="7" t="inlineStr">
        <is>
          <t>자격인증내 실기평가보고서첨부</t>
        </is>
      </c>
      <c r="E50" s="7" t="inlineStr">
        <is>
          <t>보완 필요</t>
        </is>
      </c>
      <c r="F50" s="7" t="inlineStr">
        <is>
          <t>SH-FM-356</t>
        </is>
      </c>
      <c r="G50" s="7" t="inlineStr">
        <is>
          <t>SH-FM-356</t>
        </is>
      </c>
      <c r="H50" s="7" t="inlineStr">
        <is>
          <t>안종명</t>
        </is>
      </c>
      <c r="I50" s="7" t="inlineStr">
        <is>
          <t>발송용_최종_20261008/메시지_안종명.txt</t>
        </is>
      </c>
      <c r="J50" s="8" t="n">
        <v>46331</v>
      </c>
      <c r="K50" s="8" t="n">
        <v>46303</v>
      </c>
      <c r="L50" s="7" t="inlineStr">
        <is>
          <t>발송(회신 대기)</t>
        </is>
      </c>
      <c r="M50" s="8" t="n"/>
      <c r="N50" s="7" t="n"/>
      <c r="O50" s="7" t="n"/>
      <c r="P50" s="7" t="inlineStr">
        <is>
          <t>항목·기준 작성 파일 수령 → 같은 Rev.00 재개정(recheck → 승인·배포) → 매핑표 '보유'로 갱신</t>
        </is>
      </c>
      <c r="Q50" s="7" t="inlineStr">
        <is>
          <t>미완료</t>
        </is>
      </c>
      <c r="R50" s="7" t="n"/>
      <c r="S50">
        <f>IF(L50="회신 완료","",J50-TODAY())</f>
        <v/>
      </c>
      <c r="T50">
        <f>IF(L50="회신 완료","완료",IF(J50&lt;TODAY(),"지연",IF(J50-TODAY()&lt;=1,"임박(D-1 이내)",IF(J50-TODAY()&lt;=3,"임박(D-3 이내)","여유"))))</f>
        <v/>
      </c>
    </row>
    <row r="51">
      <c r="A51" s="7" t="n">
        <v>14</v>
      </c>
      <c r="B51" s="7" t="inlineStr">
        <is>
          <t>생산조건관리</t>
        </is>
      </c>
      <c r="C51" s="7" t="inlineStr">
        <is>
          <t>1-3</t>
        </is>
      </c>
      <c r="D51" s="7" t="inlineStr">
        <is>
          <t>부적합처리기준 현지어번역본</t>
        </is>
      </c>
      <c r="E51" s="7" t="inlineStr">
        <is>
          <t>판단 보류</t>
        </is>
      </c>
      <c r="F51" s="7" t="inlineStr">
        <is>
          <t>SH-FM-136</t>
        </is>
      </c>
      <c r="G51" s="7" t="inlineStr">
        <is>
          <t>SH-FM-162</t>
        </is>
      </c>
      <c r="H51" s="7" t="inlineStr">
        <is>
          <t>이광재</t>
        </is>
      </c>
      <c r="I51" s="7" t="inlineStr">
        <is>
          <t>발송용_담당자변경_20261027/메시지_이광재_20261027.txt</t>
        </is>
      </c>
      <c r="J51" s="8" t="n">
        <v>46331</v>
      </c>
      <c r="K51" s="8" t="n">
        <v>46322</v>
      </c>
      <c r="L51" s="7" t="inlineStr">
        <is>
          <t>발송(회신 대기)</t>
        </is>
      </c>
      <c r="M51" s="8" t="n"/>
      <c r="N51" s="7" t="n"/>
      <c r="O51" s="7" t="n"/>
      <c r="P51" s="7" t="inlineStr">
        <is>
          <t>통합 유지 확인 → 증빙 매핑표 갱신 / 분리 필요 시 통합 해제(FM Master·결정 CSV)</t>
        </is>
      </c>
      <c r="Q51" s="7" t="inlineStr">
        <is>
          <t>미완료</t>
        </is>
      </c>
      <c r="R51" s="7" t="inlineStr">
        <is>
          <t>담당자 변경 재안내 발송 2026-10-27</t>
        </is>
      </c>
      <c r="S51">
        <f>IF(L51="회신 완료","",J51-TODAY())</f>
        <v/>
      </c>
      <c r="T51">
        <f>IF(L51="회신 완료","완료",IF(J51&lt;TODAY(),"지연",IF(J51-TODAY()&lt;=1,"임박(D-1 이내)",IF(J51-TODAY()&lt;=3,"임박(D-3 이내)","여유"))))</f>
        <v/>
      </c>
    </row>
    <row r="52">
      <c r="A52" s="7" t="n">
        <v>15</v>
      </c>
      <c r="B52" s="7" t="inlineStr">
        <is>
          <t>생산조건관리</t>
        </is>
      </c>
      <c r="C52" s="7" t="inlineStr">
        <is>
          <t>1-3</t>
        </is>
      </c>
      <c r="D52" s="7" t="inlineStr">
        <is>
          <t>외관검사기준 현지어번역본</t>
        </is>
      </c>
      <c r="E52" s="7" t="inlineStr">
        <is>
          <t>판단 보류</t>
        </is>
      </c>
      <c r="F52" s="7" t="inlineStr">
        <is>
          <t>SH-FM-137</t>
        </is>
      </c>
      <c r="G52" s="7" t="inlineStr">
        <is>
          <t>SH-FM-168</t>
        </is>
      </c>
      <c r="H52" s="7" t="inlineStr">
        <is>
          <t>이광재</t>
        </is>
      </c>
      <c r="I52" s="7" t="inlineStr">
        <is>
          <t>발송용_담당자변경_20261027/메시지_이광재_20261027.txt</t>
        </is>
      </c>
      <c r="J52" s="8" t="n">
        <v>46331</v>
      </c>
      <c r="K52" s="8" t="n">
        <v>46322</v>
      </c>
      <c r="L52" s="7" t="inlineStr">
        <is>
          <t>발송(회신 대기)</t>
        </is>
      </c>
      <c r="M52" s="8" t="n"/>
      <c r="N52" s="7" t="n"/>
      <c r="O52" s="7" t="n"/>
      <c r="P52" s="7" t="inlineStr">
        <is>
          <t>통합 유지 확인 → 증빙 매핑표 갱신 / 분리 필요 시 통합 해제(FM Master·결정 CSV)</t>
        </is>
      </c>
      <c r="Q52" s="7" t="inlineStr">
        <is>
          <t>미완료</t>
        </is>
      </c>
      <c r="R52" s="7" t="inlineStr">
        <is>
          <t>담당자 변경 재안내 발송 2026-10-27</t>
        </is>
      </c>
      <c r="S52">
        <f>IF(L52="회신 완료","",J52-TODAY())</f>
        <v/>
      </c>
      <c r="T52">
        <f>IF(L52="회신 완료","완료",IF(J52&lt;TODAY(),"지연",IF(J52-TODAY()&lt;=1,"임박(D-1 이내)",IF(J52-TODAY()&lt;=3,"임박(D-3 이내)","여유"))))</f>
        <v/>
      </c>
    </row>
    <row r="53">
      <c r="A53" s="7" t="n">
        <v>41</v>
      </c>
      <c r="B53" s="7" t="inlineStr">
        <is>
          <t>검사시험</t>
        </is>
      </c>
      <c r="C53" s="7" t="inlineStr">
        <is>
          <t>2-2</t>
        </is>
      </c>
      <c r="D53" s="7" t="inlineStr">
        <is>
          <t>외주품 검사협정서</t>
        </is>
      </c>
      <c r="E53" s="7" t="inlineStr">
        <is>
          <t>판단 보류</t>
        </is>
      </c>
      <c r="F53" s="7" t="inlineStr">
        <is>
          <t>SH-FM-163</t>
        </is>
      </c>
      <c r="G53" s="7" t="inlineStr">
        <is>
          <t>SH-FM-056</t>
        </is>
      </c>
      <c r="H53" s="7" t="inlineStr">
        <is>
          <t>이광재</t>
        </is>
      </c>
      <c r="I53" s="7" t="inlineStr">
        <is>
          <t>발송용_담당자변경_20261027/메시지_이광재_20261027.txt</t>
        </is>
      </c>
      <c r="J53" s="8" t="n">
        <v>46331</v>
      </c>
      <c r="K53" s="8" t="n">
        <v>46322</v>
      </c>
      <c r="L53" s="7" t="inlineStr">
        <is>
          <t>발송(회신 대기)</t>
        </is>
      </c>
      <c r="M53" s="8" t="n"/>
      <c r="N53" s="7" t="n"/>
      <c r="O53" s="7" t="n"/>
      <c r="P53" s="7" t="inlineStr">
        <is>
          <t>원본 양식·승인 증빙 확보 → 대표 번호 릴리스 여부 결정</t>
        </is>
      </c>
      <c r="Q53" s="7" t="inlineStr">
        <is>
          <t>미완료</t>
        </is>
      </c>
      <c r="R53" s="7" t="inlineStr">
        <is>
          <t>담당자 변경 재안내 발송 2026-10-27</t>
        </is>
      </c>
      <c r="S53">
        <f>IF(L53="회신 완료","",J53-TODAY())</f>
        <v/>
      </c>
      <c r="T53">
        <f>IF(L53="회신 완료","완료",IF(J53&lt;TODAY(),"지연",IF(J53-TODAY()&lt;=1,"임박(D-1 이내)",IF(J53-TODAY()&lt;=3,"임박(D-3 이내)","여유"))))</f>
        <v/>
      </c>
    </row>
    <row r="54">
      <c r="A54" s="7" t="n">
        <v>185</v>
      </c>
      <c r="B54" s="7" t="inlineStr">
        <is>
          <t>품질경영체제</t>
        </is>
      </c>
      <c r="C54" s="7" t="inlineStr">
        <is>
          <t>6-3</t>
        </is>
      </c>
      <c r="D54" s="7" t="inlineStr">
        <is>
          <t>정기검사실적</t>
        </is>
      </c>
      <c r="E54" s="7" t="inlineStr">
        <is>
          <t>판단 보류</t>
        </is>
      </c>
      <c r="F54" s="7" t="inlineStr">
        <is>
          <t>SH-FM-307</t>
        </is>
      </c>
      <c r="G54" s="7" t="inlineStr">
        <is>
          <t>SH-FM-034</t>
        </is>
      </c>
      <c r="H54" s="7" t="inlineStr">
        <is>
          <t>이광재</t>
        </is>
      </c>
      <c r="I54" s="7" t="inlineStr">
        <is>
          <t>발송용_담당자변경_20261027/메시지_이광재_20261027.txt</t>
        </is>
      </c>
      <c r="J54" s="8" t="n">
        <v>46331</v>
      </c>
      <c r="K54" s="8" t="n">
        <v>46322</v>
      </c>
      <c r="L54" s="7" t="inlineStr">
        <is>
          <t>발송(회신 대기)</t>
        </is>
      </c>
      <c r="M54" s="8" t="n"/>
      <c r="N54" s="7" t="n"/>
      <c r="O54" s="7" t="n"/>
      <c r="P54" s="7" t="inlineStr">
        <is>
          <t>원본 양식·승인 증빙 확보 → 대표 번호 릴리스 여부 결정</t>
        </is>
      </c>
      <c r="Q54" s="7" t="inlineStr">
        <is>
          <t>미완료</t>
        </is>
      </c>
      <c r="R54" s="7" t="inlineStr">
        <is>
          <t>담당자 변경 재안내 발송 2026-10-27</t>
        </is>
      </c>
      <c r="S54">
        <f>IF(L54="회신 완료","",J54-TODAY())</f>
        <v/>
      </c>
      <c r="T54">
        <f>IF(L54="회신 완료","완료",IF(J54&lt;TODAY(),"지연",IF(J54-TODAY()&lt;=1,"임박(D-1 이내)",IF(J54-TODAY()&lt;=3,"임박(D-3 이내)","여유"))))</f>
        <v/>
      </c>
    </row>
    <row r="55">
      <c r="A55" s="7" t="n">
        <v>47</v>
      </c>
      <c r="B55" s="7" t="inlineStr">
        <is>
          <t>검사시험</t>
        </is>
      </c>
      <c r="C55" s="7" t="inlineStr">
        <is>
          <t>2-4</t>
        </is>
      </c>
      <c r="D55" s="7" t="inlineStr">
        <is>
          <t>정기검사계획대실적(치수/용접)</t>
        </is>
      </c>
      <c r="E55" s="7" t="inlineStr">
        <is>
          <t>보완 필요</t>
        </is>
      </c>
      <c r="F55" s="7" t="inlineStr">
        <is>
          <t>SH-FM-169</t>
        </is>
      </c>
      <c r="G55" s="7" t="inlineStr">
        <is>
          <t>SH-FM-169</t>
        </is>
      </c>
      <c r="H55" s="7" t="inlineStr">
        <is>
          <t>이광재</t>
        </is>
      </c>
      <c r="I55" s="7" t="inlineStr">
        <is>
          <t>발송용_담당자변경_20261027/메시지_이광재_20261027.txt</t>
        </is>
      </c>
      <c r="J55" s="8" t="n">
        <v>46331</v>
      </c>
      <c r="K55" s="8" t="n">
        <v>46322</v>
      </c>
      <c r="L55" s="7" t="inlineStr">
        <is>
          <t>발송(회신 대기)</t>
        </is>
      </c>
      <c r="M55" s="8" t="n"/>
      <c r="N55" s="7" t="n"/>
      <c r="O55" s="7" t="n"/>
      <c r="P55" s="7" t="inlineStr">
        <is>
          <t>항목·기준 작성 파일 수령 → 같은 Rev.00 재개정(recheck → 승인·배포) → 매핑표 '보유'로 갱신</t>
        </is>
      </c>
      <c r="Q55" s="7" t="inlineStr">
        <is>
          <t>미완료</t>
        </is>
      </c>
      <c r="R55" s="7" t="inlineStr">
        <is>
          <t>담당자 변경 재안내 발송 2026-10-27</t>
        </is>
      </c>
      <c r="S55">
        <f>IF(L55="회신 완료","",J55-TODAY())</f>
        <v/>
      </c>
      <c r="T55">
        <f>IF(L55="회신 완료","완료",IF(J55&lt;TODAY(),"지연",IF(J55-TODAY()&lt;=1,"임박(D-1 이내)",IF(J55-TODAY()&lt;=3,"임박(D-3 이내)","여유"))))</f>
        <v/>
      </c>
    </row>
    <row r="56">
      <c r="A56" s="7" t="n">
        <v>48</v>
      </c>
      <c r="B56" s="7" t="inlineStr">
        <is>
          <t>검사시험</t>
        </is>
      </c>
      <c r="C56" s="7" t="inlineStr">
        <is>
          <t>2-4</t>
        </is>
      </c>
      <c r="D56" s="7" t="inlineStr">
        <is>
          <t>정기검사성적서(치수/용접)</t>
        </is>
      </c>
      <c r="E56" s="7" t="inlineStr">
        <is>
          <t>보완 필요</t>
        </is>
      </c>
      <c r="F56" s="7" t="inlineStr">
        <is>
          <t>SH-FM-170</t>
        </is>
      </c>
      <c r="G56" s="7" t="inlineStr">
        <is>
          <t>SH-FM-170</t>
        </is>
      </c>
      <c r="H56" s="7" t="inlineStr">
        <is>
          <t>이광재</t>
        </is>
      </c>
      <c r="I56" s="7" t="inlineStr">
        <is>
          <t>발송용_담당자변경_20261027/메시지_이광재_20261027.txt</t>
        </is>
      </c>
      <c r="J56" s="8" t="n">
        <v>46331</v>
      </c>
      <c r="K56" s="8" t="n">
        <v>46322</v>
      </c>
      <c r="L56" s="7" t="inlineStr">
        <is>
          <t>발송(회신 대기)</t>
        </is>
      </c>
      <c r="M56" s="8" t="n"/>
      <c r="N56" s="7" t="n"/>
      <c r="O56" s="7" t="n"/>
      <c r="P56" s="7" t="inlineStr">
        <is>
          <t>항목·기준 작성 파일 수령 → 같은 Rev.00 재개정(recheck → 승인·배포) → 매핑표 '보유'로 갱신</t>
        </is>
      </c>
      <c r="Q56" s="7" t="inlineStr">
        <is>
          <t>미완료</t>
        </is>
      </c>
      <c r="R56" s="7" t="inlineStr">
        <is>
          <t>담당자 변경 재안내 발송 2026-10-27</t>
        </is>
      </c>
      <c r="S56">
        <f>IF(L56="회신 완료","",J56-TODAY())</f>
        <v/>
      </c>
      <c r="T56">
        <f>IF(L56="회신 완료","완료",IF(J56&lt;TODAY(),"지연",IF(J56-TODAY()&lt;=1,"임박(D-1 이내)",IF(J56-TODAY()&lt;=3,"임박(D-3 이내)","여유"))))</f>
        <v/>
      </c>
    </row>
    <row r="57">
      <c r="A57" s="7" t="n">
        <v>65</v>
      </c>
      <c r="B57" s="7" t="inlineStr">
        <is>
          <t>검사시험</t>
        </is>
      </c>
      <c r="C57" s="7" t="inlineStr">
        <is>
          <t>2-7</t>
        </is>
      </c>
      <c r="D57" s="7" t="inlineStr">
        <is>
          <t>자주검사기준서</t>
        </is>
      </c>
      <c r="E57" s="7" t="inlineStr">
        <is>
          <t>보완 필요</t>
        </is>
      </c>
      <c r="F57" s="7" t="inlineStr">
        <is>
          <t>SH-FM-187</t>
        </is>
      </c>
      <c r="G57" s="7" t="inlineStr">
        <is>
          <t>SH-FM-187</t>
        </is>
      </c>
      <c r="H57" s="7" t="inlineStr">
        <is>
          <t>이광재</t>
        </is>
      </c>
      <c r="I57" s="7" t="inlineStr">
        <is>
          <t>발송용_담당자변경_20261027/메시지_이광재_20261027.txt</t>
        </is>
      </c>
      <c r="J57" s="8" t="n">
        <v>46331</v>
      </c>
      <c r="K57" s="8" t="n">
        <v>46322</v>
      </c>
      <c r="L57" s="7" t="inlineStr">
        <is>
          <t>발송(회신 대기)</t>
        </is>
      </c>
      <c r="M57" s="8" t="n"/>
      <c r="N57" s="7" t="n"/>
      <c r="O57" s="7" t="n"/>
      <c r="P57" s="7" t="inlineStr">
        <is>
          <t>항목·기준 작성 파일 수령 → 같은 Rev.00 재개정(recheck → 승인·배포) → 매핑표 '보유'로 갱신</t>
        </is>
      </c>
      <c r="Q57" s="7" t="inlineStr">
        <is>
          <t>미완료</t>
        </is>
      </c>
      <c r="R57" s="7" t="inlineStr">
        <is>
          <t>담당자 변경 재안내 발송 2026-10-27</t>
        </is>
      </c>
      <c r="S57">
        <f>IF(L57="회신 완료","",J57-TODAY())</f>
        <v/>
      </c>
      <c r="T57">
        <f>IF(L57="회신 완료","완료",IF(J57&lt;TODAY(),"지연",IF(J57-TODAY()&lt;=1,"임박(D-1 이내)",IF(J57-TODAY()&lt;=3,"임박(D-3 이내)","여유"))))</f>
        <v/>
      </c>
    </row>
    <row r="58">
      <c r="A58" s="7" t="n">
        <v>66</v>
      </c>
      <c r="B58" s="7" t="inlineStr">
        <is>
          <t>검사시험</t>
        </is>
      </c>
      <c r="C58" s="7" t="inlineStr">
        <is>
          <t>2-7</t>
        </is>
      </c>
      <c r="D58" s="7" t="inlineStr">
        <is>
          <t>자주검사체크시트</t>
        </is>
      </c>
      <c r="E58" s="7" t="inlineStr">
        <is>
          <t>보완 필요</t>
        </is>
      </c>
      <c r="F58" s="7" t="inlineStr">
        <is>
          <t>SH-FM-188</t>
        </is>
      </c>
      <c r="G58" s="7" t="inlineStr">
        <is>
          <t>SH-FM-188</t>
        </is>
      </c>
      <c r="H58" s="7" t="inlineStr">
        <is>
          <t>이광재</t>
        </is>
      </c>
      <c r="I58" s="7" t="inlineStr">
        <is>
          <t>발송용_담당자변경_20261027/메시지_이광재_20261027.txt</t>
        </is>
      </c>
      <c r="J58" s="8" t="n">
        <v>46331</v>
      </c>
      <c r="K58" s="8" t="n">
        <v>46322</v>
      </c>
      <c r="L58" s="7" t="inlineStr">
        <is>
          <t>발송(회신 대기)</t>
        </is>
      </c>
      <c r="M58" s="8" t="n"/>
      <c r="N58" s="7" t="n"/>
      <c r="O58" s="7" t="n"/>
      <c r="P58" s="7" t="inlineStr">
        <is>
          <t>항목·기준 작성 파일 수령 → 같은 Rev.00 재개정(recheck → 승인·배포) → 매핑표 '보유'로 갱신</t>
        </is>
      </c>
      <c r="Q58" s="7" t="inlineStr">
        <is>
          <t>미완료</t>
        </is>
      </c>
      <c r="R58" s="7" t="inlineStr">
        <is>
          <t>담당자 변경 재안내 발송 2026-10-27</t>
        </is>
      </c>
      <c r="S58">
        <f>IF(L58="회신 완료","",J58-TODAY())</f>
        <v/>
      </c>
      <c r="T58">
        <f>IF(L58="회신 완료","완료",IF(J58&lt;TODAY(),"지연",IF(J58-TODAY()&lt;=1,"임박(D-1 이내)",IF(J58-TODAY()&lt;=3,"임박(D-3 이내)","여유"))))</f>
        <v/>
      </c>
    </row>
    <row r="59">
      <c r="A59" s="7" t="n">
        <v>67</v>
      </c>
      <c r="B59" s="7" t="inlineStr">
        <is>
          <t>검사시험</t>
        </is>
      </c>
      <c r="C59" s="7" t="inlineStr">
        <is>
          <t>2-7</t>
        </is>
      </c>
      <c r="D59" s="7" t="inlineStr">
        <is>
          <t>용접spatter 관리기준</t>
        </is>
      </c>
      <c r="E59" s="7" t="inlineStr">
        <is>
          <t>보완 필요</t>
        </is>
      </c>
      <c r="F59" s="7" t="inlineStr">
        <is>
          <t>SH-FM-189</t>
        </is>
      </c>
      <c r="G59" s="7" t="inlineStr">
        <is>
          <t>SH-FM-189</t>
        </is>
      </c>
      <c r="H59" s="7" t="inlineStr">
        <is>
          <t>이광재</t>
        </is>
      </c>
      <c r="I59" s="7" t="inlineStr">
        <is>
          <t>발송용_담당자변경_20261027/메시지_이광재_20261027.txt</t>
        </is>
      </c>
      <c r="J59" s="8" t="n">
        <v>46331</v>
      </c>
      <c r="K59" s="8" t="n">
        <v>46322</v>
      </c>
      <c r="L59" s="7" t="inlineStr">
        <is>
          <t>발송(회신 대기)</t>
        </is>
      </c>
      <c r="M59" s="8" t="n"/>
      <c r="N59" s="7" t="n"/>
      <c r="O59" s="7" t="n"/>
      <c r="P59" s="7" t="inlineStr">
        <is>
          <t>항목·기준 작성 파일 수령 → 같은 Rev.00 재개정(recheck → 승인·배포) → 매핑표 '보유'로 갱신</t>
        </is>
      </c>
      <c r="Q59" s="7" t="inlineStr">
        <is>
          <t>미완료</t>
        </is>
      </c>
      <c r="R59" s="7" t="inlineStr">
        <is>
          <t>담당자 변경 재안내 발송 2026-10-27</t>
        </is>
      </c>
      <c r="S59">
        <f>IF(L59="회신 완료","",J59-TODAY())</f>
        <v/>
      </c>
      <c r="T59">
        <f>IF(L59="회신 완료","완료",IF(J59&lt;TODAY(),"지연",IF(J59-TODAY()&lt;=1,"임박(D-1 이내)",IF(J59-TODAY()&lt;=3,"임박(D-3 이내)","여유"))))</f>
        <v/>
      </c>
    </row>
    <row r="60">
      <c r="A60" s="7" t="n">
        <v>69</v>
      </c>
      <c r="B60" s="7" t="inlineStr">
        <is>
          <t>검사시험</t>
        </is>
      </c>
      <c r="C60" s="7" t="inlineStr">
        <is>
          <t>2-7</t>
        </is>
      </c>
      <c r="D60" s="7" t="inlineStr">
        <is>
          <t>자주검사체크시트</t>
        </is>
      </c>
      <c r="E60" s="7" t="inlineStr">
        <is>
          <t>보완 필요</t>
        </is>
      </c>
      <c r="F60" s="7" t="inlineStr">
        <is>
          <t>SH-FM-191</t>
        </is>
      </c>
      <c r="G60" s="7" t="inlineStr">
        <is>
          <t>SH-FM-188</t>
        </is>
      </c>
      <c r="H60" s="7" t="inlineStr">
        <is>
          <t>이광재</t>
        </is>
      </c>
      <c r="I60" s="7" t="inlineStr">
        <is>
          <t>발송용_담당자변경_20261027/메시지_이광재_20261027.txt</t>
        </is>
      </c>
      <c r="J60" s="8" t="n">
        <v>46331</v>
      </c>
      <c r="K60" s="8" t="n">
        <v>46322</v>
      </c>
      <c r="L60" s="7" t="inlineStr">
        <is>
          <t>발송(회신 대기)</t>
        </is>
      </c>
      <c r="M60" s="8" t="n"/>
      <c r="N60" s="7" t="n"/>
      <c r="O60" s="7" t="n"/>
      <c r="P60" s="7" t="inlineStr">
        <is>
          <t>항목·기준 작성 파일 수령 → 같은 Rev.00 재개정(recheck → 승인·배포) → 매핑표 '보유'로 갱신</t>
        </is>
      </c>
      <c r="Q60" s="7" t="inlineStr">
        <is>
          <t>미완료</t>
        </is>
      </c>
      <c r="R60" s="7" t="inlineStr">
        <is>
          <t>담당자 변경 재안내 발송 2026-10-27</t>
        </is>
      </c>
      <c r="S60">
        <f>IF(L60="회신 완료","",J60-TODAY())</f>
        <v/>
      </c>
      <c r="T60">
        <f>IF(L60="회신 완료","완료",IF(J60&lt;TODAY(),"지연",IF(J60-TODAY()&lt;=1,"임박(D-1 이내)",IF(J60-TODAY()&lt;=3,"임박(D-3 이내)","여유"))))</f>
        <v/>
      </c>
    </row>
    <row r="61">
      <c r="A61" s="7" t="n">
        <v>70</v>
      </c>
      <c r="B61" s="7" t="inlineStr">
        <is>
          <t>검사시험</t>
        </is>
      </c>
      <c r="C61" s="7" t="inlineStr">
        <is>
          <t>2-7</t>
        </is>
      </c>
      <c r="D61" s="7" t="inlineStr">
        <is>
          <t>품질순회검사체크시트(중요항목치수추가)</t>
        </is>
      </c>
      <c r="E61" s="7" t="inlineStr">
        <is>
          <t>보완 필요</t>
        </is>
      </c>
      <c r="F61" s="7" t="inlineStr">
        <is>
          <t>SH-FM-192</t>
        </is>
      </c>
      <c r="G61" s="7" t="inlineStr">
        <is>
          <t>SH-FM-192</t>
        </is>
      </c>
      <c r="H61" s="7" t="inlineStr">
        <is>
          <t>이광재</t>
        </is>
      </c>
      <c r="I61" s="7" t="inlineStr">
        <is>
          <t>발송용_담당자변경_20261027/메시지_이광재_20261027.txt</t>
        </is>
      </c>
      <c r="J61" s="8" t="n">
        <v>46331</v>
      </c>
      <c r="K61" s="8" t="n">
        <v>46322</v>
      </c>
      <c r="L61" s="7" t="inlineStr">
        <is>
          <t>발송(회신 대기)</t>
        </is>
      </c>
      <c r="M61" s="8" t="n"/>
      <c r="N61" s="7" t="n"/>
      <c r="O61" s="7" t="n"/>
      <c r="P61" s="7" t="inlineStr">
        <is>
          <t>항목·기준 작성 파일 수령 → 같은 Rev.00 재개정(recheck → 승인·배포) → 매핑표 '보유'로 갱신</t>
        </is>
      </c>
      <c r="Q61" s="7" t="inlineStr">
        <is>
          <t>미완료</t>
        </is>
      </c>
      <c r="R61" s="7" t="inlineStr">
        <is>
          <t>담당자 변경 재안내 발송 2026-10-27</t>
        </is>
      </c>
      <c r="S61">
        <f>IF(L61="회신 완료","",J61-TODAY())</f>
        <v/>
      </c>
      <c r="T61">
        <f>IF(L61="회신 완료","완료",IF(J61&lt;TODAY(),"지연",IF(J61-TODAY()&lt;=1,"임박(D-1 이내)",IF(J61-TODAY()&lt;=3,"임박(D-3 이내)","여유"))))</f>
        <v/>
      </c>
    </row>
    <row r="62">
      <c r="A62" s="7" t="n">
        <v>190</v>
      </c>
      <c r="B62" s="7" t="inlineStr">
        <is>
          <t>품질경영체제</t>
        </is>
      </c>
      <c r="C62" s="7" t="inlineStr">
        <is>
          <t>6-4</t>
        </is>
      </c>
      <c r="D62" s="7" t="inlineStr">
        <is>
          <t>(유효성검증관리 실적)</t>
        </is>
      </c>
      <c r="E62" s="7" t="inlineStr">
        <is>
          <t>보완 필요</t>
        </is>
      </c>
      <c r="F62" s="7" t="inlineStr">
        <is>
          <t>SH-FM-312</t>
        </is>
      </c>
      <c r="G62" s="7" t="inlineStr">
        <is>
          <t>SH-FM-312</t>
        </is>
      </c>
      <c r="H62" s="7" t="inlineStr">
        <is>
          <t>이광재</t>
        </is>
      </c>
      <c r="I62" s="7" t="inlineStr">
        <is>
          <t>발송용_담당자변경_20261027/메시지_이광재_20261027.txt</t>
        </is>
      </c>
      <c r="J62" s="8" t="n">
        <v>46331</v>
      </c>
      <c r="K62" s="8" t="n">
        <v>46322</v>
      </c>
      <c r="L62" s="7" t="inlineStr">
        <is>
          <t>발송(회신 대기)</t>
        </is>
      </c>
      <c r="M62" s="8" t="n"/>
      <c r="N62" s="7" t="n"/>
      <c r="O62" s="7" t="n"/>
      <c r="P62" s="7" t="inlineStr">
        <is>
          <t>항목·기준 작성 파일 수령 → 같은 Rev.00 재개정(recheck → 승인·배포) → 매핑표 '보유'로 갱신</t>
        </is>
      </c>
      <c r="Q62" s="7" t="inlineStr">
        <is>
          <t>미완료</t>
        </is>
      </c>
      <c r="R62" s="7" t="inlineStr">
        <is>
          <t>담당자 변경 재안내 발송 2026-10-27</t>
        </is>
      </c>
      <c r="S62">
        <f>IF(L62="회신 완료","",J62-TODAY())</f>
        <v/>
      </c>
      <c r="T62">
        <f>IF(L62="회신 완료","완료",IF(J62&lt;TODAY(),"지연",IF(J62-TODAY()&lt;=1,"임박(D-1 이내)",IF(J62-TODAY()&lt;=3,"임박(D-3 이내)","여유"))))</f>
        <v/>
      </c>
    </row>
    <row r="63">
      <c r="A63" s="7" t="n">
        <v>1</v>
      </c>
      <c r="B63" s="7" t="inlineStr">
        <is>
          <t>생산조건관리</t>
        </is>
      </c>
      <c r="C63" s="7" t="inlineStr">
        <is>
          <t>1-1</t>
        </is>
      </c>
      <c r="D63" s="7" t="inlineStr">
        <is>
          <t>P-FMEA</t>
        </is>
      </c>
      <c r="E63" s="7" t="inlineStr">
        <is>
          <t>보완 필요</t>
        </is>
      </c>
      <c r="F63" s="7" t="inlineStr">
        <is>
          <t>SH-FM-123</t>
        </is>
      </c>
      <c r="G63" s="7" t="inlineStr">
        <is>
          <t>SH-FM-123</t>
        </is>
      </c>
      <c r="H63" s="7" t="inlineStr">
        <is>
          <t>이광재</t>
        </is>
      </c>
      <c r="I63" s="7" t="inlineStr">
        <is>
          <t>발송용_담당자변경_20261027/메시지_이광재_20261027.txt</t>
        </is>
      </c>
      <c r="J63" s="8" t="n">
        <v>46331</v>
      </c>
      <c r="K63" s="8" t="n">
        <v>46322</v>
      </c>
      <c r="L63" s="7" t="inlineStr">
        <is>
          <t>발송(회신 대기)</t>
        </is>
      </c>
      <c r="M63" s="8" t="n"/>
      <c r="N63" s="7" t="n"/>
      <c r="O63" s="7" t="n"/>
      <c r="P63" s="7" t="inlineStr">
        <is>
          <t>항목·기준 작성 파일 수령 → 같은 Rev.00 재개정(recheck → 승인·배포) → 매핑표 '보유'로 갱신</t>
        </is>
      </c>
      <c r="Q63" s="7" t="inlineStr">
        <is>
          <t>미완료</t>
        </is>
      </c>
      <c r="R63" s="7" t="inlineStr">
        <is>
          <t>담당자 변경 재안내 발송 2026-10-27</t>
        </is>
      </c>
      <c r="S63">
        <f>IF(L63="회신 완료","",J63-TODAY())</f>
        <v/>
      </c>
      <c r="T63">
        <f>IF(L63="회신 완료","완료",IF(J63&lt;TODAY(),"지연",IF(J63-TODAY()&lt;=1,"임박(D-1 이내)",IF(J63-TODAY()&lt;=3,"임박(D-3 이내)","여유"))))</f>
        <v/>
      </c>
    </row>
    <row r="64">
      <c r="A64" s="7" t="n">
        <v>2</v>
      </c>
      <c r="B64" s="7" t="inlineStr">
        <is>
          <t>생산조건관리</t>
        </is>
      </c>
      <c r="C64" s="7" t="inlineStr">
        <is>
          <t>1-1</t>
        </is>
      </c>
      <c r="D64" s="7" t="inlineStr">
        <is>
          <t>관리계획서</t>
        </is>
      </c>
      <c r="E64" s="7" t="inlineStr">
        <is>
          <t>보완 필요</t>
        </is>
      </c>
      <c r="F64" s="7" t="inlineStr">
        <is>
          <t>SH-FM-124</t>
        </is>
      </c>
      <c r="G64" s="7" t="inlineStr">
        <is>
          <t>SH-FM-124</t>
        </is>
      </c>
      <c r="H64" s="7" t="inlineStr">
        <is>
          <t>이광재</t>
        </is>
      </c>
      <c r="I64" s="7" t="inlineStr">
        <is>
          <t>발송용_담당자변경_20261027/메시지_이광재_20261027.txt</t>
        </is>
      </c>
      <c r="J64" s="8" t="n">
        <v>46331</v>
      </c>
      <c r="K64" s="8" t="n">
        <v>46322</v>
      </c>
      <c r="L64" s="7" t="inlineStr">
        <is>
          <t>발송(회신 대기)</t>
        </is>
      </c>
      <c r="M64" s="8" t="n"/>
      <c r="N64" s="7" t="n"/>
      <c r="O64" s="7" t="n"/>
      <c r="P64" s="7" t="inlineStr">
        <is>
          <t>항목·기준 작성 파일 수령 → 같은 Rev.00 재개정(recheck → 승인·배포) → 매핑표 '보유'로 갱신</t>
        </is>
      </c>
      <c r="Q64" s="7" t="inlineStr">
        <is>
          <t>미완료</t>
        </is>
      </c>
      <c r="R64" s="7" t="inlineStr">
        <is>
          <t>담당자 변경 재안내 발송 2026-10-27</t>
        </is>
      </c>
      <c r="S64">
        <f>IF(L64="회신 완료","",J64-TODAY())</f>
        <v/>
      </c>
      <c r="T64">
        <f>IF(L64="회신 완료","완료",IF(J64&lt;TODAY(),"지연",IF(J64-TODAY()&lt;=1,"임박(D-1 이내)",IF(J64-TODAY()&lt;=3,"임박(D-3 이내)","여유"))))</f>
        <v/>
      </c>
    </row>
    <row r="65">
      <c r="A65" s="7" t="n">
        <v>5</v>
      </c>
      <c r="B65" s="7" t="inlineStr">
        <is>
          <t>생산조건관리</t>
        </is>
      </c>
      <c r="C65" s="7" t="inlineStr">
        <is>
          <t>1-1</t>
        </is>
      </c>
      <c r="D65" s="7" t="inlineStr">
        <is>
          <t>고객승인 검사협정 / ISIR 서류</t>
        </is>
      </c>
      <c r="E65" s="7" t="inlineStr">
        <is>
          <t>보완 필요</t>
        </is>
      </c>
      <c r="F65" s="7" t="inlineStr">
        <is>
          <t>SH-FM-127</t>
        </is>
      </c>
      <c r="G65" s="7" t="inlineStr">
        <is>
          <t>SH-FM-127</t>
        </is>
      </c>
      <c r="H65" s="7" t="inlineStr">
        <is>
          <t>이광재</t>
        </is>
      </c>
      <c r="I65" s="7" t="inlineStr">
        <is>
          <t>발송용_담당자변경_20261027/메시지_이광재_20261027.txt</t>
        </is>
      </c>
      <c r="J65" s="8" t="n">
        <v>46331</v>
      </c>
      <c r="K65" s="8" t="n">
        <v>46322</v>
      </c>
      <c r="L65" s="7" t="inlineStr">
        <is>
          <t>발송(회신 대기)</t>
        </is>
      </c>
      <c r="M65" s="8" t="n"/>
      <c r="N65" s="7" t="n"/>
      <c r="O65" s="7" t="n"/>
      <c r="P65" s="7" t="inlineStr">
        <is>
          <t>항목·기준 작성 파일 수령 → 같은 Rev.00 재개정(recheck → 승인·배포) → 매핑표 '보유'로 갱신</t>
        </is>
      </c>
      <c r="Q65" s="7" t="inlineStr">
        <is>
          <t>미완료</t>
        </is>
      </c>
      <c r="R65" s="7" t="inlineStr">
        <is>
          <t>담당자 변경 재안내 발송 2026-10-27</t>
        </is>
      </c>
      <c r="S65">
        <f>IF(L65="회신 완료","",J65-TODAY())</f>
        <v/>
      </c>
      <c r="T65">
        <f>IF(L65="회신 완료","완료",IF(J65&lt;TODAY(),"지연",IF(J65-TODAY()&lt;=1,"임박(D-1 이내)",IF(J65-TODAY()&lt;=3,"임박(D-3 이내)","여유"))))</f>
        <v/>
      </c>
    </row>
    <row r="66">
      <c r="A66" s="7" t="n">
        <v>9</v>
      </c>
      <c r="B66" s="7" t="inlineStr">
        <is>
          <t>생산조건관리</t>
        </is>
      </c>
      <c r="C66" s="7" t="inlineStr">
        <is>
          <t>1-2</t>
        </is>
      </c>
      <c r="D66" s="7" t="inlineStr">
        <is>
          <t>재가동 초품 검사 체크시트</t>
        </is>
      </c>
      <c r="E66" s="7" t="inlineStr">
        <is>
          <t>보완 필요</t>
        </is>
      </c>
      <c r="F66" s="7" t="inlineStr">
        <is>
          <t>SH-FM-131</t>
        </is>
      </c>
      <c r="G66" s="7" t="inlineStr">
        <is>
          <t>SH-FM-131</t>
        </is>
      </c>
      <c r="H66" s="7" t="inlineStr">
        <is>
          <t>이광재</t>
        </is>
      </c>
      <c r="I66" s="7" t="inlineStr">
        <is>
          <t>발송용_담당자변경_20261027/메시지_이광재_20261027.txt</t>
        </is>
      </c>
      <c r="J66" s="8" t="n">
        <v>46331</v>
      </c>
      <c r="K66" s="8" t="n">
        <v>46322</v>
      </c>
      <c r="L66" s="7" t="inlineStr">
        <is>
          <t>발송(회신 대기)</t>
        </is>
      </c>
      <c r="M66" s="8" t="n"/>
      <c r="N66" s="7" t="n"/>
      <c r="O66" s="7" t="n"/>
      <c r="P66" s="7" t="inlineStr">
        <is>
          <t>항목·기준 작성 파일 수령 → 같은 Rev.00 재개정(recheck → 승인·배포) → 매핑표 '보유'로 갱신</t>
        </is>
      </c>
      <c r="Q66" s="7" t="inlineStr">
        <is>
          <t>미완료</t>
        </is>
      </c>
      <c r="R66" s="7" t="inlineStr">
        <is>
          <t>담당자 변경 재안내 발송 2026-10-27</t>
        </is>
      </c>
      <c r="S66">
        <f>IF(L66="회신 완료","",J66-TODAY())</f>
        <v/>
      </c>
      <c r="T66">
        <f>IF(L66="회신 완료","완료",IF(J66&lt;TODAY(),"지연",IF(J66-TODAY()&lt;=1,"임박(D-1 이내)",IF(J66-TODAY()&lt;=3,"임박(D-3 이내)","여유"))))</f>
        <v/>
      </c>
    </row>
    <row r="67">
      <c r="A67" s="7" t="n">
        <v>20</v>
      </c>
      <c r="B67" s="7" t="inlineStr">
        <is>
          <t>생산조건관리</t>
        </is>
      </c>
      <c r="C67" s="7" t="inlineStr">
        <is>
          <t>1-4</t>
        </is>
      </c>
      <c r="D67" s="7" t="inlineStr">
        <is>
          <t>야간생산품 식별격리절차</t>
        </is>
      </c>
      <c r="E67" s="7" t="inlineStr">
        <is>
          <t>보완 필요</t>
        </is>
      </c>
      <c r="F67" s="7" t="inlineStr">
        <is>
          <t>SH-FM-142</t>
        </is>
      </c>
      <c r="G67" s="7" t="inlineStr">
        <is>
          <t>SH-FM-142</t>
        </is>
      </c>
      <c r="H67" s="7" t="inlineStr">
        <is>
          <t>이광재</t>
        </is>
      </c>
      <c r="I67" s="7" t="inlineStr">
        <is>
          <t>발송용_담당자변경_20261027/메시지_이광재_20261027.txt</t>
        </is>
      </c>
      <c r="J67" s="8" t="n">
        <v>46331</v>
      </c>
      <c r="K67" s="8" t="n">
        <v>46322</v>
      </c>
      <c r="L67" s="7" t="inlineStr">
        <is>
          <t>발송(회신 대기)</t>
        </is>
      </c>
      <c r="M67" s="8" t="n"/>
      <c r="N67" s="7" t="n"/>
      <c r="O67" s="7" t="n"/>
      <c r="P67" s="7" t="inlineStr">
        <is>
          <t>항목·기준 작성 파일 수령 → 같은 Rev.00 재개정(recheck → 승인·배포) → 매핑표 '보유'로 갱신</t>
        </is>
      </c>
      <c r="Q67" s="7" t="inlineStr">
        <is>
          <t>미완료</t>
        </is>
      </c>
      <c r="R67" s="7" t="inlineStr">
        <is>
          <t>담당자 변경 재안내 발송 2026-10-27</t>
        </is>
      </c>
      <c r="S67">
        <f>IF(L67="회신 완료","",J67-TODAY())</f>
        <v/>
      </c>
      <c r="T67">
        <f>IF(L67="회신 완료","완료",IF(J67&lt;TODAY(),"지연",IF(J67-TODAY()&lt;=1,"임박(D-1 이내)",IF(J67-TODAY()&lt;=3,"임박(D-3 이내)","여유"))))</f>
        <v/>
      </c>
    </row>
    <row r="68">
      <c r="A68" s="7" t="n">
        <v>21</v>
      </c>
      <c r="B68" s="7" t="inlineStr">
        <is>
          <t>생산조건관리</t>
        </is>
      </c>
      <c r="C68" s="7" t="inlineStr">
        <is>
          <t>1-4</t>
        </is>
      </c>
      <c r="D68" s="7" t="inlineStr">
        <is>
          <t>야간생산품 검사일지</t>
        </is>
      </c>
      <c r="E68" s="7" t="inlineStr">
        <is>
          <t>보완 필요</t>
        </is>
      </c>
      <c r="F68" s="7" t="inlineStr">
        <is>
          <t>SH-FM-143</t>
        </is>
      </c>
      <c r="G68" s="7" t="inlineStr">
        <is>
          <t>SH-FM-143</t>
        </is>
      </c>
      <c r="H68" s="7" t="inlineStr">
        <is>
          <t>이광재</t>
        </is>
      </c>
      <c r="I68" s="7" t="inlineStr">
        <is>
          <t>발송용_담당자변경_20261027/메시지_이광재_20261027.txt</t>
        </is>
      </c>
      <c r="J68" s="8" t="n">
        <v>46331</v>
      </c>
      <c r="K68" s="8" t="n">
        <v>46322</v>
      </c>
      <c r="L68" s="7" t="inlineStr">
        <is>
          <t>발송(회신 대기)</t>
        </is>
      </c>
      <c r="M68" s="8" t="n"/>
      <c r="N68" s="7" t="n"/>
      <c r="O68" s="7" t="n"/>
      <c r="P68" s="7" t="inlineStr">
        <is>
          <t>항목·기준 작성 파일 수령 → 같은 Rev.00 재개정(recheck → 승인·배포) → 매핑표 '보유'로 갱신</t>
        </is>
      </c>
      <c r="Q68" s="7" t="inlineStr">
        <is>
          <t>미완료</t>
        </is>
      </c>
      <c r="R68" s="7" t="inlineStr">
        <is>
          <t>담당자 변경 재안내 발송 2026-10-27</t>
        </is>
      </c>
      <c r="S68">
        <f>IF(L68="회신 완료","",J68-TODAY())</f>
        <v/>
      </c>
      <c r="T68">
        <f>IF(L68="회신 완료","완료",IF(J68&lt;TODAY(),"지연",IF(J68-TODAY()&lt;=1,"임박(D-1 이내)",IF(J68-TODAY()&lt;=3,"임박(D-3 이내)","여유"))))</f>
        <v/>
      </c>
    </row>
    <row r="69">
      <c r="A69" s="7" t="n">
        <v>68</v>
      </c>
      <c r="B69" s="7" t="inlineStr">
        <is>
          <t>검사시험</t>
        </is>
      </c>
      <c r="C69" s="7" t="inlineStr">
        <is>
          <t>2-7</t>
        </is>
      </c>
      <c r="D69" s="7" t="inlineStr">
        <is>
          <t>용접스패터관리 점검체크시트</t>
        </is>
      </c>
      <c r="E69" s="7" t="inlineStr">
        <is>
          <t>보완 필요</t>
        </is>
      </c>
      <c r="F69" s="7" t="inlineStr">
        <is>
          <t>SH-FM-190</t>
        </is>
      </c>
      <c r="G69" s="7" t="inlineStr">
        <is>
          <t>SH-FM-190</t>
        </is>
      </c>
      <c r="H69" s="7" t="inlineStr">
        <is>
          <t>이광재</t>
        </is>
      </c>
      <c r="I69" s="7" t="inlineStr">
        <is>
          <t>발송용_담당자변경_20261027/메시지_이광재_20261027.txt</t>
        </is>
      </c>
      <c r="J69" s="8" t="n">
        <v>46331</v>
      </c>
      <c r="K69" s="8" t="n">
        <v>46322</v>
      </c>
      <c r="L69" s="7" t="inlineStr">
        <is>
          <t>발송(회신 대기)</t>
        </is>
      </c>
      <c r="M69" s="8" t="n"/>
      <c r="N69" s="7" t="n"/>
      <c r="O69" s="7" t="n"/>
      <c r="P69" s="7" t="inlineStr">
        <is>
          <t>항목·기준 작성 파일 수령 → 같은 Rev.00 재개정(recheck → 승인·배포) → 매핑표 '보유'로 갱신</t>
        </is>
      </c>
      <c r="Q69" s="7" t="inlineStr">
        <is>
          <t>미완료</t>
        </is>
      </c>
      <c r="R69" s="7" t="inlineStr">
        <is>
          <t>담당자 변경 재안내 발송 2026-10-27</t>
        </is>
      </c>
      <c r="S69">
        <f>IF(L69="회신 완료","",J69-TODAY())</f>
        <v/>
      </c>
      <c r="T69">
        <f>IF(L69="회신 완료","완료",IF(J69&lt;TODAY(),"지연",IF(J69-TODAY()&lt;=1,"임박(D-1 이내)",IF(J69-TODAY()&lt;=3,"임박(D-3 이내)","여유"))))</f>
        <v/>
      </c>
    </row>
    <row r="70">
      <c r="A70" s="7" t="n">
        <v>78</v>
      </c>
      <c r="B70" s="7" t="inlineStr">
        <is>
          <t>검사시험</t>
        </is>
      </c>
      <c r="C70" s="7" t="inlineStr">
        <is>
          <t>2-9</t>
        </is>
      </c>
      <c r="D70" s="7" t="inlineStr">
        <is>
          <t>용입검사 계획대실적</t>
        </is>
      </c>
      <c r="E70" s="7" t="inlineStr">
        <is>
          <t>보완 필요</t>
        </is>
      </c>
      <c r="F70" s="7" t="inlineStr">
        <is>
          <t>SH-FM-200</t>
        </is>
      </c>
      <c r="G70" s="7" t="inlineStr">
        <is>
          <t>SH-FM-200</t>
        </is>
      </c>
      <c r="H70" s="7" t="inlineStr">
        <is>
          <t>이광재</t>
        </is>
      </c>
      <c r="I70" s="7" t="inlineStr">
        <is>
          <t>발송용_담당자변경_20261027/메시지_이광재_20261027.txt</t>
        </is>
      </c>
      <c r="J70" s="8" t="n">
        <v>46331</v>
      </c>
      <c r="K70" s="8" t="n">
        <v>46322</v>
      </c>
      <c r="L70" s="7" t="inlineStr">
        <is>
          <t>발송(회신 대기)</t>
        </is>
      </c>
      <c r="M70" s="8" t="n"/>
      <c r="N70" s="7" t="n"/>
      <c r="O70" s="7" t="n"/>
      <c r="P70" s="7" t="inlineStr">
        <is>
          <t>항목·기준 작성 파일 수령 → 같은 Rev.00 재개정(recheck → 승인·배포) → 매핑표 '보유'로 갱신</t>
        </is>
      </c>
      <c r="Q70" s="7" t="inlineStr">
        <is>
          <t>미완료</t>
        </is>
      </c>
      <c r="R70" s="7" t="inlineStr">
        <is>
          <t>담당자 변경 재안내 발송 2026-10-27</t>
        </is>
      </c>
      <c r="S70">
        <f>IF(L70="회신 완료","",J70-TODAY())</f>
        <v/>
      </c>
      <c r="T70">
        <f>IF(L70="회신 완료","완료",IF(J70&lt;TODAY(),"지연",IF(J70-TODAY()&lt;=1,"임박(D-1 이내)",IF(J70-TODAY()&lt;=3,"임박(D-3 이내)","여유"))))</f>
        <v/>
      </c>
    </row>
    <row r="71">
      <c r="A71" s="7" t="n">
        <v>80</v>
      </c>
      <c r="B71" s="7" t="inlineStr">
        <is>
          <t>검사시험</t>
        </is>
      </c>
      <c r="C71" s="7" t="inlineStr">
        <is>
          <t>2-9</t>
        </is>
      </c>
      <c r="D71" s="7" t="inlineStr">
        <is>
          <t>용접로보트별 용접POINT 관리표준</t>
        </is>
      </c>
      <c r="E71" s="7" t="inlineStr">
        <is>
          <t>보완 필요</t>
        </is>
      </c>
      <c r="F71" s="7" t="inlineStr">
        <is>
          <t>SH-FM-202</t>
        </is>
      </c>
      <c r="G71" s="7" t="inlineStr">
        <is>
          <t>SH-FM-201</t>
        </is>
      </c>
      <c r="H71" s="7" t="inlineStr">
        <is>
          <t>이광재</t>
        </is>
      </c>
      <c r="I71" s="7" t="inlineStr">
        <is>
          <t>발송용_담당자변경_20261027/메시지_이광재_20261027.txt</t>
        </is>
      </c>
      <c r="J71" s="8" t="n">
        <v>46331</v>
      </c>
      <c r="K71" s="8" t="n">
        <v>46322</v>
      </c>
      <c r="L71" s="7" t="inlineStr">
        <is>
          <t>발송(회신 대기)</t>
        </is>
      </c>
      <c r="M71" s="8" t="n"/>
      <c r="N71" s="7" t="n"/>
      <c r="O71" s="7" t="n"/>
      <c r="P71" s="7" t="inlineStr">
        <is>
          <t>항목·기준 작성 파일 수령 → 같은 Rev.00 재개정(recheck → 승인·배포) → 매핑표 '보유'로 갱신</t>
        </is>
      </c>
      <c r="Q71" s="7" t="inlineStr">
        <is>
          <t>미완료</t>
        </is>
      </c>
      <c r="R71" s="7" t="inlineStr">
        <is>
          <t>담당자 변경 재안내 발송 2026-10-27</t>
        </is>
      </c>
      <c r="S71">
        <f>IF(L71="회신 완료","",J71-TODAY())</f>
        <v/>
      </c>
      <c r="T71">
        <f>IF(L71="회신 완료","완료",IF(J71&lt;TODAY(),"지연",IF(J71-TODAY()&lt;=1,"임박(D-1 이내)",IF(J71-TODAY()&lt;=3,"임박(D-3 이내)","여유"))))</f>
        <v/>
      </c>
    </row>
    <row r="72">
      <c r="A72" s="7" t="n">
        <v>177</v>
      </c>
      <c r="B72" s="7" t="inlineStr">
        <is>
          <t>품질경영체제</t>
        </is>
      </c>
      <c r="C72" s="7" t="inlineStr">
        <is>
          <t>6-2</t>
        </is>
      </c>
      <c r="D72" s="7" t="inlineStr">
        <is>
          <t>설계변경/4M관리업무 프로세스</t>
        </is>
      </c>
      <c r="E72" s="7" t="inlineStr">
        <is>
          <t>보완 필요</t>
        </is>
      </c>
      <c r="F72" s="7" t="inlineStr">
        <is>
          <t>SH-FM-299</t>
        </is>
      </c>
      <c r="G72" s="7" t="inlineStr">
        <is>
          <t>SH-FM-299</t>
        </is>
      </c>
      <c r="H72" s="7" t="inlineStr">
        <is>
          <t>이광재</t>
        </is>
      </c>
      <c r="I72" s="7" t="inlineStr">
        <is>
          <t>발송용_담당자변경_20261027/메시지_이광재_20261027.txt</t>
        </is>
      </c>
      <c r="J72" s="8" t="n">
        <v>46331</v>
      </c>
      <c r="K72" s="8" t="n">
        <v>46322</v>
      </c>
      <c r="L72" s="7" t="inlineStr">
        <is>
          <t>발송(회신 대기)</t>
        </is>
      </c>
      <c r="M72" s="8" t="n"/>
      <c r="N72" s="7" t="n"/>
      <c r="O72" s="7" t="n"/>
      <c r="P72" s="7" t="inlineStr">
        <is>
          <t>항목·기준 작성 파일 수령 → 같은 Rev.00 재개정(recheck → 승인·배포) → 매핑표 '보유'로 갱신</t>
        </is>
      </c>
      <c r="Q72" s="7" t="inlineStr">
        <is>
          <t>미완료</t>
        </is>
      </c>
      <c r="R72" s="7" t="inlineStr">
        <is>
          <t>담당자 변경 재안내 발송 2026-10-27</t>
        </is>
      </c>
      <c r="S72">
        <f>IF(L72="회신 완료","",J72-TODAY())</f>
        <v/>
      </c>
      <c r="T72">
        <f>IF(L72="회신 완료","완료",IF(J72&lt;TODAY(),"지연",IF(J72-TODAY()&lt;=1,"임박(D-1 이내)",IF(J72-TODAY()&lt;=3,"임박(D-3 이내)","여유"))))</f>
        <v/>
      </c>
    </row>
    <row r="73">
      <c r="A73" s="7" t="n">
        <v>178</v>
      </c>
      <c r="B73" s="7" t="inlineStr">
        <is>
          <t>품질경영체제</t>
        </is>
      </c>
      <c r="C73" s="7" t="inlineStr">
        <is>
          <t>6-2</t>
        </is>
      </c>
      <c r="D73" s="7" t="inlineStr">
        <is>
          <t>변경관리 master list</t>
        </is>
      </c>
      <c r="E73" s="7" t="inlineStr">
        <is>
          <t>보완 필요</t>
        </is>
      </c>
      <c r="F73" s="7" t="inlineStr">
        <is>
          <t>SH-FM-300</t>
        </is>
      </c>
      <c r="G73" s="7" t="inlineStr">
        <is>
          <t>SH-FM-300</t>
        </is>
      </c>
      <c r="H73" s="7" t="inlineStr">
        <is>
          <t>이광재</t>
        </is>
      </c>
      <c r="I73" s="7" t="inlineStr">
        <is>
          <t>발송용_담당자변경_20261027/메시지_이광재_20261027.txt</t>
        </is>
      </c>
      <c r="J73" s="8" t="n">
        <v>46331</v>
      </c>
      <c r="K73" s="8" t="n">
        <v>46322</v>
      </c>
      <c r="L73" s="7" t="inlineStr">
        <is>
          <t>발송(회신 대기)</t>
        </is>
      </c>
      <c r="M73" s="8" t="n"/>
      <c r="N73" s="7" t="n"/>
      <c r="O73" s="7" t="n"/>
      <c r="P73" s="7" t="inlineStr">
        <is>
          <t>항목·기준 작성 파일 수령 → 같은 Rev.00 재개정(recheck → 승인·배포) → 매핑표 '보유'로 갱신</t>
        </is>
      </c>
      <c r="Q73" s="7" t="inlineStr">
        <is>
          <t>미완료</t>
        </is>
      </c>
      <c r="R73" s="7" t="inlineStr">
        <is>
          <t>담당자 변경 재안내 발송 2026-10-27</t>
        </is>
      </c>
      <c r="S73">
        <f>IF(L73="회신 완료","",J73-TODAY())</f>
        <v/>
      </c>
      <c r="T73">
        <f>IF(L73="회신 완료","완료",IF(J73&lt;TODAY(),"지연",IF(J73-TODAY()&lt;=1,"임박(D-1 이내)",IF(J73-TODAY()&lt;=3,"임박(D-3 이내)","여유"))))</f>
        <v/>
      </c>
    </row>
    <row r="74">
      <c r="A74" s="7" t="n">
        <v>179</v>
      </c>
      <c r="B74" s="7" t="inlineStr">
        <is>
          <t>품질경영체제</t>
        </is>
      </c>
      <c r="C74" s="7" t="inlineStr">
        <is>
          <t>6-2</t>
        </is>
      </c>
      <c r="D74" s="7" t="inlineStr">
        <is>
          <t>변경품적용시점통보서</t>
        </is>
      </c>
      <c r="E74" s="7" t="inlineStr">
        <is>
          <t>보완 필요</t>
        </is>
      </c>
      <c r="F74" s="7" t="inlineStr">
        <is>
          <t>SH-FM-301</t>
        </is>
      </c>
      <c r="G74" s="7" t="inlineStr">
        <is>
          <t>SH-FM-301</t>
        </is>
      </c>
      <c r="H74" s="7" t="inlineStr">
        <is>
          <t>이광재</t>
        </is>
      </c>
      <c r="I74" s="7" t="inlineStr">
        <is>
          <t>발송용_담당자변경_20261027/메시지_이광재_20261027.txt</t>
        </is>
      </c>
      <c r="J74" s="8" t="n">
        <v>46331</v>
      </c>
      <c r="K74" s="8" t="n">
        <v>46322</v>
      </c>
      <c r="L74" s="7" t="inlineStr">
        <is>
          <t>발송(회신 대기)</t>
        </is>
      </c>
      <c r="M74" s="8" t="n"/>
      <c r="N74" s="7" t="n"/>
      <c r="O74" s="7" t="n"/>
      <c r="P74" s="7" t="inlineStr">
        <is>
          <t>항목·기준 작성 파일 수령 → 같은 Rev.00 재개정(recheck → 승인·배포) → 매핑표 '보유'로 갱신</t>
        </is>
      </c>
      <c r="Q74" s="7" t="inlineStr">
        <is>
          <t>미완료</t>
        </is>
      </c>
      <c r="R74" s="7" t="inlineStr">
        <is>
          <t>담당자 변경 재안내 발송 2026-10-27</t>
        </is>
      </c>
      <c r="S74">
        <f>IF(L74="회신 완료","",J74-TODAY())</f>
        <v/>
      </c>
      <c r="T74">
        <f>IF(L74="회신 완료","완료",IF(J74&lt;TODAY(),"지연",IF(J74-TODAY()&lt;=1,"임박(D-1 이내)",IF(J74-TODAY()&lt;=3,"임박(D-3 이내)","여유"))))</f>
        <v/>
      </c>
    </row>
    <row r="75">
      <c r="A75" s="7" t="n">
        <v>180</v>
      </c>
      <c r="B75" s="7" t="inlineStr">
        <is>
          <t>품질경영체제</t>
        </is>
      </c>
      <c r="C75" s="7" t="inlineStr">
        <is>
          <t>6-2</t>
        </is>
      </c>
      <c r="D75" s="7" t="inlineStr">
        <is>
          <t>변경품적용시 고객ISIR승인서류</t>
        </is>
      </c>
      <c r="E75" s="7" t="inlineStr">
        <is>
          <t>보완 필요</t>
        </is>
      </c>
      <c r="F75" s="7" t="inlineStr">
        <is>
          <t>SH-FM-302</t>
        </is>
      </c>
      <c r="G75" s="7" t="inlineStr">
        <is>
          <t>SH-FM-302</t>
        </is>
      </c>
      <c r="H75" s="7" t="inlineStr">
        <is>
          <t>이광재</t>
        </is>
      </c>
      <c r="I75" s="7" t="inlineStr">
        <is>
          <t>발송용_담당자변경_20261027/메시지_이광재_20261027.txt</t>
        </is>
      </c>
      <c r="J75" s="8" t="n">
        <v>46331</v>
      </c>
      <c r="K75" s="8" t="n">
        <v>46322</v>
      </c>
      <c r="L75" s="7" t="inlineStr">
        <is>
          <t>발송(회신 대기)</t>
        </is>
      </c>
      <c r="M75" s="8" t="n"/>
      <c r="N75" s="7" t="n"/>
      <c r="O75" s="7" t="n"/>
      <c r="P75" s="7" t="inlineStr">
        <is>
          <t>항목·기준 작성 파일 수령 → 같은 Rev.00 재개정(recheck → 승인·배포) → 매핑표 '보유'로 갱신</t>
        </is>
      </c>
      <c r="Q75" s="7" t="inlineStr">
        <is>
          <t>미완료</t>
        </is>
      </c>
      <c r="R75" s="7" t="inlineStr">
        <is>
          <t>담당자 변경 재안내 발송 2026-10-27</t>
        </is>
      </c>
      <c r="S75">
        <f>IF(L75="회신 완료","",J75-TODAY())</f>
        <v/>
      </c>
      <c r="T75">
        <f>IF(L75="회신 완료","완료",IF(J75&lt;TODAY(),"지연",IF(J75-TODAY()&lt;=1,"임박(D-1 이내)",IF(J75-TODAY()&lt;=3,"임박(D-3 이내)","여유"))))</f>
        <v/>
      </c>
    </row>
    <row r="76">
      <c r="A76" s="7" t="n">
        <v>181</v>
      </c>
      <c r="B76" s="7" t="inlineStr">
        <is>
          <t>품질경영체제</t>
        </is>
      </c>
      <c r="C76" s="7" t="inlineStr">
        <is>
          <t>6-3</t>
        </is>
      </c>
      <c r="D76" s="7" t="inlineStr">
        <is>
          <t>도면일치성관리기준서</t>
        </is>
      </c>
      <c r="E76" s="7" t="inlineStr">
        <is>
          <t>보완 필요</t>
        </is>
      </c>
      <c r="F76" s="7" t="inlineStr">
        <is>
          <t>SH-FM-303</t>
        </is>
      </c>
      <c r="G76" s="7" t="inlineStr">
        <is>
          <t>SH-FM-303</t>
        </is>
      </c>
      <c r="H76" s="7" t="inlineStr">
        <is>
          <t>이광재</t>
        </is>
      </c>
      <c r="I76" s="7" t="inlineStr">
        <is>
          <t>발송용_담당자변경_20261027/메시지_이광재_20261027.txt</t>
        </is>
      </c>
      <c r="J76" s="8" t="n">
        <v>46331</v>
      </c>
      <c r="K76" s="8" t="n">
        <v>46322</v>
      </c>
      <c r="L76" s="7" t="inlineStr">
        <is>
          <t>발송(회신 대기)</t>
        </is>
      </c>
      <c r="M76" s="8" t="n"/>
      <c r="N76" s="7" t="n"/>
      <c r="O76" s="7" t="n"/>
      <c r="P76" s="7" t="inlineStr">
        <is>
          <t>항목·기준 작성 파일 수령 → 같은 Rev.00 재개정(recheck → 승인·배포) → 매핑표 '보유'로 갱신</t>
        </is>
      </c>
      <c r="Q76" s="7" t="inlineStr">
        <is>
          <t>미완료</t>
        </is>
      </c>
      <c r="R76" s="7" t="inlineStr">
        <is>
          <t>담당자 변경 재안내 발송 2026-10-27</t>
        </is>
      </c>
      <c r="S76">
        <f>IF(L76="회신 완료","",J76-TODAY())</f>
        <v/>
      </c>
      <c r="T76">
        <f>IF(L76="회신 완료","완료",IF(J76&lt;TODAY(),"지연",IF(J76-TODAY()&lt;=1,"임박(D-1 이내)",IF(J76-TODAY()&lt;=3,"임박(D-3 이내)","여유"))))</f>
        <v/>
      </c>
    </row>
    <row r="77">
      <c r="A77" s="7" t="n">
        <v>182</v>
      </c>
      <c r="B77" s="7" t="inlineStr">
        <is>
          <t>품질경영체제</t>
        </is>
      </c>
      <c r="C77" s="7" t="inlineStr">
        <is>
          <t>6-3</t>
        </is>
      </c>
      <c r="D77" s="7" t="inlineStr">
        <is>
          <t>도면일치성점검체크시트(고객사관리본접수)</t>
        </is>
      </c>
      <c r="E77" s="7" t="inlineStr">
        <is>
          <t>보완 필요</t>
        </is>
      </c>
      <c r="F77" s="7" t="inlineStr">
        <is>
          <t>SH-FM-304</t>
        </is>
      </c>
      <c r="G77" s="7" t="inlineStr">
        <is>
          <t>SH-FM-304</t>
        </is>
      </c>
      <c r="H77" s="7" t="inlineStr">
        <is>
          <t>이광재</t>
        </is>
      </c>
      <c r="I77" s="7" t="inlineStr">
        <is>
          <t>발송용_담당자변경_20261027/메시지_이광재_20261027.txt</t>
        </is>
      </c>
      <c r="J77" s="8" t="n">
        <v>46331</v>
      </c>
      <c r="K77" s="8" t="n">
        <v>46322</v>
      </c>
      <c r="L77" s="7" t="inlineStr">
        <is>
          <t>발송(회신 대기)</t>
        </is>
      </c>
      <c r="M77" s="8" t="n"/>
      <c r="N77" s="7" t="n"/>
      <c r="O77" s="7" t="n"/>
      <c r="P77" s="7" t="inlineStr">
        <is>
          <t>항목·기준 작성 파일 수령 → 같은 Rev.00 재개정(recheck → 승인·배포) → 매핑표 '보유'로 갱신</t>
        </is>
      </c>
      <c r="Q77" s="7" t="inlineStr">
        <is>
          <t>미완료</t>
        </is>
      </c>
      <c r="R77" s="7" t="inlineStr">
        <is>
          <t>담당자 변경 재안내 발송 2026-10-27</t>
        </is>
      </c>
      <c r="S77">
        <f>IF(L77="회신 완료","",J77-TODAY())</f>
        <v/>
      </c>
      <c r="T77">
        <f>IF(L77="회신 완료","완료",IF(J77&lt;TODAY(),"지연",IF(J77-TODAY()&lt;=1,"임박(D-1 이내)",IF(J77-TODAY()&lt;=3,"임박(D-3 이내)","여유"))))</f>
        <v/>
      </c>
    </row>
    <row r="78">
      <c r="A78" s="7" t="n">
        <v>183</v>
      </c>
      <c r="B78" s="7" t="inlineStr">
        <is>
          <t>품질경영체제</t>
        </is>
      </c>
      <c r="C78" s="7" t="inlineStr">
        <is>
          <t>6-3</t>
        </is>
      </c>
      <c r="D78" s="7" t="inlineStr">
        <is>
          <t>도면/검사협정서/초도품보증서고객승인본</t>
        </is>
      </c>
      <c r="E78" s="7" t="inlineStr">
        <is>
          <t>보완 필요</t>
        </is>
      </c>
      <c r="F78" s="7" t="inlineStr">
        <is>
          <t>SH-FM-305</t>
        </is>
      </c>
      <c r="G78" s="7" t="inlineStr">
        <is>
          <t>SH-FM-305</t>
        </is>
      </c>
      <c r="H78" s="7" t="inlineStr">
        <is>
          <t>이광재</t>
        </is>
      </c>
      <c r="I78" s="7" t="inlineStr">
        <is>
          <t>발송용_담당자변경_20261027/메시지_이광재_20261027.txt</t>
        </is>
      </c>
      <c r="J78" s="8" t="n">
        <v>46331</v>
      </c>
      <c r="K78" s="8" t="n">
        <v>46322</v>
      </c>
      <c r="L78" s="7" t="inlineStr">
        <is>
          <t>발송(회신 대기)</t>
        </is>
      </c>
      <c r="M78" s="8" t="n"/>
      <c r="N78" s="7" t="n"/>
      <c r="O78" s="7" t="n"/>
      <c r="P78" s="7" t="inlineStr">
        <is>
          <t>항목·기준 작성 파일 수령 → 같은 Rev.00 재개정(recheck → 승인·배포) → 매핑표 '보유'로 갱신</t>
        </is>
      </c>
      <c r="Q78" s="7" t="inlineStr">
        <is>
          <t>미완료</t>
        </is>
      </c>
      <c r="R78" s="7" t="inlineStr">
        <is>
          <t>담당자 변경 재안내 발송 2026-10-27</t>
        </is>
      </c>
      <c r="S78">
        <f>IF(L78="회신 완료","",J78-TODAY())</f>
        <v/>
      </c>
      <c r="T78">
        <f>IF(L78="회신 완료","완료",IF(J78&lt;TODAY(),"지연",IF(J78-TODAY()&lt;=1,"임박(D-1 이내)",IF(J78-TODAY()&lt;=3,"임박(D-3 이내)","여유"))))</f>
        <v/>
      </c>
    </row>
    <row r="79">
      <c r="A79" s="7" t="n">
        <v>184</v>
      </c>
      <c r="B79" s="7" t="inlineStr">
        <is>
          <t>품질경영체제</t>
        </is>
      </c>
      <c r="C79" s="7" t="inlineStr">
        <is>
          <t>6-3</t>
        </is>
      </c>
      <c r="D79" s="7" t="inlineStr">
        <is>
          <t>정기검사계획대실적표</t>
        </is>
      </c>
      <c r="E79" s="7" t="inlineStr">
        <is>
          <t>보완 필요</t>
        </is>
      </c>
      <c r="F79" s="7" t="inlineStr">
        <is>
          <t>SH-FM-306</t>
        </is>
      </c>
      <c r="G79" s="7" t="inlineStr">
        <is>
          <t>SH-FM-306</t>
        </is>
      </c>
      <c r="H79" s="7" t="inlineStr">
        <is>
          <t>이광재</t>
        </is>
      </c>
      <c r="I79" s="7" t="inlineStr">
        <is>
          <t>발송용_담당자변경_20261027/메시지_이광재_20261027.txt</t>
        </is>
      </c>
      <c r="J79" s="8" t="n">
        <v>46331</v>
      </c>
      <c r="K79" s="8" t="n">
        <v>46322</v>
      </c>
      <c r="L79" s="7" t="inlineStr">
        <is>
          <t>발송(회신 대기)</t>
        </is>
      </c>
      <c r="M79" s="8" t="n"/>
      <c r="N79" s="7" t="n"/>
      <c r="O79" s="7" t="n"/>
      <c r="P79" s="7" t="inlineStr">
        <is>
          <t>항목·기준 작성 파일 수령 → 같은 Rev.00 재개정(recheck → 승인·배포) → 매핑표 '보유'로 갱신</t>
        </is>
      </c>
      <c r="Q79" s="7" t="inlineStr">
        <is>
          <t>미완료</t>
        </is>
      </c>
      <c r="R79" s="7" t="inlineStr">
        <is>
          <t>담당자 변경 재안내 발송 2026-10-27</t>
        </is>
      </c>
      <c r="S79">
        <f>IF(L79="회신 완료","",J79-TODAY())</f>
        <v/>
      </c>
      <c r="T79">
        <f>IF(L79="회신 완료","완료",IF(J79&lt;TODAY(),"지연",IF(J79-TODAY()&lt;=1,"임박(D-1 이내)",IF(J79-TODAY()&lt;=3,"임박(D-3 이내)","여유"))))</f>
        <v/>
      </c>
    </row>
    <row r="80">
      <c r="A80" s="7" t="n">
        <v>186</v>
      </c>
      <c r="B80" s="7" t="inlineStr">
        <is>
          <t>품질경영체제</t>
        </is>
      </c>
      <c r="C80" s="7" t="inlineStr">
        <is>
          <t>6-4</t>
        </is>
      </c>
      <c r="D80" s="7" t="inlineStr">
        <is>
          <t>ISO인증서</t>
        </is>
      </c>
      <c r="E80" s="7" t="inlineStr">
        <is>
          <t>보완 필요</t>
        </is>
      </c>
      <c r="F80" s="7" t="inlineStr">
        <is>
          <t>SH-FM-308</t>
        </is>
      </c>
      <c r="G80" s="7" t="inlineStr">
        <is>
          <t>SH-FM-308</t>
        </is>
      </c>
      <c r="H80" s="7" t="inlineStr">
        <is>
          <t>이광재</t>
        </is>
      </c>
      <c r="I80" s="7" t="inlineStr">
        <is>
          <t>발송용_담당자변경_20261027/메시지_이광재_20261027.txt</t>
        </is>
      </c>
      <c r="J80" s="8" t="n">
        <v>46331</v>
      </c>
      <c r="K80" s="8" t="n">
        <v>46322</v>
      </c>
      <c r="L80" s="7" t="inlineStr">
        <is>
          <t>발송(회신 대기)</t>
        </is>
      </c>
      <c r="M80" s="8" t="n"/>
      <c r="N80" s="7" t="n"/>
      <c r="O80" s="7" t="n"/>
      <c r="P80" s="7" t="inlineStr">
        <is>
          <t>항목·기준 작성 파일 수령 → 같은 Rev.00 재개정(recheck → 승인·배포) → 매핑표 '보유'로 갱신</t>
        </is>
      </c>
      <c r="Q80" s="7" t="inlineStr">
        <is>
          <t>미완료</t>
        </is>
      </c>
      <c r="R80" s="7" t="inlineStr">
        <is>
          <t>담당자 변경 재안내 발송 2026-10-27</t>
        </is>
      </c>
      <c r="S80">
        <f>IF(L80="회신 완료","",J80-TODAY())</f>
        <v/>
      </c>
      <c r="T80">
        <f>IF(L80="회신 완료","완료",IF(J80&lt;TODAY(),"지연",IF(J80-TODAY()&lt;=1,"임박(D-1 이내)",IF(J80-TODAY()&lt;=3,"임박(D-3 이내)","여유"))))</f>
        <v/>
      </c>
    </row>
    <row r="81">
      <c r="A81" s="7" t="n">
        <v>187</v>
      </c>
      <c r="B81" s="7" t="inlineStr">
        <is>
          <t>품질경영체제</t>
        </is>
      </c>
      <c r="C81" s="7" t="inlineStr">
        <is>
          <t>6-4</t>
        </is>
      </c>
      <c r="D81" s="7" t="inlineStr">
        <is>
          <t>품질매뉴얼/절차서/지침서</t>
        </is>
      </c>
      <c r="E81" s="7" t="inlineStr">
        <is>
          <t>보완 필요</t>
        </is>
      </c>
      <c r="F81" s="7" t="inlineStr">
        <is>
          <t>SH-FM-309</t>
        </is>
      </c>
      <c r="G81" s="7" t="inlineStr">
        <is>
          <t>SH-FM-309</t>
        </is>
      </c>
      <c r="H81" s="7" t="inlineStr">
        <is>
          <t>이광재</t>
        </is>
      </c>
      <c r="I81" s="7" t="inlineStr">
        <is>
          <t>발송용_담당자변경_20261027/메시지_이광재_20261027.txt</t>
        </is>
      </c>
      <c r="J81" s="8" t="n">
        <v>46331</v>
      </c>
      <c r="K81" s="8" t="n">
        <v>46322</v>
      </c>
      <c r="L81" s="7" t="inlineStr">
        <is>
          <t>발송(회신 대기)</t>
        </is>
      </c>
      <c r="M81" s="8" t="n"/>
      <c r="N81" s="7" t="n"/>
      <c r="O81" s="7" t="n"/>
      <c r="P81" s="7" t="inlineStr">
        <is>
          <t>항목·기준 작성 파일 수령 → 같은 Rev.00 재개정(recheck → 승인·배포) → 매핑표 '보유'로 갱신</t>
        </is>
      </c>
      <c r="Q81" s="7" t="inlineStr">
        <is>
          <t>미완료</t>
        </is>
      </c>
      <c r="R81" s="7" t="inlineStr">
        <is>
          <t>담당자 변경 재안내 발송 2026-10-27</t>
        </is>
      </c>
      <c r="S81">
        <f>IF(L81="회신 완료","",J81-TODAY())</f>
        <v/>
      </c>
      <c r="T81">
        <f>IF(L81="회신 완료","완료",IF(J81&lt;TODAY(),"지연",IF(J81-TODAY()&lt;=1,"임박(D-1 이내)",IF(J81-TODAY()&lt;=3,"임박(D-3 이내)","여유"))))</f>
        <v/>
      </c>
    </row>
    <row r="82">
      <c r="A82" s="7" t="n">
        <v>188</v>
      </c>
      <c r="B82" s="7" t="inlineStr">
        <is>
          <t>품질경영체제</t>
        </is>
      </c>
      <c r="C82" s="7" t="inlineStr">
        <is>
          <t>6-4</t>
        </is>
      </c>
      <c r="D82" s="7" t="inlineStr">
        <is>
          <t>전사조직도 및 업무분장표</t>
        </is>
      </c>
      <c r="E82" s="7" t="inlineStr">
        <is>
          <t>보완 필요</t>
        </is>
      </c>
      <c r="F82" s="7" t="inlineStr">
        <is>
          <t>SH-FM-310</t>
        </is>
      </c>
      <c r="G82" s="7" t="inlineStr">
        <is>
          <t>SH-FM-310</t>
        </is>
      </c>
      <c r="H82" s="7" t="inlineStr">
        <is>
          <t>이광재</t>
        </is>
      </c>
      <c r="I82" s="7" t="inlineStr">
        <is>
          <t>발송용_담당자변경_20261027/메시지_이광재_20261027.txt</t>
        </is>
      </c>
      <c r="J82" s="8" t="n">
        <v>46331</v>
      </c>
      <c r="K82" s="8" t="n">
        <v>46322</v>
      </c>
      <c r="L82" s="7" t="inlineStr">
        <is>
          <t>발송(회신 대기)</t>
        </is>
      </c>
      <c r="M82" s="8" t="n"/>
      <c r="N82" s="7" t="n"/>
      <c r="O82" s="7" t="n"/>
      <c r="P82" s="7" t="inlineStr">
        <is>
          <t>항목·기준 작성 파일 수령 → 같은 Rev.00 재개정(recheck → 승인·배포) → 매핑표 '보유'로 갱신</t>
        </is>
      </c>
      <c r="Q82" s="7" t="inlineStr">
        <is>
          <t>미완료</t>
        </is>
      </c>
      <c r="R82" s="7" t="inlineStr">
        <is>
          <t>담당자 변경 재안내 발송 2026-10-27</t>
        </is>
      </c>
      <c r="S82">
        <f>IF(L82="회신 완료","",J82-TODAY())</f>
        <v/>
      </c>
      <c r="T82">
        <f>IF(L82="회신 완료","완료",IF(J82&lt;TODAY(),"지연",IF(J82-TODAY()&lt;=1,"임박(D-1 이내)",IF(J82-TODAY()&lt;=3,"임박(D-3 이내)","여유"))))</f>
        <v/>
      </c>
    </row>
    <row r="83">
      <c r="A83" s="7" t="n">
        <v>189</v>
      </c>
      <c r="B83" s="7" t="inlineStr">
        <is>
          <t>품질경영체제</t>
        </is>
      </c>
      <c r="C83" s="7" t="inlineStr">
        <is>
          <t>6-4</t>
        </is>
      </c>
      <c r="D83" s="7" t="inlineStr">
        <is>
          <t>SQ 사전점검 지적사항및 개선대책</t>
        </is>
      </c>
      <c r="E83" s="7" t="inlineStr">
        <is>
          <t>보완 필요</t>
        </is>
      </c>
      <c r="F83" s="7" t="inlineStr">
        <is>
          <t>SH-FM-311</t>
        </is>
      </c>
      <c r="G83" s="7" t="inlineStr">
        <is>
          <t>SH-FM-311</t>
        </is>
      </c>
      <c r="H83" s="7" t="inlineStr">
        <is>
          <t>이광재</t>
        </is>
      </c>
      <c r="I83" s="7" t="inlineStr">
        <is>
          <t>발송용_담당자변경_20261027/메시지_이광재_20261027.txt</t>
        </is>
      </c>
      <c r="J83" s="8" t="n">
        <v>46331</v>
      </c>
      <c r="K83" s="8" t="n">
        <v>46322</v>
      </c>
      <c r="L83" s="7" t="inlineStr">
        <is>
          <t>발송(회신 대기)</t>
        </is>
      </c>
      <c r="M83" s="8" t="n"/>
      <c r="N83" s="7" t="n"/>
      <c r="O83" s="7" t="n"/>
      <c r="P83" s="7" t="inlineStr">
        <is>
          <t>항목·기준 작성 파일 수령 → 같은 Rev.00 재개정(recheck → 승인·배포) → 매핑표 '보유'로 갱신</t>
        </is>
      </c>
      <c r="Q83" s="7" t="inlineStr">
        <is>
          <t>미완료</t>
        </is>
      </c>
      <c r="R83" s="7" t="inlineStr">
        <is>
          <t>담당자 변경 재안내 발송 2026-10-27</t>
        </is>
      </c>
      <c r="S83">
        <f>IF(L83="회신 완료","",J83-TODAY())</f>
        <v/>
      </c>
      <c r="T83">
        <f>IF(L83="회신 완료","완료",IF(J83&lt;TODAY(),"지연",IF(J83-TODAY()&lt;=1,"임박(D-1 이내)",IF(J83-TODAY()&lt;=3,"임박(D-3 이내)","여유"))))</f>
        <v/>
      </c>
    </row>
    <row r="84">
      <c r="A84" s="7" t="n">
        <v>191</v>
      </c>
      <c r="B84" s="7" t="inlineStr">
        <is>
          <t>품질경영체제</t>
        </is>
      </c>
      <c r="C84" s="7" t="inlineStr">
        <is>
          <t>6-5</t>
        </is>
      </c>
      <c r="D84" s="7" t="inlineStr">
        <is>
          <t>자격인증관리 기준서</t>
        </is>
      </c>
      <c r="E84" s="7" t="inlineStr">
        <is>
          <t>보완 필요</t>
        </is>
      </c>
      <c r="F84" s="7" t="inlineStr">
        <is>
          <t>SH-FM-313</t>
        </is>
      </c>
      <c r="G84" s="7" t="inlineStr">
        <is>
          <t>SH-FM-313</t>
        </is>
      </c>
      <c r="H84" s="7" t="inlineStr">
        <is>
          <t>이광재</t>
        </is>
      </c>
      <c r="I84" s="7" t="inlineStr">
        <is>
          <t>발송용_담당자변경_20261027/메시지_이광재_20261027.txt</t>
        </is>
      </c>
      <c r="J84" s="8" t="n">
        <v>46331</v>
      </c>
      <c r="K84" s="8" t="n">
        <v>46322</v>
      </c>
      <c r="L84" s="7" t="inlineStr">
        <is>
          <t>발송(회신 대기)</t>
        </is>
      </c>
      <c r="M84" s="8" t="n"/>
      <c r="N84" s="7" t="n"/>
      <c r="O84" s="7" t="n"/>
      <c r="P84" s="7" t="inlineStr">
        <is>
          <t>항목·기준 작성 파일 수령 → 같은 Rev.00 재개정(recheck → 승인·배포) → 매핑표 '보유'로 갱신</t>
        </is>
      </c>
      <c r="Q84" s="7" t="inlineStr">
        <is>
          <t>미완료</t>
        </is>
      </c>
      <c r="R84" s="7" t="inlineStr">
        <is>
          <t>담당자 변경 재안내 발송 2026-10-27</t>
        </is>
      </c>
      <c r="S84">
        <f>IF(L84="회신 완료","",J84-TODAY())</f>
        <v/>
      </c>
      <c r="T84">
        <f>IF(L84="회신 완료","완료",IF(J84&lt;TODAY(),"지연",IF(J84-TODAY()&lt;=1,"임박(D-1 이내)",IF(J84-TODAY()&lt;=3,"임박(D-3 이내)","여유"))))</f>
        <v/>
      </c>
    </row>
    <row r="85">
      <c r="A85" s="7" t="n">
        <v>192</v>
      </c>
      <c r="B85" s="7" t="inlineStr">
        <is>
          <t>품질경영체제</t>
        </is>
      </c>
      <c r="C85" s="7" t="inlineStr">
        <is>
          <t>6-5</t>
        </is>
      </c>
      <c r="D85" s="7" t="inlineStr">
        <is>
          <t>자격인증체크시트 (검사원)</t>
        </is>
      </c>
      <c r="E85" s="7" t="inlineStr">
        <is>
          <t>보완 필요</t>
        </is>
      </c>
      <c r="F85" s="7" t="inlineStr">
        <is>
          <t>SH-FM-314</t>
        </is>
      </c>
      <c r="G85" s="7" t="inlineStr">
        <is>
          <t>SH-FM-314</t>
        </is>
      </c>
      <c r="H85" s="7" t="inlineStr">
        <is>
          <t>이광재</t>
        </is>
      </c>
      <c r="I85" s="7" t="inlineStr">
        <is>
          <t>발송용_담당자변경_20261027/메시지_이광재_20261027.txt</t>
        </is>
      </c>
      <c r="J85" s="8" t="n">
        <v>46331</v>
      </c>
      <c r="K85" s="8" t="n">
        <v>46322</v>
      </c>
      <c r="L85" s="7" t="inlineStr">
        <is>
          <t>발송(회신 대기)</t>
        </is>
      </c>
      <c r="M85" s="8" t="n"/>
      <c r="N85" s="7" t="n"/>
      <c r="O85" s="7" t="n"/>
      <c r="P85" s="7" t="inlineStr">
        <is>
          <t>항목·기준 작성 파일 수령 → 같은 Rev.00 재개정(recheck → 승인·배포) → 매핑표 '보유'로 갱신</t>
        </is>
      </c>
      <c r="Q85" s="7" t="inlineStr">
        <is>
          <t>미완료</t>
        </is>
      </c>
      <c r="R85" s="7" t="inlineStr">
        <is>
          <t>담당자 변경 재안내 발송 2026-10-27</t>
        </is>
      </c>
      <c r="S85">
        <f>IF(L85="회신 완료","",J85-TODAY())</f>
        <v/>
      </c>
      <c r="T85">
        <f>IF(L85="회신 완료","완료",IF(J85&lt;TODAY(),"지연",IF(J85-TODAY()&lt;=1,"임박(D-1 이내)",IF(J85-TODAY()&lt;=3,"임박(D-3 이내)","여유"))))</f>
        <v/>
      </c>
    </row>
    <row r="86">
      <c r="A86" s="7" t="n">
        <v>194</v>
      </c>
      <c r="B86" s="7" t="inlineStr">
        <is>
          <t>품질경영체제</t>
        </is>
      </c>
      <c r="C86" s="7" t="inlineStr">
        <is>
          <t>6-5</t>
        </is>
      </c>
      <c r="D86" s="7" t="inlineStr">
        <is>
          <t>계수형R&amp;R 계획대실적표</t>
        </is>
      </c>
      <c r="E86" s="7" t="inlineStr">
        <is>
          <t>보완 필요</t>
        </is>
      </c>
      <c r="F86" s="7" t="inlineStr">
        <is>
          <t>SH-FM-316</t>
        </is>
      </c>
      <c r="G86" s="7" t="inlineStr">
        <is>
          <t>SH-FM-316</t>
        </is>
      </c>
      <c r="H86" s="7" t="inlineStr">
        <is>
          <t>이광재</t>
        </is>
      </c>
      <c r="I86" s="7" t="inlineStr">
        <is>
          <t>발송용_담당자변경_20261027/메시지_이광재_20261027.txt</t>
        </is>
      </c>
      <c r="J86" s="8" t="n">
        <v>46331</v>
      </c>
      <c r="K86" s="8" t="n">
        <v>46322</v>
      </c>
      <c r="L86" s="7" t="inlineStr">
        <is>
          <t>발송(회신 대기)</t>
        </is>
      </c>
      <c r="M86" s="8" t="n"/>
      <c r="N86" s="7" t="n"/>
      <c r="O86" s="7" t="n"/>
      <c r="P86" s="7" t="inlineStr">
        <is>
          <t>항목·기준 작성 파일 수령 → 같은 Rev.00 재개정(recheck → 승인·배포) → 매핑표 '보유'로 갱신</t>
        </is>
      </c>
      <c r="Q86" s="7" t="inlineStr">
        <is>
          <t>미완료</t>
        </is>
      </c>
      <c r="R86" s="7" t="inlineStr">
        <is>
          <t>담당자 변경 재안내 발송 2026-10-27</t>
        </is>
      </c>
      <c r="S86">
        <f>IF(L86="회신 완료","",J86-TODAY())</f>
        <v/>
      </c>
      <c r="T86">
        <f>IF(L86="회신 완료","완료",IF(J86&lt;TODAY(),"지연",IF(J86-TODAY()&lt;=1,"임박(D-1 이내)",IF(J86-TODAY()&lt;=3,"임박(D-3 이내)","여유"))))</f>
        <v/>
      </c>
    </row>
    <row r="87">
      <c r="A87" s="7" t="n">
        <v>195</v>
      </c>
      <c r="B87" s="7" t="inlineStr">
        <is>
          <t>품질경영체제</t>
        </is>
      </c>
      <c r="C87" s="7" t="inlineStr">
        <is>
          <t>6-5</t>
        </is>
      </c>
      <c r="D87" s="7" t="inlineStr">
        <is>
          <t>계수형R&amp;R 실시실적</t>
        </is>
      </c>
      <c r="E87" s="7" t="inlineStr">
        <is>
          <t>보완 필요</t>
        </is>
      </c>
      <c r="F87" s="7" t="inlineStr">
        <is>
          <t>SH-FM-317</t>
        </is>
      </c>
      <c r="G87" s="7" t="inlineStr">
        <is>
          <t>SH-FM-317</t>
        </is>
      </c>
      <c r="H87" s="7" t="inlineStr">
        <is>
          <t>이광재</t>
        </is>
      </c>
      <c r="I87" s="7" t="inlineStr">
        <is>
          <t>발송용_담당자변경_20261027/메시지_이광재_20261027.txt</t>
        </is>
      </c>
      <c r="J87" s="8" t="n">
        <v>46331</v>
      </c>
      <c r="K87" s="8" t="n">
        <v>46322</v>
      </c>
      <c r="L87" s="7" t="inlineStr">
        <is>
          <t>발송(회신 대기)</t>
        </is>
      </c>
      <c r="M87" s="8" t="n"/>
      <c r="N87" s="7" t="n"/>
      <c r="O87" s="7" t="n"/>
      <c r="P87" s="7" t="inlineStr">
        <is>
          <t>항목·기준 작성 파일 수령 → 같은 Rev.00 재개정(recheck → 승인·배포) → 매핑표 '보유'로 갱신</t>
        </is>
      </c>
      <c r="Q87" s="7" t="inlineStr">
        <is>
          <t>미완료</t>
        </is>
      </c>
      <c r="R87" s="7" t="inlineStr">
        <is>
          <t>담당자 변경 재안내 발송 2026-10-27</t>
        </is>
      </c>
      <c r="S87">
        <f>IF(L87="회신 완료","",J87-TODAY())</f>
        <v/>
      </c>
      <c r="T87">
        <f>IF(L87="회신 완료","완료",IF(J87&lt;TODAY(),"지연",IF(J87-TODAY()&lt;=1,"임박(D-1 이내)",IF(J87-TODAY()&lt;=3,"임박(D-3 이내)","여유"))))</f>
        <v/>
      </c>
    </row>
    <row r="88">
      <c r="A88" s="7" t="n">
        <v>196</v>
      </c>
      <c r="B88" s="7" t="inlineStr">
        <is>
          <t>품질경영체제</t>
        </is>
      </c>
      <c r="C88" s="7" t="inlineStr">
        <is>
          <t>6-5</t>
        </is>
      </c>
      <c r="D88" s="7" t="inlineStr">
        <is>
          <t>계량형/계수형 R&amp;R 수기작성본</t>
        </is>
      </c>
      <c r="E88" s="7" t="inlineStr">
        <is>
          <t>보완 필요</t>
        </is>
      </c>
      <c r="F88" s="7" t="inlineStr">
        <is>
          <t>SH-FM-318</t>
        </is>
      </c>
      <c r="G88" s="7" t="inlineStr">
        <is>
          <t>SH-FM-318</t>
        </is>
      </c>
      <c r="H88" s="7" t="inlineStr">
        <is>
          <t>이광재</t>
        </is>
      </c>
      <c r="I88" s="7" t="inlineStr">
        <is>
          <t>발송용_담당자변경_20261027/메시지_이광재_20261027.txt</t>
        </is>
      </c>
      <c r="J88" s="8" t="n">
        <v>46331</v>
      </c>
      <c r="K88" s="8" t="n">
        <v>46322</v>
      </c>
      <c r="L88" s="7" t="inlineStr">
        <is>
          <t>발송(회신 대기)</t>
        </is>
      </c>
      <c r="M88" s="8" t="n"/>
      <c r="N88" s="7" t="n"/>
      <c r="O88" s="7" t="n"/>
      <c r="P88" s="7" t="inlineStr">
        <is>
          <t>항목·기준 작성 파일 수령 → 같은 Rev.00 재개정(recheck → 승인·배포) → 매핑표 '보유'로 갱신</t>
        </is>
      </c>
      <c r="Q88" s="7" t="inlineStr">
        <is>
          <t>미완료</t>
        </is>
      </c>
      <c r="R88" s="7" t="inlineStr">
        <is>
          <t>담당자 변경 재안내 발송 2026-10-27</t>
        </is>
      </c>
      <c r="S88">
        <f>IF(L88="회신 완료","",J88-TODAY())</f>
        <v/>
      </c>
      <c r="T88">
        <f>IF(L88="회신 완료","완료",IF(J88&lt;TODAY(),"지연",IF(J88-TODAY()&lt;=1,"임박(D-1 이내)",IF(J88-TODAY()&lt;=3,"임박(D-3 이내)","여유"))))</f>
        <v/>
      </c>
    </row>
    <row r="89">
      <c r="A89" s="7" t="n">
        <v>198</v>
      </c>
      <c r="B89" s="7" t="inlineStr">
        <is>
          <t>품질경영체제</t>
        </is>
      </c>
      <c r="C89" s="7" t="inlineStr">
        <is>
          <t>6-5</t>
        </is>
      </c>
      <c r="D89" s="7" t="inlineStr">
        <is>
          <t>자격인증대상자교육실시보고서</t>
        </is>
      </c>
      <c r="E89" s="7" t="inlineStr">
        <is>
          <t>보완 필요</t>
        </is>
      </c>
      <c r="F89" s="7" t="inlineStr">
        <is>
          <t>SH-FM-320</t>
        </is>
      </c>
      <c r="G89" s="7" t="inlineStr">
        <is>
          <t>SH-FM-320</t>
        </is>
      </c>
      <c r="H89" s="7" t="inlineStr">
        <is>
          <t>이광재</t>
        </is>
      </c>
      <c r="I89" s="7" t="inlineStr">
        <is>
          <t>발송용_담당자변경_20261027/메시지_이광재_20261027.txt</t>
        </is>
      </c>
      <c r="J89" s="8" t="n">
        <v>46331</v>
      </c>
      <c r="K89" s="8" t="n">
        <v>46322</v>
      </c>
      <c r="L89" s="7" t="inlineStr">
        <is>
          <t>발송(회신 대기)</t>
        </is>
      </c>
      <c r="M89" s="8" t="n"/>
      <c r="N89" s="7" t="n"/>
      <c r="O89" s="7" t="n"/>
      <c r="P89" s="7" t="inlineStr">
        <is>
          <t>항목·기준 작성 파일 수령 → 같은 Rev.00 재개정(recheck → 승인·배포) → 매핑표 '보유'로 갱신</t>
        </is>
      </c>
      <c r="Q89" s="7" t="inlineStr">
        <is>
          <t>미완료</t>
        </is>
      </c>
      <c r="R89" s="7" t="inlineStr">
        <is>
          <t>담당자 변경 재안내 발송 2026-10-27</t>
        </is>
      </c>
      <c r="S89">
        <f>IF(L89="회신 완료","",J89-TODAY())</f>
        <v/>
      </c>
      <c r="T89">
        <f>IF(L89="회신 완료","완료",IF(J89&lt;TODAY(),"지연",IF(J89-TODAY()&lt;=1,"임박(D-1 이내)",IF(J89-TODAY()&lt;=3,"임박(D-3 이내)","여유"))))</f>
        <v/>
      </c>
    </row>
    <row r="90">
      <c r="A90" s="7" t="n">
        <v>199</v>
      </c>
      <c r="B90" s="7" t="inlineStr">
        <is>
          <t>품질경영체제</t>
        </is>
      </c>
      <c r="C90" s="7" t="inlineStr">
        <is>
          <t>6-5</t>
        </is>
      </c>
      <c r="D90" s="7" t="inlineStr">
        <is>
          <t>자격인증서(검사원/현장작업자)</t>
        </is>
      </c>
      <c r="E90" s="7" t="inlineStr">
        <is>
          <t>보완 필요</t>
        </is>
      </c>
      <c r="F90" s="7" t="inlineStr">
        <is>
          <t>SH-FM-321</t>
        </is>
      </c>
      <c r="G90" s="7" t="inlineStr">
        <is>
          <t>SH-FM-321</t>
        </is>
      </c>
      <c r="H90" s="7" t="inlineStr">
        <is>
          <t>이광재</t>
        </is>
      </c>
      <c r="I90" s="7" t="inlineStr">
        <is>
          <t>발송용_담당자변경_20261027/메시지_이광재_20261027.txt</t>
        </is>
      </c>
      <c r="J90" s="8" t="n">
        <v>46331</v>
      </c>
      <c r="K90" s="8" t="n">
        <v>46322</v>
      </c>
      <c r="L90" s="7" t="inlineStr">
        <is>
          <t>발송(회신 대기)</t>
        </is>
      </c>
      <c r="M90" s="8" t="n"/>
      <c r="N90" s="7" t="n"/>
      <c r="O90" s="7" t="n"/>
      <c r="P90" s="7" t="inlineStr">
        <is>
          <t>항목·기준 작성 파일 수령 → 같은 Rev.00 재개정(recheck → 승인·배포) → 매핑표 '보유'로 갱신</t>
        </is>
      </c>
      <c r="Q90" s="7" t="inlineStr">
        <is>
          <t>미완료</t>
        </is>
      </c>
      <c r="R90" s="7" t="inlineStr">
        <is>
          <t>담당자 변경 재안내 발송 2026-10-27</t>
        </is>
      </c>
      <c r="S90">
        <f>IF(L90="회신 완료","",J90-TODAY())</f>
        <v/>
      </c>
      <c r="T90">
        <f>IF(L90="회신 완료","완료",IF(J90&lt;TODAY(),"지연",IF(J90-TODAY()&lt;=1,"임박(D-1 이내)",IF(J90-TODAY()&lt;=3,"임박(D-3 이내)","여유"))))</f>
        <v/>
      </c>
    </row>
    <row r="91">
      <c r="A91" s="7" t="n">
        <v>205</v>
      </c>
      <c r="B91" s="7" t="inlineStr">
        <is>
          <t>품질경영체제</t>
        </is>
      </c>
      <c r="C91" s="7" t="inlineStr">
        <is>
          <t>6-7</t>
        </is>
      </c>
      <c r="D91" s="7" t="inlineStr">
        <is>
          <t>부적합처리업무 프로세스</t>
        </is>
      </c>
      <c r="E91" s="7" t="inlineStr">
        <is>
          <t>보완 필요</t>
        </is>
      </c>
      <c r="F91" s="7" t="inlineStr">
        <is>
          <t>SH-FM-327</t>
        </is>
      </c>
      <c r="G91" s="7" t="inlineStr">
        <is>
          <t>SH-FM-327</t>
        </is>
      </c>
      <c r="H91" s="7" t="inlineStr">
        <is>
          <t>이광재</t>
        </is>
      </c>
      <c r="I91" s="7" t="inlineStr">
        <is>
          <t>발송용_담당자변경_20261027/메시지_이광재_20261027.txt</t>
        </is>
      </c>
      <c r="J91" s="8" t="n">
        <v>46331</v>
      </c>
      <c r="K91" s="8" t="n">
        <v>46322</v>
      </c>
      <c r="L91" s="7" t="inlineStr">
        <is>
          <t>발송(회신 대기)</t>
        </is>
      </c>
      <c r="M91" s="8" t="n"/>
      <c r="N91" s="7" t="n"/>
      <c r="O91" s="7" t="n"/>
      <c r="P91" s="7" t="inlineStr">
        <is>
          <t>항목·기준 작성 파일 수령 → 같은 Rev.00 재개정(recheck → 승인·배포) → 매핑표 '보유'로 갱신</t>
        </is>
      </c>
      <c r="Q91" s="7" t="inlineStr">
        <is>
          <t>미완료</t>
        </is>
      </c>
      <c r="R91" s="7" t="inlineStr">
        <is>
          <t>담당자 변경 재안내 발송 2026-10-27</t>
        </is>
      </c>
      <c r="S91">
        <f>IF(L91="회신 완료","",J91-TODAY())</f>
        <v/>
      </c>
      <c r="T91">
        <f>IF(L91="회신 완료","완료",IF(J91&lt;TODAY(),"지연",IF(J91-TODAY()&lt;=1,"임박(D-1 이내)",IF(J91-TODAY()&lt;=3,"임박(D-3 이내)","여유"))))</f>
        <v/>
      </c>
    </row>
    <row r="92">
      <c r="A92" s="7" t="n">
        <v>206</v>
      </c>
      <c r="B92" s="7" t="inlineStr">
        <is>
          <t>품질경영체제</t>
        </is>
      </c>
      <c r="C92" s="7" t="inlineStr">
        <is>
          <t>6-7</t>
        </is>
      </c>
      <c r="D92" s="7" t="inlineStr">
        <is>
          <t>부적합 격리보관장소 지정 (펜스격리)</t>
        </is>
      </c>
      <c r="E92" s="7" t="inlineStr">
        <is>
          <t>보완 필요</t>
        </is>
      </c>
      <c r="F92" s="7" t="inlineStr">
        <is>
          <t>SH-FM-328</t>
        </is>
      </c>
      <c r="G92" s="7" t="inlineStr">
        <is>
          <t>SH-FM-328</t>
        </is>
      </c>
      <c r="H92" s="7" t="inlineStr">
        <is>
          <t>이광재</t>
        </is>
      </c>
      <c r="I92" s="7" t="inlineStr">
        <is>
          <t>발송용_담당자변경_20261027/메시지_이광재_20261027.txt</t>
        </is>
      </c>
      <c r="J92" s="8" t="n">
        <v>46331</v>
      </c>
      <c r="K92" s="8" t="n">
        <v>46322</v>
      </c>
      <c r="L92" s="7" t="inlineStr">
        <is>
          <t>발송(회신 대기)</t>
        </is>
      </c>
      <c r="M92" s="8" t="n"/>
      <c r="N92" s="7" t="n"/>
      <c r="O92" s="7" t="n"/>
      <c r="P92" s="7" t="inlineStr">
        <is>
          <t>항목·기준 작성 파일 수령 → 같은 Rev.00 재개정(recheck → 승인·배포) → 매핑표 '보유'로 갱신</t>
        </is>
      </c>
      <c r="Q92" s="7" t="inlineStr">
        <is>
          <t>미완료</t>
        </is>
      </c>
      <c r="R92" s="7" t="inlineStr">
        <is>
          <t>담당자 변경 재안내 발송 2026-10-27</t>
        </is>
      </c>
      <c r="S92">
        <f>IF(L92="회신 완료","",J92-TODAY())</f>
        <v/>
      </c>
      <c r="T92">
        <f>IF(L92="회신 완료","완료",IF(J92&lt;TODAY(),"지연",IF(J92-TODAY()&lt;=1,"임박(D-1 이내)",IF(J92-TODAY()&lt;=3,"임박(D-3 이내)","여유"))))</f>
        <v/>
      </c>
    </row>
    <row r="93">
      <c r="A93" s="7" t="n">
        <v>207</v>
      </c>
      <c r="B93" s="7" t="inlineStr">
        <is>
          <t>품질경영체제</t>
        </is>
      </c>
      <c r="C93" s="7" t="inlineStr">
        <is>
          <t>6-7</t>
        </is>
      </c>
      <c r="D93" s="7" t="inlineStr">
        <is>
          <t>부적합처리일지</t>
        </is>
      </c>
      <c r="E93" s="7" t="inlineStr">
        <is>
          <t>보완 필요</t>
        </is>
      </c>
      <c r="F93" s="7" t="inlineStr">
        <is>
          <t>SH-FM-329</t>
        </is>
      </c>
      <c r="G93" s="7" t="inlineStr">
        <is>
          <t>SH-FM-329</t>
        </is>
      </c>
      <c r="H93" s="7" t="inlineStr">
        <is>
          <t>이광재</t>
        </is>
      </c>
      <c r="I93" s="7" t="inlineStr">
        <is>
          <t>발송용_담당자변경_20261027/메시지_이광재_20261027.txt</t>
        </is>
      </c>
      <c r="J93" s="8" t="n">
        <v>46331</v>
      </c>
      <c r="K93" s="8" t="n">
        <v>46322</v>
      </c>
      <c r="L93" s="7" t="inlineStr">
        <is>
          <t>발송(회신 대기)</t>
        </is>
      </c>
      <c r="M93" s="8" t="n"/>
      <c r="N93" s="7" t="n"/>
      <c r="O93" s="7" t="n"/>
      <c r="P93" s="7" t="inlineStr">
        <is>
          <t>항목·기준 작성 파일 수령 → 같은 Rev.00 재개정(recheck → 승인·배포) → 매핑표 '보유'로 갱신</t>
        </is>
      </c>
      <c r="Q93" s="7" t="inlineStr">
        <is>
          <t>미완료</t>
        </is>
      </c>
      <c r="R93" s="7" t="inlineStr">
        <is>
          <t>담당자 변경 재안내 발송 2026-10-27</t>
        </is>
      </c>
      <c r="S93">
        <f>IF(L93="회신 완료","",J93-TODAY())</f>
        <v/>
      </c>
      <c r="T93">
        <f>IF(L93="회신 완료","완료",IF(J93&lt;TODAY(),"지연",IF(J93-TODAY()&lt;=1,"임박(D-1 이내)",IF(J93-TODAY()&lt;=3,"임박(D-3 이내)","여유"))))</f>
        <v/>
      </c>
    </row>
    <row r="94">
      <c r="A94" s="7" t="n">
        <v>208</v>
      </c>
      <c r="B94" s="7" t="inlineStr">
        <is>
          <t>품질경영체제</t>
        </is>
      </c>
      <c r="C94" s="7" t="inlineStr">
        <is>
          <t>6-7</t>
        </is>
      </c>
      <c r="D94" s="7" t="inlineStr">
        <is>
          <t>부적합품 보관함</t>
        </is>
      </c>
      <c r="E94" s="7" t="inlineStr">
        <is>
          <t>보완 필요</t>
        </is>
      </c>
      <c r="F94" s="7" t="inlineStr">
        <is>
          <t>SH-FM-330</t>
        </is>
      </c>
      <c r="G94" s="7" t="inlineStr">
        <is>
          <t>SH-FM-330</t>
        </is>
      </c>
      <c r="H94" s="7" t="inlineStr">
        <is>
          <t>이광재</t>
        </is>
      </c>
      <c r="I94" s="7" t="inlineStr">
        <is>
          <t>발송용_담당자변경_20261027/메시지_이광재_20261027.txt</t>
        </is>
      </c>
      <c r="J94" s="8" t="n">
        <v>46331</v>
      </c>
      <c r="K94" s="8" t="n">
        <v>46322</v>
      </c>
      <c r="L94" s="7" t="inlineStr">
        <is>
          <t>발송(회신 대기)</t>
        </is>
      </c>
      <c r="M94" s="8" t="n"/>
      <c r="N94" s="7" t="n"/>
      <c r="O94" s="7" t="n"/>
      <c r="P94" s="7" t="inlineStr">
        <is>
          <t>항목·기준 작성 파일 수령 → 같은 Rev.00 재개정(recheck → 승인·배포) → 매핑표 '보유'로 갱신</t>
        </is>
      </c>
      <c r="Q94" s="7" t="inlineStr">
        <is>
          <t>미완료</t>
        </is>
      </c>
      <c r="R94" s="7" t="inlineStr">
        <is>
          <t>담당자 변경 재안내 발송 2026-10-27</t>
        </is>
      </c>
      <c r="S94">
        <f>IF(L94="회신 완료","",J94-TODAY())</f>
        <v/>
      </c>
      <c r="T94">
        <f>IF(L94="회신 완료","완료",IF(J94&lt;TODAY(),"지연",IF(J94-TODAY()&lt;=1,"임박(D-1 이내)",IF(J94-TODAY()&lt;=3,"임박(D-3 이내)","여유"))))</f>
        <v/>
      </c>
    </row>
    <row r="95">
      <c r="A95" s="7" t="n">
        <v>209</v>
      </c>
      <c r="B95" s="7" t="inlineStr">
        <is>
          <t>품질경영체제</t>
        </is>
      </c>
      <c r="C95" s="7" t="inlineStr">
        <is>
          <t>6-7</t>
        </is>
      </c>
      <c r="D95" s="7" t="inlineStr">
        <is>
          <t>부적합식별표</t>
        </is>
      </c>
      <c r="E95" s="7" t="inlineStr">
        <is>
          <t>보완 필요</t>
        </is>
      </c>
      <c r="F95" s="7" t="inlineStr">
        <is>
          <t>SH-FM-331</t>
        </is>
      </c>
      <c r="G95" s="7" t="inlineStr">
        <is>
          <t>SH-FM-331</t>
        </is>
      </c>
      <c r="H95" s="7" t="inlineStr">
        <is>
          <t>이광재</t>
        </is>
      </c>
      <c r="I95" s="7" t="inlineStr">
        <is>
          <t>발송용_담당자변경_20261027/메시지_이광재_20261027.txt</t>
        </is>
      </c>
      <c r="J95" s="8" t="n">
        <v>46331</v>
      </c>
      <c r="K95" s="8" t="n">
        <v>46322</v>
      </c>
      <c r="L95" s="7" t="inlineStr">
        <is>
          <t>발송(회신 대기)</t>
        </is>
      </c>
      <c r="M95" s="8" t="n"/>
      <c r="N95" s="7" t="n"/>
      <c r="O95" s="7" t="n"/>
      <c r="P95" s="7" t="inlineStr">
        <is>
          <t>항목·기준 작성 파일 수령 → 같은 Rev.00 재개정(recheck → 승인·배포) → 매핑표 '보유'로 갱신</t>
        </is>
      </c>
      <c r="Q95" s="7" t="inlineStr">
        <is>
          <t>미완료</t>
        </is>
      </c>
      <c r="R95" s="7" t="inlineStr">
        <is>
          <t>담당자 변경 재안내 발송 2026-10-27</t>
        </is>
      </c>
      <c r="S95">
        <f>IF(L95="회신 완료","",J95-TODAY())</f>
        <v/>
      </c>
      <c r="T95">
        <f>IF(L95="회신 완료","완료",IF(J95&lt;TODAY(),"지연",IF(J95-TODAY()&lt;=1,"임박(D-1 이내)",IF(J95-TODAY()&lt;=3,"임박(D-3 이내)","여유"))))</f>
        <v/>
      </c>
    </row>
    <row r="96">
      <c r="A96" s="7" t="n">
        <v>232</v>
      </c>
      <c r="B96" s="7" t="inlineStr">
        <is>
          <t>품질경영체제</t>
        </is>
      </c>
      <c r="C96" s="7" t="inlineStr">
        <is>
          <t>6-12</t>
        </is>
      </c>
      <c r="D96" s="7" t="inlineStr">
        <is>
          <t>재작업품 출하 고객승인본</t>
        </is>
      </c>
      <c r="E96" s="7" t="inlineStr">
        <is>
          <t>보완 필요</t>
        </is>
      </c>
      <c r="F96" s="7" t="inlineStr">
        <is>
          <t>SH-FM-354</t>
        </is>
      </c>
      <c r="G96" s="7" t="inlineStr">
        <is>
          <t>SH-FM-354</t>
        </is>
      </c>
      <c r="H96" s="7" t="inlineStr">
        <is>
          <t>이광재</t>
        </is>
      </c>
      <c r="I96" s="7" t="inlineStr">
        <is>
          <t>발송용_담당자변경_20261027/메시지_이광재_20261027.txt</t>
        </is>
      </c>
      <c r="J96" s="8" t="n">
        <v>46331</v>
      </c>
      <c r="K96" s="8" t="n">
        <v>46322</v>
      </c>
      <c r="L96" s="7" t="inlineStr">
        <is>
          <t>발송(회신 대기)</t>
        </is>
      </c>
      <c r="M96" s="8" t="n"/>
      <c r="N96" s="7" t="n"/>
      <c r="O96" s="7" t="n"/>
      <c r="P96" s="7" t="inlineStr">
        <is>
          <t>항목·기준 작성 파일 수령 → 같은 Rev.00 재개정(recheck → 승인·배포) → 매핑표 '보유'로 갱신</t>
        </is>
      </c>
      <c r="Q96" s="7" t="inlineStr">
        <is>
          <t>미완료</t>
        </is>
      </c>
      <c r="R96" s="7" t="inlineStr">
        <is>
          <t>담당자 변경 재안내 발송 2026-10-27</t>
        </is>
      </c>
      <c r="S96">
        <f>IF(L96="회신 완료","",J96-TODAY())</f>
        <v/>
      </c>
      <c r="T96">
        <f>IF(L96="회신 완료","완료",IF(J96&lt;TODAY(),"지연",IF(J96-TODAY()&lt;=1,"임박(D-1 이내)",IF(J96-TODAY()&lt;=3,"임박(D-3 이내)","여유"))))</f>
        <v/>
      </c>
    </row>
    <row r="97">
      <c r="A97" s="7" t="n">
        <v>19</v>
      </c>
      <c r="B97" s="7" t="inlineStr">
        <is>
          <t>생산조건관리</t>
        </is>
      </c>
      <c r="C97" s="7" t="inlineStr">
        <is>
          <t>1-4</t>
        </is>
      </c>
      <c r="D97" s="7" t="inlineStr">
        <is>
          <t>야간설비일상점검표</t>
        </is>
      </c>
      <c r="E97" s="7" t="inlineStr">
        <is>
          <t>보유 확인</t>
        </is>
      </c>
      <c r="F97" s="7" t="inlineStr">
        <is>
          <t>SH-FM-141</t>
        </is>
      </c>
      <c r="G97" s="7" t="inlineStr">
        <is>
          <t>SH-FM-101</t>
        </is>
      </c>
      <c r="H97" s="7" t="inlineStr">
        <is>
          <t>황지환</t>
        </is>
      </c>
      <c r="I97" s="7" t="inlineStr">
        <is>
          <t>발송용_최종_20261008/메시지_황지환.txt</t>
        </is>
      </c>
      <c r="J97" s="8" t="n">
        <v>46331</v>
      </c>
      <c r="K97" s="8" t="n">
        <v>46303</v>
      </c>
      <c r="L97" s="7" t="inlineStr">
        <is>
          <t>발송(회신 대기)</t>
        </is>
      </c>
      <c r="M97" s="8" t="n"/>
      <c r="N97" s="7" t="n"/>
      <c r="O97" s="7" t="n"/>
      <c r="P97" s="7" t="inlineStr">
        <is>
          <t>4가지 확인 결과 → 문제 없으면 보유 유지, 문제 시 상태 재판정</t>
        </is>
      </c>
      <c r="Q97" s="7" t="inlineStr">
        <is>
          <t>미완료</t>
        </is>
      </c>
      <c r="R97" s="7" t="inlineStr">
        <is>
          <t>담당자 정정본3 기준 변경(인쇄물 전달 당시: 이광재)</t>
        </is>
      </c>
      <c r="S97">
        <f>IF(L97="회신 완료","",J97-TODAY())</f>
        <v/>
      </c>
      <c r="T97">
        <f>IF(L97="회신 완료","완료",IF(J97&lt;TODAY(),"지연",IF(J97-TODAY()&lt;=1,"임박(D-1 이내)",IF(J97-TODAY()&lt;=3,"임박(D-3 이내)","여유"))))</f>
        <v/>
      </c>
    </row>
    <row r="98">
      <c r="A98" s="7" t="n">
        <v>142</v>
      </c>
      <c r="B98" s="7" t="inlineStr">
        <is>
          <t>자재관리</t>
        </is>
      </c>
      <c r="C98" s="7" t="inlineStr">
        <is>
          <t>5-2</t>
        </is>
      </c>
      <c r="D98" s="7" t="inlineStr">
        <is>
          <t>원자재보관대 LAY-OUT 및재고현황</t>
        </is>
      </c>
      <c r="E98" s="7" t="inlineStr">
        <is>
          <t>판단 보류</t>
        </is>
      </c>
      <c r="F98" s="7" t="inlineStr">
        <is>
          <t>SH-FM-264</t>
        </is>
      </c>
      <c r="G98" s="7" t="inlineStr">
        <is>
          <t>SH-FM-264</t>
        </is>
      </c>
      <c r="H98" s="7" t="inlineStr">
        <is>
          <t>이은주</t>
        </is>
      </c>
      <c r="I98" s="7" t="inlineStr">
        <is>
          <t>발송용_최종_20261008/메시지_이은주.txt</t>
        </is>
      </c>
      <c r="J98" s="8" t="n">
        <v>46331</v>
      </c>
      <c r="K98" s="8" t="n">
        <v>46303</v>
      </c>
      <c r="L98" s="7" t="inlineStr">
        <is>
          <t>발송(회신 대기)</t>
        </is>
      </c>
      <c r="M98" s="8" t="n"/>
      <c r="N98" s="7" t="n"/>
      <c r="O98" s="7" t="n"/>
      <c r="P98" s="7" t="inlineStr">
        <is>
          <t>현물 증빙(사진·위치) 확인 → 매핑표에 현물 보유 반영 검토</t>
        </is>
      </c>
      <c r="Q98" s="7" t="inlineStr">
        <is>
          <t>미완료</t>
        </is>
      </c>
      <c r="R98" s="7" t="n"/>
      <c r="S98">
        <f>IF(L98="회신 완료","",J98-TODAY())</f>
        <v/>
      </c>
      <c r="T98">
        <f>IF(L98="회신 완료","완료",IF(J98&lt;TODAY(),"지연",IF(J98-TODAY()&lt;=1,"임박(D-1 이내)",IF(J98-TODAY()&lt;=3,"임박(D-3 이내)","여유"))))</f>
        <v/>
      </c>
    </row>
    <row r="99">
      <c r="A99" s="7" t="n">
        <v>143</v>
      </c>
      <c r="B99" s="7" t="inlineStr">
        <is>
          <t>자재관리</t>
        </is>
      </c>
      <c r="C99" s="7" t="inlineStr">
        <is>
          <t>5-2</t>
        </is>
      </c>
      <c r="D99" s="7" t="inlineStr">
        <is>
          <t>원자재보관대 구역설정및 식별</t>
        </is>
      </c>
      <c r="E99" s="7" t="inlineStr">
        <is>
          <t>판단 보류</t>
        </is>
      </c>
      <c r="F99" s="7" t="inlineStr">
        <is>
          <t>SH-FM-265</t>
        </is>
      </c>
      <c r="G99" s="7" t="inlineStr">
        <is>
          <t>SH-FM-265</t>
        </is>
      </c>
      <c r="H99" s="7" t="inlineStr">
        <is>
          <t>이은주</t>
        </is>
      </c>
      <c r="I99" s="7" t="inlineStr">
        <is>
          <t>발송용_최종_20261008/메시지_이은주.txt</t>
        </is>
      </c>
      <c r="J99" s="8" t="n">
        <v>46331</v>
      </c>
      <c r="K99" s="8" t="n">
        <v>46303</v>
      </c>
      <c r="L99" s="7" t="inlineStr">
        <is>
          <t>발송(회신 대기)</t>
        </is>
      </c>
      <c r="M99" s="8" t="n"/>
      <c r="N99" s="7" t="n"/>
      <c r="O99" s="7" t="n"/>
      <c r="P99" s="7" t="inlineStr">
        <is>
          <t>현물 증빙(사진·위치) 확인 → 매핑표에 현물 보유 반영 검토</t>
        </is>
      </c>
      <c r="Q99" s="7" t="inlineStr">
        <is>
          <t>미완료</t>
        </is>
      </c>
      <c r="R99" s="7" t="n"/>
      <c r="S99">
        <f>IF(L99="회신 완료","",J99-TODAY())</f>
        <v/>
      </c>
      <c r="T99">
        <f>IF(L99="회신 완료","완료",IF(J99&lt;TODAY(),"지연",IF(J99-TODAY()&lt;=1,"임박(D-1 이내)",IF(J99-TODAY()&lt;=3,"임박(D-3 이내)","여유"))))</f>
        <v/>
      </c>
    </row>
    <row r="100">
      <c r="A100" s="7" t="n">
        <v>145</v>
      </c>
      <c r="B100" s="7" t="inlineStr">
        <is>
          <t>자재관리</t>
        </is>
      </c>
      <c r="C100" s="7" t="inlineStr">
        <is>
          <t>5-2</t>
        </is>
      </c>
      <c r="D100" s="7" t="inlineStr">
        <is>
          <t>.원자재식별표</t>
        </is>
      </c>
      <c r="E100" s="7" t="inlineStr">
        <is>
          <t>판단 보류</t>
        </is>
      </c>
      <c r="F100" s="7" t="inlineStr">
        <is>
          <t>SH-FM-267</t>
        </is>
      </c>
      <c r="G100" s="7" t="inlineStr">
        <is>
          <t>SH-FM-159</t>
        </is>
      </c>
      <c r="H100" s="7" t="inlineStr">
        <is>
          <t>이은주</t>
        </is>
      </c>
      <c r="I100" s="7" t="inlineStr">
        <is>
          <t>발송용_최종_20261008/메시지_이은주.txt</t>
        </is>
      </c>
      <c r="J100" s="8" t="n">
        <v>46331</v>
      </c>
      <c r="K100" s="8" t="n">
        <v>46303</v>
      </c>
      <c r="L100" s="7" t="inlineStr">
        <is>
          <t>발송(회신 대기)</t>
        </is>
      </c>
      <c r="M100" s="8" t="n"/>
      <c r="N100" s="7" t="n"/>
      <c r="O100" s="7" t="n"/>
      <c r="P100" s="7" t="inlineStr">
        <is>
          <t>통합 유지 확인 → 증빙 매핑표 갱신 / 분리 필요 시 통합 해제(FM Master·결정 CSV)</t>
        </is>
      </c>
      <c r="Q100" s="7" t="inlineStr">
        <is>
          <t>미완료</t>
        </is>
      </c>
      <c r="R100" s="7" t="n"/>
      <c r="S100">
        <f>IF(L100="회신 완료","",J100-TODAY())</f>
        <v/>
      </c>
      <c r="T100">
        <f>IF(L100="회신 완료","완료",IF(J100&lt;TODAY(),"지연",IF(J100-TODAY()&lt;=1,"임박(D-1 이내)",IF(J100-TODAY()&lt;=3,"임박(D-3 이내)","여유"))))</f>
        <v/>
      </c>
    </row>
    <row r="101">
      <c r="A101" s="7" t="n">
        <v>155</v>
      </c>
      <c r="B101" s="7" t="inlineStr">
        <is>
          <t>자재관리</t>
        </is>
      </c>
      <c r="C101" s="7" t="inlineStr">
        <is>
          <t>5-3</t>
        </is>
      </c>
      <c r="D101" s="7" t="inlineStr">
        <is>
          <t>.원자재식별표</t>
        </is>
      </c>
      <c r="E101" s="7" t="inlineStr">
        <is>
          <t>판단 보류</t>
        </is>
      </c>
      <c r="F101" s="7" t="inlineStr">
        <is>
          <t>SH-FM-277</t>
        </is>
      </c>
      <c r="G101" s="7" t="inlineStr">
        <is>
          <t>SH-FM-159</t>
        </is>
      </c>
      <c r="H101" s="7" t="inlineStr">
        <is>
          <t>이은주</t>
        </is>
      </c>
      <c r="I101" s="7" t="inlineStr">
        <is>
          <t>발송용_최종_20261008/메시지_이은주.txt</t>
        </is>
      </c>
      <c r="J101" s="8" t="n">
        <v>46331</v>
      </c>
      <c r="K101" s="8" t="n">
        <v>46303</v>
      </c>
      <c r="L101" s="7" t="inlineStr">
        <is>
          <t>발송(회신 대기)</t>
        </is>
      </c>
      <c r="M101" s="8" t="n"/>
      <c r="N101" s="7" t="n"/>
      <c r="O101" s="7" t="n"/>
      <c r="P101" s="7" t="inlineStr">
        <is>
          <t>통합 유지 확인 → 증빙 매핑표 갱신 / 분리 필요 시 통합 해제(FM Master·결정 CSV)</t>
        </is>
      </c>
      <c r="Q101" s="7" t="inlineStr">
        <is>
          <t>미완료</t>
        </is>
      </c>
      <c r="R101" s="7" t="n"/>
      <c r="S101">
        <f>IF(L101="회신 완료","",J101-TODAY())</f>
        <v/>
      </c>
      <c r="T101">
        <f>IF(L101="회신 완료","완료",IF(J101&lt;TODAY(),"지연",IF(J101-TODAY()&lt;=1,"임박(D-1 이내)",IF(J101-TODAY()&lt;=3,"임박(D-3 이내)","여유"))))</f>
        <v/>
      </c>
    </row>
    <row r="102">
      <c r="A102" s="7" t="n">
        <v>31</v>
      </c>
      <c r="B102" s="7" t="inlineStr">
        <is>
          <t>검사시험</t>
        </is>
      </c>
      <c r="C102" s="7" t="inlineStr">
        <is>
          <t>2-1</t>
        </is>
      </c>
      <c r="D102" s="7" t="inlineStr">
        <is>
          <t>원자재 입고 LIST</t>
        </is>
      </c>
      <c r="E102" s="7" t="inlineStr">
        <is>
          <t>보완 필요</t>
        </is>
      </c>
      <c r="F102" s="7" t="inlineStr">
        <is>
          <t>SH-FM-153</t>
        </is>
      </c>
      <c r="G102" s="7" t="inlineStr">
        <is>
          <t>SH-FM-153</t>
        </is>
      </c>
      <c r="H102" s="7" t="inlineStr">
        <is>
          <t>이은주</t>
        </is>
      </c>
      <c r="I102" s="7" t="inlineStr">
        <is>
          <t>발송용_최종_20261008/메시지_이은주.txt</t>
        </is>
      </c>
      <c r="J102" s="8" t="n">
        <v>46331</v>
      </c>
      <c r="K102" s="8" t="n">
        <v>46303</v>
      </c>
      <c r="L102" s="7" t="inlineStr">
        <is>
          <t>발송(회신 대기)</t>
        </is>
      </c>
      <c r="M102" s="8" t="n"/>
      <c r="N102" s="7" t="n"/>
      <c r="O102" s="7" t="n"/>
      <c r="P102" s="7" t="inlineStr">
        <is>
          <t>항목·기준 작성 파일 수령 → 같은 Rev.00 재개정(recheck → 승인·배포) → 매핑표 '보유'로 갱신</t>
        </is>
      </c>
      <c r="Q102" s="7" t="inlineStr">
        <is>
          <t>미완료</t>
        </is>
      </c>
      <c r="R102" s="7" t="n"/>
      <c r="S102">
        <f>IF(L102="회신 완료","",J102-TODAY())</f>
        <v/>
      </c>
      <c r="T102">
        <f>IF(L102="회신 완료","완료",IF(J102&lt;TODAY(),"지연",IF(J102-TODAY()&lt;=1,"임박(D-1 이내)",IF(J102-TODAY()&lt;=3,"임박(D-3 이내)","여유"))))</f>
        <v/>
      </c>
    </row>
    <row r="103">
      <c r="A103" s="7" t="n">
        <v>32</v>
      </c>
      <c r="B103" s="7" t="inlineStr">
        <is>
          <t>검사시험</t>
        </is>
      </c>
      <c r="C103" s="7" t="inlineStr">
        <is>
          <t>2-1</t>
        </is>
      </c>
      <c r="D103" s="7" t="inlineStr">
        <is>
          <t>원자재수입검사 기준서</t>
        </is>
      </c>
      <c r="E103" s="7" t="inlineStr">
        <is>
          <t>보완 필요</t>
        </is>
      </c>
      <c r="F103" s="7" t="inlineStr">
        <is>
          <t>SH-FM-154</t>
        </is>
      </c>
      <c r="G103" s="7" t="inlineStr">
        <is>
          <t>SH-FM-154</t>
        </is>
      </c>
      <c r="H103" s="7" t="inlineStr">
        <is>
          <t>이은주</t>
        </is>
      </c>
      <c r="I103" s="7" t="inlineStr">
        <is>
          <t>발송용_최종_20261008/메시지_이은주.txt</t>
        </is>
      </c>
      <c r="J103" s="8" t="n">
        <v>46331</v>
      </c>
      <c r="K103" s="8" t="n">
        <v>46303</v>
      </c>
      <c r="L103" s="7" t="inlineStr">
        <is>
          <t>발송(회신 대기)</t>
        </is>
      </c>
      <c r="M103" s="8" t="n"/>
      <c r="N103" s="7" t="n"/>
      <c r="O103" s="7" t="n"/>
      <c r="P103" s="7" t="inlineStr">
        <is>
          <t>항목·기준 작성 파일 수령 → 같은 Rev.00 재개정(recheck → 승인·배포) → 매핑표 '보유'로 갱신</t>
        </is>
      </c>
      <c r="Q103" s="7" t="inlineStr">
        <is>
          <t>미완료</t>
        </is>
      </c>
      <c r="R103" s="7" t="n"/>
      <c r="S103">
        <f>IF(L103="회신 완료","",J103-TODAY())</f>
        <v/>
      </c>
      <c r="T103">
        <f>IF(L103="회신 완료","완료",IF(J103&lt;TODAY(),"지연",IF(J103-TODAY()&lt;=1,"임박(D-1 이내)",IF(J103-TODAY()&lt;=3,"임박(D-3 이내)","여유"))))</f>
        <v/>
      </c>
    </row>
    <row r="104">
      <c r="A104" s="7" t="n">
        <v>33</v>
      </c>
      <c r="B104" s="7" t="inlineStr">
        <is>
          <t>검사시험</t>
        </is>
      </c>
      <c r="C104" s="7" t="inlineStr">
        <is>
          <t>2-1</t>
        </is>
      </c>
      <c r="D104" s="7" t="inlineStr">
        <is>
          <t>원자재수입검사 일지</t>
        </is>
      </c>
      <c r="E104" s="7" t="inlineStr">
        <is>
          <t>보완 필요</t>
        </is>
      </c>
      <c r="F104" s="7" t="inlineStr">
        <is>
          <t>SH-FM-155</t>
        </is>
      </c>
      <c r="G104" s="7" t="inlineStr">
        <is>
          <t>SH-FM-155</t>
        </is>
      </c>
      <c r="H104" s="7" t="inlineStr">
        <is>
          <t>이은주</t>
        </is>
      </c>
      <c r="I104" s="7" t="inlineStr">
        <is>
          <t>발송용_최종_20261008/메시지_이은주.txt</t>
        </is>
      </c>
      <c r="J104" s="8" t="n">
        <v>46331</v>
      </c>
      <c r="K104" s="8" t="n">
        <v>46303</v>
      </c>
      <c r="L104" s="7" t="inlineStr">
        <is>
          <t>발송(회신 대기)</t>
        </is>
      </c>
      <c r="M104" s="8" t="n"/>
      <c r="N104" s="7" t="n"/>
      <c r="O104" s="7" t="n"/>
      <c r="P104" s="7" t="inlineStr">
        <is>
          <t>항목·기준 작성 파일 수령 → 같은 Rev.00 재개정(recheck → 승인·배포) → 매핑표 '보유'로 갱신</t>
        </is>
      </c>
      <c r="Q104" s="7" t="inlineStr">
        <is>
          <t>미완료</t>
        </is>
      </c>
      <c r="R104" s="7" t="n"/>
      <c r="S104">
        <f>IF(L104="회신 완료","",J104-TODAY())</f>
        <v/>
      </c>
      <c r="T104">
        <f>IF(L104="회신 완료","완료",IF(J104&lt;TODAY(),"지연",IF(J104-TODAY()&lt;=1,"임박(D-1 이내)",IF(J104-TODAY()&lt;=3,"임박(D-3 이내)","여유"))))</f>
        <v/>
      </c>
    </row>
    <row r="105">
      <c r="A105" s="7" t="n">
        <v>34</v>
      </c>
      <c r="B105" s="7" t="inlineStr">
        <is>
          <t>검사시험</t>
        </is>
      </c>
      <c r="C105" s="7" t="inlineStr">
        <is>
          <t>2-1</t>
        </is>
      </c>
      <c r="D105" s="7" t="inlineStr">
        <is>
          <t>원자재 M/SHEET (입고LOT별 접수)</t>
        </is>
      </c>
      <c r="E105" s="7" t="inlineStr">
        <is>
          <t>보완 필요</t>
        </is>
      </c>
      <c r="F105" s="7" t="inlineStr">
        <is>
          <t>SH-FM-156</t>
        </is>
      </c>
      <c r="G105" s="7" t="inlineStr">
        <is>
          <t>SH-FM-156</t>
        </is>
      </c>
      <c r="H105" s="7" t="inlineStr">
        <is>
          <t>이은주</t>
        </is>
      </c>
      <c r="I105" s="7" t="inlineStr">
        <is>
          <t>발송용_최종_20261008/메시지_이은주.txt</t>
        </is>
      </c>
      <c r="J105" s="8" t="n">
        <v>46331</v>
      </c>
      <c r="K105" s="8" t="n">
        <v>46303</v>
      </c>
      <c r="L105" s="7" t="inlineStr">
        <is>
          <t>발송(회신 대기)</t>
        </is>
      </c>
      <c r="M105" s="8" t="n"/>
      <c r="N105" s="7" t="n"/>
      <c r="O105" s="7" t="n"/>
      <c r="P105" s="7" t="inlineStr">
        <is>
          <t>항목·기준 작성 파일 수령 → 같은 Rev.00 재개정(recheck → 승인·배포) → 매핑표 '보유'로 갱신</t>
        </is>
      </c>
      <c r="Q105" s="7" t="inlineStr">
        <is>
          <t>미완료</t>
        </is>
      </c>
      <c r="R105" s="7" t="n"/>
      <c r="S105">
        <f>IF(L105="회신 완료","",J105-TODAY())</f>
        <v/>
      </c>
      <c r="T105">
        <f>IF(L105="회신 완료","완료",IF(J105&lt;TODAY(),"지연",IF(J105-TODAY()&lt;=1,"임박(D-1 이내)",IF(J105-TODAY()&lt;=3,"임박(D-3 이내)","여유"))))</f>
        <v/>
      </c>
    </row>
    <row r="106">
      <c r="A106" s="7" t="n">
        <v>35</v>
      </c>
      <c r="B106" s="7" t="inlineStr">
        <is>
          <t>검사시험</t>
        </is>
      </c>
      <c r="C106" s="7" t="inlineStr">
        <is>
          <t>2-1</t>
        </is>
      </c>
      <c r="D106" s="7" t="inlineStr">
        <is>
          <t>원자재 규격별 물성및 화학조성비 기준서</t>
        </is>
      </c>
      <c r="E106" s="7" t="inlineStr">
        <is>
          <t>보완 필요</t>
        </is>
      </c>
      <c r="F106" s="7" t="inlineStr">
        <is>
          <t>SH-FM-157</t>
        </is>
      </c>
      <c r="G106" s="7" t="inlineStr">
        <is>
          <t>SH-FM-157</t>
        </is>
      </c>
      <c r="H106" s="7" t="inlineStr">
        <is>
          <t>이은주</t>
        </is>
      </c>
      <c r="I106" s="7" t="inlineStr">
        <is>
          <t>발송용_최종_20261008/메시지_이은주.txt</t>
        </is>
      </c>
      <c r="J106" s="8" t="n">
        <v>46331</v>
      </c>
      <c r="K106" s="8" t="n">
        <v>46303</v>
      </c>
      <c r="L106" s="7" t="inlineStr">
        <is>
          <t>발송(회신 대기)</t>
        </is>
      </c>
      <c r="M106" s="8" t="n"/>
      <c r="N106" s="7" t="n"/>
      <c r="O106" s="7" t="n"/>
      <c r="P106" s="7" t="inlineStr">
        <is>
          <t>항목·기준 작성 파일 수령 → 같은 Rev.00 재개정(recheck → 승인·배포) → 매핑표 '보유'로 갱신</t>
        </is>
      </c>
      <c r="Q106" s="7" t="inlineStr">
        <is>
          <t>미완료</t>
        </is>
      </c>
      <c r="R106" s="7" t="n"/>
      <c r="S106">
        <f>IF(L106="회신 완료","",J106-TODAY())</f>
        <v/>
      </c>
      <c r="T106">
        <f>IF(L106="회신 완료","완료",IF(J106&lt;TODAY(),"지연",IF(J106-TODAY()&lt;=1,"임박(D-1 이내)",IF(J106-TODAY()&lt;=3,"임박(D-3 이내)","여유"))))</f>
        <v/>
      </c>
    </row>
    <row r="107">
      <c r="A107" s="7" t="n">
        <v>36</v>
      </c>
      <c r="B107" s="7" t="inlineStr">
        <is>
          <t>검사시험</t>
        </is>
      </c>
      <c r="C107" s="7" t="inlineStr">
        <is>
          <t>2-1</t>
        </is>
      </c>
      <c r="D107" s="7" t="inlineStr">
        <is>
          <t>원자재 중금속검사 성적서</t>
        </is>
      </c>
      <c r="E107" s="7" t="inlineStr">
        <is>
          <t>보완 필요</t>
        </is>
      </c>
      <c r="F107" s="7" t="inlineStr">
        <is>
          <t>SH-FM-158</t>
        </is>
      </c>
      <c r="G107" s="7" t="inlineStr">
        <is>
          <t>SH-FM-158</t>
        </is>
      </c>
      <c r="H107" s="7" t="inlineStr">
        <is>
          <t>이은주</t>
        </is>
      </c>
      <c r="I107" s="7" t="inlineStr">
        <is>
          <t>발송용_최종_20261008/메시지_이은주.txt</t>
        </is>
      </c>
      <c r="J107" s="8" t="n">
        <v>46331</v>
      </c>
      <c r="K107" s="8" t="n">
        <v>46303</v>
      </c>
      <c r="L107" s="7" t="inlineStr">
        <is>
          <t>발송(회신 대기)</t>
        </is>
      </c>
      <c r="M107" s="8" t="n"/>
      <c r="N107" s="7" t="n"/>
      <c r="O107" s="7" t="n"/>
      <c r="P107" s="7" t="inlineStr">
        <is>
          <t>항목·기준 작성 파일 수령 → 같은 Rev.00 재개정(recheck → 승인·배포) → 매핑표 '보유'로 갱신</t>
        </is>
      </c>
      <c r="Q107" s="7" t="inlineStr">
        <is>
          <t>미완료</t>
        </is>
      </c>
      <c r="R107" s="7" t="n"/>
      <c r="S107">
        <f>IF(L107="회신 완료","",J107-TODAY())</f>
        <v/>
      </c>
      <c r="T107">
        <f>IF(L107="회신 완료","완료",IF(J107&lt;TODAY(),"지연",IF(J107-TODAY()&lt;=1,"임박(D-1 이내)",IF(J107-TODAY()&lt;=3,"임박(D-3 이내)","여유"))))</f>
        <v/>
      </c>
    </row>
    <row r="108">
      <c r="A108" s="7" t="n">
        <v>37</v>
      </c>
      <c r="B108" s="7" t="inlineStr">
        <is>
          <t>검사시험</t>
        </is>
      </c>
      <c r="C108" s="7" t="inlineStr">
        <is>
          <t>2-1</t>
        </is>
      </c>
      <c r="D108" s="7" t="inlineStr">
        <is>
          <t>원자재식별표</t>
        </is>
      </c>
      <c r="E108" s="7" t="inlineStr">
        <is>
          <t>보완 필요</t>
        </is>
      </c>
      <c r="F108" s="7" t="inlineStr">
        <is>
          <t>SH-FM-159</t>
        </is>
      </c>
      <c r="G108" s="7" t="inlineStr">
        <is>
          <t>SH-FM-159</t>
        </is>
      </c>
      <c r="H108" s="7" t="inlineStr">
        <is>
          <t>이은주</t>
        </is>
      </c>
      <c r="I108" s="7" t="inlineStr">
        <is>
          <t>발송용_최종_20261008/메시지_이은주.txt</t>
        </is>
      </c>
      <c r="J108" s="8" t="n">
        <v>46331</v>
      </c>
      <c r="K108" s="8" t="n">
        <v>46303</v>
      </c>
      <c r="L108" s="7" t="inlineStr">
        <is>
          <t>발송(회신 대기)</t>
        </is>
      </c>
      <c r="M108" s="8" t="n"/>
      <c r="N108" s="7" t="n"/>
      <c r="O108" s="7" t="n"/>
      <c r="P108" s="7" t="inlineStr">
        <is>
          <t>항목·기준 작성 파일 수령 → 같은 Rev.00 재개정(recheck → 승인·배포) → 매핑표 '보유'로 갱신</t>
        </is>
      </c>
      <c r="Q108" s="7" t="inlineStr">
        <is>
          <t>미완료</t>
        </is>
      </c>
      <c r="R108" s="7" t="n"/>
      <c r="S108">
        <f>IF(L108="회신 완료","",J108-TODAY())</f>
        <v/>
      </c>
      <c r="T108">
        <f>IF(L108="회신 완료","완료",IF(J108&lt;TODAY(),"지연",IF(J108-TODAY()&lt;=1,"임박(D-1 이내)",IF(J108-TODAY()&lt;=3,"임박(D-3 이내)","여유"))))</f>
        <v/>
      </c>
    </row>
    <row r="109">
      <c r="A109" s="7" t="n">
        <v>39</v>
      </c>
      <c r="B109" s="7" t="inlineStr">
        <is>
          <t>검사시험</t>
        </is>
      </c>
      <c r="C109" s="7" t="inlineStr">
        <is>
          <t>2-2</t>
        </is>
      </c>
      <c r="D109" s="7" t="inlineStr">
        <is>
          <t>외주품입고식별표</t>
        </is>
      </c>
      <c r="E109" s="7" t="inlineStr">
        <is>
          <t>보완 필요</t>
        </is>
      </c>
      <c r="F109" s="7" t="inlineStr">
        <is>
          <t>SH-FM-161</t>
        </is>
      </c>
      <c r="G109" s="7" t="inlineStr">
        <is>
          <t>SH-FM-161</t>
        </is>
      </c>
      <c r="H109" s="7" t="inlineStr">
        <is>
          <t>이은주</t>
        </is>
      </c>
      <c r="I109" s="7" t="inlineStr">
        <is>
          <t>발송용_최종_20261008/메시지_이은주.txt</t>
        </is>
      </c>
      <c r="J109" s="8" t="n">
        <v>46331</v>
      </c>
      <c r="K109" s="8" t="n">
        <v>46303</v>
      </c>
      <c r="L109" s="7" t="inlineStr">
        <is>
          <t>발송(회신 대기)</t>
        </is>
      </c>
      <c r="M109" s="8" t="n"/>
      <c r="N109" s="7" t="n"/>
      <c r="O109" s="7" t="n"/>
      <c r="P109" s="7" t="inlineStr">
        <is>
          <t>항목·기준 작성 파일 수령 → 같은 Rev.00 재개정(recheck → 승인·배포) → 매핑표 '보유'로 갱신</t>
        </is>
      </c>
      <c r="Q109" s="7" t="inlineStr">
        <is>
          <t>미완료</t>
        </is>
      </c>
      <c r="R109" s="7" t="n"/>
      <c r="S109">
        <f>IF(L109="회신 완료","",J109-TODAY())</f>
        <v/>
      </c>
      <c r="T109">
        <f>IF(L109="회신 완료","완료",IF(J109&lt;TODAY(),"지연",IF(J109-TODAY()&lt;=1,"임박(D-1 이내)",IF(J109-TODAY()&lt;=3,"임박(D-3 이내)","여유"))))</f>
        <v/>
      </c>
    </row>
    <row r="110">
      <c r="A110" s="7" t="n">
        <v>49</v>
      </c>
      <c r="B110" s="7" t="inlineStr">
        <is>
          <t>검사시험</t>
        </is>
      </c>
      <c r="C110" s="7" t="inlineStr">
        <is>
          <t>2-4</t>
        </is>
      </c>
      <c r="D110" s="7" t="inlineStr">
        <is>
          <t>중금속 정기검사 계획대실적</t>
        </is>
      </c>
      <c r="E110" s="7" t="inlineStr">
        <is>
          <t>보완 필요</t>
        </is>
      </c>
      <c r="F110" s="7" t="inlineStr">
        <is>
          <t>SH-FM-171</t>
        </is>
      </c>
      <c r="G110" s="7" t="inlineStr">
        <is>
          <t>SH-FM-171</t>
        </is>
      </c>
      <c r="H110" s="7" t="inlineStr">
        <is>
          <t>이은주</t>
        </is>
      </c>
      <c r="I110" s="7" t="inlineStr">
        <is>
          <t>발송용_최종_20261008/메시지_이은주.txt</t>
        </is>
      </c>
      <c r="J110" s="8" t="n">
        <v>46331</v>
      </c>
      <c r="K110" s="8" t="n">
        <v>46303</v>
      </c>
      <c r="L110" s="7" t="inlineStr">
        <is>
          <t>발송(회신 대기)</t>
        </is>
      </c>
      <c r="M110" s="8" t="n"/>
      <c r="N110" s="7" t="n"/>
      <c r="O110" s="7" t="n"/>
      <c r="P110" s="7" t="inlineStr">
        <is>
          <t>항목·기준 작성 파일 수령 → 같은 Rev.00 재개정(recheck → 승인·배포) → 매핑표 '보유'로 갱신</t>
        </is>
      </c>
      <c r="Q110" s="7" t="inlineStr">
        <is>
          <t>미완료</t>
        </is>
      </c>
      <c r="R110" s="7" t="n"/>
      <c r="S110">
        <f>IF(L110="회신 완료","",J110-TODAY())</f>
        <v/>
      </c>
      <c r="T110">
        <f>IF(L110="회신 완료","완료",IF(J110&lt;TODAY(),"지연",IF(J110-TODAY()&lt;=1,"임박(D-1 이내)",IF(J110-TODAY()&lt;=3,"임박(D-3 이내)","여유"))))</f>
        <v/>
      </c>
    </row>
    <row r="111">
      <c r="A111" s="7" t="n">
        <v>50</v>
      </c>
      <c r="B111" s="7" t="inlineStr">
        <is>
          <t>검사시험</t>
        </is>
      </c>
      <c r="C111" s="7" t="inlineStr">
        <is>
          <t>2-4</t>
        </is>
      </c>
      <c r="D111" s="7" t="inlineStr">
        <is>
          <t>중금속 성적서</t>
        </is>
      </c>
      <c r="E111" s="7" t="inlineStr">
        <is>
          <t>보완 필요</t>
        </is>
      </c>
      <c r="F111" s="7" t="inlineStr">
        <is>
          <t>SH-FM-172</t>
        </is>
      </c>
      <c r="G111" s="7" t="inlineStr">
        <is>
          <t>SH-FM-172</t>
        </is>
      </c>
      <c r="H111" s="7" t="inlineStr">
        <is>
          <t>이은주</t>
        </is>
      </c>
      <c r="I111" s="7" t="inlineStr">
        <is>
          <t>발송용_최종_20261008/메시지_이은주.txt</t>
        </is>
      </c>
      <c r="J111" s="8" t="n">
        <v>46331</v>
      </c>
      <c r="K111" s="8" t="n">
        <v>46303</v>
      </c>
      <c r="L111" s="7" t="inlineStr">
        <is>
          <t>발송(회신 대기)</t>
        </is>
      </c>
      <c r="M111" s="8" t="n"/>
      <c r="N111" s="7" t="n"/>
      <c r="O111" s="7" t="n"/>
      <c r="P111" s="7" t="inlineStr">
        <is>
          <t>항목·기준 작성 파일 수령 → 같은 Rev.00 재개정(recheck → 승인·배포) → 매핑표 '보유'로 갱신</t>
        </is>
      </c>
      <c r="Q111" s="7" t="inlineStr">
        <is>
          <t>미완료</t>
        </is>
      </c>
      <c r="R111" s="7" t="n"/>
      <c r="S111">
        <f>IF(L111="회신 완료","",J111-TODAY())</f>
        <v/>
      </c>
      <c r="T111">
        <f>IF(L111="회신 완료","완료",IF(J111&lt;TODAY(),"지연",IF(J111-TODAY()&lt;=1,"임박(D-1 이내)",IF(J111-TODAY()&lt;=3,"임박(D-3 이내)","여유"))))</f>
        <v/>
      </c>
    </row>
    <row r="112">
      <c r="A112" s="7" t="n">
        <v>132</v>
      </c>
      <c r="B112" s="7" t="inlineStr">
        <is>
          <t>자재관리</t>
        </is>
      </c>
      <c r="C112" s="7" t="inlineStr">
        <is>
          <t>5-1</t>
        </is>
      </c>
      <c r="D112" s="7" t="inlineStr">
        <is>
          <t>원자재입고 부품식별표</t>
        </is>
      </c>
      <c r="E112" s="7" t="inlineStr">
        <is>
          <t>보완 필요</t>
        </is>
      </c>
      <c r="F112" s="7" t="inlineStr">
        <is>
          <t>SH-FM-254</t>
        </is>
      </c>
      <c r="G112" s="7" t="inlineStr">
        <is>
          <t>SH-FM-254</t>
        </is>
      </c>
      <c r="H112" s="7" t="inlineStr">
        <is>
          <t>이은주</t>
        </is>
      </c>
      <c r="I112" s="7" t="inlineStr">
        <is>
          <t>발송용_최종_20261008/메시지_이은주.txt</t>
        </is>
      </c>
      <c r="J112" s="8" t="n">
        <v>46331</v>
      </c>
      <c r="K112" s="8" t="n">
        <v>46303</v>
      </c>
      <c r="L112" s="7" t="inlineStr">
        <is>
          <t>발송(회신 대기)</t>
        </is>
      </c>
      <c r="M112" s="8" t="n"/>
      <c r="N112" s="7" t="n"/>
      <c r="O112" s="7" t="n"/>
      <c r="P112" s="7" t="inlineStr">
        <is>
          <t>항목·기준 작성 파일 수령 → 같은 Rev.00 재개정(recheck → 승인·배포) → 매핑표 '보유'로 갱신</t>
        </is>
      </c>
      <c r="Q112" s="7" t="inlineStr">
        <is>
          <t>미완료</t>
        </is>
      </c>
      <c r="R112" s="7" t="n"/>
      <c r="S112">
        <f>IF(L112="회신 완료","",J112-TODAY())</f>
        <v/>
      </c>
      <c r="T112">
        <f>IF(L112="회신 완료","완료",IF(J112&lt;TODAY(),"지연",IF(J112-TODAY()&lt;=1,"임박(D-1 이내)",IF(J112-TODAY()&lt;=3,"임박(D-3 이내)","여유"))))</f>
        <v/>
      </c>
    </row>
    <row r="113">
      <c r="A113" s="7" t="n">
        <v>137</v>
      </c>
      <c r="B113" s="7" t="inlineStr">
        <is>
          <t>자재관리</t>
        </is>
      </c>
      <c r="C113" s="7" t="inlineStr">
        <is>
          <t>5-1</t>
        </is>
      </c>
      <c r="D113" s="7" t="inlineStr">
        <is>
          <t>출하일지</t>
        </is>
      </c>
      <c r="E113" s="7" t="inlineStr">
        <is>
          <t>보완 필요</t>
        </is>
      </c>
      <c r="F113" s="7" t="inlineStr">
        <is>
          <t>SH-FM-259</t>
        </is>
      </c>
      <c r="G113" s="7" t="inlineStr">
        <is>
          <t>SH-FM-259</t>
        </is>
      </c>
      <c r="H113" s="7" t="inlineStr">
        <is>
          <t>이은주</t>
        </is>
      </c>
      <c r="I113" s="7" t="inlineStr">
        <is>
          <t>발송용_최종_20261008/메시지_이은주.txt</t>
        </is>
      </c>
      <c r="J113" s="8" t="n">
        <v>46331</v>
      </c>
      <c r="K113" s="8" t="n">
        <v>46303</v>
      </c>
      <c r="L113" s="7" t="inlineStr">
        <is>
          <t>발송(회신 대기)</t>
        </is>
      </c>
      <c r="M113" s="8" t="n"/>
      <c r="N113" s="7" t="n"/>
      <c r="O113" s="7" t="n"/>
      <c r="P113" s="7" t="inlineStr">
        <is>
          <t>항목·기준 작성 파일 수령 → 같은 Rev.00 재개정(recheck → 승인·배포) → 매핑표 '보유'로 갱신</t>
        </is>
      </c>
      <c r="Q113" s="7" t="inlineStr">
        <is>
          <t>미완료</t>
        </is>
      </c>
      <c r="R113" s="7" t="n"/>
      <c r="S113">
        <f>IF(L113="회신 완료","",J113-TODAY())</f>
        <v/>
      </c>
      <c r="T113">
        <f>IF(L113="회신 완료","완료",IF(J113&lt;TODAY(),"지연",IF(J113-TODAY()&lt;=1,"임박(D-1 이내)",IF(J113-TODAY()&lt;=3,"임박(D-3 이내)","여유"))))</f>
        <v/>
      </c>
    </row>
    <row r="114">
      <c r="A114" s="7" t="n">
        <v>138</v>
      </c>
      <c r="B114" s="7" t="inlineStr">
        <is>
          <t>자재관리</t>
        </is>
      </c>
      <c r="C114" s="7" t="inlineStr">
        <is>
          <t>5-1</t>
        </is>
      </c>
      <c r="D114" s="7" t="inlineStr">
        <is>
          <t>고객부품식별표</t>
        </is>
      </c>
      <c r="E114" s="7" t="inlineStr">
        <is>
          <t>보완 필요</t>
        </is>
      </c>
      <c r="F114" s="7" t="inlineStr">
        <is>
          <t>SH-FM-260</t>
        </is>
      </c>
      <c r="G114" s="7" t="inlineStr">
        <is>
          <t>SH-FM-260</t>
        </is>
      </c>
      <c r="H114" s="7" t="inlineStr">
        <is>
          <t>이은주</t>
        </is>
      </c>
      <c r="I114" s="7" t="inlineStr">
        <is>
          <t>발송용_최종_20261008/메시지_이은주.txt</t>
        </is>
      </c>
      <c r="J114" s="8" t="n">
        <v>46331</v>
      </c>
      <c r="K114" s="8" t="n">
        <v>46303</v>
      </c>
      <c r="L114" s="7" t="inlineStr">
        <is>
          <t>발송(회신 대기)</t>
        </is>
      </c>
      <c r="M114" s="8" t="n"/>
      <c r="N114" s="7" t="n"/>
      <c r="O114" s="7" t="n"/>
      <c r="P114" s="7" t="inlineStr">
        <is>
          <t>항목·기준 작성 파일 수령 → 같은 Rev.00 재개정(recheck → 승인·배포) → 매핑표 '보유'로 갱신</t>
        </is>
      </c>
      <c r="Q114" s="7" t="inlineStr">
        <is>
          <t>미완료</t>
        </is>
      </c>
      <c r="R114" s="7" t="n"/>
      <c r="S114">
        <f>IF(L114="회신 완료","",J114-TODAY())</f>
        <v/>
      </c>
      <c r="T114">
        <f>IF(L114="회신 완료","완료",IF(J114&lt;TODAY(),"지연",IF(J114-TODAY()&lt;=1,"임박(D-1 이내)",IF(J114-TODAY()&lt;=3,"임박(D-3 이내)","여유"))))</f>
        <v/>
      </c>
    </row>
    <row r="115">
      <c r="A115" s="7" t="n">
        <v>141</v>
      </c>
      <c r="B115" s="7" t="inlineStr">
        <is>
          <t>자재관리</t>
        </is>
      </c>
      <c r="C115" s="7" t="inlineStr">
        <is>
          <t>5-2</t>
        </is>
      </c>
      <c r="D115" s="7" t="inlineStr">
        <is>
          <t>원자재보관관리기준서</t>
        </is>
      </c>
      <c r="E115" s="7" t="inlineStr">
        <is>
          <t>보완 필요</t>
        </is>
      </c>
      <c r="F115" s="7" t="inlineStr">
        <is>
          <t>SH-FM-263</t>
        </is>
      </c>
      <c r="G115" s="7" t="inlineStr">
        <is>
          <t>SH-FM-263</t>
        </is>
      </c>
      <c r="H115" s="7" t="inlineStr">
        <is>
          <t>이은주</t>
        </is>
      </c>
      <c r="I115" s="7" t="inlineStr">
        <is>
          <t>발송용_최종_20261008/메시지_이은주.txt</t>
        </is>
      </c>
      <c r="J115" s="8" t="n">
        <v>46331</v>
      </c>
      <c r="K115" s="8" t="n">
        <v>46303</v>
      </c>
      <c r="L115" s="7" t="inlineStr">
        <is>
          <t>발송(회신 대기)</t>
        </is>
      </c>
      <c r="M115" s="8" t="n"/>
      <c r="N115" s="7" t="n"/>
      <c r="O115" s="7" t="n"/>
      <c r="P115" s="7" t="inlineStr">
        <is>
          <t>항목·기준 작성 파일 수령 → 같은 Rev.00 재개정(recheck → 승인·배포) → 매핑표 '보유'로 갱신</t>
        </is>
      </c>
      <c r="Q115" s="7" t="inlineStr">
        <is>
          <t>미완료</t>
        </is>
      </c>
      <c r="R115" s="7" t="n"/>
      <c r="S115">
        <f>IF(L115="회신 완료","",J115-TODAY())</f>
        <v/>
      </c>
      <c r="T115">
        <f>IF(L115="회신 완료","완료",IF(J115&lt;TODAY(),"지연",IF(J115-TODAY()&lt;=1,"임박(D-1 이내)",IF(J115-TODAY()&lt;=3,"임박(D-3 이내)","여유"))))</f>
        <v/>
      </c>
    </row>
    <row r="116">
      <c r="A116" s="7" t="n">
        <v>144</v>
      </c>
      <c r="B116" s="7" t="inlineStr">
        <is>
          <t>자재관리</t>
        </is>
      </c>
      <c r="C116" s="7" t="inlineStr">
        <is>
          <t>5-2</t>
        </is>
      </c>
      <c r="D116" s="7" t="inlineStr">
        <is>
          <t>원자재선입선출관리기준서</t>
        </is>
      </c>
      <c r="E116" s="7" t="inlineStr">
        <is>
          <t>보완 필요</t>
        </is>
      </c>
      <c r="F116" s="7" t="inlineStr">
        <is>
          <t>SH-FM-266</t>
        </is>
      </c>
      <c r="G116" s="7" t="inlineStr">
        <is>
          <t>SH-FM-266</t>
        </is>
      </c>
      <c r="H116" s="7" t="inlineStr">
        <is>
          <t>이은주</t>
        </is>
      </c>
      <c r="I116" s="7" t="inlineStr">
        <is>
          <t>발송용_최종_20261008/메시지_이은주.txt</t>
        </is>
      </c>
      <c r="J116" s="8" t="n">
        <v>46331</v>
      </c>
      <c r="K116" s="8" t="n">
        <v>46303</v>
      </c>
      <c r="L116" s="7" t="inlineStr">
        <is>
          <t>발송(회신 대기)</t>
        </is>
      </c>
      <c r="M116" s="8" t="n"/>
      <c r="N116" s="7" t="n"/>
      <c r="O116" s="7" t="n"/>
      <c r="P116" s="7" t="inlineStr">
        <is>
          <t>항목·기준 작성 파일 수령 → 같은 Rev.00 재개정(recheck → 승인·배포) → 매핑표 '보유'로 갱신</t>
        </is>
      </c>
      <c r="Q116" s="7" t="inlineStr">
        <is>
          <t>미완료</t>
        </is>
      </c>
      <c r="R116" s="7" t="n"/>
      <c r="S116">
        <f>IF(L116="회신 완료","",J116-TODAY())</f>
        <v/>
      </c>
      <c r="T116">
        <f>IF(L116="회신 완료","완료",IF(J116&lt;TODAY(),"지연",IF(J116-TODAY()&lt;=1,"임박(D-1 이내)",IF(J116-TODAY()&lt;=3,"임박(D-3 이내)","여유"))))</f>
        <v/>
      </c>
    </row>
    <row r="117">
      <c r="A117" s="7" t="n">
        <v>146</v>
      </c>
      <c r="B117" s="7" t="inlineStr">
        <is>
          <t>자재관리</t>
        </is>
      </c>
      <c r="C117" s="7" t="inlineStr">
        <is>
          <t>5-2</t>
        </is>
      </c>
      <c r="D117" s="7" t="inlineStr">
        <is>
          <t>장기재고보관관리기준서</t>
        </is>
      </c>
      <c r="E117" s="7" t="inlineStr">
        <is>
          <t>보완 필요</t>
        </is>
      </c>
      <c r="F117" s="7" t="inlineStr">
        <is>
          <t>SH-FM-268</t>
        </is>
      </c>
      <c r="G117" s="7" t="inlineStr">
        <is>
          <t>SH-FM-268</t>
        </is>
      </c>
      <c r="H117" s="7" t="inlineStr">
        <is>
          <t>이은주</t>
        </is>
      </c>
      <c r="I117" s="7" t="inlineStr">
        <is>
          <t>발송용_최종_20261008/메시지_이은주.txt</t>
        </is>
      </c>
      <c r="J117" s="8" t="n">
        <v>46331</v>
      </c>
      <c r="K117" s="8" t="n">
        <v>46303</v>
      </c>
      <c r="L117" s="7" t="inlineStr">
        <is>
          <t>발송(회신 대기)</t>
        </is>
      </c>
      <c r="M117" s="8" t="n"/>
      <c r="N117" s="7" t="n"/>
      <c r="O117" s="7" t="n"/>
      <c r="P117" s="7" t="inlineStr">
        <is>
          <t>항목·기준 작성 파일 수령 → 같은 Rev.00 재개정(recheck → 승인·배포) → 매핑표 '보유'로 갱신</t>
        </is>
      </c>
      <c r="Q117" s="7" t="inlineStr">
        <is>
          <t>미완료</t>
        </is>
      </c>
      <c r="R117" s="7" t="n"/>
      <c r="S117">
        <f>IF(L117="회신 완료","",J117-TODAY())</f>
        <v/>
      </c>
      <c r="T117">
        <f>IF(L117="회신 완료","완료",IF(J117&lt;TODAY(),"지연",IF(J117-TODAY()&lt;=1,"임박(D-1 이내)",IF(J117-TODAY()&lt;=3,"임박(D-3 이내)","여유"))))</f>
        <v/>
      </c>
    </row>
    <row r="118">
      <c r="A118" s="7" t="n">
        <v>148</v>
      </c>
      <c r="B118" s="7" t="inlineStr">
        <is>
          <t>자재관리</t>
        </is>
      </c>
      <c r="C118" s="7" t="inlineStr">
        <is>
          <t>5-2</t>
        </is>
      </c>
      <c r="D118" s="7" t="inlineStr">
        <is>
          <t>장기재고식별표</t>
        </is>
      </c>
      <c r="E118" s="7" t="inlineStr">
        <is>
          <t>보완 필요</t>
        </is>
      </c>
      <c r="F118" s="7" t="inlineStr">
        <is>
          <t>SH-FM-270</t>
        </is>
      </c>
      <c r="G118" s="7" t="inlineStr">
        <is>
          <t>SH-FM-270</t>
        </is>
      </c>
      <c r="H118" s="7" t="inlineStr">
        <is>
          <t>이은주</t>
        </is>
      </c>
      <c r="I118" s="7" t="inlineStr">
        <is>
          <t>발송용_최종_20261008/메시지_이은주.txt</t>
        </is>
      </c>
      <c r="J118" s="8" t="n">
        <v>46331</v>
      </c>
      <c r="K118" s="8" t="n">
        <v>46303</v>
      </c>
      <c r="L118" s="7" t="inlineStr">
        <is>
          <t>발송(회신 대기)</t>
        </is>
      </c>
      <c r="M118" s="8" t="n"/>
      <c r="N118" s="7" t="n"/>
      <c r="O118" s="7" t="n"/>
      <c r="P118" s="7" t="inlineStr">
        <is>
          <t>항목·기준 작성 파일 수령 → 같은 Rev.00 재개정(recheck → 승인·배포) → 매핑표 '보유'로 갱신</t>
        </is>
      </c>
      <c r="Q118" s="7" t="inlineStr">
        <is>
          <t>미완료</t>
        </is>
      </c>
      <c r="R118" s="7" t="n"/>
      <c r="S118">
        <f>IF(L118="회신 완료","",J118-TODAY())</f>
        <v/>
      </c>
      <c r="T118">
        <f>IF(L118="회신 완료","완료",IF(J118&lt;TODAY(),"지연",IF(J118-TODAY()&lt;=1,"임박(D-1 이내)",IF(J118-TODAY()&lt;=3,"임박(D-3 이내)","여유"))))</f>
        <v/>
      </c>
    </row>
    <row r="119">
      <c r="A119" s="7" t="n">
        <v>152</v>
      </c>
      <c r="B119" s="7" t="inlineStr">
        <is>
          <t>자재관리</t>
        </is>
      </c>
      <c r="C119" s="7" t="inlineStr">
        <is>
          <t>5-2</t>
        </is>
      </c>
      <c r="D119" s="7" t="inlineStr">
        <is>
          <t>'-불용자재관리기준서</t>
        </is>
      </c>
      <c r="E119" s="7" t="inlineStr">
        <is>
          <t>보완 필요</t>
        </is>
      </c>
      <c r="F119" s="7" t="inlineStr">
        <is>
          <t>SH-FM-274</t>
        </is>
      </c>
      <c r="G119" s="7" t="inlineStr">
        <is>
          <t>SH-FM-274</t>
        </is>
      </c>
      <c r="H119" s="7" t="inlineStr">
        <is>
          <t>이은주</t>
        </is>
      </c>
      <c r="I119" s="7" t="inlineStr">
        <is>
          <t>발송용_최종_20261008/메시지_이은주.txt</t>
        </is>
      </c>
      <c r="J119" s="8" t="n">
        <v>46331</v>
      </c>
      <c r="K119" s="8" t="n">
        <v>46303</v>
      </c>
      <c r="L119" s="7" t="inlineStr">
        <is>
          <t>발송(회신 대기)</t>
        </is>
      </c>
      <c r="M119" s="8" t="n"/>
      <c r="N119" s="7" t="n"/>
      <c r="O119" s="7" t="n"/>
      <c r="P119" s="7" t="inlineStr">
        <is>
          <t>항목·기준 작성 파일 수령 → 같은 Rev.00 재개정(recheck → 승인·배포) → 매핑표 '보유'로 갱신</t>
        </is>
      </c>
      <c r="Q119" s="7" t="inlineStr">
        <is>
          <t>미완료</t>
        </is>
      </c>
      <c r="R119" s="7" t="n"/>
      <c r="S119">
        <f>IF(L119="회신 완료","",J119-TODAY())</f>
        <v/>
      </c>
      <c r="T119">
        <f>IF(L119="회신 완료","완료",IF(J119&lt;TODAY(),"지연",IF(J119-TODAY()&lt;=1,"임박(D-1 이내)",IF(J119-TODAY()&lt;=3,"임박(D-3 이내)","여유"))))</f>
        <v/>
      </c>
    </row>
    <row r="120">
      <c r="A120" s="7" t="n">
        <v>153</v>
      </c>
      <c r="B120" s="7" t="inlineStr">
        <is>
          <t>자재관리</t>
        </is>
      </c>
      <c r="C120" s="7" t="inlineStr">
        <is>
          <t>5-2</t>
        </is>
      </c>
      <c r="D120" s="7" t="inlineStr">
        <is>
          <t>불용자재식별표</t>
        </is>
      </c>
      <c r="E120" s="7" t="inlineStr">
        <is>
          <t>보완 필요</t>
        </is>
      </c>
      <c r="F120" s="7" t="inlineStr">
        <is>
          <t>SH-FM-275</t>
        </is>
      </c>
      <c r="G120" s="7" t="inlineStr">
        <is>
          <t>SH-FM-275</t>
        </is>
      </c>
      <c r="H120" s="7" t="inlineStr">
        <is>
          <t>이은주</t>
        </is>
      </c>
      <c r="I120" s="7" t="inlineStr">
        <is>
          <t>발송용_최종_20261008/메시지_이은주.txt</t>
        </is>
      </c>
      <c r="J120" s="8" t="n">
        <v>46331</v>
      </c>
      <c r="K120" s="8" t="n">
        <v>46303</v>
      </c>
      <c r="L120" s="7" t="inlineStr">
        <is>
          <t>발송(회신 대기)</t>
        </is>
      </c>
      <c r="M120" s="8" t="n"/>
      <c r="N120" s="7" t="n"/>
      <c r="O120" s="7" t="n"/>
      <c r="P120" s="7" t="inlineStr">
        <is>
          <t>항목·기준 작성 파일 수령 → 같은 Rev.00 재개정(recheck → 승인·배포) → 매핑표 '보유'로 갱신</t>
        </is>
      </c>
      <c r="Q120" s="7" t="inlineStr">
        <is>
          <t>미완료</t>
        </is>
      </c>
      <c r="R120" s="7" t="n"/>
      <c r="S120">
        <f>IF(L120="회신 완료","",J120-TODAY())</f>
        <v/>
      </c>
      <c r="T120">
        <f>IF(L120="회신 완료","완료",IF(J120&lt;TODAY(),"지연",IF(J120-TODAY()&lt;=1,"임박(D-1 이내)",IF(J120-TODAY()&lt;=3,"임박(D-3 이내)","여유"))))</f>
        <v/>
      </c>
    </row>
    <row r="121">
      <c r="A121" s="7" t="n">
        <v>154</v>
      </c>
      <c r="B121" s="7" t="inlineStr">
        <is>
          <t>자재관리</t>
        </is>
      </c>
      <c r="C121" s="7" t="inlineStr">
        <is>
          <t>5-3</t>
        </is>
      </c>
      <c r="D121" s="7" t="inlineStr">
        <is>
          <t>선입고품 우선사용 TAG식별</t>
        </is>
      </c>
      <c r="E121" s="7" t="inlineStr">
        <is>
          <t>보완 필요</t>
        </is>
      </c>
      <c r="F121" s="7" t="inlineStr">
        <is>
          <t>SH-FM-276</t>
        </is>
      </c>
      <c r="G121" s="7" t="inlineStr">
        <is>
          <t>SH-FM-276</t>
        </is>
      </c>
      <c r="H121" s="7" t="inlineStr">
        <is>
          <t>이은주</t>
        </is>
      </c>
      <c r="I121" s="7" t="inlineStr">
        <is>
          <t>발송용_최종_20261008/메시지_이은주.txt</t>
        </is>
      </c>
      <c r="J121" s="8" t="n">
        <v>46331</v>
      </c>
      <c r="K121" s="8" t="n">
        <v>46303</v>
      </c>
      <c r="L121" s="7" t="inlineStr">
        <is>
          <t>발송(회신 대기)</t>
        </is>
      </c>
      <c r="M121" s="8" t="n"/>
      <c r="N121" s="7" t="n"/>
      <c r="O121" s="7" t="n"/>
      <c r="P121" s="7" t="inlineStr">
        <is>
          <t>항목·기준 작성 파일 수령 → 같은 Rev.00 재개정(recheck → 승인·배포) → 매핑표 '보유'로 갱신</t>
        </is>
      </c>
      <c r="Q121" s="7" t="inlineStr">
        <is>
          <t>미완료</t>
        </is>
      </c>
      <c r="R121" s="7" t="n"/>
      <c r="S121">
        <f>IF(L121="회신 완료","",J121-TODAY())</f>
        <v/>
      </c>
      <c r="T121">
        <f>IF(L121="회신 완료","완료",IF(J121&lt;TODAY(),"지연",IF(J121-TODAY()&lt;=1,"임박(D-1 이내)",IF(J121-TODAY()&lt;=3,"임박(D-3 이내)","여유"))))</f>
        <v/>
      </c>
    </row>
    <row r="122">
      <c r="A122" s="7" t="n">
        <v>156</v>
      </c>
      <c r="B122" s="7" t="inlineStr">
        <is>
          <t>자재관리</t>
        </is>
      </c>
      <c r="C122" s="7" t="inlineStr">
        <is>
          <t>5-3</t>
        </is>
      </c>
      <c r="D122" s="7" t="inlineStr">
        <is>
          <t>장기재고보관관리기준서</t>
        </is>
      </c>
      <c r="E122" s="7" t="inlineStr">
        <is>
          <t>보완 필요</t>
        </is>
      </c>
      <c r="F122" s="7" t="inlineStr">
        <is>
          <t>SH-FM-278</t>
        </is>
      </c>
      <c r="G122" s="7" t="inlineStr">
        <is>
          <t>SH-FM-268</t>
        </is>
      </c>
      <c r="H122" s="7" t="inlineStr">
        <is>
          <t>이은주</t>
        </is>
      </c>
      <c r="I122" s="7" t="inlineStr">
        <is>
          <t>발송용_최종_20261008/메시지_이은주.txt</t>
        </is>
      </c>
      <c r="J122" s="8" t="n">
        <v>46331</v>
      </c>
      <c r="K122" s="8" t="n">
        <v>46303</v>
      </c>
      <c r="L122" s="7" t="inlineStr">
        <is>
          <t>발송(회신 대기)</t>
        </is>
      </c>
      <c r="M122" s="8" t="n"/>
      <c r="N122" s="7" t="n"/>
      <c r="O122" s="7" t="n"/>
      <c r="P122" s="7" t="inlineStr">
        <is>
          <t>항목·기준 작성 파일 수령 → 같은 Rev.00 재개정(recheck → 승인·배포) → 매핑표 '보유'로 갱신</t>
        </is>
      </c>
      <c r="Q122" s="7" t="inlineStr">
        <is>
          <t>미완료</t>
        </is>
      </c>
      <c r="R122" s="7" t="n"/>
      <c r="S122">
        <f>IF(L122="회신 완료","",J122-TODAY())</f>
        <v/>
      </c>
      <c r="T122">
        <f>IF(L122="회신 완료","완료",IF(J122&lt;TODAY(),"지연",IF(J122-TODAY()&lt;=1,"임박(D-1 이내)",IF(J122-TODAY()&lt;=3,"임박(D-3 이내)","여유"))))</f>
        <v/>
      </c>
    </row>
    <row r="123">
      <c r="A123" s="7" t="n">
        <v>157</v>
      </c>
      <c r="B123" s="7" t="inlineStr">
        <is>
          <t>자재관리</t>
        </is>
      </c>
      <c r="C123" s="7" t="inlineStr">
        <is>
          <t>5-3</t>
        </is>
      </c>
      <c r="D123" s="7" t="inlineStr">
        <is>
          <t>장기재고식별표</t>
        </is>
      </c>
      <c r="E123" s="7" t="inlineStr">
        <is>
          <t>보완 필요</t>
        </is>
      </c>
      <c r="F123" s="7" t="inlineStr">
        <is>
          <t>SH-FM-279</t>
        </is>
      </c>
      <c r="G123" s="7" t="inlineStr">
        <is>
          <t>SH-FM-270</t>
        </is>
      </c>
      <c r="H123" s="7" t="inlineStr">
        <is>
          <t>이은주</t>
        </is>
      </c>
      <c r="I123" s="7" t="inlineStr">
        <is>
          <t>발송용_최종_20261008/메시지_이은주.txt</t>
        </is>
      </c>
      <c r="J123" s="8" t="n">
        <v>46331</v>
      </c>
      <c r="K123" s="8" t="n">
        <v>46303</v>
      </c>
      <c r="L123" s="7" t="inlineStr">
        <is>
          <t>발송(회신 대기)</t>
        </is>
      </c>
      <c r="M123" s="8" t="n"/>
      <c r="N123" s="7" t="n"/>
      <c r="O123" s="7" t="n"/>
      <c r="P123" s="7" t="inlineStr">
        <is>
          <t>항목·기준 작성 파일 수령 → 같은 Rev.00 재개정(recheck → 승인·배포) → 매핑표 '보유'로 갱신</t>
        </is>
      </c>
      <c r="Q123" s="7" t="inlineStr">
        <is>
          <t>미완료</t>
        </is>
      </c>
      <c r="R123" s="7" t="n"/>
      <c r="S123">
        <f>IF(L123="회신 완료","",J123-TODAY())</f>
        <v/>
      </c>
      <c r="T123">
        <f>IF(L123="회신 완료","완료",IF(J123&lt;TODAY(),"지연",IF(J123-TODAY()&lt;=1,"임박(D-1 이내)",IF(J123-TODAY()&lt;=3,"임박(D-3 이내)","여유"))))</f>
        <v/>
      </c>
    </row>
    <row r="124">
      <c r="A124" s="7" t="n">
        <v>161</v>
      </c>
      <c r="B124" s="7" t="inlineStr">
        <is>
          <t>자재관리</t>
        </is>
      </c>
      <c r="C124" s="7" t="inlineStr">
        <is>
          <t>5-4</t>
        </is>
      </c>
      <c r="D124" s="7" t="inlineStr">
        <is>
          <t>완성품 납용용기설정서</t>
        </is>
      </c>
      <c r="E124" s="7" t="inlineStr">
        <is>
          <t>보완 필요</t>
        </is>
      </c>
      <c r="F124" s="7" t="inlineStr">
        <is>
          <t>SH-FM-283</t>
        </is>
      </c>
      <c r="G124" s="7" t="inlineStr">
        <is>
          <t>SH-FM-283</t>
        </is>
      </c>
      <c r="H124" s="7" t="inlineStr">
        <is>
          <t>이은주</t>
        </is>
      </c>
      <c r="I124" s="7" t="inlineStr">
        <is>
          <t>발송용_최종_20261008/메시지_이은주.txt</t>
        </is>
      </c>
      <c r="J124" s="8" t="n">
        <v>46331</v>
      </c>
      <c r="K124" s="8" t="n">
        <v>46303</v>
      </c>
      <c r="L124" s="7" t="inlineStr">
        <is>
          <t>발송(회신 대기)</t>
        </is>
      </c>
      <c r="M124" s="8" t="n"/>
      <c r="N124" s="7" t="n"/>
      <c r="O124" s="7" t="n"/>
      <c r="P124" s="7" t="inlineStr">
        <is>
          <t>항목·기준 작성 파일 수령 → 같은 Rev.00 재개정(recheck → 승인·배포) → 매핑표 '보유'로 갱신</t>
        </is>
      </c>
      <c r="Q124" s="7" t="inlineStr">
        <is>
          <t>미완료</t>
        </is>
      </c>
      <c r="R124" s="7" t="n"/>
      <c r="S124">
        <f>IF(L124="회신 완료","",J124-TODAY())</f>
        <v/>
      </c>
      <c r="T124">
        <f>IF(L124="회신 완료","완료",IF(J124&lt;TODAY(),"지연",IF(J124-TODAY()&lt;=1,"임박(D-1 이내)",IF(J124-TODAY()&lt;=3,"임박(D-3 이내)","여유"))))</f>
        <v/>
      </c>
    </row>
    <row r="125">
      <c r="A125" s="7" t="n">
        <v>162</v>
      </c>
      <c r="B125" s="7" t="inlineStr">
        <is>
          <t>자재관리</t>
        </is>
      </c>
      <c r="C125" s="7" t="inlineStr">
        <is>
          <t>5-4</t>
        </is>
      </c>
      <c r="D125" s="7" t="inlineStr">
        <is>
          <t>완성품 LAY-OUT</t>
        </is>
      </c>
      <c r="E125" s="7" t="inlineStr">
        <is>
          <t>보완 필요</t>
        </is>
      </c>
      <c r="F125" s="7" t="inlineStr">
        <is>
          <t>SH-FM-284</t>
        </is>
      </c>
      <c r="G125" s="7" t="inlineStr">
        <is>
          <t>SH-FM-284</t>
        </is>
      </c>
      <c r="H125" s="7" t="inlineStr">
        <is>
          <t>이은주</t>
        </is>
      </c>
      <c r="I125" s="7" t="inlineStr">
        <is>
          <t>발송용_최종_20261008/메시지_이은주.txt</t>
        </is>
      </c>
      <c r="J125" s="8" t="n">
        <v>46331</v>
      </c>
      <c r="K125" s="8" t="n">
        <v>46303</v>
      </c>
      <c r="L125" s="7" t="inlineStr">
        <is>
          <t>발송(회신 대기)</t>
        </is>
      </c>
      <c r="M125" s="8" t="n"/>
      <c r="N125" s="7" t="n"/>
      <c r="O125" s="7" t="n"/>
      <c r="P125" s="7" t="inlineStr">
        <is>
          <t>항목·기준 작성 파일 수령 → 같은 Rev.00 재개정(recheck → 승인·배포) → 매핑표 '보유'로 갱신</t>
        </is>
      </c>
      <c r="Q125" s="7" t="inlineStr">
        <is>
          <t>미완료</t>
        </is>
      </c>
      <c r="R125" s="7" t="n"/>
      <c r="S125">
        <f>IF(L125="회신 완료","",J125-TODAY())</f>
        <v/>
      </c>
      <c r="T125">
        <f>IF(L125="회신 완료","완료",IF(J125&lt;TODAY(),"지연",IF(J125-TODAY()&lt;=1,"임박(D-1 이내)",IF(J125-TODAY()&lt;=3,"임박(D-3 이내)","여유"))))</f>
        <v/>
      </c>
    </row>
    <row r="126">
      <c r="A126" s="7" t="n">
        <v>163</v>
      </c>
      <c r="B126" s="7" t="inlineStr">
        <is>
          <t>자재관리</t>
        </is>
      </c>
      <c r="C126" s="7" t="inlineStr">
        <is>
          <t>5-4</t>
        </is>
      </c>
      <c r="D126" s="7" t="inlineStr">
        <is>
          <t>완성품 적재공간 구역설정 LINE MARK'G</t>
        </is>
      </c>
      <c r="E126" s="7" t="inlineStr">
        <is>
          <t>보완 필요</t>
        </is>
      </c>
      <c r="F126" s="7" t="inlineStr">
        <is>
          <t>SH-FM-285</t>
        </is>
      </c>
      <c r="G126" s="7" t="inlineStr">
        <is>
          <t>SH-FM-285</t>
        </is>
      </c>
      <c r="H126" s="7" t="inlineStr">
        <is>
          <t>이은주</t>
        </is>
      </c>
      <c r="I126" s="7" t="inlineStr">
        <is>
          <t>발송용_최종_20261008/메시지_이은주.txt</t>
        </is>
      </c>
      <c r="J126" s="8" t="n">
        <v>46331</v>
      </c>
      <c r="K126" s="8" t="n">
        <v>46303</v>
      </c>
      <c r="L126" s="7" t="inlineStr">
        <is>
          <t>발송(회신 대기)</t>
        </is>
      </c>
      <c r="M126" s="8" t="n"/>
      <c r="N126" s="7" t="n"/>
      <c r="O126" s="7" t="n"/>
      <c r="P126" s="7" t="inlineStr">
        <is>
          <t>항목·기준 작성 파일 수령 → 같은 Rev.00 재개정(recheck → 승인·배포) → 매핑표 '보유'로 갱신</t>
        </is>
      </c>
      <c r="Q126" s="7" t="inlineStr">
        <is>
          <t>미완료</t>
        </is>
      </c>
      <c r="R126" s="7" t="n"/>
      <c r="S126">
        <f>IF(L126="회신 완료","",J126-TODAY())</f>
        <v/>
      </c>
      <c r="T126">
        <f>IF(L126="회신 완료","완료",IF(J126&lt;TODAY(),"지연",IF(J126-TODAY()&lt;=1,"임박(D-1 이내)",IF(J126-TODAY()&lt;=3,"임박(D-3 이내)","여유"))))</f>
        <v/>
      </c>
    </row>
    <row r="127">
      <c r="A127" s="7" t="n">
        <v>164</v>
      </c>
      <c r="B127" s="7" t="inlineStr">
        <is>
          <t>자재관리</t>
        </is>
      </c>
      <c r="C127" s="7" t="inlineStr">
        <is>
          <t>5-4</t>
        </is>
      </c>
      <c r="D127" s="7" t="inlineStr">
        <is>
          <t>완성품 적재장소 NAME PLATE부착</t>
        </is>
      </c>
      <c r="E127" s="7" t="inlineStr">
        <is>
          <t>보완 필요</t>
        </is>
      </c>
      <c r="F127" s="7" t="inlineStr">
        <is>
          <t>SH-FM-286</t>
        </is>
      </c>
      <c r="G127" s="7" t="inlineStr">
        <is>
          <t>SH-FM-286</t>
        </is>
      </c>
      <c r="H127" s="7" t="inlineStr">
        <is>
          <t>이은주</t>
        </is>
      </c>
      <c r="I127" s="7" t="inlineStr">
        <is>
          <t>발송용_최종_20261008/메시지_이은주.txt</t>
        </is>
      </c>
      <c r="J127" s="8" t="n">
        <v>46331</v>
      </c>
      <c r="K127" s="8" t="n">
        <v>46303</v>
      </c>
      <c r="L127" s="7" t="inlineStr">
        <is>
          <t>발송(회신 대기)</t>
        </is>
      </c>
      <c r="M127" s="8" t="n"/>
      <c r="N127" s="7" t="n"/>
      <c r="O127" s="7" t="n"/>
      <c r="P127" s="7" t="inlineStr">
        <is>
          <t>항목·기준 작성 파일 수령 → 같은 Rev.00 재개정(recheck → 승인·배포) → 매핑표 '보유'로 갱신</t>
        </is>
      </c>
      <c r="Q127" s="7" t="inlineStr">
        <is>
          <t>미완료</t>
        </is>
      </c>
      <c r="R127" s="7" t="n"/>
      <c r="S127">
        <f>IF(L127="회신 완료","",J127-TODAY())</f>
        <v/>
      </c>
      <c r="T127">
        <f>IF(L127="회신 완료","완료",IF(J127&lt;TODAY(),"지연",IF(J127-TODAY()&lt;=1,"임박(D-1 이내)",IF(J127-TODAY()&lt;=3,"임박(D-3 이내)","여유"))))</f>
        <v/>
      </c>
    </row>
    <row r="128">
      <c r="A128" s="7" t="n">
        <v>147</v>
      </c>
      <c r="B128" s="7" t="inlineStr">
        <is>
          <t>자재관리</t>
        </is>
      </c>
      <c r="C128" s="7" t="inlineStr">
        <is>
          <t>5-2</t>
        </is>
      </c>
      <c r="D128" s="7" t="inlineStr">
        <is>
          <t>장기재고점검체크시트</t>
        </is>
      </c>
      <c r="E128" s="7" t="inlineStr">
        <is>
          <t>보유 확인</t>
        </is>
      </c>
      <c r="F128" s="7" t="inlineStr">
        <is>
          <t>SH-FM-269</t>
        </is>
      </c>
      <c r="G128" s="7" t="inlineStr">
        <is>
          <t>SH-FM-118</t>
        </is>
      </c>
      <c r="H128" s="7" t="inlineStr">
        <is>
          <t>이은주</t>
        </is>
      </c>
      <c r="I128" s="7" t="inlineStr">
        <is>
          <t>발송용_최종_20261008/메시지_이은주.txt</t>
        </is>
      </c>
      <c r="J128" s="8" t="n">
        <v>46331</v>
      </c>
      <c r="K128" s="8" t="n">
        <v>46303</v>
      </c>
      <c r="L128" s="7" t="inlineStr">
        <is>
          <t>발송(회신 대기)</t>
        </is>
      </c>
      <c r="M128" s="8" t="n"/>
      <c r="N128" s="7" t="n"/>
      <c r="O128" s="7" t="n"/>
      <c r="P128" s="7" t="inlineStr">
        <is>
          <t>4가지 확인 결과 → 문제 없으면 보유 유지, 문제 시 상태 재판정</t>
        </is>
      </c>
      <c r="Q128" s="7" t="inlineStr">
        <is>
          <t>미완료</t>
        </is>
      </c>
      <c r="R128" s="7" t="n"/>
      <c r="S128">
        <f>IF(L128="회신 완료","",J128-TODAY())</f>
        <v/>
      </c>
      <c r="T128">
        <f>IF(L128="회신 완료","완료",IF(J128&lt;TODAY(),"지연",IF(J128-TODAY()&lt;=1,"임박(D-1 이내)",IF(J128-TODAY()&lt;=3,"임박(D-3 이내)","여유"))))</f>
        <v/>
      </c>
    </row>
    <row r="129">
      <c r="A129" s="7" t="n">
        <v>30</v>
      </c>
      <c r="B129" s="7" t="inlineStr">
        <is>
          <t>검사시험</t>
        </is>
      </c>
      <c r="C129" s="7" t="inlineStr">
        <is>
          <t>2-1</t>
        </is>
      </c>
      <c r="D129" s="7" t="inlineStr">
        <is>
          <t>원자재 검사협정서  OR 검사기준서</t>
        </is>
      </c>
      <c r="E129" s="7" t="inlineStr">
        <is>
          <t>보완 필요</t>
        </is>
      </c>
      <c r="F129" s="7" t="inlineStr">
        <is>
          <t>SH-FM-152</t>
        </is>
      </c>
      <c r="G129" s="7" t="inlineStr">
        <is>
          <t>SH-FM-152</t>
        </is>
      </c>
      <c r="H129" s="7" t="inlineStr">
        <is>
          <t>이은주·박철호(공동)</t>
        </is>
      </c>
      <c r="I129" s="7" t="inlineStr">
        <is>
          <t>발송용_최종_20261008/메시지_이은주_박철호공동.txt</t>
        </is>
      </c>
      <c r="J129" s="8" t="n">
        <v>46331</v>
      </c>
      <c r="K129" s="8" t="n">
        <v>46303</v>
      </c>
      <c r="L129" s="7" t="inlineStr">
        <is>
          <t>발송(회신 대기)</t>
        </is>
      </c>
      <c r="M129" s="8" t="n"/>
      <c r="N129" s="7" t="n"/>
      <c r="O129" s="7" t="n"/>
      <c r="P129" s="7" t="inlineStr">
        <is>
          <t>항목·기준 작성 파일 수령 → 같은 Rev.00 재개정(recheck → 승인·배포) → 매핑표 '보유'로 갱신</t>
        </is>
      </c>
      <c r="Q129" s="7" t="inlineStr">
        <is>
          <t>미완료</t>
        </is>
      </c>
      <c r="R129" s="7" t="n"/>
      <c r="S129">
        <f>IF(L129="회신 완료","",J129-TODAY())</f>
        <v/>
      </c>
      <c r="T129">
        <f>IF(L129="회신 완료","완료",IF(J129&lt;TODAY(),"지연",IF(J129-TODAY()&lt;=1,"임박(D-1 이내)",IF(J129-TODAY()&lt;=3,"임박(D-3 이내)","여유"))))</f>
        <v/>
      </c>
    </row>
    <row r="130">
      <c r="A130" s="7" t="n">
        <v>7</v>
      </c>
      <c r="B130" s="7" t="inlineStr">
        <is>
          <t>생산조건관리</t>
        </is>
      </c>
      <c r="C130" s="7" t="inlineStr">
        <is>
          <t>1-2</t>
        </is>
      </c>
      <c r="D130" s="7" t="inlineStr">
        <is>
          <t>(계획/비계획정지 기준 명확화)</t>
        </is>
      </c>
      <c r="E130" s="7" t="inlineStr">
        <is>
          <t>판단 보류</t>
        </is>
      </c>
      <c r="F130" s="7" t="inlineStr">
        <is>
          <t>SH-FM-129</t>
        </is>
      </c>
      <c r="G130" s="7" t="inlineStr">
        <is>
          <t>SH-FM-129</t>
        </is>
      </c>
      <c r="H130" s="7" t="inlineStr">
        <is>
          <t>지성규</t>
        </is>
      </c>
      <c r="I130" s="7" t="inlineStr">
        <is>
          <t>발송용_담당자변경_20261027/메시지_지성규_20261027.txt</t>
        </is>
      </c>
      <c r="J130" s="8" t="n">
        <v>46331</v>
      </c>
      <c r="K130" s="8" t="n">
        <v>46322</v>
      </c>
      <c r="L130" s="7" t="inlineStr">
        <is>
          <t>발송(회신 대기)</t>
        </is>
      </c>
      <c r="M130" s="8" t="n"/>
      <c r="N130" s="7" t="n"/>
      <c r="O130" s="7" t="n"/>
      <c r="P130" s="7" t="inlineStr">
        <is>
          <t>현물 증빙(사진·위치) 확인 → 매핑표에 현물 보유 반영 검토</t>
        </is>
      </c>
      <c r="Q130" s="7" t="inlineStr">
        <is>
          <t>미완료</t>
        </is>
      </c>
      <c r="R130" s="7" t="inlineStr">
        <is>
          <t>담당자 변경 재안내 발송 2026-10-27</t>
        </is>
      </c>
      <c r="S130">
        <f>IF(L130="회신 완료","",J130-TODAY())</f>
        <v/>
      </c>
      <c r="T130">
        <f>IF(L130="회신 완료","완료",IF(J130&lt;TODAY(),"지연",IF(J130-TODAY()&lt;=1,"임박(D-1 이내)",IF(J130-TODAY()&lt;=3,"임박(D-3 이내)","여유"))))</f>
        <v/>
      </c>
    </row>
    <row r="131">
      <c r="A131" s="7" t="n">
        <v>45</v>
      </c>
      <c r="B131" s="7" t="inlineStr">
        <is>
          <t>검사시험</t>
        </is>
      </c>
      <c r="C131" s="7" t="inlineStr">
        <is>
          <t>2-3</t>
        </is>
      </c>
      <c r="D131" s="7" t="inlineStr">
        <is>
          <t>한도견본 샘플보관대 및 샘플</t>
        </is>
      </c>
      <c r="E131" s="7" t="inlineStr">
        <is>
          <t>판단 보류</t>
        </is>
      </c>
      <c r="F131" s="7" t="inlineStr">
        <is>
          <t>SH-FM-167</t>
        </is>
      </c>
      <c r="G131" s="7" t="inlineStr">
        <is>
          <t>SH-FM-167</t>
        </is>
      </c>
      <c r="H131" s="7" t="inlineStr">
        <is>
          <t>지성규</t>
        </is>
      </c>
      <c r="I131" s="7" t="inlineStr">
        <is>
          <t>발송용_담당자변경_20261027/메시지_지성규_20261027.txt</t>
        </is>
      </c>
      <c r="J131" s="8" t="n">
        <v>46331</v>
      </c>
      <c r="K131" s="8" t="n">
        <v>46322</v>
      </c>
      <c r="L131" s="7" t="inlineStr">
        <is>
          <t>발송(회신 대기)</t>
        </is>
      </c>
      <c r="M131" s="8" t="n"/>
      <c r="N131" s="7" t="n"/>
      <c r="O131" s="7" t="n"/>
      <c r="P131" s="7" t="inlineStr">
        <is>
          <t>현물 증빙(사진·위치) 확인 → 매핑표에 현물 보유 반영 검토</t>
        </is>
      </c>
      <c r="Q131" s="7" t="inlineStr">
        <is>
          <t>미완료</t>
        </is>
      </c>
      <c r="R131" s="7" t="inlineStr">
        <is>
          <t>담당자 변경 재안내 발송 2026-10-27</t>
        </is>
      </c>
      <c r="S131">
        <f>IF(L131="회신 완료","",J131-TODAY())</f>
        <v/>
      </c>
      <c r="T131">
        <f>IF(L131="회신 완료","완료",IF(J131&lt;TODAY(),"지연",IF(J131-TODAY()&lt;=1,"임박(D-1 이내)",IF(J131-TODAY()&lt;=3,"임박(D-3 이내)","여유"))))</f>
        <v/>
      </c>
    </row>
    <row r="132">
      <c r="A132" s="7" t="n">
        <v>71</v>
      </c>
      <c r="B132" s="7" t="inlineStr">
        <is>
          <t>검사시험</t>
        </is>
      </c>
      <c r="C132" s="7" t="inlineStr">
        <is>
          <t>2-7</t>
        </is>
      </c>
      <c r="D132" s="7" t="inlineStr">
        <is>
          <t>자주검사대 설치(초중종현품보관)</t>
        </is>
      </c>
      <c r="E132" s="7" t="inlineStr">
        <is>
          <t>판단 보류</t>
        </is>
      </c>
      <c r="F132" s="7" t="inlineStr">
        <is>
          <t>SH-FM-193</t>
        </is>
      </c>
      <c r="G132" s="7" t="inlineStr">
        <is>
          <t>SH-FM-193</t>
        </is>
      </c>
      <c r="H132" s="7" t="inlineStr">
        <is>
          <t>지성규</t>
        </is>
      </c>
      <c r="I132" s="7" t="inlineStr">
        <is>
          <t>발송용_담당자변경_20261027/메시지_지성규_20261027.txt</t>
        </is>
      </c>
      <c r="J132" s="8" t="n">
        <v>46331</v>
      </c>
      <c r="K132" s="8" t="n">
        <v>46322</v>
      </c>
      <c r="L132" s="7" t="inlineStr">
        <is>
          <t>발송(회신 대기)</t>
        </is>
      </c>
      <c r="M132" s="8" t="n"/>
      <c r="N132" s="7" t="n"/>
      <c r="O132" s="7" t="n"/>
      <c r="P132" s="7" t="inlineStr">
        <is>
          <t>현물 증빙(사진·위치) 확인 → 매핑표에 현물 보유 반영 검토</t>
        </is>
      </c>
      <c r="Q132" s="7" t="inlineStr">
        <is>
          <t>미완료</t>
        </is>
      </c>
      <c r="R132" s="7" t="inlineStr">
        <is>
          <t>담당자 변경 재안내 발송 2026-10-27</t>
        </is>
      </c>
      <c r="S132">
        <f>IF(L132="회신 완료","",J132-TODAY())</f>
        <v/>
      </c>
      <c r="T132">
        <f>IF(L132="회신 완료","완료",IF(J132&lt;TODAY(),"지연",IF(J132-TODAY()&lt;=1,"임박(D-1 이내)",IF(J132-TODAY()&lt;=3,"임박(D-3 이내)","여유"))))</f>
        <v/>
      </c>
    </row>
    <row r="133">
      <c r="A133" s="7" t="n">
        <v>123</v>
      </c>
      <c r="B133" s="7" t="inlineStr">
        <is>
          <t>금형관리</t>
        </is>
      </c>
      <c r="C133" s="7" t="inlineStr">
        <is>
          <t>4-2</t>
        </is>
      </c>
      <c r="D133" s="7" t="inlineStr">
        <is>
          <t>금형전산화시스템적용시 금형반컴퓨터설치</t>
        </is>
      </c>
      <c r="E133" s="7" t="inlineStr">
        <is>
          <t>판단 보류</t>
        </is>
      </c>
      <c r="F133" s="7" t="inlineStr">
        <is>
          <t>SH-FM-245</t>
        </is>
      </c>
      <c r="G133" s="7" t="inlineStr">
        <is>
          <t>SH-FM-245</t>
        </is>
      </c>
      <c r="H133" s="7" t="inlineStr">
        <is>
          <t>지성규</t>
        </is>
      </c>
      <c r="I133" s="7" t="inlineStr">
        <is>
          <t>발송용_담당자변경_20261027/메시지_지성규_20261027.txt</t>
        </is>
      </c>
      <c r="J133" s="8" t="n">
        <v>46331</v>
      </c>
      <c r="K133" s="8" t="n">
        <v>46322</v>
      </c>
      <c r="L133" s="7" t="inlineStr">
        <is>
          <t>발송(회신 대기)</t>
        </is>
      </c>
      <c r="M133" s="8" t="n"/>
      <c r="N133" s="7" t="n"/>
      <c r="O133" s="7" t="n"/>
      <c r="P133" s="7" t="inlineStr">
        <is>
          <t>현물 증빙(사진·위치) 확인 → 매핑표에 현물 보유 반영 검토</t>
        </is>
      </c>
      <c r="Q133" s="7" t="inlineStr">
        <is>
          <t>미완료</t>
        </is>
      </c>
      <c r="R133" s="7" t="inlineStr">
        <is>
          <t>담당자 변경 재안내 발송 2026-10-27</t>
        </is>
      </c>
      <c r="S133">
        <f>IF(L133="회신 완료","",J133-TODAY())</f>
        <v/>
      </c>
      <c r="T133">
        <f>IF(L133="회신 완료","완료",IF(J133&lt;TODAY(),"지연",IF(J133-TODAY()&lt;=1,"임박(D-1 이내)",IF(J133-TODAY()&lt;=3,"임박(D-3 이내)","여유"))))</f>
        <v/>
      </c>
    </row>
    <row r="134">
      <c r="A134" s="7" t="n">
        <v>126</v>
      </c>
      <c r="B134" s="7" t="inlineStr">
        <is>
          <t>금형관리</t>
        </is>
      </c>
      <c r="C134" s="7" t="inlineStr">
        <is>
          <t>4-4</t>
        </is>
      </c>
      <c r="D134" s="7" t="inlineStr">
        <is>
          <t>금형보관 lay-out 설치</t>
        </is>
      </c>
      <c r="E134" s="7" t="inlineStr">
        <is>
          <t>판단 보류</t>
        </is>
      </c>
      <c r="F134" s="7" t="inlineStr">
        <is>
          <t>SH-FM-248</t>
        </is>
      </c>
      <c r="G134" s="7" t="inlineStr">
        <is>
          <t>SH-FM-248</t>
        </is>
      </c>
      <c r="H134" s="7" t="inlineStr">
        <is>
          <t>지성규</t>
        </is>
      </c>
      <c r="I134" s="7" t="inlineStr">
        <is>
          <t>발송용_담당자변경_20261027/메시지_지성규_20261027.txt</t>
        </is>
      </c>
      <c r="J134" s="8" t="n">
        <v>46331</v>
      </c>
      <c r="K134" s="8" t="n">
        <v>46322</v>
      </c>
      <c r="L134" s="7" t="inlineStr">
        <is>
          <t>발송(회신 대기)</t>
        </is>
      </c>
      <c r="M134" s="8" t="n"/>
      <c r="N134" s="7" t="n"/>
      <c r="O134" s="7" t="n"/>
      <c r="P134" s="7" t="inlineStr">
        <is>
          <t>현물 증빙(사진·위치) 확인 → 매핑표에 현물 보유 반영 검토</t>
        </is>
      </c>
      <c r="Q134" s="7" t="inlineStr">
        <is>
          <t>미완료</t>
        </is>
      </c>
      <c r="R134" s="7" t="inlineStr">
        <is>
          <t>담당자 변경 재안내 발송 2026-10-27</t>
        </is>
      </c>
      <c r="S134">
        <f>IF(L134="회신 완료","",J134-TODAY())</f>
        <v/>
      </c>
      <c r="T134">
        <f>IF(L134="회신 완료","완료",IF(J134&lt;TODAY(),"지연",IF(J134-TODAY()&lt;=1,"임박(D-1 이내)",IF(J134-TODAY()&lt;=3,"임박(D-3 이내)","여유"))))</f>
        <v/>
      </c>
    </row>
    <row r="135">
      <c r="A135" s="7" t="n">
        <v>133</v>
      </c>
      <c r="B135" s="7" t="inlineStr">
        <is>
          <t>자재관리</t>
        </is>
      </c>
      <c r="C135" s="7" t="inlineStr">
        <is>
          <t>5-1</t>
        </is>
      </c>
      <c r="D135" s="7" t="inlineStr">
        <is>
          <t>작업일보</t>
        </is>
      </c>
      <c r="E135" s="7" t="inlineStr">
        <is>
          <t>판단 보류</t>
        </is>
      </c>
      <c r="F135" s="7" t="inlineStr">
        <is>
          <t>SH-FM-255</t>
        </is>
      </c>
      <c r="G135" s="7" t="inlineStr">
        <is>
          <t>SH-FM-145</t>
        </is>
      </c>
      <c r="H135" s="7" t="inlineStr">
        <is>
          <t>지성규</t>
        </is>
      </c>
      <c r="I135" s="7" t="inlineStr">
        <is>
          <t>발송용_담당자변경_20261027/메시지_지성규_20261027.txt</t>
        </is>
      </c>
      <c r="J135" s="8" t="n">
        <v>46331</v>
      </c>
      <c r="K135" s="8" t="n">
        <v>46322</v>
      </c>
      <c r="L135" s="7" t="inlineStr">
        <is>
          <t>발송(회신 대기)</t>
        </is>
      </c>
      <c r="M135" s="8" t="n"/>
      <c r="N135" s="7" t="n"/>
      <c r="O135" s="7" t="n"/>
      <c r="P135" s="7" t="inlineStr">
        <is>
          <t>통합 유지 확인 → 증빙 매핑표 갱신 / 분리 필요 시 통합 해제(FM Master·결정 CSV)</t>
        </is>
      </c>
      <c r="Q135" s="7" t="inlineStr">
        <is>
          <t>미완료</t>
        </is>
      </c>
      <c r="R135" s="7" t="inlineStr">
        <is>
          <t>담당자 변경 재안내 발송 2026-10-27</t>
        </is>
      </c>
      <c r="S135">
        <f>IF(L135="회신 완료","",J135-TODAY())</f>
        <v/>
      </c>
      <c r="T135">
        <f>IF(L135="회신 완료","완료",IF(J135&lt;TODAY(),"지연",IF(J135-TODAY()&lt;=1,"임박(D-1 이내)",IF(J135-TODAY()&lt;=3,"임박(D-3 이내)","여유"))))</f>
        <v/>
      </c>
    </row>
    <row r="136">
      <c r="A136" s="7" t="n">
        <v>135</v>
      </c>
      <c r="B136" s="7" t="inlineStr">
        <is>
          <t>자재관리</t>
        </is>
      </c>
      <c r="C136" s="7" t="inlineStr">
        <is>
          <t>5-1</t>
        </is>
      </c>
      <c r="D136" s="7" t="inlineStr">
        <is>
          <t>작업일보</t>
        </is>
      </c>
      <c r="E136" s="7" t="inlineStr">
        <is>
          <t>판단 보류</t>
        </is>
      </c>
      <c r="F136" s="7" t="inlineStr">
        <is>
          <t>SH-FM-257</t>
        </is>
      </c>
      <c r="G136" s="7" t="inlineStr">
        <is>
          <t>SH-FM-145</t>
        </is>
      </c>
      <c r="H136" s="7" t="inlineStr">
        <is>
          <t>지성규</t>
        </is>
      </c>
      <c r="I136" s="7" t="inlineStr">
        <is>
          <t>발송용_담당자변경_20261027/메시지_지성규_20261027.txt</t>
        </is>
      </c>
      <c r="J136" s="8" t="n">
        <v>46331</v>
      </c>
      <c r="K136" s="8" t="n">
        <v>46322</v>
      </c>
      <c r="L136" s="7" t="inlineStr">
        <is>
          <t>발송(회신 대기)</t>
        </is>
      </c>
      <c r="M136" s="8" t="n"/>
      <c r="N136" s="7" t="n"/>
      <c r="O136" s="7" t="n"/>
      <c r="P136" s="7" t="inlineStr">
        <is>
          <t>통합 유지 확인 → 증빙 매핑표 갱신 / 분리 필요 시 통합 해제(FM Master·결정 CSV)</t>
        </is>
      </c>
      <c r="Q136" s="7" t="inlineStr">
        <is>
          <t>미완료</t>
        </is>
      </c>
      <c r="R136" s="7" t="inlineStr">
        <is>
          <t>담당자 변경 재안내 발송 2026-10-27</t>
        </is>
      </c>
      <c r="S136">
        <f>IF(L136="회신 완료","",J136-TODAY())</f>
        <v/>
      </c>
      <c r="T136">
        <f>IF(L136="회신 완료","완료",IF(J136&lt;TODAY(),"지연",IF(J136-TODAY()&lt;=1,"임박(D-1 이내)",IF(J136-TODAY()&lt;=3,"임박(D-3 이내)","여유"))))</f>
        <v/>
      </c>
    </row>
    <row r="137">
      <c r="A137" s="7" t="n">
        <v>170</v>
      </c>
      <c r="B137" s="7" t="inlineStr">
        <is>
          <t>품질경영체제</t>
        </is>
      </c>
      <c r="C137" s="7" t="inlineStr">
        <is>
          <t>6-1</t>
        </is>
      </c>
      <c r="D137" s="7" t="inlineStr">
        <is>
          <t>작업장 안전수칙 라인별 제작활용</t>
        </is>
      </c>
      <c r="E137" s="7" t="inlineStr">
        <is>
          <t>판단 보류</t>
        </is>
      </c>
      <c r="F137" s="7" t="inlineStr">
        <is>
          <t>SH-FM-292</t>
        </is>
      </c>
      <c r="G137" s="7" t="inlineStr">
        <is>
          <t>SH-FM-292</t>
        </is>
      </c>
      <c r="H137" s="7" t="inlineStr">
        <is>
          <t>지성규</t>
        </is>
      </c>
      <c r="I137" s="7" t="inlineStr">
        <is>
          <t>발송용_담당자변경_20261027/메시지_지성규_20261027.txt</t>
        </is>
      </c>
      <c r="J137" s="8" t="n">
        <v>46331</v>
      </c>
      <c r="K137" s="8" t="n">
        <v>46322</v>
      </c>
      <c r="L137" s="7" t="inlineStr">
        <is>
          <t>발송(회신 대기)</t>
        </is>
      </c>
      <c r="M137" s="8" t="n"/>
      <c r="N137" s="7" t="n"/>
      <c r="O137" s="7" t="n"/>
      <c r="P137" s="7" t="inlineStr">
        <is>
          <t>현물 증빙(사진·위치) 확인 → 매핑표에 현물 보유 반영 검토</t>
        </is>
      </c>
      <c r="Q137" s="7" t="inlineStr">
        <is>
          <t>미완료</t>
        </is>
      </c>
      <c r="R137" s="7" t="inlineStr">
        <is>
          <t>담당자 변경 재안내 발송 2026-10-27</t>
        </is>
      </c>
      <c r="S137">
        <f>IF(L137="회신 완료","",J137-TODAY())</f>
        <v/>
      </c>
      <c r="T137">
        <f>IF(L137="회신 완료","완료",IF(J137&lt;TODAY(),"지연",IF(J137-TODAY()&lt;=1,"임박(D-1 이내)",IF(J137-TODAY()&lt;=3,"임박(D-3 이내)","여유"))))</f>
        <v/>
      </c>
    </row>
    <row r="138">
      <c r="A138" s="7" t="n">
        <v>197</v>
      </c>
      <c r="B138" s="7" t="inlineStr">
        <is>
          <t>품질경영체제</t>
        </is>
      </c>
      <c r="C138" s="7" t="inlineStr">
        <is>
          <t>6-5</t>
        </is>
      </c>
      <c r="D138" s="7" t="inlineStr">
        <is>
          <t>계수형R&amp;R 평가샘플 보관대</t>
        </is>
      </c>
      <c r="E138" s="7" t="inlineStr">
        <is>
          <t>판단 보류</t>
        </is>
      </c>
      <c r="F138" s="7" t="inlineStr">
        <is>
          <t>SH-FM-319</t>
        </is>
      </c>
      <c r="G138" s="7" t="inlineStr">
        <is>
          <t>SH-FM-319</t>
        </is>
      </c>
      <c r="H138" s="7" t="inlineStr">
        <is>
          <t>지성규</t>
        </is>
      </c>
      <c r="I138" s="7" t="inlineStr">
        <is>
          <t>발송용_담당자변경_20261027/메시지_지성규_20261027.txt</t>
        </is>
      </c>
      <c r="J138" s="8" t="n">
        <v>46331</v>
      </c>
      <c r="K138" s="8" t="n">
        <v>46322</v>
      </c>
      <c r="L138" s="7" t="inlineStr">
        <is>
          <t>발송(회신 대기)</t>
        </is>
      </c>
      <c r="M138" s="8" t="n"/>
      <c r="N138" s="7" t="n"/>
      <c r="O138" s="7" t="n"/>
      <c r="P138" s="7" t="inlineStr">
        <is>
          <t>현물 증빙(사진·위치) 확인 → 매핑표에 현물 보유 반영 검토</t>
        </is>
      </c>
      <c r="Q138" s="7" t="inlineStr">
        <is>
          <t>미완료</t>
        </is>
      </c>
      <c r="R138" s="7" t="inlineStr">
        <is>
          <t>담당자 변경 재안내 발송 2026-10-27</t>
        </is>
      </c>
      <c r="S138">
        <f>IF(L138="회신 완료","",J138-TODAY())</f>
        <v/>
      </c>
      <c r="T138">
        <f>IF(L138="회신 완료","완료",IF(J138&lt;TODAY(),"지연",IF(J138-TODAY()&lt;=1,"임박(D-1 이내)",IF(J138-TODAY()&lt;=3,"임박(D-3 이내)","여유"))))</f>
        <v/>
      </c>
    </row>
    <row r="139">
      <c r="A139" s="7" t="n">
        <v>230</v>
      </c>
      <c r="B139" s="7" t="inlineStr">
        <is>
          <t>품질경영체제</t>
        </is>
      </c>
      <c r="C139" s="7" t="inlineStr">
        <is>
          <t>6-12</t>
        </is>
      </c>
      <c r="D139" s="7" t="inlineStr">
        <is>
          <t>재작업품 검사기준및 검사실적</t>
        </is>
      </c>
      <c r="E139" s="7" t="inlineStr">
        <is>
          <t>판단 보류</t>
        </is>
      </c>
      <c r="F139" s="7" t="inlineStr">
        <is>
          <t>SH-FM-352</t>
        </is>
      </c>
      <c r="G139" s="7" t="inlineStr">
        <is>
          <t>SH-QP-018</t>
        </is>
      </c>
      <c r="H139" s="7" t="inlineStr">
        <is>
          <t>지성규</t>
        </is>
      </c>
      <c r="I139" s="7" t="inlineStr">
        <is>
          <t>발송용_담당자변경_20261027/메시지_지성규_20261027.txt</t>
        </is>
      </c>
      <c r="J139" s="8" t="n">
        <v>46331</v>
      </c>
      <c r="K139" s="8" t="n">
        <v>46322</v>
      </c>
      <c r="L139" s="7" t="inlineStr">
        <is>
          <t>발송(회신 대기)</t>
        </is>
      </c>
      <c r="M139" s="8" t="n"/>
      <c r="N139" s="7" t="n"/>
      <c r="O139" s="7" t="n"/>
      <c r="P139" s="7" t="inlineStr">
        <is>
          <t>SH-FM-037 릴리스 여부 확인 → 구성 충족 판단</t>
        </is>
      </c>
      <c r="Q139" s="7" t="inlineStr">
        <is>
          <t>미완료</t>
        </is>
      </c>
      <c r="R139" s="7" t="inlineStr">
        <is>
          <t>담당자 변경 재안내 발송 2026-10-27</t>
        </is>
      </c>
      <c r="S139">
        <f>IF(L139="회신 완료","",J139-TODAY())</f>
        <v/>
      </c>
      <c r="T139">
        <f>IF(L139="회신 완료","완료",IF(J139&lt;TODAY(),"지연",IF(J139-TODAY()&lt;=1,"임박(D-1 이내)",IF(J139-TODAY()&lt;=3,"임박(D-3 이내)","여유"))))</f>
        <v/>
      </c>
    </row>
    <row r="140">
      <c r="A140" s="7" t="n">
        <v>22</v>
      </c>
      <c r="B140" s="7" t="inlineStr">
        <is>
          <t>생산조건관리</t>
        </is>
      </c>
      <c r="C140" s="7" t="inlineStr">
        <is>
          <t>1-5</t>
        </is>
      </c>
      <c r="D140" s="7" t="inlineStr">
        <is>
          <t>작업표준서 OR 작업조건표</t>
        </is>
      </c>
      <c r="E140" s="7" t="inlineStr">
        <is>
          <t>보완 필요</t>
        </is>
      </c>
      <c r="F140" s="7" t="inlineStr">
        <is>
          <t>SH-FM-144</t>
        </is>
      </c>
      <c r="G140" s="7" t="inlineStr">
        <is>
          <t>SH-FM-144</t>
        </is>
      </c>
      <c r="H140" s="7" t="inlineStr">
        <is>
          <t>지성규</t>
        </is>
      </c>
      <c r="I140" s="7" t="inlineStr">
        <is>
          <t>발송용_담당자변경_20261027/메시지_지성규_20261027.txt</t>
        </is>
      </c>
      <c r="J140" s="8" t="n">
        <v>46331</v>
      </c>
      <c r="K140" s="8" t="n">
        <v>46322</v>
      </c>
      <c r="L140" s="7" t="inlineStr">
        <is>
          <t>발송(회신 대기)</t>
        </is>
      </c>
      <c r="M140" s="8" t="n"/>
      <c r="N140" s="7" t="n"/>
      <c r="O140" s="7" t="n"/>
      <c r="P140" s="7" t="inlineStr">
        <is>
          <t>항목·기준 작성 파일 수령 → 같은 Rev.00 재개정(recheck → 승인·배포) → 매핑표 '보유'로 갱신</t>
        </is>
      </c>
      <c r="Q140" s="7" t="inlineStr">
        <is>
          <t>미완료</t>
        </is>
      </c>
      <c r="R140" s="7" t="inlineStr">
        <is>
          <t>담당자 변경 재안내 발송 2026-10-27</t>
        </is>
      </c>
      <c r="S140">
        <f>IF(L140="회신 완료","",J140-TODAY())</f>
        <v/>
      </c>
      <c r="T140">
        <f>IF(L140="회신 완료","완료",IF(J140&lt;TODAY(),"지연",IF(J140-TODAY()&lt;=1,"임박(D-1 이내)",IF(J140-TODAY()&lt;=3,"임박(D-3 이내)","여유"))))</f>
        <v/>
      </c>
    </row>
    <row r="141">
      <c r="A141" s="7" t="n">
        <v>113</v>
      </c>
      <c r="B141" s="7" t="inlineStr">
        <is>
          <t>금형관리</t>
        </is>
      </c>
      <c r="C141" s="7" t="inlineStr">
        <is>
          <t>4-1</t>
        </is>
      </c>
      <c r="D141" s="7" t="inlineStr">
        <is>
          <t>금형관리 프로세스</t>
        </is>
      </c>
      <c r="E141" s="7" t="inlineStr">
        <is>
          <t>보완 필요</t>
        </is>
      </c>
      <c r="F141" s="7" t="inlineStr">
        <is>
          <t>SH-FM-235</t>
        </is>
      </c>
      <c r="G141" s="7" t="inlineStr">
        <is>
          <t>SH-FM-235</t>
        </is>
      </c>
      <c r="H141" s="7" t="inlineStr">
        <is>
          <t>지성규</t>
        </is>
      </c>
      <c r="I141" s="7" t="inlineStr">
        <is>
          <t>발송용_담당자변경_20261027/메시지_지성규_20261027.txt</t>
        </is>
      </c>
      <c r="J141" s="8" t="n">
        <v>46331</v>
      </c>
      <c r="K141" s="8" t="n">
        <v>46322</v>
      </c>
      <c r="L141" s="7" t="inlineStr">
        <is>
          <t>발송(회신 대기)</t>
        </is>
      </c>
      <c r="M141" s="8" t="n"/>
      <c r="N141" s="7" t="n"/>
      <c r="O141" s="7" t="n"/>
      <c r="P141" s="7" t="inlineStr">
        <is>
          <t>항목·기준 작성 파일 수령 → 같은 Rev.00 재개정(recheck → 승인·배포) → 매핑표 '보유'로 갱신</t>
        </is>
      </c>
      <c r="Q141" s="7" t="inlineStr">
        <is>
          <t>미완료</t>
        </is>
      </c>
      <c r="R141" s="7" t="inlineStr">
        <is>
          <t>담당자 변경 재안내 발송 2026-10-27</t>
        </is>
      </c>
      <c r="S141">
        <f>IF(L141="회신 완료","",J141-TODAY())</f>
        <v/>
      </c>
      <c r="T141">
        <f>IF(L141="회신 완료","완료",IF(J141&lt;TODAY(),"지연",IF(J141-TODAY()&lt;=1,"임박(D-1 이내)",IF(J141-TODAY()&lt;=3,"임박(D-3 이내)","여유"))))</f>
        <v/>
      </c>
    </row>
    <row r="142">
      <c r="A142" s="7" t="n">
        <v>3</v>
      </c>
      <c r="B142" s="7" t="inlineStr">
        <is>
          <t>생산조건관리</t>
        </is>
      </c>
      <c r="C142" s="7" t="inlineStr">
        <is>
          <t>1-1</t>
        </is>
      </c>
      <c r="D142" s="7" t="inlineStr">
        <is>
          <t>작업표준서</t>
        </is>
      </c>
      <c r="E142" s="7" t="inlineStr">
        <is>
          <t>보완 필요</t>
        </is>
      </c>
      <c r="F142" s="7" t="inlineStr">
        <is>
          <t>SH-FM-125</t>
        </is>
      </c>
      <c r="G142" s="7" t="inlineStr">
        <is>
          <t>SH-FM-125</t>
        </is>
      </c>
      <c r="H142" s="7" t="inlineStr">
        <is>
          <t>지성규</t>
        </is>
      </c>
      <c r="I142" s="7" t="inlineStr">
        <is>
          <t>발송용_담당자변경_20261027/메시지_지성규_20261027.txt</t>
        </is>
      </c>
      <c r="J142" s="8" t="n">
        <v>46331</v>
      </c>
      <c r="K142" s="8" t="n">
        <v>46322</v>
      </c>
      <c r="L142" s="7" t="inlineStr">
        <is>
          <t>발송(회신 대기)</t>
        </is>
      </c>
      <c r="M142" s="8" t="n"/>
      <c r="N142" s="7" t="n"/>
      <c r="O142" s="7" t="n"/>
      <c r="P142" s="7" t="inlineStr">
        <is>
          <t>항목·기준 작성 파일 수령 → 같은 Rev.00 재개정(recheck → 승인·배포) → 매핑표 '보유'로 갱신</t>
        </is>
      </c>
      <c r="Q142" s="7" t="inlineStr">
        <is>
          <t>미완료</t>
        </is>
      </c>
      <c r="R142" s="7" t="inlineStr">
        <is>
          <t>담당자 변경 재안내 발송 2026-10-27</t>
        </is>
      </c>
      <c r="S142">
        <f>IF(L142="회신 완료","",J142-TODAY())</f>
        <v/>
      </c>
      <c r="T142">
        <f>IF(L142="회신 완료","완료",IF(J142&lt;TODAY(),"지연",IF(J142-TODAY()&lt;=1,"임박(D-1 이내)",IF(J142-TODAY()&lt;=3,"임박(D-3 이내)","여유"))))</f>
        <v/>
      </c>
    </row>
    <row r="143">
      <c r="A143" s="7" t="n">
        <v>6</v>
      </c>
      <c r="B143" s="7" t="inlineStr">
        <is>
          <t>생산조건관리</t>
        </is>
      </c>
      <c r="C143" s="7" t="inlineStr">
        <is>
          <t>1-2</t>
        </is>
      </c>
      <c r="D143" s="7" t="inlineStr">
        <is>
          <t>설비재가동업무 프로세스</t>
        </is>
      </c>
      <c r="E143" s="7" t="inlineStr">
        <is>
          <t>보완 필요</t>
        </is>
      </c>
      <c r="F143" s="7" t="inlineStr">
        <is>
          <t>SH-FM-128</t>
        </is>
      </c>
      <c r="G143" s="7" t="inlineStr">
        <is>
          <t>SH-FM-128</t>
        </is>
      </c>
      <c r="H143" s="7" t="inlineStr">
        <is>
          <t>지성규</t>
        </is>
      </c>
      <c r="I143" s="7" t="inlineStr">
        <is>
          <t>발송용_담당자변경_20261027/메시지_지성규_20261027.txt</t>
        </is>
      </c>
      <c r="J143" s="8" t="n">
        <v>46331</v>
      </c>
      <c r="K143" s="8" t="n">
        <v>46322</v>
      </c>
      <c r="L143" s="7" t="inlineStr">
        <is>
          <t>발송(회신 대기)</t>
        </is>
      </c>
      <c r="M143" s="8" t="n"/>
      <c r="N143" s="7" t="n"/>
      <c r="O143" s="7" t="n"/>
      <c r="P143" s="7" t="inlineStr">
        <is>
          <t>항목·기준 작성 파일 수령 → 같은 Rev.00 재개정(recheck → 승인·배포) → 매핑표 '보유'로 갱신</t>
        </is>
      </c>
      <c r="Q143" s="7" t="inlineStr">
        <is>
          <t>미완료</t>
        </is>
      </c>
      <c r="R143" s="7" t="inlineStr">
        <is>
          <t>담당자 변경 재안내 발송 2026-10-27</t>
        </is>
      </c>
      <c r="S143">
        <f>IF(L143="회신 완료","",J143-TODAY())</f>
        <v/>
      </c>
      <c r="T143">
        <f>IF(L143="회신 완료","완료",IF(J143&lt;TODAY(),"지연",IF(J143-TODAY()&lt;=1,"임박(D-1 이내)",IF(J143-TODAY()&lt;=3,"임박(D-3 이내)","여유"))))</f>
        <v/>
      </c>
    </row>
    <row r="144">
      <c r="A144" s="7" t="n">
        <v>8</v>
      </c>
      <c r="B144" s="7" t="inlineStr">
        <is>
          <t>생산조건관리</t>
        </is>
      </c>
      <c r="C144" s="7" t="inlineStr">
        <is>
          <t>1-2</t>
        </is>
      </c>
      <c r="D144" s="7" t="inlineStr">
        <is>
          <t>설비가동중단 LIST (설비이력카드 연계)</t>
        </is>
      </c>
      <c r="E144" s="7" t="inlineStr">
        <is>
          <t>보완 필요</t>
        </is>
      </c>
      <c r="F144" s="7" t="inlineStr">
        <is>
          <t>SH-FM-130</t>
        </is>
      </c>
      <c r="G144" s="7" t="inlineStr">
        <is>
          <t>SH-FM-130</t>
        </is>
      </c>
      <c r="H144" s="7" t="inlineStr">
        <is>
          <t>황지환</t>
        </is>
      </c>
      <c r="I144" s="7" t="inlineStr">
        <is>
          <t>발송용_담당자변경_20261027/메시지_황지환_20261027.txt</t>
        </is>
      </c>
      <c r="J144" s="8" t="n">
        <v>46331</v>
      </c>
      <c r="K144" s="8" t="n">
        <v>46322</v>
      </c>
      <c r="L144" s="7" t="inlineStr">
        <is>
          <t>발송(회신 대기)</t>
        </is>
      </c>
      <c r="M144" s="8" t="n"/>
      <c r="N144" s="7" t="n"/>
      <c r="O144" s="7" t="n"/>
      <c r="P144" s="7" t="inlineStr">
        <is>
          <t>항목·기준 작성 파일 수령 → 같은 Rev.00 재개정(recheck → 승인·배포) → 매핑표 '보유'로 갱신</t>
        </is>
      </c>
      <c r="Q144" s="7" t="inlineStr">
        <is>
          <t>미완료</t>
        </is>
      </c>
      <c r="R144" s="7" t="inlineStr">
        <is>
          <t>담당자 정정본3 기준 변경(인쇄물 전달 당시: 지성규); 담당자 변경 재안내 발송 2026-10-27</t>
        </is>
      </c>
      <c r="S144">
        <f>IF(L144="회신 완료","",J144-TODAY())</f>
        <v/>
      </c>
      <c r="T144">
        <f>IF(L144="회신 완료","완료",IF(J144&lt;TODAY(),"지연",IF(J144-TODAY()&lt;=1,"임박(D-1 이내)",IF(J144-TODAY()&lt;=3,"임박(D-3 이내)","여유"))))</f>
        <v/>
      </c>
    </row>
    <row r="145">
      <c r="A145" s="7" t="n">
        <v>10</v>
      </c>
      <c r="B145" s="7" t="inlineStr">
        <is>
          <t>생산조건관리</t>
        </is>
      </c>
      <c r="C145" s="7" t="inlineStr">
        <is>
          <t>1-2</t>
        </is>
      </c>
      <c r="D145" s="7" t="inlineStr">
        <is>
          <t>재가동 초도생산품 LOT식별관리 기준서</t>
        </is>
      </c>
      <c r="E145" s="7" t="inlineStr">
        <is>
          <t>보완 필요</t>
        </is>
      </c>
      <c r="F145" s="7" t="inlineStr">
        <is>
          <t>SH-FM-132</t>
        </is>
      </c>
      <c r="G145" s="7" t="inlineStr">
        <is>
          <t>SH-FM-132</t>
        </is>
      </c>
      <c r="H145" s="7" t="inlineStr">
        <is>
          <t>지성규</t>
        </is>
      </c>
      <c r="I145" s="7" t="inlineStr">
        <is>
          <t>발송용_담당자변경_20261027/메시지_지성규_20261027.txt</t>
        </is>
      </c>
      <c r="J145" s="8" t="n">
        <v>46331</v>
      </c>
      <c r="K145" s="8" t="n">
        <v>46322</v>
      </c>
      <c r="L145" s="7" t="inlineStr">
        <is>
          <t>발송(회신 대기)</t>
        </is>
      </c>
      <c r="M145" s="8" t="n"/>
      <c r="N145" s="7" t="n"/>
      <c r="O145" s="7" t="n"/>
      <c r="P145" s="7" t="inlineStr">
        <is>
          <t>항목·기준 작성 파일 수령 → 같은 Rev.00 재개정(recheck → 승인·배포) → 매핑표 '보유'로 갱신</t>
        </is>
      </c>
      <c r="Q145" s="7" t="inlineStr">
        <is>
          <t>미완료</t>
        </is>
      </c>
      <c r="R145" s="7" t="inlineStr">
        <is>
          <t>담당자 변경 재안내 발송 2026-10-27</t>
        </is>
      </c>
      <c r="S145">
        <f>IF(L145="회신 완료","",J145-TODAY())</f>
        <v/>
      </c>
      <c r="T145">
        <f>IF(L145="회신 완료","완료",IF(J145&lt;TODAY(),"지연",IF(J145-TODAY()&lt;=1,"임박(D-1 이내)",IF(J145-TODAY()&lt;=3,"임박(D-3 이내)","여유"))))</f>
        <v/>
      </c>
    </row>
    <row r="146">
      <c r="A146" s="7" t="n">
        <v>11</v>
      </c>
      <c r="B146" s="7" t="inlineStr">
        <is>
          <t>생산조건관리</t>
        </is>
      </c>
      <c r="C146" s="7" t="inlineStr">
        <is>
          <t>1-3</t>
        </is>
      </c>
      <c r="D146" s="7" t="inlineStr">
        <is>
          <t>작업표준서 현지어번역본</t>
        </is>
      </c>
      <c r="E146" s="7" t="inlineStr">
        <is>
          <t>보완 필요</t>
        </is>
      </c>
      <c r="F146" s="7" t="inlineStr">
        <is>
          <t>SH-FM-133</t>
        </is>
      </c>
      <c r="G146" s="7" t="inlineStr">
        <is>
          <t>SH-FM-133</t>
        </is>
      </c>
      <c r="H146" s="7" t="inlineStr">
        <is>
          <t>지성규</t>
        </is>
      </c>
      <c r="I146" s="7" t="inlineStr">
        <is>
          <t>발송용_담당자변경_20261027/메시지_지성규_20261027.txt</t>
        </is>
      </c>
      <c r="J146" s="8" t="n">
        <v>46331</v>
      </c>
      <c r="K146" s="8" t="n">
        <v>46322</v>
      </c>
      <c r="L146" s="7" t="inlineStr">
        <is>
          <t>발송(회신 대기)</t>
        </is>
      </c>
      <c r="M146" s="8" t="n"/>
      <c r="N146" s="7" t="n"/>
      <c r="O146" s="7" t="n"/>
      <c r="P146" s="7" t="inlineStr">
        <is>
          <t>항목·기준 작성 파일 수령 → 같은 Rev.00 재개정(recheck → 승인·배포) → 매핑표 '보유'로 갱신</t>
        </is>
      </c>
      <c r="Q146" s="7" t="inlineStr">
        <is>
          <t>미완료</t>
        </is>
      </c>
      <c r="R146" s="7" t="inlineStr">
        <is>
          <t>담당자 변경 재안내 발송 2026-10-27</t>
        </is>
      </c>
      <c r="S146">
        <f>IF(L146="회신 완료","",J146-TODAY())</f>
        <v/>
      </c>
      <c r="T146">
        <f>IF(L146="회신 완료","완료",IF(J146&lt;TODAY(),"지연",IF(J146-TODAY()&lt;=1,"임박(D-1 이내)",IF(J146-TODAY()&lt;=3,"임박(D-3 이내)","여유"))))</f>
        <v/>
      </c>
    </row>
    <row r="147">
      <c r="A147" s="7" t="n">
        <v>12</v>
      </c>
      <c r="B147" s="7" t="inlineStr">
        <is>
          <t>생산조건관리</t>
        </is>
      </c>
      <c r="C147" s="7" t="inlineStr">
        <is>
          <t>1-3</t>
        </is>
      </c>
      <c r="D147" s="7" t="inlineStr">
        <is>
          <t>설비일상점검표 현지어 번역본</t>
        </is>
      </c>
      <c r="E147" s="7" t="inlineStr">
        <is>
          <t>보완 필요</t>
        </is>
      </c>
      <c r="F147" s="7" t="inlineStr">
        <is>
          <t>SH-FM-134</t>
        </is>
      </c>
      <c r="G147" s="7" t="inlineStr">
        <is>
          <t>SH-FM-134</t>
        </is>
      </c>
      <c r="H147" s="7" t="inlineStr">
        <is>
          <t>황지환</t>
        </is>
      </c>
      <c r="I147" s="7" t="inlineStr">
        <is>
          <t>발송용_담당자변경_20261027/메시지_황지환_20261027.txt</t>
        </is>
      </c>
      <c r="J147" s="8" t="n">
        <v>46331</v>
      </c>
      <c r="K147" s="8" t="n">
        <v>46322</v>
      </c>
      <c r="L147" s="7" t="inlineStr">
        <is>
          <t>발송(회신 대기)</t>
        </is>
      </c>
      <c r="M147" s="8" t="n"/>
      <c r="N147" s="7" t="n"/>
      <c r="O147" s="7" t="n"/>
      <c r="P147" s="7" t="inlineStr">
        <is>
          <t>항목·기준 작성 파일 수령 → 같은 Rev.00 재개정(recheck → 승인·배포) → 매핑표 '보유'로 갱신</t>
        </is>
      </c>
      <c r="Q147" s="7" t="inlineStr">
        <is>
          <t>미완료</t>
        </is>
      </c>
      <c r="R147" s="7" t="inlineStr">
        <is>
          <t>담당자 정정본3 기준 변경(인쇄물 전달 당시: 지성규); 담당자 변경 재안내 발송 2026-10-27</t>
        </is>
      </c>
      <c r="S147">
        <f>IF(L147="회신 완료","",J147-TODAY())</f>
        <v/>
      </c>
      <c r="T147">
        <f>IF(L147="회신 완료","완료",IF(J147&lt;TODAY(),"지연",IF(J147-TODAY()&lt;=1,"임박(D-1 이내)",IF(J147-TODAY()&lt;=3,"임박(D-3 이내)","여유"))))</f>
        <v/>
      </c>
    </row>
    <row r="148">
      <c r="A148" s="7" t="n">
        <v>13</v>
      </c>
      <c r="B148" s="7" t="inlineStr">
        <is>
          <t>생산조건관리</t>
        </is>
      </c>
      <c r="C148" s="7" t="inlineStr">
        <is>
          <t>1-3</t>
        </is>
      </c>
      <c r="D148" s="7" t="inlineStr">
        <is>
          <t>작업일보 현지어 번역본</t>
        </is>
      </c>
      <c r="E148" s="7" t="inlineStr">
        <is>
          <t>보완 필요</t>
        </is>
      </c>
      <c r="F148" s="7" t="inlineStr">
        <is>
          <t>SH-FM-135</t>
        </is>
      </c>
      <c r="G148" s="7" t="inlineStr">
        <is>
          <t>SH-FM-145</t>
        </is>
      </c>
      <c r="H148" s="7" t="inlineStr">
        <is>
          <t>황지환</t>
        </is>
      </c>
      <c r="I148" s="7" t="inlineStr">
        <is>
          <t>발송용_담당자변경_20261027/메시지_황지환_20261027.txt</t>
        </is>
      </c>
      <c r="J148" s="8" t="n">
        <v>46331</v>
      </c>
      <c r="K148" s="8" t="n">
        <v>46322</v>
      </c>
      <c r="L148" s="7" t="inlineStr">
        <is>
          <t>발송(회신 대기)</t>
        </is>
      </c>
      <c r="M148" s="8" t="n"/>
      <c r="N148" s="7" t="n"/>
      <c r="O148" s="7" t="n"/>
      <c r="P148" s="7" t="inlineStr">
        <is>
          <t>항목·기준 작성 파일 수령 → 같은 Rev.00 재개정(recheck → 승인·배포) → 매핑표 '보유'로 갱신</t>
        </is>
      </c>
      <c r="Q148" s="7" t="inlineStr">
        <is>
          <t>미완료</t>
        </is>
      </c>
      <c r="R148" s="7" t="inlineStr">
        <is>
          <t>담당자 정정본3 기준 변경(인쇄물 전달 당시: 지성규); 담당자 변경 재안내 발송 2026-10-27</t>
        </is>
      </c>
      <c r="S148">
        <f>IF(L148="회신 완료","",J148-TODAY())</f>
        <v/>
      </c>
      <c r="T148">
        <f>IF(L148="회신 완료","완료",IF(J148&lt;TODAY(),"지연",IF(J148-TODAY()&lt;=1,"임박(D-1 이내)",IF(J148-TODAY()&lt;=3,"임박(D-3 이내)","여유"))))</f>
        <v/>
      </c>
    </row>
    <row r="149">
      <c r="A149" s="7" t="n">
        <v>16</v>
      </c>
      <c r="B149" s="7" t="inlineStr">
        <is>
          <t>생산조건관리</t>
        </is>
      </c>
      <c r="C149" s="7" t="inlineStr">
        <is>
          <t>1-4</t>
        </is>
      </c>
      <c r="D149" s="7" t="inlineStr">
        <is>
          <t>품질취약시간관리기준서</t>
        </is>
      </c>
      <c r="E149" s="7" t="inlineStr">
        <is>
          <t>보완 필요</t>
        </is>
      </c>
      <c r="F149" s="7" t="inlineStr">
        <is>
          <t>SH-FM-138</t>
        </is>
      </c>
      <c r="G149" s="7" t="inlineStr">
        <is>
          <t>SH-FM-138</t>
        </is>
      </c>
      <c r="H149" s="7" t="inlineStr">
        <is>
          <t>지성규</t>
        </is>
      </c>
      <c r="I149" s="7" t="inlineStr">
        <is>
          <t>발송용_담당자변경_20261027/메시지_지성규_20261027.txt</t>
        </is>
      </c>
      <c r="J149" s="8" t="n">
        <v>46331</v>
      </c>
      <c r="K149" s="8" t="n">
        <v>46322</v>
      </c>
      <c r="L149" s="7" t="inlineStr">
        <is>
          <t>발송(회신 대기)</t>
        </is>
      </c>
      <c r="M149" s="8" t="n"/>
      <c r="N149" s="7" t="n"/>
      <c r="O149" s="7" t="n"/>
      <c r="P149" s="7" t="inlineStr">
        <is>
          <t>항목·기준 작성 파일 수령 → 같은 Rev.00 재개정(recheck → 승인·배포) → 매핑표 '보유'로 갱신</t>
        </is>
      </c>
      <c r="Q149" s="7" t="inlineStr">
        <is>
          <t>미완료</t>
        </is>
      </c>
      <c r="R149" s="7" t="inlineStr">
        <is>
          <t>담당자 변경 재안내 발송 2026-10-27</t>
        </is>
      </c>
      <c r="S149">
        <f>IF(L149="회신 완료","",J149-TODAY())</f>
        <v/>
      </c>
      <c r="T149">
        <f>IF(L149="회신 완료","완료",IF(J149&lt;TODAY(),"지연",IF(J149-TODAY()&lt;=1,"임박(D-1 이내)",IF(J149-TODAY()&lt;=3,"임박(D-3 이내)","여유"))))</f>
        <v/>
      </c>
    </row>
    <row r="150">
      <c r="A150" s="7" t="n">
        <v>17</v>
      </c>
      <c r="B150" s="7" t="inlineStr">
        <is>
          <t>생산조건관리</t>
        </is>
      </c>
      <c r="C150" s="7" t="inlineStr">
        <is>
          <t>1-4</t>
        </is>
      </c>
      <c r="D150" s="7" t="inlineStr">
        <is>
          <t>비상연락망</t>
        </is>
      </c>
      <c r="E150" s="7" t="inlineStr">
        <is>
          <t>보완 필요</t>
        </is>
      </c>
      <c r="F150" s="7" t="inlineStr">
        <is>
          <t>SH-FM-139</t>
        </is>
      </c>
      <c r="G150" s="7" t="inlineStr">
        <is>
          <t>SH-FM-139</t>
        </is>
      </c>
      <c r="H150" s="7" t="inlineStr">
        <is>
          <t>황지환</t>
        </is>
      </c>
      <c r="I150" s="7" t="inlineStr">
        <is>
          <t>발송용_담당자변경_20261027/메시지_황지환_20261027.txt</t>
        </is>
      </c>
      <c r="J150" s="8" t="n">
        <v>46331</v>
      </c>
      <c r="K150" s="8" t="n">
        <v>46322</v>
      </c>
      <c r="L150" s="7" t="inlineStr">
        <is>
          <t>발송(회신 대기)</t>
        </is>
      </c>
      <c r="M150" s="8" t="n"/>
      <c r="N150" s="7" t="n"/>
      <c r="O150" s="7" t="n"/>
      <c r="P150" s="7" t="inlineStr">
        <is>
          <t>항목·기준 작성 파일 수령 → 같은 Rev.00 재개정(recheck → 승인·배포) → 매핑표 '보유'로 갱신</t>
        </is>
      </c>
      <c r="Q150" s="7" t="inlineStr">
        <is>
          <t>미완료</t>
        </is>
      </c>
      <c r="R150" s="7" t="inlineStr">
        <is>
          <t>담당자 정정본3 기준 변경(인쇄물 전달 당시: 지성규); 담당자 변경 재안내 발송 2026-10-27</t>
        </is>
      </c>
      <c r="S150">
        <f>IF(L150="회신 완료","",J150-TODAY())</f>
        <v/>
      </c>
      <c r="T150">
        <f>IF(L150="회신 완료","완료",IF(J150&lt;TODAY(),"지연",IF(J150-TODAY()&lt;=1,"임박(D-1 이내)",IF(J150-TODAY()&lt;=3,"임박(D-3 이내)","여유"))))</f>
        <v/>
      </c>
    </row>
    <row r="151">
      <c r="A151" s="7" t="n">
        <v>18</v>
      </c>
      <c r="B151" s="7" t="inlineStr">
        <is>
          <t>생산조건관리</t>
        </is>
      </c>
      <c r="C151" s="7" t="inlineStr">
        <is>
          <t>1-4</t>
        </is>
      </c>
      <c r="D151" s="7" t="inlineStr">
        <is>
          <t>주야간업무 인수인계서</t>
        </is>
      </c>
      <c r="E151" s="7" t="inlineStr">
        <is>
          <t>보완 필요</t>
        </is>
      </c>
      <c r="F151" s="7" t="inlineStr">
        <is>
          <t>SH-FM-140</t>
        </is>
      </c>
      <c r="G151" s="7" t="inlineStr">
        <is>
          <t>SH-FM-140</t>
        </is>
      </c>
      <c r="H151" s="7" t="inlineStr">
        <is>
          <t>황지환</t>
        </is>
      </c>
      <c r="I151" s="7" t="inlineStr">
        <is>
          <t>발송용_담당자변경_20261027/메시지_황지환_20261027.txt</t>
        </is>
      </c>
      <c r="J151" s="8" t="n">
        <v>46331</v>
      </c>
      <c r="K151" s="8" t="n">
        <v>46322</v>
      </c>
      <c r="L151" s="7" t="inlineStr">
        <is>
          <t>발송(회신 대기)</t>
        </is>
      </c>
      <c r="M151" s="8" t="n"/>
      <c r="N151" s="7" t="n"/>
      <c r="O151" s="7" t="n"/>
      <c r="P151" s="7" t="inlineStr">
        <is>
          <t>항목·기준 작성 파일 수령 → 같은 Rev.00 재개정(recheck → 승인·배포) → 매핑표 '보유'로 갱신</t>
        </is>
      </c>
      <c r="Q151" s="7" t="inlineStr">
        <is>
          <t>미완료</t>
        </is>
      </c>
      <c r="R151" s="7" t="inlineStr">
        <is>
          <t>담당자 정정본3 기준 변경(인쇄물 전달 당시: 지성규); 담당자 변경 재안내 발송 2026-10-27</t>
        </is>
      </c>
      <c r="S151">
        <f>IF(L151="회신 완료","",J151-TODAY())</f>
        <v/>
      </c>
      <c r="T151">
        <f>IF(L151="회신 완료","완료",IF(J151&lt;TODAY(),"지연",IF(J151-TODAY()&lt;=1,"임박(D-1 이내)",IF(J151-TODAY()&lt;=3,"임박(D-3 이내)","여유"))))</f>
        <v/>
      </c>
    </row>
    <row r="152">
      <c r="A152" s="7" t="n">
        <v>23</v>
      </c>
      <c r="B152" s="7" t="inlineStr">
        <is>
          <t>생산조건관리</t>
        </is>
      </c>
      <c r="C152" s="7" t="inlineStr">
        <is>
          <t>1-5</t>
        </is>
      </c>
      <c r="D152" s="7" t="inlineStr">
        <is>
          <t>작업일보</t>
        </is>
      </c>
      <c r="E152" s="7" t="inlineStr">
        <is>
          <t>보완 필요</t>
        </is>
      </c>
      <c r="F152" s="7" t="inlineStr">
        <is>
          <t>SH-FM-145</t>
        </is>
      </c>
      <c r="G152" s="7" t="inlineStr">
        <is>
          <t>SH-FM-145</t>
        </is>
      </c>
      <c r="H152" s="7" t="inlineStr">
        <is>
          <t>황지환</t>
        </is>
      </c>
      <c r="I152" s="7" t="inlineStr">
        <is>
          <t>발송용_담당자변경_20261027/메시지_황지환_20261027.txt</t>
        </is>
      </c>
      <c r="J152" s="8" t="n">
        <v>46331</v>
      </c>
      <c r="K152" s="8" t="n">
        <v>46322</v>
      </c>
      <c r="L152" s="7" t="inlineStr">
        <is>
          <t>발송(회신 대기)</t>
        </is>
      </c>
      <c r="M152" s="8" t="n"/>
      <c r="N152" s="7" t="n"/>
      <c r="O152" s="7" t="n"/>
      <c r="P152" s="7" t="inlineStr">
        <is>
          <t>항목·기준 작성 파일 수령 → 같은 Rev.00 재개정(recheck → 승인·배포) → 매핑표 '보유'로 갱신</t>
        </is>
      </c>
      <c r="Q152" s="7" t="inlineStr">
        <is>
          <t>미완료</t>
        </is>
      </c>
      <c r="R152" s="7" t="inlineStr">
        <is>
          <t>담당자 정정본3 기준 변경(인쇄물 전달 당시: 지성규); 담당자 변경 재안내 발송 2026-10-27</t>
        </is>
      </c>
      <c r="S152">
        <f>IF(L152="회신 완료","",J152-TODAY())</f>
        <v/>
      </c>
      <c r="T152">
        <f>IF(L152="회신 완료","완료",IF(J152&lt;TODAY(),"지연",IF(J152-TODAY()&lt;=1,"임박(D-1 이내)",IF(J152-TODAY()&lt;=3,"임박(D-3 이내)","여유"))))</f>
        <v/>
      </c>
    </row>
    <row r="153">
      <c r="A153" s="7" t="n">
        <v>24</v>
      </c>
      <c r="B153" s="7" t="inlineStr">
        <is>
          <t>생산조건관리</t>
        </is>
      </c>
      <c r="C153" s="7" t="inlineStr">
        <is>
          <t>1-5</t>
        </is>
      </c>
      <c r="D153" s="7" t="inlineStr">
        <is>
          <t>(작업일보내작업조건필히기록)</t>
        </is>
      </c>
      <c r="E153" s="7" t="inlineStr">
        <is>
          <t>보완 필요</t>
        </is>
      </c>
      <c r="F153" s="7" t="inlineStr">
        <is>
          <t>SH-FM-146</t>
        </is>
      </c>
      <c r="G153" s="7" t="inlineStr">
        <is>
          <t>SH-FM-145</t>
        </is>
      </c>
      <c r="H153" s="7" t="inlineStr">
        <is>
          <t>지성규</t>
        </is>
      </c>
      <c r="I153" s="7" t="inlineStr">
        <is>
          <t>발송용_담당자변경_20261027/메시지_지성규_20261027.txt</t>
        </is>
      </c>
      <c r="J153" s="8" t="n">
        <v>46331</v>
      </c>
      <c r="K153" s="8" t="n">
        <v>46322</v>
      </c>
      <c r="L153" s="7" t="inlineStr">
        <is>
          <t>발송(회신 대기)</t>
        </is>
      </c>
      <c r="M153" s="8" t="n"/>
      <c r="N153" s="7" t="n"/>
      <c r="O153" s="7" t="n"/>
      <c r="P153" s="7" t="inlineStr">
        <is>
          <t>항목·기준 작성 파일 수령 → 같은 Rev.00 재개정(recheck → 승인·배포) → 매핑표 '보유'로 갱신</t>
        </is>
      </c>
      <c r="Q153" s="7" t="inlineStr">
        <is>
          <t>미완료</t>
        </is>
      </c>
      <c r="R153" s="7" t="inlineStr">
        <is>
          <t>담당자 변경 재안내 발송 2026-10-27</t>
        </is>
      </c>
      <c r="S153">
        <f>IF(L153="회신 완료","",J153-TODAY())</f>
        <v/>
      </c>
      <c r="T153">
        <f>IF(L153="회신 완료","완료",IF(J153&lt;TODAY(),"지연",IF(J153-TODAY()&lt;=1,"임박(D-1 이내)",IF(J153-TODAY()&lt;=3,"임박(D-3 이내)","여유"))))</f>
        <v/>
      </c>
    </row>
    <row r="154">
      <c r="A154" s="7" t="n">
        <v>109</v>
      </c>
      <c r="B154" s="7" t="inlineStr">
        <is>
          <t>설비관리</t>
        </is>
      </c>
      <c r="C154" s="7" t="inlineStr">
        <is>
          <t>3-6</t>
        </is>
      </c>
      <c r="D154" s="7" t="inlineStr">
        <is>
          <t>JIG정기점검 관리기준서</t>
        </is>
      </c>
      <c r="E154" s="7" t="inlineStr">
        <is>
          <t>보완 필요</t>
        </is>
      </c>
      <c r="F154" s="7" t="inlineStr">
        <is>
          <t>SH-FM-231</t>
        </is>
      </c>
      <c r="G154" s="7" t="inlineStr">
        <is>
          <t>SH-FM-231</t>
        </is>
      </c>
      <c r="H154" s="7" t="inlineStr">
        <is>
          <t>지성규</t>
        </is>
      </c>
      <c r="I154" s="7" t="inlineStr">
        <is>
          <t>발송용_담당자변경_20261027/메시지_지성규_20261027.txt</t>
        </is>
      </c>
      <c r="J154" s="8" t="n">
        <v>46331</v>
      </c>
      <c r="K154" s="8" t="n">
        <v>46322</v>
      </c>
      <c r="L154" s="7" t="inlineStr">
        <is>
          <t>발송(회신 대기)</t>
        </is>
      </c>
      <c r="M154" s="8" t="n"/>
      <c r="N154" s="7" t="n"/>
      <c r="O154" s="7" t="n"/>
      <c r="P154" s="7" t="inlineStr">
        <is>
          <t>항목·기준 작성 파일 수령 → 같은 Rev.00 재개정(recheck → 승인·배포) → 매핑표 '보유'로 갱신</t>
        </is>
      </c>
      <c r="Q154" s="7" t="inlineStr">
        <is>
          <t>미완료</t>
        </is>
      </c>
      <c r="R154" s="7" t="inlineStr">
        <is>
          <t>담당자 변경 재안내 발송 2026-10-27</t>
        </is>
      </c>
      <c r="S154">
        <f>IF(L154="회신 완료","",J154-TODAY())</f>
        <v/>
      </c>
      <c r="T154">
        <f>IF(L154="회신 완료","완료",IF(J154&lt;TODAY(),"지연",IF(J154-TODAY()&lt;=1,"임박(D-1 이내)",IF(J154-TODAY()&lt;=3,"임박(D-3 이내)","여유"))))</f>
        <v/>
      </c>
    </row>
    <row r="155">
      <c r="A155" s="7" t="n">
        <v>110</v>
      </c>
      <c r="B155" s="7" t="inlineStr">
        <is>
          <t>설비관리</t>
        </is>
      </c>
      <c r="C155" s="7" t="inlineStr">
        <is>
          <t>3-6</t>
        </is>
      </c>
      <c r="D155" s="7" t="inlineStr">
        <is>
          <t>JIG정기점검계획대실적표</t>
        </is>
      </c>
      <c r="E155" s="7" t="inlineStr">
        <is>
          <t>보완 필요</t>
        </is>
      </c>
      <c r="F155" s="7" t="inlineStr">
        <is>
          <t>SH-FM-232</t>
        </is>
      </c>
      <c r="G155" s="7" t="inlineStr">
        <is>
          <t>SH-FM-232</t>
        </is>
      </c>
      <c r="H155" s="7" t="inlineStr">
        <is>
          <t>지성규</t>
        </is>
      </c>
      <c r="I155" s="7" t="inlineStr">
        <is>
          <t>발송용_담당자변경_20261027/메시지_지성규_20261027.txt</t>
        </is>
      </c>
      <c r="J155" s="8" t="n">
        <v>46331</v>
      </c>
      <c r="K155" s="8" t="n">
        <v>46322</v>
      </c>
      <c r="L155" s="7" t="inlineStr">
        <is>
          <t>발송(회신 대기)</t>
        </is>
      </c>
      <c r="M155" s="8" t="n"/>
      <c r="N155" s="7" t="n"/>
      <c r="O155" s="7" t="n"/>
      <c r="P155" s="7" t="inlineStr">
        <is>
          <t>항목·기준 작성 파일 수령 → 같은 Rev.00 재개정(recheck → 승인·배포) → 매핑표 '보유'로 갱신</t>
        </is>
      </c>
      <c r="Q155" s="7" t="inlineStr">
        <is>
          <t>미완료</t>
        </is>
      </c>
      <c r="R155" s="7" t="inlineStr">
        <is>
          <t>담당자 변경 재안내 발송 2026-10-27</t>
        </is>
      </c>
      <c r="S155">
        <f>IF(L155="회신 완료","",J155-TODAY())</f>
        <v/>
      </c>
      <c r="T155">
        <f>IF(L155="회신 완료","완료",IF(J155&lt;TODAY(),"지연",IF(J155-TODAY()&lt;=1,"임박(D-1 이내)",IF(J155-TODAY()&lt;=3,"임박(D-3 이내)","여유"))))</f>
        <v/>
      </c>
    </row>
    <row r="156">
      <c r="A156" s="7" t="n">
        <v>111</v>
      </c>
      <c r="B156" s="7" t="inlineStr">
        <is>
          <t>설비관리</t>
        </is>
      </c>
      <c r="C156" s="7" t="inlineStr">
        <is>
          <t>3-6</t>
        </is>
      </c>
      <c r="D156" s="7" t="inlineStr">
        <is>
          <t>JIG 기준핀정기점검 실적</t>
        </is>
      </c>
      <c r="E156" s="7" t="inlineStr">
        <is>
          <t>보완 필요</t>
        </is>
      </c>
      <c r="F156" s="7" t="inlineStr">
        <is>
          <t>SH-FM-233</t>
        </is>
      </c>
      <c r="G156" s="7" t="inlineStr">
        <is>
          <t>SH-FM-233</t>
        </is>
      </c>
      <c r="H156" s="7" t="inlineStr">
        <is>
          <t>지성규</t>
        </is>
      </c>
      <c r="I156" s="7" t="inlineStr">
        <is>
          <t>발송용_담당자변경_20261027/메시지_지성규_20261027.txt</t>
        </is>
      </c>
      <c r="J156" s="8" t="n">
        <v>46331</v>
      </c>
      <c r="K156" s="8" t="n">
        <v>46322</v>
      </c>
      <c r="L156" s="7" t="inlineStr">
        <is>
          <t>발송(회신 대기)</t>
        </is>
      </c>
      <c r="M156" s="8" t="n"/>
      <c r="N156" s="7" t="n"/>
      <c r="O156" s="7" t="n"/>
      <c r="P156" s="7" t="inlineStr">
        <is>
          <t>항목·기준 작성 파일 수령 → 같은 Rev.00 재개정(recheck → 승인·배포) → 매핑표 '보유'로 갱신</t>
        </is>
      </c>
      <c r="Q156" s="7" t="inlineStr">
        <is>
          <t>미완료</t>
        </is>
      </c>
      <c r="R156" s="7" t="inlineStr">
        <is>
          <t>담당자 변경 재안내 발송 2026-10-27</t>
        </is>
      </c>
      <c r="S156">
        <f>IF(L156="회신 완료","",J156-TODAY())</f>
        <v/>
      </c>
      <c r="T156">
        <f>IF(L156="회신 완료","완료",IF(J156&lt;TODAY(),"지연",IF(J156-TODAY()&lt;=1,"임박(D-1 이내)",IF(J156-TODAY()&lt;=3,"임박(D-3 이내)","여유"))))</f>
        <v/>
      </c>
    </row>
    <row r="157">
      <c r="A157" s="7" t="n">
        <v>112</v>
      </c>
      <c r="B157" s="7" t="inlineStr">
        <is>
          <t>설비관리</t>
        </is>
      </c>
      <c r="C157" s="7" t="inlineStr">
        <is>
          <t>3-6</t>
        </is>
      </c>
      <c r="D157" s="7" t="inlineStr">
        <is>
          <t>JIG PIN 위치도 및 상세사진 위치도</t>
        </is>
      </c>
      <c r="E157" s="7" t="inlineStr">
        <is>
          <t>보완 필요</t>
        </is>
      </c>
      <c r="F157" s="7" t="inlineStr">
        <is>
          <t>SH-FM-234</t>
        </is>
      </c>
      <c r="G157" s="7" t="inlineStr">
        <is>
          <t>SH-FM-234</t>
        </is>
      </c>
      <c r="H157" s="7" t="inlineStr">
        <is>
          <t>지성규</t>
        </is>
      </c>
      <c r="I157" s="7" t="inlineStr">
        <is>
          <t>발송용_담당자변경_20261027/메시지_지성규_20261027.txt</t>
        </is>
      </c>
      <c r="J157" s="8" t="n">
        <v>46331</v>
      </c>
      <c r="K157" s="8" t="n">
        <v>46322</v>
      </c>
      <c r="L157" s="7" t="inlineStr">
        <is>
          <t>발송(회신 대기)</t>
        </is>
      </c>
      <c r="M157" s="8" t="n"/>
      <c r="N157" s="7" t="n"/>
      <c r="O157" s="7" t="n"/>
      <c r="P157" s="7" t="inlineStr">
        <is>
          <t>항목·기준 작성 파일 수령 → 같은 Rev.00 재개정(recheck → 승인·배포) → 매핑표 '보유'로 갱신</t>
        </is>
      </c>
      <c r="Q157" s="7" t="inlineStr">
        <is>
          <t>미완료</t>
        </is>
      </c>
      <c r="R157" s="7" t="inlineStr">
        <is>
          <t>담당자 변경 재안내 발송 2026-10-27</t>
        </is>
      </c>
      <c r="S157">
        <f>IF(L157="회신 완료","",J157-TODAY())</f>
        <v/>
      </c>
      <c r="T157">
        <f>IF(L157="회신 완료","완료",IF(J157&lt;TODAY(),"지연",IF(J157-TODAY()&lt;=1,"임박(D-1 이내)",IF(J157-TODAY()&lt;=3,"임박(D-3 이내)","여유"))))</f>
        <v/>
      </c>
    </row>
    <row r="158">
      <c r="A158" s="7" t="n">
        <v>114</v>
      </c>
      <c r="B158" s="7" t="inlineStr">
        <is>
          <t>금형관리</t>
        </is>
      </c>
      <c r="C158" s="7" t="inlineStr">
        <is>
          <t>4-1</t>
        </is>
      </c>
      <c r="D158" s="7" t="inlineStr">
        <is>
          <t>금형관리대장</t>
        </is>
      </c>
      <c r="E158" s="7" t="inlineStr">
        <is>
          <t>보완 필요</t>
        </is>
      </c>
      <c r="F158" s="7" t="inlineStr">
        <is>
          <t>SH-FM-236</t>
        </is>
      </c>
      <c r="G158" s="7" t="inlineStr">
        <is>
          <t>SH-FM-236</t>
        </is>
      </c>
      <c r="H158" s="7" t="inlineStr">
        <is>
          <t>지성규</t>
        </is>
      </c>
      <c r="I158" s="7" t="inlineStr">
        <is>
          <t>발송용_담당자변경_20261027/메시지_지성규_20261027.txt</t>
        </is>
      </c>
      <c r="J158" s="8" t="n">
        <v>46331</v>
      </c>
      <c r="K158" s="8" t="n">
        <v>46322</v>
      </c>
      <c r="L158" s="7" t="inlineStr">
        <is>
          <t>발송(회신 대기)</t>
        </is>
      </c>
      <c r="M158" s="8" t="n"/>
      <c r="N158" s="7" t="n"/>
      <c r="O158" s="7" t="n"/>
      <c r="P158" s="7" t="inlineStr">
        <is>
          <t>항목·기준 작성 파일 수령 → 같은 Rev.00 재개정(recheck → 승인·배포) → 매핑표 '보유'로 갱신</t>
        </is>
      </c>
      <c r="Q158" s="7" t="inlineStr">
        <is>
          <t>미완료</t>
        </is>
      </c>
      <c r="R158" s="7" t="inlineStr">
        <is>
          <t>담당자 변경 재안내 발송 2026-10-27</t>
        </is>
      </c>
      <c r="S158">
        <f>IF(L158="회신 완료","",J158-TODAY())</f>
        <v/>
      </c>
      <c r="T158">
        <f>IF(L158="회신 완료","완료",IF(J158&lt;TODAY(),"지연",IF(J158-TODAY()&lt;=1,"임박(D-1 이내)",IF(J158-TODAY()&lt;=3,"임박(D-3 이내)","여유"))))</f>
        <v/>
      </c>
    </row>
    <row r="159">
      <c r="A159" s="7" t="n">
        <v>116</v>
      </c>
      <c r="B159" s="7" t="inlineStr">
        <is>
          <t>금형관리</t>
        </is>
      </c>
      <c r="C159" s="7" t="inlineStr">
        <is>
          <t>4-1</t>
        </is>
      </c>
      <c r="D159" s="7" t="inlineStr">
        <is>
          <t>MMS SYSTEM금형수리내역</t>
        </is>
      </c>
      <c r="E159" s="7" t="inlineStr">
        <is>
          <t>보완 필요</t>
        </is>
      </c>
      <c r="F159" s="7" t="inlineStr">
        <is>
          <t>SH-FM-238</t>
        </is>
      </c>
      <c r="G159" s="7" t="inlineStr">
        <is>
          <t>SH-FM-238</t>
        </is>
      </c>
      <c r="H159" s="7" t="inlineStr">
        <is>
          <t>지성규</t>
        </is>
      </c>
      <c r="I159" s="7" t="inlineStr">
        <is>
          <t>발송용_담당자변경_20261027/메시지_지성규_20261027.txt</t>
        </is>
      </c>
      <c r="J159" s="8" t="n">
        <v>46331</v>
      </c>
      <c r="K159" s="8" t="n">
        <v>46322</v>
      </c>
      <c r="L159" s="7" t="inlineStr">
        <is>
          <t>발송(회신 대기)</t>
        </is>
      </c>
      <c r="M159" s="8" t="n"/>
      <c r="N159" s="7" t="n"/>
      <c r="O159" s="7" t="n"/>
      <c r="P159" s="7" t="inlineStr">
        <is>
          <t>항목·기준 작성 파일 수령 → 같은 Rev.00 재개정(recheck → 승인·배포) → 매핑표 '보유'로 갱신</t>
        </is>
      </c>
      <c r="Q159" s="7" t="inlineStr">
        <is>
          <t>미완료</t>
        </is>
      </c>
      <c r="R159" s="7" t="inlineStr">
        <is>
          <t>담당자 변경 재안내 발송 2026-10-27</t>
        </is>
      </c>
      <c r="S159">
        <f>IF(L159="회신 완료","",J159-TODAY())</f>
        <v/>
      </c>
      <c r="T159">
        <f>IF(L159="회신 완료","완료",IF(J159&lt;TODAY(),"지연",IF(J159-TODAY()&lt;=1,"임박(D-1 이내)",IF(J159-TODAY()&lt;=3,"임박(D-3 이내)","여유"))))</f>
        <v/>
      </c>
    </row>
    <row r="160">
      <c r="A160" s="7" t="n">
        <v>117</v>
      </c>
      <c r="B160" s="7" t="inlineStr">
        <is>
          <t>금형관리</t>
        </is>
      </c>
      <c r="C160" s="7" t="inlineStr">
        <is>
          <t>4-1</t>
        </is>
      </c>
      <c r="D160" s="7" t="inlineStr">
        <is>
          <t>금형일상점검관리기준서</t>
        </is>
      </c>
      <c r="E160" s="7" t="inlineStr">
        <is>
          <t>보완 필요</t>
        </is>
      </c>
      <c r="F160" s="7" t="inlineStr">
        <is>
          <t>SH-FM-239</t>
        </is>
      </c>
      <c r="G160" s="7" t="inlineStr">
        <is>
          <t>SH-FM-239</t>
        </is>
      </c>
      <c r="H160" s="7" t="inlineStr">
        <is>
          <t>지성규</t>
        </is>
      </c>
      <c r="I160" s="7" t="inlineStr">
        <is>
          <t>발송용_담당자변경_20261027/메시지_지성규_20261027.txt</t>
        </is>
      </c>
      <c r="J160" s="8" t="n">
        <v>46331</v>
      </c>
      <c r="K160" s="8" t="n">
        <v>46322</v>
      </c>
      <c r="L160" s="7" t="inlineStr">
        <is>
          <t>발송(회신 대기)</t>
        </is>
      </c>
      <c r="M160" s="8" t="n"/>
      <c r="N160" s="7" t="n"/>
      <c r="O160" s="7" t="n"/>
      <c r="P160" s="7" t="inlineStr">
        <is>
          <t>항목·기준 작성 파일 수령 → 같은 Rev.00 재개정(recheck → 승인·배포) → 매핑표 '보유'로 갱신</t>
        </is>
      </c>
      <c r="Q160" s="7" t="inlineStr">
        <is>
          <t>미완료</t>
        </is>
      </c>
      <c r="R160" s="7" t="inlineStr">
        <is>
          <t>담당자 변경 재안내 발송 2026-10-27</t>
        </is>
      </c>
      <c r="S160">
        <f>IF(L160="회신 완료","",J160-TODAY())</f>
        <v/>
      </c>
      <c r="T160">
        <f>IF(L160="회신 완료","완료",IF(J160&lt;TODAY(),"지연",IF(J160-TODAY()&lt;=1,"임박(D-1 이내)",IF(J160-TODAY()&lt;=3,"임박(D-3 이내)","여유"))))</f>
        <v/>
      </c>
    </row>
    <row r="161">
      <c r="A161" s="7" t="n">
        <v>118</v>
      </c>
      <c r="B161" s="7" t="inlineStr">
        <is>
          <t>금형관리</t>
        </is>
      </c>
      <c r="C161" s="7" t="inlineStr">
        <is>
          <t>4-1</t>
        </is>
      </c>
      <c r="D161" s="7" t="inlineStr">
        <is>
          <t>금형일상점검체크시트</t>
        </is>
      </c>
      <c r="E161" s="7" t="inlineStr">
        <is>
          <t>보완 필요</t>
        </is>
      </c>
      <c r="F161" s="7" t="inlineStr">
        <is>
          <t>SH-FM-240</t>
        </is>
      </c>
      <c r="G161" s="7" t="inlineStr">
        <is>
          <t>SH-FM-240</t>
        </is>
      </c>
      <c r="H161" s="7" t="inlineStr">
        <is>
          <t>지성규</t>
        </is>
      </c>
      <c r="I161" s="7" t="inlineStr">
        <is>
          <t>발송용_담당자변경_20261027/메시지_지성규_20261027.txt</t>
        </is>
      </c>
      <c r="J161" s="8" t="n">
        <v>46331</v>
      </c>
      <c r="K161" s="8" t="n">
        <v>46322</v>
      </c>
      <c r="L161" s="7" t="inlineStr">
        <is>
          <t>발송(회신 대기)</t>
        </is>
      </c>
      <c r="M161" s="8" t="n"/>
      <c r="N161" s="7" t="n"/>
      <c r="O161" s="7" t="n"/>
      <c r="P161" s="7" t="inlineStr">
        <is>
          <t>항목·기준 작성 파일 수령 → 같은 Rev.00 재개정(recheck → 승인·배포) → 매핑표 '보유'로 갱신</t>
        </is>
      </c>
      <c r="Q161" s="7" t="inlineStr">
        <is>
          <t>미완료</t>
        </is>
      </c>
      <c r="R161" s="7" t="inlineStr">
        <is>
          <t>담당자 변경 재안내 발송 2026-10-27</t>
        </is>
      </c>
      <c r="S161">
        <f>IF(L161="회신 완료","",J161-TODAY())</f>
        <v/>
      </c>
      <c r="T161">
        <f>IF(L161="회신 완료","완료",IF(J161&lt;TODAY(),"지연",IF(J161-TODAY()&lt;=1,"임박(D-1 이내)",IF(J161-TODAY()&lt;=3,"임박(D-3 이내)","여유"))))</f>
        <v/>
      </c>
    </row>
    <row r="162">
      <c r="A162" s="7" t="n">
        <v>119</v>
      </c>
      <c r="B162" s="7" t="inlineStr">
        <is>
          <t>금형관리</t>
        </is>
      </c>
      <c r="C162" s="7" t="inlineStr">
        <is>
          <t>4-2</t>
        </is>
      </c>
      <c r="D162" s="7" t="inlineStr">
        <is>
          <t>금형등급관리준서</t>
        </is>
      </c>
      <c r="E162" s="7" t="inlineStr">
        <is>
          <t>보완 필요</t>
        </is>
      </c>
      <c r="F162" s="7" t="inlineStr">
        <is>
          <t>SH-FM-241</t>
        </is>
      </c>
      <c r="G162" s="7" t="inlineStr">
        <is>
          <t>SH-FM-241</t>
        </is>
      </c>
      <c r="H162" s="7" t="inlineStr">
        <is>
          <t>지성규</t>
        </is>
      </c>
      <c r="I162" s="7" t="inlineStr">
        <is>
          <t>발송용_담당자변경_20261027/메시지_지성규_20261027.txt</t>
        </is>
      </c>
      <c r="J162" s="8" t="n">
        <v>46331</v>
      </c>
      <c r="K162" s="8" t="n">
        <v>46322</v>
      </c>
      <c r="L162" s="7" t="inlineStr">
        <is>
          <t>발송(회신 대기)</t>
        </is>
      </c>
      <c r="M162" s="8" t="n"/>
      <c r="N162" s="7" t="n"/>
      <c r="O162" s="7" t="n"/>
      <c r="P162" s="7" t="inlineStr">
        <is>
          <t>항목·기준 작성 파일 수령 → 같은 Rev.00 재개정(recheck → 승인·배포) → 매핑표 '보유'로 갱신</t>
        </is>
      </c>
      <c r="Q162" s="7" t="inlineStr">
        <is>
          <t>미완료</t>
        </is>
      </c>
      <c r="R162" s="7" t="inlineStr">
        <is>
          <t>담당자 변경 재안내 발송 2026-10-27</t>
        </is>
      </c>
      <c r="S162">
        <f>IF(L162="회신 완료","",J162-TODAY())</f>
        <v/>
      </c>
      <c r="T162">
        <f>IF(L162="회신 완료","완료",IF(J162&lt;TODAY(),"지연",IF(J162-TODAY()&lt;=1,"임박(D-1 이내)",IF(J162-TODAY()&lt;=3,"임박(D-3 이내)","여유"))))</f>
        <v/>
      </c>
    </row>
    <row r="163">
      <c r="A163" s="7" t="n">
        <v>120</v>
      </c>
      <c r="B163" s="7" t="inlineStr">
        <is>
          <t>금형관리</t>
        </is>
      </c>
      <c r="C163" s="7" t="inlineStr">
        <is>
          <t>4-2</t>
        </is>
      </c>
      <c r="D163" s="7" t="inlineStr">
        <is>
          <t>금형별 등급실적</t>
        </is>
      </c>
      <c r="E163" s="7" t="inlineStr">
        <is>
          <t>보완 필요</t>
        </is>
      </c>
      <c r="F163" s="7" t="inlineStr">
        <is>
          <t>SH-FM-242</t>
        </is>
      </c>
      <c r="G163" s="7" t="inlineStr">
        <is>
          <t>SH-FM-242</t>
        </is>
      </c>
      <c r="H163" s="7" t="inlineStr">
        <is>
          <t>지성규</t>
        </is>
      </c>
      <c r="I163" s="7" t="inlineStr">
        <is>
          <t>발송용_담당자변경_20261027/메시지_지성규_20261027.txt</t>
        </is>
      </c>
      <c r="J163" s="8" t="n">
        <v>46331</v>
      </c>
      <c r="K163" s="8" t="n">
        <v>46322</v>
      </c>
      <c r="L163" s="7" t="inlineStr">
        <is>
          <t>발송(회신 대기)</t>
        </is>
      </c>
      <c r="M163" s="8" t="n"/>
      <c r="N163" s="7" t="n"/>
      <c r="O163" s="7" t="n"/>
      <c r="P163" s="7" t="inlineStr">
        <is>
          <t>항목·기준 작성 파일 수령 → 같은 Rev.00 재개정(recheck → 승인·배포) → 매핑표 '보유'로 갱신</t>
        </is>
      </c>
      <c r="Q163" s="7" t="inlineStr">
        <is>
          <t>미완료</t>
        </is>
      </c>
      <c r="R163" s="7" t="inlineStr">
        <is>
          <t>담당자 변경 재안내 발송 2026-10-27</t>
        </is>
      </c>
      <c r="S163">
        <f>IF(L163="회신 완료","",J163-TODAY())</f>
        <v/>
      </c>
      <c r="T163">
        <f>IF(L163="회신 완료","완료",IF(J163&lt;TODAY(),"지연",IF(J163-TODAY()&lt;=1,"임박(D-1 이내)",IF(J163-TODAY()&lt;=3,"임박(D-3 이내)","여유"))))</f>
        <v/>
      </c>
    </row>
    <row r="164">
      <c r="A164" s="7" t="n">
        <v>121</v>
      </c>
      <c r="B164" s="7" t="inlineStr">
        <is>
          <t>금형관리</t>
        </is>
      </c>
      <c r="C164" s="7" t="inlineStr">
        <is>
          <t>4-2</t>
        </is>
      </c>
      <c r="D164" s="7" t="inlineStr">
        <is>
          <t>금형정기점검실적</t>
        </is>
      </c>
      <c r="E164" s="7" t="inlineStr">
        <is>
          <t>보완 필요</t>
        </is>
      </c>
      <c r="F164" s="7" t="inlineStr">
        <is>
          <t>SH-FM-243</t>
        </is>
      </c>
      <c r="G164" s="7" t="inlineStr">
        <is>
          <t>SH-FM-243</t>
        </is>
      </c>
      <c r="H164" s="7" t="inlineStr">
        <is>
          <t>지성규</t>
        </is>
      </c>
      <c r="I164" s="7" t="inlineStr">
        <is>
          <t>발송용_담당자변경_20261027/메시지_지성규_20261027.txt</t>
        </is>
      </c>
      <c r="J164" s="8" t="n">
        <v>46331</v>
      </c>
      <c r="K164" s="8" t="n">
        <v>46322</v>
      </c>
      <c r="L164" s="7" t="inlineStr">
        <is>
          <t>발송(회신 대기)</t>
        </is>
      </c>
      <c r="M164" s="8" t="n"/>
      <c r="N164" s="7" t="n"/>
      <c r="O164" s="7" t="n"/>
      <c r="P164" s="7" t="inlineStr">
        <is>
          <t>항목·기준 작성 파일 수령 → 같은 Rev.00 재개정(recheck → 승인·배포) → 매핑표 '보유'로 갱신</t>
        </is>
      </c>
      <c r="Q164" s="7" t="inlineStr">
        <is>
          <t>미완료</t>
        </is>
      </c>
      <c r="R164" s="7" t="inlineStr">
        <is>
          <t>담당자 변경 재안내 발송 2026-10-27</t>
        </is>
      </c>
      <c r="S164">
        <f>IF(L164="회신 완료","",J164-TODAY())</f>
        <v/>
      </c>
      <c r="T164">
        <f>IF(L164="회신 완료","완료",IF(J164&lt;TODAY(),"지연",IF(J164-TODAY()&lt;=1,"임박(D-1 이내)",IF(J164-TODAY()&lt;=3,"임박(D-3 이내)","여유"))))</f>
        <v/>
      </c>
    </row>
    <row r="165">
      <c r="A165" s="7" t="n">
        <v>122</v>
      </c>
      <c r="B165" s="7" t="inlineStr">
        <is>
          <t>금형관리</t>
        </is>
      </c>
      <c r="C165" s="7" t="inlineStr">
        <is>
          <t>4-2</t>
        </is>
      </c>
      <c r="D165" s="7" t="inlineStr">
        <is>
          <t>금형타발수관리대장</t>
        </is>
      </c>
      <c r="E165" s="7" t="inlineStr">
        <is>
          <t>보완 필요</t>
        </is>
      </c>
      <c r="F165" s="7" t="inlineStr">
        <is>
          <t>SH-FM-244</t>
        </is>
      </c>
      <c r="G165" s="7" t="inlineStr">
        <is>
          <t>SH-FM-244</t>
        </is>
      </c>
      <c r="H165" s="7" t="inlineStr">
        <is>
          <t>지성규</t>
        </is>
      </c>
      <c r="I165" s="7" t="inlineStr">
        <is>
          <t>발송용_담당자변경_20261027/메시지_지성규_20261027.txt</t>
        </is>
      </c>
      <c r="J165" s="8" t="n">
        <v>46331</v>
      </c>
      <c r="K165" s="8" t="n">
        <v>46322</v>
      </c>
      <c r="L165" s="7" t="inlineStr">
        <is>
          <t>발송(회신 대기)</t>
        </is>
      </c>
      <c r="M165" s="8" t="n"/>
      <c r="N165" s="7" t="n"/>
      <c r="O165" s="7" t="n"/>
      <c r="P165" s="7" t="inlineStr">
        <is>
          <t>항목·기준 작성 파일 수령 → 같은 Rev.00 재개정(recheck → 승인·배포) → 매핑표 '보유'로 갱신</t>
        </is>
      </c>
      <c r="Q165" s="7" t="inlineStr">
        <is>
          <t>미완료</t>
        </is>
      </c>
      <c r="R165" s="7" t="inlineStr">
        <is>
          <t>담당자 변경 재안내 발송 2026-10-27</t>
        </is>
      </c>
      <c r="S165">
        <f>IF(L165="회신 완료","",J165-TODAY())</f>
        <v/>
      </c>
      <c r="T165">
        <f>IF(L165="회신 완료","완료",IF(J165&lt;TODAY(),"지연",IF(J165-TODAY()&lt;=1,"임박(D-1 이내)",IF(J165-TODAY()&lt;=3,"임박(D-3 이내)","여유"))))</f>
        <v/>
      </c>
    </row>
    <row r="166">
      <c r="A166" s="7" t="n">
        <v>127</v>
      </c>
      <c r="B166" s="7" t="inlineStr">
        <is>
          <t>금형관리</t>
        </is>
      </c>
      <c r="C166" s="7" t="inlineStr">
        <is>
          <t>4-4</t>
        </is>
      </c>
      <c r="D166" s="7" t="inlineStr">
        <is>
          <t>금형보관구역 식별표시</t>
        </is>
      </c>
      <c r="E166" s="7" t="inlineStr">
        <is>
          <t>보완 필요</t>
        </is>
      </c>
      <c r="F166" s="7" t="inlineStr">
        <is>
          <t>SH-FM-249</t>
        </is>
      </c>
      <c r="G166" s="7" t="inlineStr">
        <is>
          <t>SH-FM-249</t>
        </is>
      </c>
      <c r="H166" s="7" t="inlineStr">
        <is>
          <t>지성규</t>
        </is>
      </c>
      <c r="I166" s="7" t="inlineStr">
        <is>
          <t>발송용_담당자변경_20261027/메시지_지성규_20261027.txt</t>
        </is>
      </c>
      <c r="J166" s="8" t="n">
        <v>46331</v>
      </c>
      <c r="K166" s="8" t="n">
        <v>46322</v>
      </c>
      <c r="L166" s="7" t="inlineStr">
        <is>
          <t>발송(회신 대기)</t>
        </is>
      </c>
      <c r="M166" s="8" t="n"/>
      <c r="N166" s="7" t="n"/>
      <c r="O166" s="7" t="n"/>
      <c r="P166" s="7" t="inlineStr">
        <is>
          <t>항목·기준 작성 파일 수령 → 같은 Rev.00 재개정(recheck → 승인·배포) → 매핑표 '보유'로 갱신</t>
        </is>
      </c>
      <c r="Q166" s="7" t="inlineStr">
        <is>
          <t>미완료</t>
        </is>
      </c>
      <c r="R166" s="7" t="inlineStr">
        <is>
          <t>담당자 변경 재안내 발송 2026-10-27</t>
        </is>
      </c>
      <c r="S166">
        <f>IF(L166="회신 완료","",J166-TODAY())</f>
        <v/>
      </c>
      <c r="T166">
        <f>IF(L166="회신 완료","완료",IF(J166&lt;TODAY(),"지연",IF(J166-TODAY()&lt;=1,"임박(D-1 이내)",IF(J166-TODAY()&lt;=3,"임박(D-3 이내)","여유"))))</f>
        <v/>
      </c>
    </row>
    <row r="167">
      <c r="A167" s="7" t="n">
        <v>128</v>
      </c>
      <c r="B167" s="7" t="inlineStr">
        <is>
          <t>금형관리</t>
        </is>
      </c>
      <c r="C167" s="7" t="inlineStr">
        <is>
          <t>4-4</t>
        </is>
      </c>
      <c r="D167" s="7" t="inlineStr">
        <is>
          <t>금형보관시 잔존이물제거후 적재</t>
        </is>
      </c>
      <c r="E167" s="7" t="inlineStr">
        <is>
          <t>보완 필요</t>
        </is>
      </c>
      <c r="F167" s="7" t="inlineStr">
        <is>
          <t>SH-FM-250</t>
        </is>
      </c>
      <c r="G167" s="7" t="inlineStr">
        <is>
          <t>SH-FM-250</t>
        </is>
      </c>
      <c r="H167" s="7" t="inlineStr">
        <is>
          <t>지성규</t>
        </is>
      </c>
      <c r="I167" s="7" t="inlineStr">
        <is>
          <t>발송용_담당자변경_20261027/메시지_지성규_20261027.txt</t>
        </is>
      </c>
      <c r="J167" s="8" t="n">
        <v>46331</v>
      </c>
      <c r="K167" s="8" t="n">
        <v>46322</v>
      </c>
      <c r="L167" s="7" t="inlineStr">
        <is>
          <t>발송(회신 대기)</t>
        </is>
      </c>
      <c r="M167" s="8" t="n"/>
      <c r="N167" s="7" t="n"/>
      <c r="O167" s="7" t="n"/>
      <c r="P167" s="7" t="inlineStr">
        <is>
          <t>항목·기준 작성 파일 수령 → 같은 Rev.00 재개정(recheck → 승인·배포) → 매핑표 '보유'로 갱신</t>
        </is>
      </c>
      <c r="Q167" s="7" t="inlineStr">
        <is>
          <t>미완료</t>
        </is>
      </c>
      <c r="R167" s="7" t="inlineStr">
        <is>
          <t>담당자 변경 재안내 발송 2026-10-27</t>
        </is>
      </c>
      <c r="S167">
        <f>IF(L167="회신 완료","",J167-TODAY())</f>
        <v/>
      </c>
      <c r="T167">
        <f>IF(L167="회신 완료","완료",IF(J167&lt;TODAY(),"지연",IF(J167-TODAY()&lt;=1,"임박(D-1 이내)",IF(J167-TODAY()&lt;=3,"임박(D-3 이내)","여유"))))</f>
        <v/>
      </c>
    </row>
    <row r="168">
      <c r="A168" s="7" t="n">
        <v>129</v>
      </c>
      <c r="B168" s="7" t="inlineStr">
        <is>
          <t>금형관리</t>
        </is>
      </c>
      <c r="C168" s="7" t="inlineStr">
        <is>
          <t>4-5</t>
        </is>
      </c>
      <c r="D168" s="7" t="inlineStr">
        <is>
          <t>금형이관 T/O보고서</t>
        </is>
      </c>
      <c r="E168" s="7" t="inlineStr">
        <is>
          <t>보완 필요</t>
        </is>
      </c>
      <c r="F168" s="7" t="inlineStr">
        <is>
          <t>SH-FM-251</t>
        </is>
      </c>
      <c r="G168" s="7" t="inlineStr">
        <is>
          <t>SH-FM-251</t>
        </is>
      </c>
      <c r="H168" s="7" t="inlineStr">
        <is>
          <t>지성규</t>
        </is>
      </c>
      <c r="I168" s="7" t="inlineStr">
        <is>
          <t>발송용_담당자정정_20261028/메시지_지성규_20261028_정정.txt</t>
        </is>
      </c>
      <c r="J168" s="8" t="n">
        <v>46331</v>
      </c>
      <c r="K168" s="8" t="n">
        <v>46303</v>
      </c>
      <c r="L168" s="7" t="inlineStr">
        <is>
          <t>발송(회신 대기)</t>
        </is>
      </c>
      <c r="M168" s="8" t="n"/>
      <c r="N168" s="7" t="n"/>
      <c r="O168" s="7" t="n"/>
      <c r="P168" s="7" t="inlineStr">
        <is>
          <t>항목·기준 작성 파일 수령 → 같은 Rev.00 재개정(recheck → 승인·배포) → 매핑표 '보유'로 갱신</t>
        </is>
      </c>
      <c r="Q168" s="7" t="inlineStr">
        <is>
          <t>미완료</t>
        </is>
      </c>
      <c r="R168" s="7" t="inlineStr">
        <is>
          <t>담당자 정정본4 기준 지성규 확정(2026-10-28, 인쇄물 전달 당시 담당과 같음). 10-27 재안내의 "빠진 건" 문구는 정정 메시지로 취소</t>
        </is>
      </c>
      <c r="S168">
        <f>IF(L168="회신 완료","",J168-TODAY())</f>
        <v/>
      </c>
      <c r="T168">
        <f>IF(L168="회신 완료","완료",IF(J168&lt;TODAY(),"지연",IF(J168-TODAY()&lt;=1,"임박(D-1 이내)",IF(J168-TODAY()&lt;=3,"임박(D-3 이내)","여유"))))</f>
        <v/>
      </c>
    </row>
    <row r="169">
      <c r="A169" s="7" t="n">
        <v>130</v>
      </c>
      <c r="B169" s="7" t="inlineStr">
        <is>
          <t>금형관리</t>
        </is>
      </c>
      <c r="C169" s="7" t="inlineStr">
        <is>
          <t>4-5</t>
        </is>
      </c>
      <c r="D169" s="7" t="inlineStr">
        <is>
          <t>금형이관시 접수자료</t>
        </is>
      </c>
      <c r="E169" s="7" t="inlineStr">
        <is>
          <t>보완 필요</t>
        </is>
      </c>
      <c r="F169" s="7" t="inlineStr">
        <is>
          <t>SH-FM-252</t>
        </is>
      </c>
      <c r="G169" s="7" t="inlineStr">
        <is>
          <t>SH-FM-252</t>
        </is>
      </c>
      <c r="H169" s="7" t="inlineStr">
        <is>
          <t>지성규</t>
        </is>
      </c>
      <c r="I169" s="7" t="inlineStr">
        <is>
          <t>발송용_담당자정정_20261028/메시지_지성규_20261028_정정.txt</t>
        </is>
      </c>
      <c r="J169" s="8" t="n">
        <v>46331</v>
      </c>
      <c r="K169" s="8" t="n">
        <v>46303</v>
      </c>
      <c r="L169" s="7" t="inlineStr">
        <is>
          <t>발송(회신 대기)</t>
        </is>
      </c>
      <c r="M169" s="8" t="n"/>
      <c r="N169" s="7" t="n"/>
      <c r="O169" s="7" t="n"/>
      <c r="P169" s="7" t="inlineStr">
        <is>
          <t>항목·기준 작성 파일 수령 → 같은 Rev.00 재개정(recheck → 승인·배포) → 매핑표 '보유'로 갱신</t>
        </is>
      </c>
      <c r="Q169" s="7" t="inlineStr">
        <is>
          <t>미완료</t>
        </is>
      </c>
      <c r="R169" s="7" t="inlineStr">
        <is>
          <t>담당자 정정본4 기준 지성규 확정(2026-10-28, 인쇄물 전달 당시 담당과 같음). 10-27 재안내의 "빠진 건" 문구는 정정 메시지로 취소</t>
        </is>
      </c>
      <c r="S169">
        <f>IF(L169="회신 완료","",J169-TODAY())</f>
        <v/>
      </c>
      <c r="T169">
        <f>IF(L169="회신 완료","완료",IF(J169&lt;TODAY(),"지연",IF(J169-TODAY()&lt;=1,"임박(D-1 이내)",IF(J169-TODAY()&lt;=3,"임박(D-3 이내)","여유"))))</f>
        <v/>
      </c>
    </row>
    <row r="170">
      <c r="A170" s="7" t="n">
        <v>131</v>
      </c>
      <c r="B170" s="7" t="inlineStr">
        <is>
          <t>금형관리</t>
        </is>
      </c>
      <c r="C170" s="7" t="inlineStr">
        <is>
          <t>4-5</t>
        </is>
      </c>
      <c r="D170" s="7" t="inlineStr">
        <is>
          <t>금형문제점개선자료</t>
        </is>
      </c>
      <c r="E170" s="7" t="inlineStr">
        <is>
          <t>보완 필요</t>
        </is>
      </c>
      <c r="F170" s="7" t="inlineStr">
        <is>
          <t>SH-FM-253</t>
        </is>
      </c>
      <c r="G170" s="7" t="inlineStr">
        <is>
          <t>SH-FM-253</t>
        </is>
      </c>
      <c r="H170" s="7" t="inlineStr">
        <is>
          <t>지성규</t>
        </is>
      </c>
      <c r="I170" s="7" t="inlineStr">
        <is>
          <t>발송용_담당자정정_20261028/메시지_지성규_20261028_정정.txt</t>
        </is>
      </c>
      <c r="J170" s="8" t="n">
        <v>46331</v>
      </c>
      <c r="K170" s="8" t="n">
        <v>46303</v>
      </c>
      <c r="L170" s="7" t="inlineStr">
        <is>
          <t>발송(회신 대기)</t>
        </is>
      </c>
      <c r="M170" s="8" t="n"/>
      <c r="N170" s="7" t="n"/>
      <c r="O170" s="7" t="n"/>
      <c r="P170" s="7" t="inlineStr">
        <is>
          <t>항목·기준 작성 파일 수령 → 같은 Rev.00 재개정(recheck → 승인·배포) → 매핑표 '보유'로 갱신</t>
        </is>
      </c>
      <c r="Q170" s="7" t="inlineStr">
        <is>
          <t>미완료</t>
        </is>
      </c>
      <c r="R170" s="7" t="inlineStr">
        <is>
          <t>담당자 정정본4 기준 지성규 확정(2026-10-28, 인쇄물 전달 당시 담당과 같음). 10-27 재안내의 "빠진 건" 문구는 정정 메시지로 취소</t>
        </is>
      </c>
      <c r="S170">
        <f>IF(L170="회신 완료","",J170-TODAY())</f>
        <v/>
      </c>
      <c r="T170">
        <f>IF(L170="회신 완료","완료",IF(J170&lt;TODAY(),"지연",IF(J170-TODAY()&lt;=1,"임박(D-1 이내)",IF(J170-TODAY()&lt;=3,"임박(D-3 이내)","여유"))))</f>
        <v/>
      </c>
    </row>
    <row r="171">
      <c r="A171" s="7" t="n">
        <v>134</v>
      </c>
      <c r="B171" s="7" t="inlineStr">
        <is>
          <t>자재관리</t>
        </is>
      </c>
      <c r="C171" s="7" t="inlineStr">
        <is>
          <t>5-1</t>
        </is>
      </c>
      <c r="D171" s="7" t="inlineStr">
        <is>
          <t>부품식별표</t>
        </is>
      </c>
      <c r="E171" s="7" t="inlineStr">
        <is>
          <t>보완 필요</t>
        </is>
      </c>
      <c r="F171" s="7" t="inlineStr">
        <is>
          <t>SH-FM-256</t>
        </is>
      </c>
      <c r="G171" s="7" t="inlineStr">
        <is>
          <t>SH-FM-256</t>
        </is>
      </c>
      <c r="H171" s="7" t="inlineStr">
        <is>
          <t>지성규</t>
        </is>
      </c>
      <c r="I171" s="7" t="inlineStr">
        <is>
          <t>발송용_담당자변경_20261027/메시지_지성규_20261027.txt</t>
        </is>
      </c>
      <c r="J171" s="8" t="n">
        <v>46331</v>
      </c>
      <c r="K171" s="8" t="n">
        <v>46322</v>
      </c>
      <c r="L171" s="7" t="inlineStr">
        <is>
          <t>발송(회신 대기)</t>
        </is>
      </c>
      <c r="M171" s="8" t="n"/>
      <c r="N171" s="7" t="n"/>
      <c r="O171" s="7" t="n"/>
      <c r="P171" s="7" t="inlineStr">
        <is>
          <t>항목·기준 작성 파일 수령 → 같은 Rev.00 재개정(recheck → 승인·배포) → 매핑표 '보유'로 갱신</t>
        </is>
      </c>
      <c r="Q171" s="7" t="inlineStr">
        <is>
          <t>미완료</t>
        </is>
      </c>
      <c r="R171" s="7" t="inlineStr">
        <is>
          <t>담당자 변경 재안내 발송 2026-10-27</t>
        </is>
      </c>
      <c r="S171">
        <f>IF(L171="회신 완료","",J171-TODAY())</f>
        <v/>
      </c>
      <c r="T171">
        <f>IF(L171="회신 완료","완료",IF(J171&lt;TODAY(),"지연",IF(J171-TODAY()&lt;=1,"임박(D-1 이내)",IF(J171-TODAY()&lt;=3,"임박(D-3 이내)","여유"))))</f>
        <v/>
      </c>
    </row>
    <row r="172">
      <c r="A172" s="7" t="n">
        <v>136</v>
      </c>
      <c r="B172" s="7" t="inlineStr">
        <is>
          <t>자재관리</t>
        </is>
      </c>
      <c r="C172" s="7" t="inlineStr">
        <is>
          <t>5-1</t>
        </is>
      </c>
      <c r="D172" s="7" t="inlineStr">
        <is>
          <t>부품식별표</t>
        </is>
      </c>
      <c r="E172" s="7" t="inlineStr">
        <is>
          <t>보완 필요</t>
        </is>
      </c>
      <c r="F172" s="7" t="inlineStr">
        <is>
          <t>SH-FM-258</t>
        </is>
      </c>
      <c r="G172" s="7" t="inlineStr">
        <is>
          <t>SH-FM-256</t>
        </is>
      </c>
      <c r="H172" s="7" t="inlineStr">
        <is>
          <t>지성규</t>
        </is>
      </c>
      <c r="I172" s="7" t="inlineStr">
        <is>
          <t>발송용_담당자변경_20261027/메시지_지성규_20261027.txt</t>
        </is>
      </c>
      <c r="J172" s="8" t="n">
        <v>46331</v>
      </c>
      <c r="K172" s="8" t="n">
        <v>46322</v>
      </c>
      <c r="L172" s="7" t="inlineStr">
        <is>
          <t>발송(회신 대기)</t>
        </is>
      </c>
      <c r="M172" s="8" t="n"/>
      <c r="N172" s="7" t="n"/>
      <c r="O172" s="7" t="n"/>
      <c r="P172" s="7" t="inlineStr">
        <is>
          <t>항목·기준 작성 파일 수령 → 같은 Rev.00 재개정(recheck → 승인·배포) → 매핑표 '보유'로 갱신</t>
        </is>
      </c>
      <c r="Q172" s="7" t="inlineStr">
        <is>
          <t>미완료</t>
        </is>
      </c>
      <c r="R172" s="7" t="inlineStr">
        <is>
          <t>담당자 변경 재안내 발송 2026-10-27</t>
        </is>
      </c>
      <c r="S172">
        <f>IF(L172="회신 완료","",J172-TODAY())</f>
        <v/>
      </c>
      <c r="T172">
        <f>IF(L172="회신 완료","완료",IF(J172&lt;TODAY(),"지연",IF(J172-TODAY()&lt;=1,"임박(D-1 이내)",IF(J172-TODAY()&lt;=3,"임박(D-3 이내)","여유"))))</f>
        <v/>
      </c>
    </row>
    <row r="173">
      <c r="A173" s="7" t="n">
        <v>139</v>
      </c>
      <c r="B173" s="7" t="inlineStr">
        <is>
          <t>자재관리</t>
        </is>
      </c>
      <c r="C173" s="7" t="inlineStr">
        <is>
          <t>5-1</t>
        </is>
      </c>
      <c r="D173" s="7" t="inlineStr">
        <is>
          <t>일별생산실적현황 OR LOT 관리대장</t>
        </is>
      </c>
      <c r="E173" s="7" t="inlineStr">
        <is>
          <t>보완 필요</t>
        </is>
      </c>
      <c r="F173" s="7" t="inlineStr">
        <is>
          <t>SH-FM-261</t>
        </is>
      </c>
      <c r="G173" s="7" t="inlineStr">
        <is>
          <t>SH-FM-261</t>
        </is>
      </c>
      <c r="H173" s="7" t="inlineStr">
        <is>
          <t>지성규</t>
        </is>
      </c>
      <c r="I173" s="7" t="inlineStr">
        <is>
          <t>발송용_담당자변경_20261027/메시지_지성규_20261027.txt</t>
        </is>
      </c>
      <c r="J173" s="8" t="n">
        <v>46331</v>
      </c>
      <c r="K173" s="8" t="n">
        <v>46322</v>
      </c>
      <c r="L173" s="7" t="inlineStr">
        <is>
          <t>발송(회신 대기)</t>
        </is>
      </c>
      <c r="M173" s="8" t="n"/>
      <c r="N173" s="7" t="n"/>
      <c r="O173" s="7" t="n"/>
      <c r="P173" s="7" t="inlineStr">
        <is>
          <t>항목·기준 작성 파일 수령 → 같은 Rev.00 재개정(recheck → 승인·배포) → 매핑표 '보유'로 갱신</t>
        </is>
      </c>
      <c r="Q173" s="7" t="inlineStr">
        <is>
          <t>미완료</t>
        </is>
      </c>
      <c r="R173" s="7" t="inlineStr">
        <is>
          <t>담당자 변경 재안내 발송 2026-10-27</t>
        </is>
      </c>
      <c r="S173">
        <f>IF(L173="회신 완료","",J173-TODAY())</f>
        <v/>
      </c>
      <c r="T173">
        <f>IF(L173="회신 완료","완료",IF(J173&lt;TODAY(),"지연",IF(J173-TODAY()&lt;=1,"임박(D-1 이내)",IF(J173-TODAY()&lt;=3,"임박(D-3 이내)","여유"))))</f>
        <v/>
      </c>
    </row>
    <row r="174">
      <c r="A174" s="7" t="n">
        <v>149</v>
      </c>
      <c r="B174" s="7" t="inlineStr">
        <is>
          <t>자재관리</t>
        </is>
      </c>
      <c r="C174" s="7" t="inlineStr">
        <is>
          <t>5-2</t>
        </is>
      </c>
      <c r="D174" s="7" t="inlineStr">
        <is>
          <t>LAY-OUT 및재고현황</t>
        </is>
      </c>
      <c r="E174" s="7" t="inlineStr">
        <is>
          <t>보완 필요</t>
        </is>
      </c>
      <c r="F174" s="7" t="inlineStr">
        <is>
          <t>SH-FM-271</t>
        </is>
      </c>
      <c r="G174" s="7" t="inlineStr">
        <is>
          <t>SH-FM-271</t>
        </is>
      </c>
      <c r="H174" s="7" t="inlineStr">
        <is>
          <t>지성규</t>
        </is>
      </c>
      <c r="I174" s="7" t="inlineStr">
        <is>
          <t>발송용_담당자변경_20261027/메시지_지성규_20261027.txt</t>
        </is>
      </c>
      <c r="J174" s="8" t="n">
        <v>46331</v>
      </c>
      <c r="K174" s="8" t="n">
        <v>46322</v>
      </c>
      <c r="L174" s="7" t="inlineStr">
        <is>
          <t>발송(회신 대기)</t>
        </is>
      </c>
      <c r="M174" s="8" t="n"/>
      <c r="N174" s="7" t="n"/>
      <c r="O174" s="7" t="n"/>
      <c r="P174" s="7" t="inlineStr">
        <is>
          <t>항목·기준 작성 파일 수령 → 같은 Rev.00 재개정(recheck → 승인·배포) → 매핑표 '보유'로 갱신</t>
        </is>
      </c>
      <c r="Q174" s="7" t="inlineStr">
        <is>
          <t>미완료</t>
        </is>
      </c>
      <c r="R174" s="7" t="inlineStr">
        <is>
          <t>담당자 변경 재안내 발송 2026-10-27</t>
        </is>
      </c>
      <c r="S174">
        <f>IF(L174="회신 완료","",J174-TODAY())</f>
        <v/>
      </c>
      <c r="T174">
        <f>IF(L174="회신 완료","완료",IF(J174&lt;TODAY(),"지연",IF(J174-TODAY()&lt;=1,"임박(D-1 이내)",IF(J174-TODAY()&lt;=3,"임박(D-3 이내)","여유"))))</f>
        <v/>
      </c>
    </row>
    <row r="175">
      <c r="A175" s="7" t="n">
        <v>150</v>
      </c>
      <c r="B175" s="7" t="inlineStr">
        <is>
          <t>자재관리</t>
        </is>
      </c>
      <c r="C175" s="7" t="inlineStr">
        <is>
          <t>5-2</t>
        </is>
      </c>
      <c r="D175" s="7" t="inlineStr">
        <is>
          <t>구역설정및 식별</t>
        </is>
      </c>
      <c r="E175" s="7" t="inlineStr">
        <is>
          <t>보완 필요</t>
        </is>
      </c>
      <c r="F175" s="7" t="inlineStr">
        <is>
          <t>SH-FM-272</t>
        </is>
      </c>
      <c r="G175" s="7" t="inlineStr">
        <is>
          <t>SH-FM-272</t>
        </is>
      </c>
      <c r="H175" s="7" t="inlineStr">
        <is>
          <t>지성규</t>
        </is>
      </c>
      <c r="I175" s="7" t="inlineStr">
        <is>
          <t>발송용_담당자변경_20261027/메시지_지성규_20261027.txt</t>
        </is>
      </c>
      <c r="J175" s="8" t="n">
        <v>46331</v>
      </c>
      <c r="K175" s="8" t="n">
        <v>46322</v>
      </c>
      <c r="L175" s="7" t="inlineStr">
        <is>
          <t>발송(회신 대기)</t>
        </is>
      </c>
      <c r="M175" s="8" t="n"/>
      <c r="N175" s="7" t="n"/>
      <c r="O175" s="7" t="n"/>
      <c r="P175" s="7" t="inlineStr">
        <is>
          <t>항목·기준 작성 파일 수령 → 같은 Rev.00 재개정(recheck → 승인·배포) → 매핑표 '보유'로 갱신</t>
        </is>
      </c>
      <c r="Q175" s="7" t="inlineStr">
        <is>
          <t>미완료</t>
        </is>
      </c>
      <c r="R175" s="7" t="inlineStr">
        <is>
          <t>담당자 변경 재안내 발송 2026-10-27</t>
        </is>
      </c>
      <c r="S175">
        <f>IF(L175="회신 완료","",J175-TODAY())</f>
        <v/>
      </c>
      <c r="T175">
        <f>IF(L175="회신 완료","완료",IF(J175&lt;TODAY(),"지연",IF(J175-TODAY()&lt;=1,"임박(D-1 이내)",IF(J175-TODAY()&lt;=3,"임박(D-3 이내)","여유"))))</f>
        <v/>
      </c>
    </row>
    <row r="176">
      <c r="A176" s="7" t="n">
        <v>151</v>
      </c>
      <c r="B176" s="7" t="inlineStr">
        <is>
          <t>자재관리</t>
        </is>
      </c>
      <c r="C176" s="7" t="inlineStr">
        <is>
          <t>5-2</t>
        </is>
      </c>
      <c r="D176" s="7" t="inlineStr">
        <is>
          <t>부품식별표</t>
        </is>
      </c>
      <c r="E176" s="7" t="inlineStr">
        <is>
          <t>보완 필요</t>
        </is>
      </c>
      <c r="F176" s="7" t="inlineStr">
        <is>
          <t>SH-FM-273</t>
        </is>
      </c>
      <c r="G176" s="7" t="inlineStr">
        <is>
          <t>SH-FM-256</t>
        </is>
      </c>
      <c r="H176" s="7" t="inlineStr">
        <is>
          <t>지성규</t>
        </is>
      </c>
      <c r="I176" s="7" t="inlineStr">
        <is>
          <t>발송용_담당자변경_20261027/메시지_지성규_20261027.txt</t>
        </is>
      </c>
      <c r="J176" s="8" t="n">
        <v>46331</v>
      </c>
      <c r="K176" s="8" t="n">
        <v>46322</v>
      </c>
      <c r="L176" s="7" t="inlineStr">
        <is>
          <t>발송(회신 대기)</t>
        </is>
      </c>
      <c r="M176" s="8" t="n"/>
      <c r="N176" s="7" t="n"/>
      <c r="O176" s="7" t="n"/>
      <c r="P176" s="7" t="inlineStr">
        <is>
          <t>항목·기준 작성 파일 수령 → 같은 Rev.00 재개정(recheck → 승인·배포) → 매핑표 '보유'로 갱신</t>
        </is>
      </c>
      <c r="Q176" s="7" t="inlineStr">
        <is>
          <t>미완료</t>
        </is>
      </c>
      <c r="R176" s="7" t="inlineStr">
        <is>
          <t>담당자 변경 재안내 발송 2026-10-27</t>
        </is>
      </c>
      <c r="S176">
        <f>IF(L176="회신 완료","",J176-TODAY())</f>
        <v/>
      </c>
      <c r="T176">
        <f>IF(L176="회신 완료","완료",IF(J176&lt;TODAY(),"지연",IF(J176-TODAY()&lt;=1,"임박(D-1 이내)",IF(J176-TODAY()&lt;=3,"임박(D-3 이내)","여유"))))</f>
        <v/>
      </c>
    </row>
    <row r="177">
      <c r="A177" s="7" t="n">
        <v>158</v>
      </c>
      <c r="B177" s="7" t="inlineStr">
        <is>
          <t>자재관리</t>
        </is>
      </c>
      <c r="C177" s="7" t="inlineStr">
        <is>
          <t>5-3</t>
        </is>
      </c>
      <c r="D177" s="7" t="inlineStr">
        <is>
          <t>부품식별표</t>
        </is>
      </c>
      <c r="E177" s="7" t="inlineStr">
        <is>
          <t>보완 필요</t>
        </is>
      </c>
      <c r="F177" s="7" t="inlineStr">
        <is>
          <t>SH-FM-280</t>
        </is>
      </c>
      <c r="G177" s="7" t="inlineStr">
        <is>
          <t>SH-FM-256</t>
        </is>
      </c>
      <c r="H177" s="7" t="inlineStr">
        <is>
          <t>지성규</t>
        </is>
      </c>
      <c r="I177" s="7" t="inlineStr">
        <is>
          <t>발송용_담당자변경_20261027/메시지_지성규_20261027.txt</t>
        </is>
      </c>
      <c r="J177" s="8" t="n">
        <v>46331</v>
      </c>
      <c r="K177" s="8" t="n">
        <v>46322</v>
      </c>
      <c r="L177" s="7" t="inlineStr">
        <is>
          <t>발송(회신 대기)</t>
        </is>
      </c>
      <c r="M177" s="8" t="n"/>
      <c r="N177" s="7" t="n"/>
      <c r="O177" s="7" t="n"/>
      <c r="P177" s="7" t="inlineStr">
        <is>
          <t>항목·기준 작성 파일 수령 → 같은 Rev.00 재개정(recheck → 승인·배포) → 매핑표 '보유'로 갱신</t>
        </is>
      </c>
      <c r="Q177" s="7" t="inlineStr">
        <is>
          <t>미완료</t>
        </is>
      </c>
      <c r="R177" s="7" t="inlineStr">
        <is>
          <t>담당자 변경 재안내 발송 2026-10-27</t>
        </is>
      </c>
      <c r="S177">
        <f>IF(L177="회신 완료","",J177-TODAY())</f>
        <v/>
      </c>
      <c r="T177">
        <f>IF(L177="회신 완료","완료",IF(J177&lt;TODAY(),"지연",IF(J177-TODAY()&lt;=1,"임박(D-1 이내)",IF(J177-TODAY()&lt;=3,"임박(D-3 이내)","여유"))))</f>
        <v/>
      </c>
    </row>
    <row r="178">
      <c r="A178" s="7" t="n">
        <v>159</v>
      </c>
      <c r="B178" s="7" t="inlineStr">
        <is>
          <t>자재관리</t>
        </is>
      </c>
      <c r="C178" s="7" t="inlineStr">
        <is>
          <t>5-4</t>
        </is>
      </c>
      <c r="D178" s="7" t="inlineStr">
        <is>
          <t>공정제품 용기설정 기준서</t>
        </is>
      </c>
      <c r="E178" s="7" t="inlineStr">
        <is>
          <t>보완 필요</t>
        </is>
      </c>
      <c r="F178" s="7" t="inlineStr">
        <is>
          <t>SH-FM-281</t>
        </is>
      </c>
      <c r="G178" s="7" t="inlineStr">
        <is>
          <t>SH-FM-281</t>
        </is>
      </c>
      <c r="H178" s="7" t="inlineStr">
        <is>
          <t>지성규</t>
        </is>
      </c>
      <c r="I178" s="7" t="inlineStr">
        <is>
          <t>발송용_담당자변경_20261027/메시지_지성규_20261027.txt</t>
        </is>
      </c>
      <c r="J178" s="8" t="n">
        <v>46331</v>
      </c>
      <c r="K178" s="8" t="n">
        <v>46322</v>
      </c>
      <c r="L178" s="7" t="inlineStr">
        <is>
          <t>발송(회신 대기)</t>
        </is>
      </c>
      <c r="M178" s="8" t="n"/>
      <c r="N178" s="7" t="n"/>
      <c r="O178" s="7" t="n"/>
      <c r="P178" s="7" t="inlineStr">
        <is>
          <t>항목·기준 작성 파일 수령 → 같은 Rev.00 재개정(recheck → 승인·배포) → 매핑표 '보유'로 갱신</t>
        </is>
      </c>
      <c r="Q178" s="7" t="inlineStr">
        <is>
          <t>미완료</t>
        </is>
      </c>
      <c r="R178" s="7" t="inlineStr">
        <is>
          <t>담당자 변경 재안내 발송 2026-10-27</t>
        </is>
      </c>
      <c r="S178">
        <f>IF(L178="회신 완료","",J178-TODAY())</f>
        <v/>
      </c>
      <c r="T178">
        <f>IF(L178="회신 완료","완료",IF(J178&lt;TODAY(),"지연",IF(J178-TODAY()&lt;=1,"임박(D-1 이내)",IF(J178-TODAY()&lt;=3,"임박(D-3 이내)","여유"))))</f>
        <v/>
      </c>
    </row>
    <row r="179">
      <c r="A179" s="7" t="n">
        <v>160</v>
      </c>
      <c r="B179" s="7" t="inlineStr">
        <is>
          <t>자재관리</t>
        </is>
      </c>
      <c r="C179" s="7" t="inlineStr">
        <is>
          <t>5-4</t>
        </is>
      </c>
      <c r="D179" s="7" t="inlineStr">
        <is>
          <t>과다적재방지 장입한계기준 설정</t>
        </is>
      </c>
      <c r="E179" s="7" t="inlineStr">
        <is>
          <t>보완 필요</t>
        </is>
      </c>
      <c r="F179" s="7" t="inlineStr">
        <is>
          <t>SH-FM-282</t>
        </is>
      </c>
      <c r="G179" s="7" t="inlineStr">
        <is>
          <t>SH-FM-282</t>
        </is>
      </c>
      <c r="H179" s="7" t="inlineStr">
        <is>
          <t>지성규</t>
        </is>
      </c>
      <c r="I179" s="7" t="inlineStr">
        <is>
          <t>발송용_담당자변경_20261027/메시지_지성규_20261027.txt</t>
        </is>
      </c>
      <c r="J179" s="8" t="n">
        <v>46331</v>
      </c>
      <c r="K179" s="8" t="n">
        <v>46322</v>
      </c>
      <c r="L179" s="7" t="inlineStr">
        <is>
          <t>발송(회신 대기)</t>
        </is>
      </c>
      <c r="M179" s="8" t="n"/>
      <c r="N179" s="7" t="n"/>
      <c r="O179" s="7" t="n"/>
      <c r="P179" s="7" t="inlineStr">
        <is>
          <t>항목·기준 작성 파일 수령 → 같은 Rev.00 재개정(recheck → 승인·배포) → 매핑표 '보유'로 갱신</t>
        </is>
      </c>
      <c r="Q179" s="7" t="inlineStr">
        <is>
          <t>미완료</t>
        </is>
      </c>
      <c r="R179" s="7" t="inlineStr">
        <is>
          <t>담당자 변경 재안내 발송 2026-10-27</t>
        </is>
      </c>
      <c r="S179">
        <f>IF(L179="회신 완료","",J179-TODAY())</f>
        <v/>
      </c>
      <c r="T179">
        <f>IF(L179="회신 완료","완료",IF(J179&lt;TODAY(),"지연",IF(J179-TODAY()&lt;=1,"임박(D-1 이내)",IF(J179-TODAY()&lt;=3,"임박(D-3 이내)","여유"))))</f>
        <v/>
      </c>
    </row>
    <row r="180">
      <c r="A180" s="7" t="n">
        <v>165</v>
      </c>
      <c r="B180" s="7" t="inlineStr">
        <is>
          <t>품질경영체제</t>
        </is>
      </c>
      <c r="C180" s="7" t="inlineStr">
        <is>
          <t>6-1</t>
        </is>
      </c>
      <c r="D180" s="7" t="inlineStr">
        <is>
          <t>안전관리업무기준서</t>
        </is>
      </c>
      <c r="E180" s="7" t="inlineStr">
        <is>
          <t>보완 필요</t>
        </is>
      </c>
      <c r="F180" s="7" t="inlineStr">
        <is>
          <t>SH-FM-287</t>
        </is>
      </c>
      <c r="G180" s="7" t="inlineStr">
        <is>
          <t>SH-FM-287</t>
        </is>
      </c>
      <c r="H180" s="7" t="inlineStr">
        <is>
          <t>지성규</t>
        </is>
      </c>
      <c r="I180" s="7" t="inlineStr">
        <is>
          <t>발송용_담당자변경_20261027/메시지_지성규_20261027.txt</t>
        </is>
      </c>
      <c r="J180" s="8" t="n">
        <v>46331</v>
      </c>
      <c r="K180" s="8" t="n">
        <v>46322</v>
      </c>
      <c r="L180" s="7" t="inlineStr">
        <is>
          <t>발송(회신 대기)</t>
        </is>
      </c>
      <c r="M180" s="8" t="n"/>
      <c r="N180" s="7" t="n"/>
      <c r="O180" s="7" t="n"/>
      <c r="P180" s="7" t="inlineStr">
        <is>
          <t>항목·기준 작성 파일 수령 → 같은 Rev.00 재개정(recheck → 승인·배포) → 매핑표 '보유'로 갱신</t>
        </is>
      </c>
      <c r="Q180" s="7" t="inlineStr">
        <is>
          <t>미완료</t>
        </is>
      </c>
      <c r="R180" s="7" t="inlineStr">
        <is>
          <t>담당자 변경 재안내 발송 2026-10-27</t>
        </is>
      </c>
      <c r="S180">
        <f>IF(L180="회신 완료","",J180-TODAY())</f>
        <v/>
      </c>
      <c r="T180">
        <f>IF(L180="회신 완료","완료",IF(J180&lt;TODAY(),"지연",IF(J180-TODAY()&lt;=1,"임박(D-1 이내)",IF(J180-TODAY()&lt;=3,"임박(D-3 이내)","여유"))))</f>
        <v/>
      </c>
    </row>
    <row r="181">
      <c r="A181" s="7" t="n">
        <v>166</v>
      </c>
      <c r="B181" s="7" t="inlineStr">
        <is>
          <t>품질경영체제</t>
        </is>
      </c>
      <c r="C181" s="7" t="inlineStr">
        <is>
          <t>6-1</t>
        </is>
      </c>
      <c r="D181" s="7" t="inlineStr">
        <is>
          <t>안전보호구 지급기준</t>
        </is>
      </c>
      <c r="E181" s="7" t="inlineStr">
        <is>
          <t>보완 필요</t>
        </is>
      </c>
      <c r="F181" s="7" t="inlineStr">
        <is>
          <t>SH-FM-288</t>
        </is>
      </c>
      <c r="G181" s="7" t="inlineStr">
        <is>
          <t>SH-FM-288</t>
        </is>
      </c>
      <c r="H181" s="7" t="inlineStr">
        <is>
          <t>지성규</t>
        </is>
      </c>
      <c r="I181" s="7" t="inlineStr">
        <is>
          <t>발송용_담당자변경_20261027/메시지_지성규_20261027.txt</t>
        </is>
      </c>
      <c r="J181" s="8" t="n">
        <v>46331</v>
      </c>
      <c r="K181" s="8" t="n">
        <v>46322</v>
      </c>
      <c r="L181" s="7" t="inlineStr">
        <is>
          <t>발송(회신 대기)</t>
        </is>
      </c>
      <c r="M181" s="8" t="n"/>
      <c r="N181" s="7" t="n"/>
      <c r="O181" s="7" t="n"/>
      <c r="P181" s="7" t="inlineStr">
        <is>
          <t>항목·기준 작성 파일 수령 → 같은 Rev.00 재개정(recheck → 승인·배포) → 매핑표 '보유'로 갱신</t>
        </is>
      </c>
      <c r="Q181" s="7" t="inlineStr">
        <is>
          <t>미완료</t>
        </is>
      </c>
      <c r="R181" s="7" t="inlineStr">
        <is>
          <t>담당자 변경 재안내 발송 2026-10-27</t>
        </is>
      </c>
      <c r="S181">
        <f>IF(L181="회신 완료","",J181-TODAY())</f>
        <v/>
      </c>
      <c r="T181">
        <f>IF(L181="회신 완료","완료",IF(J181&lt;TODAY(),"지연",IF(J181-TODAY()&lt;=1,"임박(D-1 이내)",IF(J181-TODAY()&lt;=3,"임박(D-3 이내)","여유"))))</f>
        <v/>
      </c>
    </row>
    <row r="182">
      <c r="A182" s="7" t="n">
        <v>167</v>
      </c>
      <c r="B182" s="7" t="inlineStr">
        <is>
          <t>품질경영체제</t>
        </is>
      </c>
      <c r="C182" s="7" t="inlineStr">
        <is>
          <t>6-1</t>
        </is>
      </c>
      <c r="D182" s="7" t="inlineStr">
        <is>
          <t>안전보호구 지급관리대장</t>
        </is>
      </c>
      <c r="E182" s="7" t="inlineStr">
        <is>
          <t>보완 필요</t>
        </is>
      </c>
      <c r="F182" s="7" t="inlineStr">
        <is>
          <t>SH-FM-289</t>
        </is>
      </c>
      <c r="G182" s="7" t="inlineStr">
        <is>
          <t>SH-FM-289</t>
        </is>
      </c>
      <c r="H182" s="7" t="inlineStr">
        <is>
          <t>지성규</t>
        </is>
      </c>
      <c r="I182" s="7" t="inlineStr">
        <is>
          <t>발송용_담당자변경_20261027/메시지_지성규_20261027.txt</t>
        </is>
      </c>
      <c r="J182" s="8" t="n">
        <v>46331</v>
      </c>
      <c r="K182" s="8" t="n">
        <v>46322</v>
      </c>
      <c r="L182" s="7" t="inlineStr">
        <is>
          <t>발송(회신 대기)</t>
        </is>
      </c>
      <c r="M182" s="8" t="n"/>
      <c r="N182" s="7" t="n"/>
      <c r="O182" s="7" t="n"/>
      <c r="P182" s="7" t="inlineStr">
        <is>
          <t>항목·기준 작성 파일 수령 → 같은 Rev.00 재개정(recheck → 승인·배포) → 매핑표 '보유'로 갱신</t>
        </is>
      </c>
      <c r="Q182" s="7" t="inlineStr">
        <is>
          <t>미완료</t>
        </is>
      </c>
      <c r="R182" s="7" t="inlineStr">
        <is>
          <t>담당자 변경 재안내 발송 2026-10-27</t>
        </is>
      </c>
      <c r="S182">
        <f>IF(L182="회신 완료","",J182-TODAY())</f>
        <v/>
      </c>
      <c r="T182">
        <f>IF(L182="회신 완료","완료",IF(J182&lt;TODAY(),"지연",IF(J182-TODAY()&lt;=1,"임박(D-1 이내)",IF(J182-TODAY()&lt;=3,"임박(D-3 이내)","여유"))))</f>
        <v/>
      </c>
    </row>
    <row r="183">
      <c r="A183" s="7" t="n">
        <v>168</v>
      </c>
      <c r="B183" s="7" t="inlineStr">
        <is>
          <t>품질경영체제</t>
        </is>
      </c>
      <c r="C183" s="7" t="inlineStr">
        <is>
          <t>6-1</t>
        </is>
      </c>
      <c r="D183" s="7" t="inlineStr">
        <is>
          <t>안전교육교안</t>
        </is>
      </c>
      <c r="E183" s="7" t="inlineStr">
        <is>
          <t>보완 필요</t>
        </is>
      </c>
      <c r="F183" s="7" t="inlineStr">
        <is>
          <t>SH-FM-290</t>
        </is>
      </c>
      <c r="G183" s="7" t="inlineStr">
        <is>
          <t>SH-FM-290</t>
        </is>
      </c>
      <c r="H183" s="7" t="inlineStr">
        <is>
          <t>지성규</t>
        </is>
      </c>
      <c r="I183" s="7" t="inlineStr">
        <is>
          <t>발송용_담당자변경_20261027/메시지_지성규_20261027.txt</t>
        </is>
      </c>
      <c r="J183" s="8" t="n">
        <v>46331</v>
      </c>
      <c r="K183" s="8" t="n">
        <v>46322</v>
      </c>
      <c r="L183" s="7" t="inlineStr">
        <is>
          <t>발송(회신 대기)</t>
        </is>
      </c>
      <c r="M183" s="8" t="n"/>
      <c r="N183" s="7" t="n"/>
      <c r="O183" s="7" t="n"/>
      <c r="P183" s="7" t="inlineStr">
        <is>
          <t>항목·기준 작성 파일 수령 → 같은 Rev.00 재개정(recheck → 승인·배포) → 매핑표 '보유'로 갱신</t>
        </is>
      </c>
      <c r="Q183" s="7" t="inlineStr">
        <is>
          <t>미완료</t>
        </is>
      </c>
      <c r="R183" s="7" t="inlineStr">
        <is>
          <t>담당자 변경 재안내 발송 2026-10-27</t>
        </is>
      </c>
      <c r="S183">
        <f>IF(L183="회신 완료","",J183-TODAY())</f>
        <v/>
      </c>
      <c r="T183">
        <f>IF(L183="회신 완료","완료",IF(J183&lt;TODAY(),"지연",IF(J183-TODAY()&lt;=1,"임박(D-1 이내)",IF(J183-TODAY()&lt;=3,"임박(D-3 이내)","여유"))))</f>
        <v/>
      </c>
    </row>
    <row r="184">
      <c r="A184" s="7" t="n">
        <v>169</v>
      </c>
      <c r="B184" s="7" t="inlineStr">
        <is>
          <t>품질경영체제</t>
        </is>
      </c>
      <c r="C184" s="7" t="inlineStr">
        <is>
          <t>6-1</t>
        </is>
      </c>
      <c r="D184" s="7" t="inlineStr">
        <is>
          <t>안전교육실시보고서</t>
        </is>
      </c>
      <c r="E184" s="7" t="inlineStr">
        <is>
          <t>보완 필요</t>
        </is>
      </c>
      <c r="F184" s="7" t="inlineStr">
        <is>
          <t>SH-FM-291</t>
        </is>
      </c>
      <c r="G184" s="7" t="inlineStr">
        <is>
          <t>SH-FM-291</t>
        </is>
      </c>
      <c r="H184" s="7" t="inlineStr">
        <is>
          <t>지성규</t>
        </is>
      </c>
      <c r="I184" s="7" t="inlineStr">
        <is>
          <t>발송용_담당자변경_20261027/메시지_지성규_20261027.txt</t>
        </is>
      </c>
      <c r="J184" s="8" t="n">
        <v>46331</v>
      </c>
      <c r="K184" s="8" t="n">
        <v>46322</v>
      </c>
      <c r="L184" s="7" t="inlineStr">
        <is>
          <t>발송(회신 대기)</t>
        </is>
      </c>
      <c r="M184" s="8" t="n"/>
      <c r="N184" s="7" t="n"/>
      <c r="O184" s="7" t="n"/>
      <c r="P184" s="7" t="inlineStr">
        <is>
          <t>항목·기준 작성 파일 수령 → 같은 Rev.00 재개정(recheck → 승인·배포) → 매핑표 '보유'로 갱신</t>
        </is>
      </c>
      <c r="Q184" s="7" t="inlineStr">
        <is>
          <t>미완료</t>
        </is>
      </c>
      <c r="R184" s="7" t="inlineStr">
        <is>
          <t>담당자 변경 재안내 발송 2026-10-27</t>
        </is>
      </c>
      <c r="S184">
        <f>IF(L184="회신 완료","",J184-TODAY())</f>
        <v/>
      </c>
      <c r="T184">
        <f>IF(L184="회신 완료","완료",IF(J184&lt;TODAY(),"지연",IF(J184-TODAY()&lt;=1,"임박(D-1 이내)",IF(J184-TODAY()&lt;=3,"임박(D-3 이내)","여유"))))</f>
        <v/>
      </c>
    </row>
    <row r="185">
      <c r="A185" s="7" t="n">
        <v>171</v>
      </c>
      <c r="B185" s="7" t="inlineStr">
        <is>
          <t>품질경영체제</t>
        </is>
      </c>
      <c r="C185" s="7" t="inlineStr">
        <is>
          <t>6-1</t>
        </is>
      </c>
      <c r="D185" s="7" t="inlineStr">
        <is>
          <t>유해물질보관장 선정</t>
        </is>
      </c>
      <c r="E185" s="7" t="inlineStr">
        <is>
          <t>보완 필요</t>
        </is>
      </c>
      <c r="F185" s="7" t="inlineStr">
        <is>
          <t>SH-FM-293</t>
        </is>
      </c>
      <c r="G185" s="7" t="inlineStr">
        <is>
          <t>SH-FM-293</t>
        </is>
      </c>
      <c r="H185" s="7" t="inlineStr">
        <is>
          <t>지성규</t>
        </is>
      </c>
      <c r="I185" s="7" t="inlineStr">
        <is>
          <t>발송용_담당자변경_20261027/메시지_지성규_20261027.txt</t>
        </is>
      </c>
      <c r="J185" s="8" t="n">
        <v>46331</v>
      </c>
      <c r="K185" s="8" t="n">
        <v>46322</v>
      </c>
      <c r="L185" s="7" t="inlineStr">
        <is>
          <t>발송(회신 대기)</t>
        </is>
      </c>
      <c r="M185" s="8" t="n"/>
      <c r="N185" s="7" t="n"/>
      <c r="O185" s="7" t="n"/>
      <c r="P185" s="7" t="inlineStr">
        <is>
          <t>항목·기준 작성 파일 수령 → 같은 Rev.00 재개정(recheck → 승인·배포) → 매핑표 '보유'로 갱신</t>
        </is>
      </c>
      <c r="Q185" s="7" t="inlineStr">
        <is>
          <t>미완료</t>
        </is>
      </c>
      <c r="R185" s="7" t="inlineStr">
        <is>
          <t>담당자 변경 재안내 발송 2026-10-27</t>
        </is>
      </c>
      <c r="S185">
        <f>IF(L185="회신 완료","",J185-TODAY())</f>
        <v/>
      </c>
      <c r="T185">
        <f>IF(L185="회신 완료","완료",IF(J185&lt;TODAY(),"지연",IF(J185-TODAY()&lt;=1,"임박(D-1 이내)",IF(J185-TODAY()&lt;=3,"임박(D-3 이내)","여유"))))</f>
        <v/>
      </c>
    </row>
    <row r="186">
      <c r="A186" s="7" t="n">
        <v>172</v>
      </c>
      <c r="B186" s="7" t="inlineStr">
        <is>
          <t>품질경영체제</t>
        </is>
      </c>
      <c r="C186" s="7" t="inlineStr">
        <is>
          <t>6-1</t>
        </is>
      </c>
      <c r="D186" s="7" t="inlineStr">
        <is>
          <t>유해물질보관장 MSDS비치활용</t>
        </is>
      </c>
      <c r="E186" s="7" t="inlineStr">
        <is>
          <t>보완 필요</t>
        </is>
      </c>
      <c r="F186" s="7" t="inlineStr">
        <is>
          <t>SH-FM-294</t>
        </is>
      </c>
      <c r="G186" s="7" t="inlineStr">
        <is>
          <t>SH-FM-294</t>
        </is>
      </c>
      <c r="H186" s="7" t="inlineStr">
        <is>
          <t>지성규</t>
        </is>
      </c>
      <c r="I186" s="7" t="inlineStr">
        <is>
          <t>발송용_담당자변경_20261027/메시지_지성규_20261027.txt</t>
        </is>
      </c>
      <c r="J186" s="8" t="n">
        <v>46331</v>
      </c>
      <c r="K186" s="8" t="n">
        <v>46322</v>
      </c>
      <c r="L186" s="7" t="inlineStr">
        <is>
          <t>발송(회신 대기)</t>
        </is>
      </c>
      <c r="M186" s="8" t="n"/>
      <c r="N186" s="7" t="n"/>
      <c r="O186" s="7" t="n"/>
      <c r="P186" s="7" t="inlineStr">
        <is>
          <t>항목·기준 작성 파일 수령 → 같은 Rev.00 재개정(recheck → 승인·배포) → 매핑표 '보유'로 갱신</t>
        </is>
      </c>
      <c r="Q186" s="7" t="inlineStr">
        <is>
          <t>미완료</t>
        </is>
      </c>
      <c r="R186" s="7" t="inlineStr">
        <is>
          <t>담당자 변경 재안내 발송 2026-10-27</t>
        </is>
      </c>
      <c r="S186">
        <f>IF(L186="회신 완료","",J186-TODAY())</f>
        <v/>
      </c>
      <c r="T186">
        <f>IF(L186="회신 완료","완료",IF(J186&lt;TODAY(),"지연",IF(J186-TODAY()&lt;=1,"임박(D-1 이내)",IF(J186-TODAY()&lt;=3,"임박(D-3 이내)","여유"))))</f>
        <v/>
      </c>
    </row>
    <row r="187">
      <c r="A187" s="7" t="n">
        <v>173</v>
      </c>
      <c r="B187" s="7" t="inlineStr">
        <is>
          <t>품질경영체제</t>
        </is>
      </c>
      <c r="C187" s="7" t="inlineStr">
        <is>
          <t>6-1</t>
        </is>
      </c>
      <c r="D187" s="7" t="inlineStr">
        <is>
          <t>설비일상/정기점검기준서(안전장치점검반영)</t>
        </is>
      </c>
      <c r="E187" s="7" t="inlineStr">
        <is>
          <t>보완 필요</t>
        </is>
      </c>
      <c r="F187" s="7" t="inlineStr">
        <is>
          <t>SH-FM-295</t>
        </is>
      </c>
      <c r="G187" s="7" t="inlineStr">
        <is>
          <t>SH-FM-295</t>
        </is>
      </c>
      <c r="H187" s="7" t="inlineStr">
        <is>
          <t>지성규</t>
        </is>
      </c>
      <c r="I187" s="7" t="inlineStr">
        <is>
          <t>발송용_담당자변경_20261027/메시지_지성규_20261027.txt</t>
        </is>
      </c>
      <c r="J187" s="8" t="n">
        <v>46331</v>
      </c>
      <c r="K187" s="8" t="n">
        <v>46322</v>
      </c>
      <c r="L187" s="7" t="inlineStr">
        <is>
          <t>발송(회신 대기)</t>
        </is>
      </c>
      <c r="M187" s="8" t="n"/>
      <c r="N187" s="7" t="n"/>
      <c r="O187" s="7" t="n"/>
      <c r="P187" s="7" t="inlineStr">
        <is>
          <t>항목·기준 작성 파일 수령 → 같은 Rev.00 재개정(recheck → 승인·배포) → 매핑표 '보유'로 갱신</t>
        </is>
      </c>
      <c r="Q187" s="7" t="inlineStr">
        <is>
          <t>미완료</t>
        </is>
      </c>
      <c r="R187" s="7" t="inlineStr">
        <is>
          <t>담당자 변경 재안내 발송 2026-10-27</t>
        </is>
      </c>
      <c r="S187">
        <f>IF(L187="회신 완료","",J187-TODAY())</f>
        <v/>
      </c>
      <c r="T187">
        <f>IF(L187="회신 완료","완료",IF(J187&lt;TODAY(),"지연",IF(J187-TODAY()&lt;=1,"임박(D-1 이내)",IF(J187-TODAY()&lt;=3,"임박(D-3 이내)","여유"))))</f>
        <v/>
      </c>
    </row>
    <row r="188">
      <c r="A188" s="7" t="n">
        <v>174</v>
      </c>
      <c r="B188" s="7" t="inlineStr">
        <is>
          <t>품질경영체제</t>
        </is>
      </c>
      <c r="C188" s="7" t="inlineStr">
        <is>
          <t>6-1</t>
        </is>
      </c>
      <c r="D188" s="7" t="inlineStr">
        <is>
          <t>설비안전관리책임자선정및 정,부 식별현황</t>
        </is>
      </c>
      <c r="E188" s="7" t="inlineStr">
        <is>
          <t>보완 필요</t>
        </is>
      </c>
      <c r="F188" s="7" t="inlineStr">
        <is>
          <t>SH-FM-296</t>
        </is>
      </c>
      <c r="G188" s="7" t="inlineStr">
        <is>
          <t>SH-FM-296</t>
        </is>
      </c>
      <c r="H188" s="7" t="inlineStr">
        <is>
          <t>지성규</t>
        </is>
      </c>
      <c r="I188" s="7" t="inlineStr">
        <is>
          <t>발송용_담당자변경_20261027/메시지_지성규_20261027.txt</t>
        </is>
      </c>
      <c r="J188" s="8" t="n">
        <v>46331</v>
      </c>
      <c r="K188" s="8" t="n">
        <v>46322</v>
      </c>
      <c r="L188" s="7" t="inlineStr">
        <is>
          <t>발송(회신 대기)</t>
        </is>
      </c>
      <c r="M188" s="8" t="n"/>
      <c r="N188" s="7" t="n"/>
      <c r="O188" s="7" t="n"/>
      <c r="P188" s="7" t="inlineStr">
        <is>
          <t>항목·기준 작성 파일 수령 → 같은 Rev.00 재개정(recheck → 승인·배포) → 매핑표 '보유'로 갱신</t>
        </is>
      </c>
      <c r="Q188" s="7" t="inlineStr">
        <is>
          <t>미완료</t>
        </is>
      </c>
      <c r="R188" s="7" t="inlineStr">
        <is>
          <t>담당자 변경 재안내 발송 2026-10-27</t>
        </is>
      </c>
      <c r="S188">
        <f>IF(L188="회신 완료","",J188-TODAY())</f>
        <v/>
      </c>
      <c r="T188">
        <f>IF(L188="회신 완료","완료",IF(J188&lt;TODAY(),"지연",IF(J188-TODAY()&lt;=1,"임박(D-1 이내)",IF(J188-TODAY()&lt;=3,"임박(D-3 이내)","여유"))))</f>
        <v/>
      </c>
    </row>
    <row r="189">
      <c r="A189" s="7" t="n">
        <v>175</v>
      </c>
      <c r="B189" s="7" t="inlineStr">
        <is>
          <t>품질경영체제</t>
        </is>
      </c>
      <c r="C189" s="7" t="inlineStr">
        <is>
          <t>6-1</t>
        </is>
      </c>
      <c r="D189" s="7" t="inlineStr">
        <is>
          <t>소화기 배치 LAY-OUT</t>
        </is>
      </c>
      <c r="E189" s="7" t="inlineStr">
        <is>
          <t>보완 필요</t>
        </is>
      </c>
      <c r="F189" s="7" t="inlineStr">
        <is>
          <t>SH-FM-297</t>
        </is>
      </c>
      <c r="G189" s="7" t="inlineStr">
        <is>
          <t>SH-FM-297</t>
        </is>
      </c>
      <c r="H189" s="7" t="inlineStr">
        <is>
          <t>지성규</t>
        </is>
      </c>
      <c r="I189" s="7" t="inlineStr">
        <is>
          <t>발송용_담당자변경_20261027/메시지_지성규_20261027.txt</t>
        </is>
      </c>
      <c r="J189" s="8" t="n">
        <v>46331</v>
      </c>
      <c r="K189" s="8" t="n">
        <v>46322</v>
      </c>
      <c r="L189" s="7" t="inlineStr">
        <is>
          <t>발송(회신 대기)</t>
        </is>
      </c>
      <c r="M189" s="8" t="n"/>
      <c r="N189" s="7" t="n"/>
      <c r="O189" s="7" t="n"/>
      <c r="P189" s="7" t="inlineStr">
        <is>
          <t>항목·기준 작성 파일 수령 → 같은 Rev.00 재개정(recheck → 승인·배포) → 매핑표 '보유'로 갱신</t>
        </is>
      </c>
      <c r="Q189" s="7" t="inlineStr">
        <is>
          <t>미완료</t>
        </is>
      </c>
      <c r="R189" s="7" t="inlineStr">
        <is>
          <t>담당자 변경 재안내 발송 2026-10-27</t>
        </is>
      </c>
      <c r="S189">
        <f>IF(L189="회신 완료","",J189-TODAY())</f>
        <v/>
      </c>
      <c r="T189">
        <f>IF(L189="회신 완료","완료",IF(J189&lt;TODAY(),"지연",IF(J189-TODAY()&lt;=1,"임박(D-1 이내)",IF(J189-TODAY()&lt;=3,"임박(D-3 이내)","여유"))))</f>
        <v/>
      </c>
    </row>
    <row r="190">
      <c r="A190" s="7" t="n">
        <v>176</v>
      </c>
      <c r="B190" s="7" t="inlineStr">
        <is>
          <t>품질경영체제</t>
        </is>
      </c>
      <c r="C190" s="7" t="inlineStr">
        <is>
          <t>6-1</t>
        </is>
      </c>
      <c r="D190" s="7" t="inlineStr">
        <is>
          <t>소화기점검식별표</t>
        </is>
      </c>
      <c r="E190" s="7" t="inlineStr">
        <is>
          <t>보완 필요</t>
        </is>
      </c>
      <c r="F190" s="7" t="inlineStr">
        <is>
          <t>SH-FM-298</t>
        </is>
      </c>
      <c r="G190" s="7" t="inlineStr">
        <is>
          <t>SH-FM-298</t>
        </is>
      </c>
      <c r="H190" s="7" t="inlineStr">
        <is>
          <t>지성규</t>
        </is>
      </c>
      <c r="I190" s="7" t="inlineStr">
        <is>
          <t>발송용_담당자변경_20261027/메시지_지성규_20261027.txt</t>
        </is>
      </c>
      <c r="J190" s="8" t="n">
        <v>46331</v>
      </c>
      <c r="K190" s="8" t="n">
        <v>46322</v>
      </c>
      <c r="L190" s="7" t="inlineStr">
        <is>
          <t>발송(회신 대기)</t>
        </is>
      </c>
      <c r="M190" s="8" t="n"/>
      <c r="N190" s="7" t="n"/>
      <c r="O190" s="7" t="n"/>
      <c r="P190" s="7" t="inlineStr">
        <is>
          <t>항목·기준 작성 파일 수령 → 같은 Rev.00 재개정(recheck → 승인·배포) → 매핑표 '보유'로 갱신</t>
        </is>
      </c>
      <c r="Q190" s="7" t="inlineStr">
        <is>
          <t>미완료</t>
        </is>
      </c>
      <c r="R190" s="7" t="inlineStr">
        <is>
          <t>담당자 변경 재안내 발송 2026-10-27</t>
        </is>
      </c>
      <c r="S190">
        <f>IF(L190="회신 완료","",J190-TODAY())</f>
        <v/>
      </c>
      <c r="T190">
        <f>IF(L190="회신 완료","완료",IF(J190&lt;TODAY(),"지연",IF(J190-TODAY()&lt;=1,"임박(D-1 이내)",IF(J190-TODAY()&lt;=3,"임박(D-3 이내)","여유"))))</f>
        <v/>
      </c>
    </row>
    <row r="191">
      <c r="A191" s="7" t="n">
        <v>193</v>
      </c>
      <c r="B191" s="7" t="inlineStr">
        <is>
          <t>품질경영체제</t>
        </is>
      </c>
      <c r="C191" s="7" t="inlineStr">
        <is>
          <t>6-5</t>
        </is>
      </c>
      <c r="D191" s="7" t="inlineStr">
        <is>
          <t>자격인증체크시트 (현장작업자)</t>
        </is>
      </c>
      <c r="E191" s="7" t="inlineStr">
        <is>
          <t>보완 필요</t>
        </is>
      </c>
      <c r="F191" s="7" t="inlineStr">
        <is>
          <t>SH-FM-315</t>
        </is>
      </c>
      <c r="G191" s="7" t="inlineStr">
        <is>
          <t>SH-FM-315</t>
        </is>
      </c>
      <c r="H191" s="7" t="inlineStr">
        <is>
          <t>지성규</t>
        </is>
      </c>
      <c r="I191" s="7" t="inlineStr">
        <is>
          <t>발송용_담당자변경_20261027/메시지_지성규_20261027.txt</t>
        </is>
      </c>
      <c r="J191" s="8" t="n">
        <v>46331</v>
      </c>
      <c r="K191" s="8" t="n">
        <v>46322</v>
      </c>
      <c r="L191" s="7" t="inlineStr">
        <is>
          <t>발송(회신 대기)</t>
        </is>
      </c>
      <c r="M191" s="8" t="n"/>
      <c r="N191" s="7" t="n"/>
      <c r="O191" s="7" t="n"/>
      <c r="P191" s="7" t="inlineStr">
        <is>
          <t>항목·기준 작성 파일 수령 → 같은 Rev.00 재개정(recheck → 승인·배포) → 매핑표 '보유'로 갱신</t>
        </is>
      </c>
      <c r="Q191" s="7" t="inlineStr">
        <is>
          <t>미완료</t>
        </is>
      </c>
      <c r="R191" s="7" t="inlineStr">
        <is>
          <t>담당자 변경 재안내 발송 2026-10-27</t>
        </is>
      </c>
      <c r="S191">
        <f>IF(L191="회신 완료","",J191-TODAY())</f>
        <v/>
      </c>
      <c r="T191">
        <f>IF(L191="회신 완료","완료",IF(J191&lt;TODAY(),"지연",IF(J191-TODAY()&lt;=1,"임박(D-1 이내)",IF(J191-TODAY()&lt;=3,"임박(D-3 이내)","여유"))))</f>
        <v/>
      </c>
    </row>
    <row r="192">
      <c r="A192" s="7" t="n">
        <v>200</v>
      </c>
      <c r="B192" s="7" t="inlineStr">
        <is>
          <t>품질경영체제</t>
        </is>
      </c>
      <c r="C192" s="7" t="inlineStr">
        <is>
          <t>6-5</t>
        </is>
      </c>
      <c r="D192" s="7" t="inlineStr">
        <is>
          <t>작업자변경시 교육실시보고서</t>
        </is>
      </c>
      <c r="E192" s="7" t="inlineStr">
        <is>
          <t>보완 필요</t>
        </is>
      </c>
      <c r="F192" s="7" t="inlineStr">
        <is>
          <t>SH-FM-322</t>
        </is>
      </c>
      <c r="G192" s="7" t="inlineStr">
        <is>
          <t>SH-FM-322</t>
        </is>
      </c>
      <c r="H192" s="7" t="inlineStr">
        <is>
          <t>지성규</t>
        </is>
      </c>
      <c r="I192" s="7" t="inlineStr">
        <is>
          <t>발송용_담당자변경_20261027/메시지_지성규_20261027.txt</t>
        </is>
      </c>
      <c r="J192" s="8" t="n">
        <v>46331</v>
      </c>
      <c r="K192" s="8" t="n">
        <v>46322</v>
      </c>
      <c r="L192" s="7" t="inlineStr">
        <is>
          <t>발송(회신 대기)</t>
        </is>
      </c>
      <c r="M192" s="8" t="n"/>
      <c r="N192" s="7" t="n"/>
      <c r="O192" s="7" t="n"/>
      <c r="P192" s="7" t="inlineStr">
        <is>
          <t>항목·기준 작성 파일 수령 → 같은 Rev.00 재개정(recheck → 승인·배포) → 매핑표 '보유'로 갱신</t>
        </is>
      </c>
      <c r="Q192" s="7" t="inlineStr">
        <is>
          <t>미완료</t>
        </is>
      </c>
      <c r="R192" s="7" t="inlineStr">
        <is>
          <t>담당자 변경 재안내 발송 2026-10-27</t>
        </is>
      </c>
      <c r="S192">
        <f>IF(L192="회신 완료","",J192-TODAY())</f>
        <v/>
      </c>
      <c r="T192">
        <f>IF(L192="회신 완료","완료",IF(J192&lt;TODAY(),"지연",IF(J192-TODAY()&lt;=1,"임박(D-1 이내)",IF(J192-TODAY()&lt;=3,"임박(D-3 이내)","여유"))))</f>
        <v/>
      </c>
    </row>
    <row r="193">
      <c r="A193" s="7" t="n">
        <v>215</v>
      </c>
      <c r="B193" s="7" t="inlineStr">
        <is>
          <t>품질경영체제</t>
        </is>
      </c>
      <c r="C193" s="7" t="inlineStr">
        <is>
          <t>6-9</t>
        </is>
      </c>
      <c r="D193" s="7" t="inlineStr">
        <is>
          <t>조도관리기준서</t>
        </is>
      </c>
      <c r="E193" s="7" t="inlineStr">
        <is>
          <t>보완 필요</t>
        </is>
      </c>
      <c r="F193" s="7" t="inlineStr">
        <is>
          <t>SH-FM-337</t>
        </is>
      </c>
      <c r="G193" s="7" t="inlineStr">
        <is>
          <t>SH-FM-337</t>
        </is>
      </c>
      <c r="H193" s="7" t="inlineStr">
        <is>
          <t>지성규</t>
        </is>
      </c>
      <c r="I193" s="7" t="inlineStr">
        <is>
          <t>발송용_담당자변경_20261027/메시지_지성규_20261027.txt</t>
        </is>
      </c>
      <c r="J193" s="8" t="n">
        <v>46331</v>
      </c>
      <c r="K193" s="8" t="n">
        <v>46322</v>
      </c>
      <c r="L193" s="7" t="inlineStr">
        <is>
          <t>발송(회신 대기)</t>
        </is>
      </c>
      <c r="M193" s="8" t="n"/>
      <c r="N193" s="7" t="n"/>
      <c r="O193" s="7" t="n"/>
      <c r="P193" s="7" t="inlineStr">
        <is>
          <t>항목·기준 작성 파일 수령 → 같은 Rev.00 재개정(recheck → 승인·배포) → 매핑표 '보유'로 갱신</t>
        </is>
      </c>
      <c r="Q193" s="7" t="inlineStr">
        <is>
          <t>미완료</t>
        </is>
      </c>
      <c r="R193" s="7" t="inlineStr">
        <is>
          <t>담당자 변경 재안내 발송 2026-10-27</t>
        </is>
      </c>
      <c r="S193">
        <f>IF(L193="회신 완료","",J193-TODAY())</f>
        <v/>
      </c>
      <c r="T193">
        <f>IF(L193="회신 완료","완료",IF(J193&lt;TODAY(),"지연",IF(J193-TODAY()&lt;=1,"임박(D-1 이내)",IF(J193-TODAY()&lt;=3,"임박(D-3 이내)","여유"))))</f>
        <v/>
      </c>
    </row>
    <row r="194">
      <c r="A194" s="7" t="n">
        <v>216</v>
      </c>
      <c r="B194" s="7" t="inlineStr">
        <is>
          <t>품질경영체제</t>
        </is>
      </c>
      <c r="C194" s="7" t="inlineStr">
        <is>
          <t>6-9</t>
        </is>
      </c>
      <c r="D194" s="7" t="inlineStr">
        <is>
          <t>조도측정 LAY-OUT</t>
        </is>
      </c>
      <c r="E194" s="7" t="inlineStr">
        <is>
          <t>보완 필요</t>
        </is>
      </c>
      <c r="F194" s="7" t="inlineStr">
        <is>
          <t>SH-FM-338</t>
        </is>
      </c>
      <c r="G194" s="7" t="inlineStr">
        <is>
          <t>SH-FM-338</t>
        </is>
      </c>
      <c r="H194" s="7" t="inlineStr">
        <is>
          <t>지성규</t>
        </is>
      </c>
      <c r="I194" s="7" t="inlineStr">
        <is>
          <t>발송용_담당자변경_20261027/메시지_지성규_20261027.txt</t>
        </is>
      </c>
      <c r="J194" s="8" t="n">
        <v>46331</v>
      </c>
      <c r="K194" s="8" t="n">
        <v>46322</v>
      </c>
      <c r="L194" s="7" t="inlineStr">
        <is>
          <t>발송(회신 대기)</t>
        </is>
      </c>
      <c r="M194" s="8" t="n"/>
      <c r="N194" s="7" t="n"/>
      <c r="O194" s="7" t="n"/>
      <c r="P194" s="7" t="inlineStr">
        <is>
          <t>항목·기준 작성 파일 수령 → 같은 Rev.00 재개정(recheck → 승인·배포) → 매핑표 '보유'로 갱신</t>
        </is>
      </c>
      <c r="Q194" s="7" t="inlineStr">
        <is>
          <t>미완료</t>
        </is>
      </c>
      <c r="R194" s="7" t="inlineStr">
        <is>
          <t>담당자 변경 재안내 발송 2026-10-27</t>
        </is>
      </c>
      <c r="S194">
        <f>IF(L194="회신 완료","",J194-TODAY())</f>
        <v/>
      </c>
      <c r="T194">
        <f>IF(L194="회신 완료","완료",IF(J194&lt;TODAY(),"지연",IF(J194-TODAY()&lt;=1,"임박(D-1 이내)",IF(J194-TODAY()&lt;=3,"임박(D-3 이내)","여유"))))</f>
        <v/>
      </c>
    </row>
    <row r="195">
      <c r="A195" s="7" t="n">
        <v>217</v>
      </c>
      <c r="B195" s="7" t="inlineStr">
        <is>
          <t>품질경영체제</t>
        </is>
      </c>
      <c r="C195" s="7" t="inlineStr">
        <is>
          <t>6-9</t>
        </is>
      </c>
      <c r="D195" s="7" t="inlineStr">
        <is>
          <t>조도측정부 현장내 식별</t>
        </is>
      </c>
      <c r="E195" s="7" t="inlineStr">
        <is>
          <t>보완 필요</t>
        </is>
      </c>
      <c r="F195" s="7" t="inlineStr">
        <is>
          <t>SH-FM-339</t>
        </is>
      </c>
      <c r="G195" s="7" t="inlineStr">
        <is>
          <t>SH-FM-339</t>
        </is>
      </c>
      <c r="H195" s="7" t="inlineStr">
        <is>
          <t>지성규</t>
        </is>
      </c>
      <c r="I195" s="7" t="inlineStr">
        <is>
          <t>발송용_담당자변경_20261027/메시지_지성규_20261027.txt</t>
        </is>
      </c>
      <c r="J195" s="8" t="n">
        <v>46331</v>
      </c>
      <c r="K195" s="8" t="n">
        <v>46322</v>
      </c>
      <c r="L195" s="7" t="inlineStr">
        <is>
          <t>발송(회신 대기)</t>
        </is>
      </c>
      <c r="M195" s="8" t="n"/>
      <c r="N195" s="7" t="n"/>
      <c r="O195" s="7" t="n"/>
      <c r="P195" s="7" t="inlineStr">
        <is>
          <t>항목·기준 작성 파일 수령 → 같은 Rev.00 재개정(recheck → 승인·배포) → 매핑표 '보유'로 갱신</t>
        </is>
      </c>
      <c r="Q195" s="7" t="inlineStr">
        <is>
          <t>미완료</t>
        </is>
      </c>
      <c r="R195" s="7" t="inlineStr">
        <is>
          <t>담당자 변경 재안내 발송 2026-10-27</t>
        </is>
      </c>
      <c r="S195">
        <f>IF(L195="회신 완료","",J195-TODAY())</f>
        <v/>
      </c>
      <c r="T195">
        <f>IF(L195="회신 완료","완료",IF(J195&lt;TODAY(),"지연",IF(J195-TODAY()&lt;=1,"임박(D-1 이내)",IF(J195-TODAY()&lt;=3,"임박(D-3 이내)","여유"))))</f>
        <v/>
      </c>
    </row>
    <row r="196">
      <c r="A196" s="7" t="n">
        <v>218</v>
      </c>
      <c r="B196" s="7" t="inlineStr">
        <is>
          <t>품질경영체제</t>
        </is>
      </c>
      <c r="C196" s="7" t="inlineStr">
        <is>
          <t>6-9</t>
        </is>
      </c>
      <c r="D196" s="7" t="inlineStr">
        <is>
          <t>조도측정 실적</t>
        </is>
      </c>
      <c r="E196" s="7" t="inlineStr">
        <is>
          <t>보완 필요</t>
        </is>
      </c>
      <c r="F196" s="7" t="inlineStr">
        <is>
          <t>SH-FM-340</t>
        </is>
      </c>
      <c r="G196" s="7" t="inlineStr">
        <is>
          <t>SH-FM-340</t>
        </is>
      </c>
      <c r="H196" s="7" t="inlineStr">
        <is>
          <t>지성규</t>
        </is>
      </c>
      <c r="I196" s="7" t="inlineStr">
        <is>
          <t>발송용_담당자변경_20261027/메시지_지성규_20261027.txt</t>
        </is>
      </c>
      <c r="J196" s="8" t="n">
        <v>46331</v>
      </c>
      <c r="K196" s="8" t="n">
        <v>46322</v>
      </c>
      <c r="L196" s="7" t="inlineStr">
        <is>
          <t>발송(회신 대기)</t>
        </is>
      </c>
      <c r="M196" s="8" t="n"/>
      <c r="N196" s="7" t="n"/>
      <c r="O196" s="7" t="n"/>
      <c r="P196" s="7" t="inlineStr">
        <is>
          <t>항목·기준 작성 파일 수령 → 같은 Rev.00 재개정(recheck → 승인·배포) → 매핑표 '보유'로 갱신</t>
        </is>
      </c>
      <c r="Q196" s="7" t="inlineStr">
        <is>
          <t>미완료</t>
        </is>
      </c>
      <c r="R196" s="7" t="inlineStr">
        <is>
          <t>담당자 변경 재안내 발송 2026-10-27</t>
        </is>
      </c>
      <c r="S196">
        <f>IF(L196="회신 완료","",J196-TODAY())</f>
        <v/>
      </c>
      <c r="T196">
        <f>IF(L196="회신 완료","완료",IF(J196&lt;TODAY(),"지연",IF(J196-TODAY()&lt;=1,"임박(D-1 이내)",IF(J196-TODAY()&lt;=3,"임박(D-3 이내)","여유"))))</f>
        <v/>
      </c>
    </row>
    <row r="197">
      <c r="A197" s="7" t="n">
        <v>219</v>
      </c>
      <c r="B197" s="7" t="inlineStr">
        <is>
          <t>품질경영체제</t>
        </is>
      </c>
      <c r="C197" s="7" t="inlineStr">
        <is>
          <t>6-10</t>
        </is>
      </c>
      <c r="D197" s="7" t="inlineStr">
        <is>
          <t>3정5행관리 기준서</t>
        </is>
      </c>
      <c r="E197" s="7" t="inlineStr">
        <is>
          <t>보완 필요</t>
        </is>
      </c>
      <c r="F197" s="7" t="inlineStr">
        <is>
          <t>SH-FM-341</t>
        </is>
      </c>
      <c r="G197" s="7" t="inlineStr">
        <is>
          <t>SH-FM-341</t>
        </is>
      </c>
      <c r="H197" s="7" t="inlineStr">
        <is>
          <t>지성규</t>
        </is>
      </c>
      <c r="I197" s="7" t="inlineStr">
        <is>
          <t>발송용_담당자변경_20261027/메시지_지성규_20261027.txt</t>
        </is>
      </c>
      <c r="J197" s="8" t="n">
        <v>46331</v>
      </c>
      <c r="K197" s="8" t="n">
        <v>46322</v>
      </c>
      <c r="L197" s="7" t="inlineStr">
        <is>
          <t>발송(회신 대기)</t>
        </is>
      </c>
      <c r="M197" s="8" t="n"/>
      <c r="N197" s="7" t="n"/>
      <c r="O197" s="7" t="n"/>
      <c r="P197" s="7" t="inlineStr">
        <is>
          <t>항목·기준 작성 파일 수령 → 같은 Rev.00 재개정(recheck → 승인·배포) → 매핑표 '보유'로 갱신</t>
        </is>
      </c>
      <c r="Q197" s="7" t="inlineStr">
        <is>
          <t>미완료</t>
        </is>
      </c>
      <c r="R197" s="7" t="inlineStr">
        <is>
          <t>담당자 변경 재안내 발송 2026-10-27</t>
        </is>
      </c>
      <c r="S197">
        <f>IF(L197="회신 완료","",J197-TODAY())</f>
        <v/>
      </c>
      <c r="T197">
        <f>IF(L197="회신 완료","완료",IF(J197&lt;TODAY(),"지연",IF(J197-TODAY()&lt;=1,"임박(D-1 이내)",IF(J197-TODAY()&lt;=3,"임박(D-3 이내)","여유"))))</f>
        <v/>
      </c>
    </row>
    <row r="198">
      <c r="A198" s="7" t="n">
        <v>220</v>
      </c>
      <c r="B198" s="7" t="inlineStr">
        <is>
          <t>품질경영체제</t>
        </is>
      </c>
      <c r="C198" s="7" t="inlineStr">
        <is>
          <t>6-10</t>
        </is>
      </c>
      <c r="D198" s="7" t="inlineStr">
        <is>
          <t>3정5행 점검 구역별 책임자 선정</t>
        </is>
      </c>
      <c r="E198" s="7" t="inlineStr">
        <is>
          <t>보완 필요</t>
        </is>
      </c>
      <c r="F198" s="7" t="inlineStr">
        <is>
          <t>SH-FM-342</t>
        </is>
      </c>
      <c r="G198" s="7" t="inlineStr">
        <is>
          <t>SH-FM-342</t>
        </is>
      </c>
      <c r="H198" s="7" t="inlineStr">
        <is>
          <t>지성규</t>
        </is>
      </c>
      <c r="I198" s="7" t="inlineStr">
        <is>
          <t>발송용_담당자변경_20261027/메시지_지성규_20261027.txt</t>
        </is>
      </c>
      <c r="J198" s="8" t="n">
        <v>46331</v>
      </c>
      <c r="K198" s="8" t="n">
        <v>46322</v>
      </c>
      <c r="L198" s="7" t="inlineStr">
        <is>
          <t>발송(회신 대기)</t>
        </is>
      </c>
      <c r="M198" s="8" t="n"/>
      <c r="N198" s="7" t="n"/>
      <c r="O198" s="7" t="n"/>
      <c r="P198" s="7" t="inlineStr">
        <is>
          <t>항목·기준 작성 파일 수령 → 같은 Rev.00 재개정(recheck → 승인·배포) → 매핑표 '보유'로 갱신</t>
        </is>
      </c>
      <c r="Q198" s="7" t="inlineStr">
        <is>
          <t>미완료</t>
        </is>
      </c>
      <c r="R198" s="7" t="inlineStr">
        <is>
          <t>담당자 변경 재안내 발송 2026-10-27</t>
        </is>
      </c>
      <c r="S198">
        <f>IF(L198="회신 완료","",J198-TODAY())</f>
        <v/>
      </c>
      <c r="T198">
        <f>IF(L198="회신 완료","완료",IF(J198&lt;TODAY(),"지연",IF(J198-TODAY()&lt;=1,"임박(D-1 이내)",IF(J198-TODAY()&lt;=3,"임박(D-3 이내)","여유"))))</f>
        <v/>
      </c>
    </row>
    <row r="199">
      <c r="A199" s="7" t="n">
        <v>221</v>
      </c>
      <c r="B199" s="7" t="inlineStr">
        <is>
          <t>품질경영체제</t>
        </is>
      </c>
      <c r="C199" s="7" t="inlineStr">
        <is>
          <t>6-10</t>
        </is>
      </c>
      <c r="D199" s="7" t="inlineStr">
        <is>
          <t>3정5행점검 체크시트</t>
        </is>
      </c>
      <c r="E199" s="7" t="inlineStr">
        <is>
          <t>보완 필요</t>
        </is>
      </c>
      <c r="F199" s="7" t="inlineStr">
        <is>
          <t>SH-FM-343</t>
        </is>
      </c>
      <c r="G199" s="7" t="inlineStr">
        <is>
          <t>SH-FM-343</t>
        </is>
      </c>
      <c r="H199" s="7" t="inlineStr">
        <is>
          <t>지성규</t>
        </is>
      </c>
      <c r="I199" s="7" t="inlineStr">
        <is>
          <t>발송용_담당자변경_20261027/메시지_지성규_20261027.txt</t>
        </is>
      </c>
      <c r="J199" s="8" t="n">
        <v>46331</v>
      </c>
      <c r="K199" s="8" t="n">
        <v>46322</v>
      </c>
      <c r="L199" s="7" t="inlineStr">
        <is>
          <t>발송(회신 대기)</t>
        </is>
      </c>
      <c r="M199" s="8" t="n"/>
      <c r="N199" s="7" t="n"/>
      <c r="O199" s="7" t="n"/>
      <c r="P199" s="7" t="inlineStr">
        <is>
          <t>항목·기준 작성 파일 수령 → 같은 Rev.00 재개정(recheck → 승인·배포) → 매핑표 '보유'로 갱신</t>
        </is>
      </c>
      <c r="Q199" s="7" t="inlineStr">
        <is>
          <t>미완료</t>
        </is>
      </c>
      <c r="R199" s="7" t="inlineStr">
        <is>
          <t>담당자 변경 재안내 발송 2026-10-27</t>
        </is>
      </c>
      <c r="S199">
        <f>IF(L199="회신 완료","",J199-TODAY())</f>
        <v/>
      </c>
      <c r="T199">
        <f>IF(L199="회신 완료","완료",IF(J199&lt;TODAY(),"지연",IF(J199-TODAY()&lt;=1,"임박(D-1 이내)",IF(J199-TODAY()&lt;=3,"임박(D-3 이내)","여유"))))</f>
        <v/>
      </c>
    </row>
    <row r="200">
      <c r="A200" s="7" t="n">
        <v>222</v>
      </c>
      <c r="B200" s="7" t="inlineStr">
        <is>
          <t>품질경영체제</t>
        </is>
      </c>
      <c r="C200" s="7" t="inlineStr">
        <is>
          <t>6-10</t>
        </is>
      </c>
      <c r="D200" s="7" t="inlineStr">
        <is>
          <t>3정5행 점검 결과 개선대책</t>
        </is>
      </c>
      <c r="E200" s="7" t="inlineStr">
        <is>
          <t>보완 필요</t>
        </is>
      </c>
      <c r="F200" s="7" t="inlineStr">
        <is>
          <t>SH-FM-344</t>
        </is>
      </c>
      <c r="G200" s="7" t="inlineStr">
        <is>
          <t>SH-FM-344</t>
        </is>
      </c>
      <c r="H200" s="7" t="inlineStr">
        <is>
          <t>지성규</t>
        </is>
      </c>
      <c r="I200" s="7" t="inlineStr">
        <is>
          <t>발송용_담당자변경_20261027/메시지_지성규_20261027.txt</t>
        </is>
      </c>
      <c r="J200" s="8" t="n">
        <v>46331</v>
      </c>
      <c r="K200" s="8" t="n">
        <v>46322</v>
      </c>
      <c r="L200" s="7" t="inlineStr">
        <is>
          <t>발송(회신 대기)</t>
        </is>
      </c>
      <c r="M200" s="8" t="n"/>
      <c r="N200" s="7" t="n"/>
      <c r="O200" s="7" t="n"/>
      <c r="P200" s="7" t="inlineStr">
        <is>
          <t>항목·기준 작성 파일 수령 → 같은 Rev.00 재개정(recheck → 승인·배포) → 매핑표 '보유'로 갱신</t>
        </is>
      </c>
      <c r="Q200" s="7" t="inlineStr">
        <is>
          <t>미완료</t>
        </is>
      </c>
      <c r="R200" s="7" t="inlineStr">
        <is>
          <t>담당자 변경 재안내 발송 2026-10-27</t>
        </is>
      </c>
      <c r="S200">
        <f>IF(L200="회신 완료","",J200-TODAY())</f>
        <v/>
      </c>
      <c r="T200">
        <f>IF(L200="회신 완료","완료",IF(J200&lt;TODAY(),"지연",IF(J200-TODAY()&lt;=1,"임박(D-1 이내)",IF(J200-TODAY()&lt;=3,"임박(D-3 이내)","여유"))))</f>
        <v/>
      </c>
    </row>
    <row r="201">
      <c r="A201" s="7" t="n">
        <v>223</v>
      </c>
      <c r="B201" s="7" t="inlineStr">
        <is>
          <t>품질경영체제</t>
        </is>
      </c>
      <c r="C201" s="7" t="inlineStr">
        <is>
          <t>6-10</t>
        </is>
      </c>
      <c r="D201" s="7" t="inlineStr">
        <is>
          <t>3정5행개선사례 현황판</t>
        </is>
      </c>
      <c r="E201" s="7" t="inlineStr">
        <is>
          <t>보완 필요</t>
        </is>
      </c>
      <c r="F201" s="7" t="inlineStr">
        <is>
          <t>SH-FM-345</t>
        </is>
      </c>
      <c r="G201" s="7" t="inlineStr">
        <is>
          <t>SH-FM-345</t>
        </is>
      </c>
      <c r="H201" s="7" t="inlineStr">
        <is>
          <t>지성규</t>
        </is>
      </c>
      <c r="I201" s="7" t="inlineStr">
        <is>
          <t>발송용_담당자변경_20261027/메시지_지성규_20261027.txt</t>
        </is>
      </c>
      <c r="J201" s="8" t="n">
        <v>46331</v>
      </c>
      <c r="K201" s="8" t="n">
        <v>46322</v>
      </c>
      <c r="L201" s="7" t="inlineStr">
        <is>
          <t>발송(회신 대기)</t>
        </is>
      </c>
      <c r="M201" s="8" t="n"/>
      <c r="N201" s="7" t="n"/>
      <c r="O201" s="7" t="n"/>
      <c r="P201" s="7" t="inlineStr">
        <is>
          <t>항목·기준 작성 파일 수령 → 같은 Rev.00 재개정(recheck → 승인·배포) → 매핑표 '보유'로 갱신</t>
        </is>
      </c>
      <c r="Q201" s="7" t="inlineStr">
        <is>
          <t>미완료</t>
        </is>
      </c>
      <c r="R201" s="7" t="inlineStr">
        <is>
          <t>담당자 변경 재안내 발송 2026-10-27</t>
        </is>
      </c>
      <c r="S201">
        <f>IF(L201="회신 완료","",J201-TODAY())</f>
        <v/>
      </c>
      <c r="T201">
        <f>IF(L201="회신 완료","완료",IF(J201&lt;TODAY(),"지연",IF(J201-TODAY()&lt;=1,"임박(D-1 이내)",IF(J201-TODAY()&lt;=3,"임박(D-3 이내)","여유"))))</f>
        <v/>
      </c>
    </row>
    <row r="202">
      <c r="A202" s="7" t="n">
        <v>227</v>
      </c>
      <c r="B202" s="7" t="inlineStr">
        <is>
          <t>품질경영체제</t>
        </is>
      </c>
      <c r="C202" s="7" t="inlineStr">
        <is>
          <t>6-12</t>
        </is>
      </c>
      <c r="D202" s="7" t="inlineStr">
        <is>
          <t>재작업엄무처리 기준서</t>
        </is>
      </c>
      <c r="E202" s="7" t="inlineStr">
        <is>
          <t>보완 필요</t>
        </is>
      </c>
      <c r="F202" s="7" t="inlineStr">
        <is>
          <t>SH-FM-349</t>
        </is>
      </c>
      <c r="G202" s="7" t="inlineStr">
        <is>
          <t>SH-FM-349</t>
        </is>
      </c>
      <c r="H202" s="7" t="inlineStr">
        <is>
          <t>지성규</t>
        </is>
      </c>
      <c r="I202" s="7" t="inlineStr">
        <is>
          <t>발송용_담당자변경_20261027/메시지_지성규_20261027.txt</t>
        </is>
      </c>
      <c r="J202" s="8" t="n">
        <v>46331</v>
      </c>
      <c r="K202" s="8" t="n">
        <v>46322</v>
      </c>
      <c r="L202" s="7" t="inlineStr">
        <is>
          <t>발송(회신 대기)</t>
        </is>
      </c>
      <c r="M202" s="8" t="n"/>
      <c r="N202" s="7" t="n"/>
      <c r="O202" s="7" t="n"/>
      <c r="P202" s="7" t="inlineStr">
        <is>
          <t>항목·기준 작성 파일 수령 → 같은 Rev.00 재개정(recheck → 승인·배포) → 매핑표 '보유'로 갱신</t>
        </is>
      </c>
      <c r="Q202" s="7" t="inlineStr">
        <is>
          <t>미완료</t>
        </is>
      </c>
      <c r="R202" s="7" t="inlineStr">
        <is>
          <t>담당자 변경 재안내 발송 2026-10-27</t>
        </is>
      </c>
      <c r="S202">
        <f>IF(L202="회신 완료","",J202-TODAY())</f>
        <v/>
      </c>
      <c r="T202">
        <f>IF(L202="회신 완료","완료",IF(J202&lt;TODAY(),"지연",IF(J202-TODAY()&lt;=1,"임박(D-1 이내)",IF(J202-TODAY()&lt;=3,"임박(D-3 이내)","여유"))))</f>
        <v/>
      </c>
    </row>
    <row r="203">
      <c r="A203" s="7" t="n">
        <v>228</v>
      </c>
      <c r="B203" s="7" t="inlineStr">
        <is>
          <t>품질경영체제</t>
        </is>
      </c>
      <c r="C203" s="7" t="inlineStr">
        <is>
          <t>6-12</t>
        </is>
      </c>
      <c r="D203" s="7" t="inlineStr">
        <is>
          <t>재작업품 작업공간 장소지정(공구확보)</t>
        </is>
      </c>
      <c r="E203" s="7" t="inlineStr">
        <is>
          <t>보완 필요</t>
        </is>
      </c>
      <c r="F203" s="7" t="inlineStr">
        <is>
          <t>SH-FM-350</t>
        </is>
      </c>
      <c r="G203" s="7" t="inlineStr">
        <is>
          <t>SH-FM-350</t>
        </is>
      </c>
      <c r="H203" s="7" t="inlineStr">
        <is>
          <t>지성규</t>
        </is>
      </c>
      <c r="I203" s="7" t="inlineStr">
        <is>
          <t>발송용_담당자변경_20261027/메시지_지성규_20261027.txt</t>
        </is>
      </c>
      <c r="J203" s="8" t="n">
        <v>46331</v>
      </c>
      <c r="K203" s="8" t="n">
        <v>46322</v>
      </c>
      <c r="L203" s="7" t="inlineStr">
        <is>
          <t>발송(회신 대기)</t>
        </is>
      </c>
      <c r="M203" s="8" t="n"/>
      <c r="N203" s="7" t="n"/>
      <c r="O203" s="7" t="n"/>
      <c r="P203" s="7" t="inlineStr">
        <is>
          <t>항목·기준 작성 파일 수령 → 같은 Rev.00 재개정(recheck → 승인·배포) → 매핑표 '보유'로 갱신</t>
        </is>
      </c>
      <c r="Q203" s="7" t="inlineStr">
        <is>
          <t>미완료</t>
        </is>
      </c>
      <c r="R203" s="7" t="inlineStr">
        <is>
          <t>담당자 변경 재안내 발송 2026-10-27</t>
        </is>
      </c>
      <c r="S203">
        <f>IF(L203="회신 완료","",J203-TODAY())</f>
        <v/>
      </c>
      <c r="T203">
        <f>IF(L203="회신 완료","완료",IF(J203&lt;TODAY(),"지연",IF(J203-TODAY()&lt;=1,"임박(D-1 이내)",IF(J203-TODAY()&lt;=3,"임박(D-3 이내)","여유"))))</f>
        <v/>
      </c>
    </row>
    <row r="204">
      <c r="A204" s="7" t="n">
        <v>229</v>
      </c>
      <c r="B204" s="7" t="inlineStr">
        <is>
          <t>품질경영체제</t>
        </is>
      </c>
      <c r="C204" s="7" t="inlineStr">
        <is>
          <t>6-12</t>
        </is>
      </c>
      <c r="D204" s="7" t="inlineStr">
        <is>
          <t>재작업품 MASTER LIST</t>
        </is>
      </c>
      <c r="E204" s="7" t="inlineStr">
        <is>
          <t>보완 필요</t>
        </is>
      </c>
      <c r="F204" s="7" t="inlineStr">
        <is>
          <t>SH-FM-351</t>
        </is>
      </c>
      <c r="G204" s="7" t="inlineStr">
        <is>
          <t>SH-FM-351</t>
        </is>
      </c>
      <c r="H204" s="7" t="inlineStr">
        <is>
          <t>지성규</t>
        </is>
      </c>
      <c r="I204" s="7" t="inlineStr">
        <is>
          <t>발송용_담당자변경_20261027/메시지_지성규_20261027.txt</t>
        </is>
      </c>
      <c r="J204" s="8" t="n">
        <v>46331</v>
      </c>
      <c r="K204" s="8" t="n">
        <v>46322</v>
      </c>
      <c r="L204" s="7" t="inlineStr">
        <is>
          <t>발송(회신 대기)</t>
        </is>
      </c>
      <c r="M204" s="8" t="n"/>
      <c r="N204" s="7" t="n"/>
      <c r="O204" s="7" t="n"/>
      <c r="P204" s="7" t="inlineStr">
        <is>
          <t>항목·기준 작성 파일 수령 → 같은 Rev.00 재개정(recheck → 승인·배포) → 매핑표 '보유'로 갱신</t>
        </is>
      </c>
      <c r="Q204" s="7" t="inlineStr">
        <is>
          <t>미완료</t>
        </is>
      </c>
      <c r="R204" s="7" t="inlineStr">
        <is>
          <t>담당자 변경 재안내 발송 2026-10-27</t>
        </is>
      </c>
      <c r="S204">
        <f>IF(L204="회신 완료","",J204-TODAY())</f>
        <v/>
      </c>
      <c r="T204">
        <f>IF(L204="회신 완료","완료",IF(J204&lt;TODAY(),"지연",IF(J204-TODAY()&lt;=1,"임박(D-1 이내)",IF(J204-TODAY()&lt;=3,"임박(D-3 이내)","여유"))))</f>
        <v/>
      </c>
    </row>
    <row r="205">
      <c r="A205" s="7" t="n">
        <v>231</v>
      </c>
      <c r="B205" s="7" t="inlineStr">
        <is>
          <t>품질경영체제</t>
        </is>
      </c>
      <c r="C205" s="7" t="inlineStr">
        <is>
          <t>6-12</t>
        </is>
      </c>
      <c r="D205" s="7" t="inlineStr">
        <is>
          <t>재작업품 부품식별표</t>
        </is>
      </c>
      <c r="E205" s="7" t="inlineStr">
        <is>
          <t>보완 필요</t>
        </is>
      </c>
      <c r="F205" s="7" t="inlineStr">
        <is>
          <t>SH-FM-353</t>
        </is>
      </c>
      <c r="G205" s="7" t="inlineStr">
        <is>
          <t>SH-FM-353</t>
        </is>
      </c>
      <c r="H205" s="7" t="inlineStr">
        <is>
          <t>지성규</t>
        </is>
      </c>
      <c r="I205" s="7" t="inlineStr">
        <is>
          <t>발송용_담당자변경_20261027/메시지_지성규_20261027.txt</t>
        </is>
      </c>
      <c r="J205" s="8" t="n">
        <v>46331</v>
      </c>
      <c r="K205" s="8" t="n">
        <v>46322</v>
      </c>
      <c r="L205" s="7" t="inlineStr">
        <is>
          <t>발송(회신 대기)</t>
        </is>
      </c>
      <c r="M205" s="8" t="n"/>
      <c r="N205" s="7" t="n"/>
      <c r="O205" s="7" t="n"/>
      <c r="P205" s="7" t="inlineStr">
        <is>
          <t>항목·기준 작성 파일 수령 → 같은 Rev.00 재개정(recheck → 승인·배포) → 매핑표 '보유'로 갱신</t>
        </is>
      </c>
      <c r="Q205" s="7" t="inlineStr">
        <is>
          <t>미완료</t>
        </is>
      </c>
      <c r="R205" s="7" t="inlineStr">
        <is>
          <t>담당자 변경 재안내 발송 2026-10-27</t>
        </is>
      </c>
      <c r="S205">
        <f>IF(L205="회신 완료","",J205-TODAY())</f>
        <v/>
      </c>
      <c r="T205">
        <f>IF(L205="회신 완료","완료",IF(J205&lt;TODAY(),"지연",IF(J205-TODAY()&lt;=1,"임박(D-1 이내)",IF(J205-TODAY()&lt;=3,"임박(D-3 이내)","여유"))))</f>
        <v/>
      </c>
    </row>
    <row r="206">
      <c r="A206" s="7" t="n">
        <v>4</v>
      </c>
      <c r="B206" s="7" t="inlineStr">
        <is>
          <t>생산조건관리</t>
        </is>
      </c>
      <c r="C206" s="7" t="inlineStr">
        <is>
          <t>1-1</t>
        </is>
      </c>
      <c r="D206" s="7" t="inlineStr">
        <is>
          <t>설비일상점검표</t>
        </is>
      </c>
      <c r="E206" s="7" t="inlineStr">
        <is>
          <t>보유 확인</t>
        </is>
      </c>
      <c r="F206" s="7" t="inlineStr">
        <is>
          <t>SH-FM-126</t>
        </is>
      </c>
      <c r="G206" s="7" t="inlineStr">
        <is>
          <t>SH-FM-101</t>
        </is>
      </c>
      <c r="H206" s="7" t="inlineStr">
        <is>
          <t>지성규</t>
        </is>
      </c>
      <c r="I206" s="7" t="inlineStr">
        <is>
          <t>발송용_최종_20261008/메시지_지성규.txt</t>
        </is>
      </c>
      <c r="J206" s="8" t="n">
        <v>46331</v>
      </c>
      <c r="K206" s="8" t="n">
        <v>46303</v>
      </c>
      <c r="L206" s="7" t="inlineStr">
        <is>
          <t>발송(회신 대기)</t>
        </is>
      </c>
      <c r="M206" s="8" t="n"/>
      <c r="N206" s="7" t="n"/>
      <c r="O206" s="7" t="n"/>
      <c r="P206" s="7" t="inlineStr">
        <is>
          <t>4가지 확인 결과 → 문제 없으면 보유 유지, 문제 시 상태 재판정</t>
        </is>
      </c>
      <c r="Q206" s="7" t="inlineStr">
        <is>
          <t>미완료</t>
        </is>
      </c>
      <c r="R206" s="7" t="n"/>
      <c r="S206">
        <f>IF(L206="회신 완료","",J206-TODAY())</f>
        <v/>
      </c>
      <c r="T206">
        <f>IF(L206="회신 완료","완료",IF(J206&lt;TODAY(),"지연",IF(J206-TODAY()&lt;=1,"임박(D-1 이내)",IF(J206-TODAY()&lt;=3,"임박(D-3 이내)","여유"))))</f>
        <v/>
      </c>
    </row>
    <row r="207">
      <c r="A207" s="7" t="n">
        <v>115</v>
      </c>
      <c r="B207" s="7" t="inlineStr">
        <is>
          <t>금형관리</t>
        </is>
      </c>
      <c r="C207" s="7" t="inlineStr">
        <is>
          <t>4-1</t>
        </is>
      </c>
      <c r="D207" s="7" t="inlineStr">
        <is>
          <t>금형이력카드</t>
        </is>
      </c>
      <c r="E207" s="7" t="inlineStr">
        <is>
          <t>보유 확인</t>
        </is>
      </c>
      <c r="F207" s="7" t="inlineStr">
        <is>
          <t>SH-FM-237</t>
        </is>
      </c>
      <c r="G207" s="7" t="inlineStr">
        <is>
          <t>SH-FM-103</t>
        </is>
      </c>
      <c r="H207" s="7" t="inlineStr">
        <is>
          <t>지성규</t>
        </is>
      </c>
      <c r="I207" s="7" t="inlineStr">
        <is>
          <t>발송용_최종_20261008/메시지_지성규.txt</t>
        </is>
      </c>
      <c r="J207" s="8" t="n">
        <v>46331</v>
      </c>
      <c r="K207" s="8" t="n">
        <v>46303</v>
      </c>
      <c r="L207" s="7" t="inlineStr">
        <is>
          <t>발송(회신 대기)</t>
        </is>
      </c>
      <c r="M207" s="8" t="n"/>
      <c r="N207" s="7" t="n"/>
      <c r="O207" s="7" t="n"/>
      <c r="P207" s="7" t="inlineStr">
        <is>
          <t>4가지 확인 결과 → 문제 없으면 보유 유지, 문제 시 상태 재판정</t>
        </is>
      </c>
      <c r="Q207" s="7" t="inlineStr">
        <is>
          <t>미완료</t>
        </is>
      </c>
      <c r="R207" s="7" t="n"/>
      <c r="S207">
        <f>IF(L207="회신 완료","",J207-TODAY())</f>
        <v/>
      </c>
      <c r="T207">
        <f>IF(L207="회신 완료","완료",IF(J207&lt;TODAY(),"지연",IF(J207-TODAY()&lt;=1,"임박(D-1 이내)",IF(J207-TODAY()&lt;=3,"임박(D-3 이내)","여유"))))</f>
        <v/>
      </c>
    </row>
    <row r="208">
      <c r="A208" s="7" t="n">
        <v>140</v>
      </c>
      <c r="B208" s="7" t="inlineStr">
        <is>
          <t>자재관리</t>
        </is>
      </c>
      <c r="C208" s="7" t="inlineStr">
        <is>
          <t>5-1</t>
        </is>
      </c>
      <c r="D208" s="7" t="inlineStr">
        <is>
          <t>LOT관리기준서</t>
        </is>
      </c>
      <c r="E208" s="7" t="inlineStr">
        <is>
          <t>보유 확인</t>
        </is>
      </c>
      <c r="F208" s="7" t="inlineStr">
        <is>
          <t>SH-FM-262</t>
        </is>
      </c>
      <c r="G208" s="7" t="inlineStr">
        <is>
          <t>SH-QP-018</t>
        </is>
      </c>
      <c r="H208" s="7" t="inlineStr">
        <is>
          <t>지성규</t>
        </is>
      </c>
      <c r="I208" s="7" t="inlineStr">
        <is>
          <t>발송용_최종_20261008/메시지_지성규.txt</t>
        </is>
      </c>
      <c r="J208" s="8" t="n">
        <v>46331</v>
      </c>
      <c r="K208" s="8" t="n">
        <v>46303</v>
      </c>
      <c r="L208" s="7" t="inlineStr">
        <is>
          <t>발송(회신 대기)</t>
        </is>
      </c>
      <c r="M208" s="8" t="n"/>
      <c r="N208" s="7" t="n"/>
      <c r="O208" s="7" t="n"/>
      <c r="P208" s="7" t="inlineStr">
        <is>
          <t>4가지 확인 결과 → 문제 없으면 보유 유지, 문제 시 상태 재판정</t>
        </is>
      </c>
      <c r="Q208" s="7" t="inlineStr">
        <is>
          <t>미완료</t>
        </is>
      </c>
      <c r="R208" s="7" t="n"/>
      <c r="S208">
        <f>IF(L208="회신 완료","",J208-TODAY())</f>
        <v/>
      </c>
      <c r="T208">
        <f>IF(L208="회신 완료","완료",IF(J208&lt;TODAY(),"지연",IF(J208-TODAY()&lt;=1,"임박(D-1 이내)",IF(J208-TODAY()&lt;=3,"임박(D-3 이내)","여유"))))</f>
        <v/>
      </c>
    </row>
    <row r="209">
      <c r="A209" s="7" t="n">
        <v>83</v>
      </c>
      <c r="B209" s="7" t="inlineStr">
        <is>
          <t>검사시험</t>
        </is>
      </c>
      <c r="C209" s="7" t="inlineStr">
        <is>
          <t>2-9</t>
        </is>
      </c>
      <c r="D209" s="7" t="inlineStr">
        <is>
          <t>용접반파괴 검사대제작</t>
        </is>
      </c>
      <c r="E209" s="7" t="inlineStr">
        <is>
          <t>판단 보류</t>
        </is>
      </c>
      <c r="F209" s="7" t="inlineStr">
        <is>
          <t>SH-FM-205</t>
        </is>
      </c>
      <c r="G209" s="7" t="inlineStr">
        <is>
          <t>SH-FM-205</t>
        </is>
      </c>
      <c r="H209" s="7" t="inlineStr">
        <is>
          <t>한상돈</t>
        </is>
      </c>
      <c r="I209" s="7" t="inlineStr">
        <is>
          <t>발송용_담당자변경_20261027/메시지_한상돈_20261027.txt</t>
        </is>
      </c>
      <c r="J209" s="8" t="n">
        <v>46331</v>
      </c>
      <c r="K209" s="8" t="n">
        <v>46322</v>
      </c>
      <c r="L209" s="7" t="inlineStr">
        <is>
          <t>발송(회신 대기)</t>
        </is>
      </c>
      <c r="M209" s="8" t="n"/>
      <c r="N209" s="7" t="n"/>
      <c r="O209" s="7" t="n"/>
      <c r="P209" s="7" t="inlineStr">
        <is>
          <t>현물 증빙(사진·위치) 확인 → 매핑표에 현물 보유 반영 검토</t>
        </is>
      </c>
      <c r="Q209" s="7" t="inlineStr">
        <is>
          <t>미완료</t>
        </is>
      </c>
      <c r="R209" s="7" t="inlineStr">
        <is>
          <t>담당자 변경 재안내 발송 2026-10-27</t>
        </is>
      </c>
      <c r="S209">
        <f>IF(L209="회신 완료","",J209-TODAY())</f>
        <v/>
      </c>
      <c r="T209">
        <f>IF(L209="회신 완료","완료",IF(J209&lt;TODAY(),"지연",IF(J209-TODAY()&lt;=1,"임박(D-1 이내)",IF(J209-TODAY()&lt;=3,"임박(D-3 이내)","여유"))))</f>
        <v/>
      </c>
    </row>
    <row r="210">
      <c r="A210" s="7" t="n">
        <v>84</v>
      </c>
      <c r="B210" s="7" t="inlineStr">
        <is>
          <t>검사시험</t>
        </is>
      </c>
      <c r="C210" s="7" t="inlineStr">
        <is>
          <t>2-9</t>
        </is>
      </c>
      <c r="D210" s="7" t="inlineStr">
        <is>
          <t>(용접반파괴테스트 보관대제작-한도견본&amp;현품)</t>
        </is>
      </c>
      <c r="E210" s="7" t="inlineStr">
        <is>
          <t>판단 보류</t>
        </is>
      </c>
      <c r="F210" s="7" t="inlineStr">
        <is>
          <t>SH-FM-206</t>
        </is>
      </c>
      <c r="G210" s="7" t="inlineStr">
        <is>
          <t>SH-FM-206</t>
        </is>
      </c>
      <c r="H210" s="7" t="inlineStr">
        <is>
          <t>한상돈</t>
        </is>
      </c>
      <c r="I210" s="7" t="inlineStr">
        <is>
          <t>발송용_담당자변경_20261027/메시지_한상돈_20261027.txt</t>
        </is>
      </c>
      <c r="J210" s="8" t="n">
        <v>46331</v>
      </c>
      <c r="K210" s="8" t="n">
        <v>46322</v>
      </c>
      <c r="L210" s="7" t="inlineStr">
        <is>
          <t>발송(회신 대기)</t>
        </is>
      </c>
      <c r="M210" s="8" t="n"/>
      <c r="N210" s="7" t="n"/>
      <c r="O210" s="7" t="n"/>
      <c r="P210" s="7" t="inlineStr">
        <is>
          <t>현물 증빙(사진·위치) 확인 → 매핑표에 현물 보유 반영 검토</t>
        </is>
      </c>
      <c r="Q210" s="7" t="inlineStr">
        <is>
          <t>미완료</t>
        </is>
      </c>
      <c r="R210" s="7" t="inlineStr">
        <is>
          <t>담당자 변경 재안내 발송 2026-10-27</t>
        </is>
      </c>
      <c r="S210">
        <f>IF(L210="회신 완료","",J210-TODAY())</f>
        <v/>
      </c>
      <c r="T210">
        <f>IF(L210="회신 완료","완료",IF(J210&lt;TODAY(),"지연",IF(J210-TODAY()&lt;=1,"임박(D-1 이내)",IF(J210-TODAY()&lt;=3,"임박(D-3 이내)","여유"))))</f>
        <v/>
      </c>
    </row>
    <row r="211">
      <c r="A211" s="7" t="n">
        <v>88</v>
      </c>
      <c r="B211" s="7" t="inlineStr">
        <is>
          <t>설비관리</t>
        </is>
      </c>
      <c r="C211" s="7" t="inlineStr">
        <is>
          <t>3-1</t>
        </is>
      </c>
      <c r="D211" s="7" t="inlineStr">
        <is>
          <t>설비 오셋팅방지 KEY-LOCK</t>
        </is>
      </c>
      <c r="E211" s="7" t="inlineStr">
        <is>
          <t>판단 보류</t>
        </is>
      </c>
      <c r="F211" s="7" t="inlineStr">
        <is>
          <t>SH-FM-210</t>
        </is>
      </c>
      <c r="G211" s="7" t="inlineStr">
        <is>
          <t>SH-FM-210</t>
        </is>
      </c>
      <c r="H211" s="7" t="inlineStr">
        <is>
          <t>한상돈</t>
        </is>
      </c>
      <c r="I211" s="7" t="inlineStr">
        <is>
          <t>발송용_담당자변경_20261027/메시지_한상돈_20261027.txt</t>
        </is>
      </c>
      <c r="J211" s="8" t="n">
        <v>46331</v>
      </c>
      <c r="K211" s="8" t="n">
        <v>46322</v>
      </c>
      <c r="L211" s="7" t="inlineStr">
        <is>
          <t>발송(회신 대기)</t>
        </is>
      </c>
      <c r="M211" s="8" t="n"/>
      <c r="N211" s="7" t="n"/>
      <c r="O211" s="7" t="n"/>
      <c r="P211" s="7" t="inlineStr">
        <is>
          <t>현물 증빙(사진·위치) 확인 → 매핑표에 현물 보유 반영 검토</t>
        </is>
      </c>
      <c r="Q211" s="7" t="inlineStr">
        <is>
          <t>미완료</t>
        </is>
      </c>
      <c r="R211" s="7" t="inlineStr">
        <is>
          <t>담당자 변경 재안내 발송 2026-10-27</t>
        </is>
      </c>
      <c r="S211">
        <f>IF(L211="회신 완료","",J211-TODAY())</f>
        <v/>
      </c>
      <c r="T211">
        <f>IF(L211="회신 완료","완료",IF(J211&lt;TODAY(),"지연",IF(J211-TODAY()&lt;=1,"임박(D-1 이내)",IF(J211-TODAY()&lt;=3,"임박(D-3 이내)","여유"))))</f>
        <v/>
      </c>
    </row>
    <row r="212">
      <c r="A212" s="7" t="n">
        <v>79</v>
      </c>
      <c r="B212" s="7" t="inlineStr">
        <is>
          <t>검사시험</t>
        </is>
      </c>
      <c r="C212" s="7" t="inlineStr">
        <is>
          <t>2-9</t>
        </is>
      </c>
      <c r="D212" s="7" t="inlineStr">
        <is>
          <t>용접로보트별 용접POINT 관리표준</t>
        </is>
      </c>
      <c r="E212" s="7" t="inlineStr">
        <is>
          <t>보완 필요</t>
        </is>
      </c>
      <c r="F212" s="7" t="inlineStr">
        <is>
          <t>SH-FM-201</t>
        </is>
      </c>
      <c r="G212" s="7" t="inlineStr">
        <is>
          <t>SH-FM-201</t>
        </is>
      </c>
      <c r="H212" s="7" t="inlineStr">
        <is>
          <t>한상돈</t>
        </is>
      </c>
      <c r="I212" s="7" t="inlineStr">
        <is>
          <t>발송용_담당자변경_20261027/메시지_한상돈_20261027.txt</t>
        </is>
      </c>
      <c r="J212" s="8" t="n">
        <v>46331</v>
      </c>
      <c r="K212" s="8" t="n">
        <v>46322</v>
      </c>
      <c r="L212" s="7" t="inlineStr">
        <is>
          <t>발송(회신 대기)</t>
        </is>
      </c>
      <c r="M212" s="8" t="n"/>
      <c r="N212" s="7" t="n"/>
      <c r="O212" s="7" t="n"/>
      <c r="P212" s="7" t="inlineStr">
        <is>
          <t>항목·기준 작성 파일 수령 → 같은 Rev.00 재개정(recheck → 승인·배포) → 매핑표 '보유'로 갱신</t>
        </is>
      </c>
      <c r="Q212" s="7" t="inlineStr">
        <is>
          <t>미완료</t>
        </is>
      </c>
      <c r="R212" s="7" t="inlineStr">
        <is>
          <t>담당자 변경 재안내 발송 2026-10-27</t>
        </is>
      </c>
      <c r="S212">
        <f>IF(L212="회신 완료","",J212-TODAY())</f>
        <v/>
      </c>
      <c r="T212">
        <f>IF(L212="회신 완료","완료",IF(J212&lt;TODAY(),"지연",IF(J212-TODAY()&lt;=1,"임박(D-1 이내)",IF(J212-TODAY()&lt;=3,"임박(D-3 이내)","여유"))))</f>
        <v/>
      </c>
    </row>
    <row r="213">
      <c r="A213" s="7" t="n">
        <v>81</v>
      </c>
      <c r="B213" s="7" t="inlineStr">
        <is>
          <t>검사시험</t>
        </is>
      </c>
      <c r="C213" s="7" t="inlineStr">
        <is>
          <t>2-9</t>
        </is>
      </c>
      <c r="D213" s="7" t="inlineStr">
        <is>
          <t>용접반파괴/파괴검사기준</t>
        </is>
      </c>
      <c r="E213" s="7" t="inlineStr">
        <is>
          <t>보완 필요</t>
        </is>
      </c>
      <c r="F213" s="7" t="inlineStr">
        <is>
          <t>SH-FM-203</t>
        </is>
      </c>
      <c r="G213" s="7" t="inlineStr">
        <is>
          <t>SH-FM-203</t>
        </is>
      </c>
      <c r="H213" s="7" t="inlineStr">
        <is>
          <t>한상돈</t>
        </is>
      </c>
      <c r="I213" s="7" t="inlineStr">
        <is>
          <t>발송용_담당자변경_20261027/메시지_한상돈_20261027.txt</t>
        </is>
      </c>
      <c r="J213" s="8" t="n">
        <v>46331</v>
      </c>
      <c r="K213" s="8" t="n">
        <v>46322</v>
      </c>
      <c r="L213" s="7" t="inlineStr">
        <is>
          <t>발송(회신 대기)</t>
        </is>
      </c>
      <c r="M213" s="8" t="n"/>
      <c r="N213" s="7" t="n"/>
      <c r="O213" s="7" t="n"/>
      <c r="P213" s="7" t="inlineStr">
        <is>
          <t>항목·기준 작성 파일 수령 → 같은 Rev.00 재개정(recheck → 승인·배포) → 매핑표 '보유'로 갱신</t>
        </is>
      </c>
      <c r="Q213" s="7" t="inlineStr">
        <is>
          <t>미완료</t>
        </is>
      </c>
      <c r="R213" s="7" t="inlineStr">
        <is>
          <t>담당자 변경 재안내 발송 2026-10-27</t>
        </is>
      </c>
      <c r="S213">
        <f>IF(L213="회신 완료","",J213-TODAY())</f>
        <v/>
      </c>
      <c r="T213">
        <f>IF(L213="회신 완료","완료",IF(J213&lt;TODAY(),"지연",IF(J213-TODAY()&lt;=1,"임박(D-1 이내)",IF(J213-TODAY()&lt;=3,"임박(D-3 이내)","여유"))))</f>
        <v/>
      </c>
    </row>
    <row r="214">
      <c r="A214" s="7" t="n">
        <v>82</v>
      </c>
      <c r="B214" s="7" t="inlineStr">
        <is>
          <t>검사시험</t>
        </is>
      </c>
      <c r="C214" s="7" t="inlineStr">
        <is>
          <t>2-9</t>
        </is>
      </c>
      <c r="D214" s="7" t="inlineStr">
        <is>
          <t>용접검사체크시트</t>
        </is>
      </c>
      <c r="E214" s="7" t="inlineStr">
        <is>
          <t>보완 필요</t>
        </is>
      </c>
      <c r="F214" s="7" t="inlineStr">
        <is>
          <t>SH-FM-204</t>
        </is>
      </c>
      <c r="G214" s="7" t="inlineStr">
        <is>
          <t>SH-FM-204</t>
        </is>
      </c>
      <c r="H214" s="7" t="inlineStr">
        <is>
          <t>한상돈</t>
        </is>
      </c>
      <c r="I214" s="7" t="inlineStr">
        <is>
          <t>발송용_담당자변경_20261027/메시지_한상돈_20261027.txt</t>
        </is>
      </c>
      <c r="J214" s="8" t="n">
        <v>46331</v>
      </c>
      <c r="K214" s="8" t="n">
        <v>46322</v>
      </c>
      <c r="L214" s="7" t="inlineStr">
        <is>
          <t>발송(회신 대기)</t>
        </is>
      </c>
      <c r="M214" s="8" t="n"/>
      <c r="N214" s="7" t="n"/>
      <c r="O214" s="7" t="n"/>
      <c r="P214" s="7" t="inlineStr">
        <is>
          <t>항목·기준 작성 파일 수령 → 같은 Rev.00 재개정(recheck → 승인·배포) → 매핑표 '보유'로 갱신</t>
        </is>
      </c>
      <c r="Q214" s="7" t="inlineStr">
        <is>
          <t>미완료</t>
        </is>
      </c>
      <c r="R214" s="7" t="inlineStr">
        <is>
          <t>담당자 변경 재안내 발송 2026-10-27</t>
        </is>
      </c>
      <c r="S214">
        <f>IF(L214="회신 완료","",J214-TODAY())</f>
        <v/>
      </c>
      <c r="T214">
        <f>IF(L214="회신 완료","완료",IF(J214&lt;TODAY(),"지연",IF(J214-TODAY()&lt;=1,"임박(D-1 이내)",IF(J214-TODAY()&lt;=3,"임박(D-3 이내)","여유"))))</f>
        <v/>
      </c>
    </row>
    <row r="215">
      <c r="A215" s="7" t="n">
        <v>85</v>
      </c>
      <c r="B215" s="7" t="inlineStr">
        <is>
          <t>설비관리</t>
        </is>
      </c>
      <c r="C215" s="7" t="inlineStr">
        <is>
          <t>3-1</t>
        </is>
      </c>
      <c r="D215" s="7" t="inlineStr">
        <is>
          <t>설비일상점검기준서</t>
        </is>
      </c>
      <c r="E215" s="7" t="inlineStr">
        <is>
          <t>보완 필요</t>
        </is>
      </c>
      <c r="F215" s="7" t="inlineStr">
        <is>
          <t>SH-FM-207</t>
        </is>
      </c>
      <c r="G215" s="7" t="inlineStr">
        <is>
          <t>SH-FM-207</t>
        </is>
      </c>
      <c r="H215" s="7" t="inlineStr">
        <is>
          <t>한상돈</t>
        </is>
      </c>
      <c r="I215" s="7" t="inlineStr">
        <is>
          <t>발송용_담당자변경_20261027/메시지_한상돈_20261027.txt</t>
        </is>
      </c>
      <c r="J215" s="8" t="n">
        <v>46331</v>
      </c>
      <c r="K215" s="8" t="n">
        <v>46322</v>
      </c>
      <c r="L215" s="7" t="inlineStr">
        <is>
          <t>발송(회신 대기)</t>
        </is>
      </c>
      <c r="M215" s="8" t="n"/>
      <c r="N215" s="7" t="n"/>
      <c r="O215" s="7" t="n"/>
      <c r="P215" s="7" t="inlineStr">
        <is>
          <t>항목·기준 작성 파일 수령 → 같은 Rev.00 재개정(recheck → 승인·배포) → 매핑표 '보유'로 갱신</t>
        </is>
      </c>
      <c r="Q215" s="7" t="inlineStr">
        <is>
          <t>미완료</t>
        </is>
      </c>
      <c r="R215" s="7" t="inlineStr">
        <is>
          <t>담당자 변경 재안내 발송 2026-10-27</t>
        </is>
      </c>
      <c r="S215">
        <f>IF(L215="회신 완료","",J215-TODAY())</f>
        <v/>
      </c>
      <c r="T215">
        <f>IF(L215="회신 완료","완료",IF(J215&lt;TODAY(),"지연",IF(J215-TODAY()&lt;=1,"임박(D-1 이내)",IF(J215-TODAY()&lt;=3,"임박(D-3 이내)","여유"))))</f>
        <v/>
      </c>
    </row>
    <row r="216">
      <c r="A216" s="7" t="n">
        <v>86</v>
      </c>
      <c r="B216" s="7" t="inlineStr">
        <is>
          <t>설비관리</t>
        </is>
      </c>
      <c r="C216" s="7" t="inlineStr">
        <is>
          <t>3-1</t>
        </is>
      </c>
      <c r="D216" s="7" t="inlineStr">
        <is>
          <t>설비일상점검표(각부위별사진도식화)</t>
        </is>
      </c>
      <c r="E216" s="7" t="inlineStr">
        <is>
          <t>보유 확인</t>
        </is>
      </c>
      <c r="F216" s="7" t="inlineStr">
        <is>
          <t>SH-FM-208</t>
        </is>
      </c>
      <c r="G216" s="7" t="inlineStr">
        <is>
          <t>SH-FM-208</t>
        </is>
      </c>
      <c r="H216" s="7" t="inlineStr">
        <is>
          <t>한상돈</t>
        </is>
      </c>
      <c r="I216" s="7" t="inlineStr">
        <is>
          <t>발송용_최종_20261008/메시지_한상돈.txt</t>
        </is>
      </c>
      <c r="J216" s="8" t="n">
        <v>46331</v>
      </c>
      <c r="K216" s="8" t="n">
        <v>46303</v>
      </c>
      <c r="L216" s="7" t="inlineStr">
        <is>
          <t>발송(회신 대기)</t>
        </is>
      </c>
      <c r="M216" s="8" t="n"/>
      <c r="N216" s="7" t="n"/>
      <c r="O216" s="7" t="n"/>
      <c r="P216" s="7" t="inlineStr">
        <is>
          <t>4가지 확인 결과 → 문제 없으면 보유 유지, 문제 시 상태 재판정</t>
        </is>
      </c>
      <c r="Q216" s="7" t="inlineStr">
        <is>
          <t>미완료</t>
        </is>
      </c>
      <c r="R216" s="7" t="n"/>
      <c r="S216">
        <f>IF(L216="회신 완료","",J216-TODAY())</f>
        <v/>
      </c>
      <c r="T216">
        <f>IF(L216="회신 완료","완료",IF(J216&lt;TODAY(),"지연",IF(J216-TODAY()&lt;=1,"임박(D-1 이내)",IF(J216-TODAY()&lt;=3,"임박(D-3 이내)","여유"))))</f>
        <v/>
      </c>
    </row>
    <row r="217">
      <c r="A217" s="7" t="n">
        <v>87</v>
      </c>
      <c r="B217" s="7" t="inlineStr">
        <is>
          <t>설비관리</t>
        </is>
      </c>
      <c r="C217" s="7" t="inlineStr">
        <is>
          <t>3-1</t>
        </is>
      </c>
      <c r="D217" s="7" t="inlineStr">
        <is>
          <t>설비게이지 상하한식별관리</t>
        </is>
      </c>
      <c r="E217" s="7" t="inlineStr">
        <is>
          <t>보완 필요</t>
        </is>
      </c>
      <c r="F217" s="7" t="inlineStr">
        <is>
          <t>SH-FM-209</t>
        </is>
      </c>
      <c r="G217" s="7" t="inlineStr">
        <is>
          <t>SH-FM-209</t>
        </is>
      </c>
      <c r="H217" s="7" t="inlineStr">
        <is>
          <t>한상돈</t>
        </is>
      </c>
      <c r="I217" s="7" t="inlineStr">
        <is>
          <t>발송용_담당자변경_20261027/메시지_한상돈_20261027.txt</t>
        </is>
      </c>
      <c r="J217" s="8" t="n">
        <v>46331</v>
      </c>
      <c r="K217" s="8" t="n">
        <v>46322</v>
      </c>
      <c r="L217" s="7" t="inlineStr">
        <is>
          <t>발송(회신 대기)</t>
        </is>
      </c>
      <c r="M217" s="8" t="n"/>
      <c r="N217" s="7" t="n"/>
      <c r="O217" s="7" t="n"/>
      <c r="P217" s="7" t="inlineStr">
        <is>
          <t>항목·기준 작성 파일 수령 → 같은 Rev.00 재개정(recheck → 승인·배포) → 매핑표 '보유'로 갱신</t>
        </is>
      </c>
      <c r="Q217" s="7" t="inlineStr">
        <is>
          <t>미완료</t>
        </is>
      </c>
      <c r="R217" s="7" t="inlineStr">
        <is>
          <t>담당자 변경 재안내 발송 2026-10-27</t>
        </is>
      </c>
      <c r="S217">
        <f>IF(L217="회신 완료","",J217-TODAY())</f>
        <v/>
      </c>
      <c r="T217">
        <f>IF(L217="회신 완료","완료",IF(J217&lt;TODAY(),"지연",IF(J217-TODAY()&lt;=1,"임박(D-1 이내)",IF(J217-TODAY()&lt;=3,"임박(D-3 이내)","여유"))))</f>
        <v/>
      </c>
    </row>
    <row r="218">
      <c r="A218" s="7" t="n">
        <v>124</v>
      </c>
      <c r="B218" s="7" t="inlineStr">
        <is>
          <t>금형관리</t>
        </is>
      </c>
      <c r="C218" s="7" t="inlineStr">
        <is>
          <t>4-3</t>
        </is>
      </c>
      <c r="D218" s="7" t="inlineStr">
        <is>
          <t>금형/지그관리대장</t>
        </is>
      </c>
      <c r="E218" s="7" t="inlineStr">
        <is>
          <t>보완 필요</t>
        </is>
      </c>
      <c r="F218" s="7" t="inlineStr">
        <is>
          <t>SH-FM-246</t>
        </is>
      </c>
      <c r="G218" s="7" t="inlineStr">
        <is>
          <t>SH-FM-246</t>
        </is>
      </c>
      <c r="H218" s="7" t="inlineStr">
        <is>
          <t>한상돈</t>
        </is>
      </c>
      <c r="I218" s="7" t="inlineStr">
        <is>
          <t>발송용_담당자변경_20261027/메시지_한상돈_20261027.txt</t>
        </is>
      </c>
      <c r="J218" s="8" t="n">
        <v>46331</v>
      </c>
      <c r="K218" s="8" t="n">
        <v>46322</v>
      </c>
      <c r="L218" s="7" t="inlineStr">
        <is>
          <t>발송(회신 대기)</t>
        </is>
      </c>
      <c r="M218" s="8" t="n"/>
      <c r="N218" s="7" t="n"/>
      <c r="O218" s="7" t="n"/>
      <c r="P218" s="7" t="inlineStr">
        <is>
          <t>항목·기준 작성 파일 수령 → 같은 Rev.00 재개정(recheck → 승인·배포) → 매핑표 '보유'로 갱신</t>
        </is>
      </c>
      <c r="Q218" s="7" t="inlineStr">
        <is>
          <t>미완료</t>
        </is>
      </c>
      <c r="R218" s="7" t="inlineStr">
        <is>
          <t>담당자 변경 재안내 발송 2026-10-27</t>
        </is>
      </c>
      <c r="S218">
        <f>IF(L218="회신 완료","",J218-TODAY())</f>
        <v/>
      </c>
      <c r="T218">
        <f>IF(L218="회신 완료","완료",IF(J218&lt;TODAY(),"지연",IF(J218-TODAY()&lt;=1,"임박(D-1 이내)",IF(J218-TODAY()&lt;=3,"임박(D-3 이내)","여유"))))</f>
        <v/>
      </c>
    </row>
    <row r="219">
      <c r="A219" s="7" t="n">
        <v>125</v>
      </c>
      <c r="B219" s="7" t="inlineStr">
        <is>
          <t>금형관리</t>
        </is>
      </c>
      <c r="C219" s="7" t="inlineStr">
        <is>
          <t>4-3</t>
        </is>
      </c>
      <c r="D219" s="7" t="inlineStr">
        <is>
          <t>금형/JIG이력카드</t>
        </is>
      </c>
      <c r="E219" s="7" t="inlineStr">
        <is>
          <t>보완 필요</t>
        </is>
      </c>
      <c r="F219" s="7" t="inlineStr">
        <is>
          <t>SH-FM-247</t>
        </is>
      </c>
      <c r="G219" s="7" t="inlineStr">
        <is>
          <t>SH-FM-247</t>
        </is>
      </c>
      <c r="H219" s="7" t="inlineStr">
        <is>
          <t>한상돈</t>
        </is>
      </c>
      <c r="I219" s="7" t="inlineStr">
        <is>
          <t>발송용_담당자변경_20261027/메시지_한상돈_20261027.txt</t>
        </is>
      </c>
      <c r="J219" s="8" t="n">
        <v>46331</v>
      </c>
      <c r="K219" s="8" t="n">
        <v>46322</v>
      </c>
      <c r="L219" s="7" t="inlineStr">
        <is>
          <t>발송(회신 대기)</t>
        </is>
      </c>
      <c r="M219" s="8" t="n"/>
      <c r="N219" s="7" t="n"/>
      <c r="O219" s="7" t="n"/>
      <c r="P219" s="7" t="inlineStr">
        <is>
          <t>항목·기준 작성 파일 수령 → 같은 Rev.00 재개정(recheck → 승인·배포) → 매핑표 '보유'로 갱신</t>
        </is>
      </c>
      <c r="Q219" s="7" t="inlineStr">
        <is>
          <t>미완료</t>
        </is>
      </c>
      <c r="R219" s="7" t="inlineStr">
        <is>
          <t>담당자 변경 재안내 발송 2026-10-27</t>
        </is>
      </c>
      <c r="S219">
        <f>IF(L219="회신 완료","",J219-TODAY())</f>
        <v/>
      </c>
      <c r="T219">
        <f>IF(L219="회신 완료","완료",IF(J219&lt;TODAY(),"지연",IF(J219-TODAY()&lt;=1,"임박(D-1 이내)",IF(J219-TODAY()&lt;=3,"임박(D-3 이내)","여유"))))</f>
        <v/>
      </c>
    </row>
    <row r="220">
      <c r="A220" s="7" t="n">
        <v>99</v>
      </c>
      <c r="B220" s="7" t="inlineStr">
        <is>
          <t>설비관리</t>
        </is>
      </c>
      <c r="C220" s="7" t="inlineStr">
        <is>
          <t>3-2</t>
        </is>
      </c>
      <c r="D220" s="7" t="inlineStr">
        <is>
          <t>작동유샘플보관대제작설치</t>
        </is>
      </c>
      <c r="E220" s="7" t="inlineStr">
        <is>
          <t>판단 보류</t>
        </is>
      </c>
      <c r="F220" s="7" t="inlineStr">
        <is>
          <t>SH-FM-221</t>
        </is>
      </c>
      <c r="G220" s="7" t="inlineStr">
        <is>
          <t>SH-FM-221</t>
        </is>
      </c>
      <c r="H220" s="7" t="inlineStr">
        <is>
          <t>황지환</t>
        </is>
      </c>
      <c r="I220" s="7" t="inlineStr">
        <is>
          <t>발송용_담당자변경_20261027/메시지_황지환_20261027.txt</t>
        </is>
      </c>
      <c r="J220" s="8" t="n">
        <v>46331</v>
      </c>
      <c r="K220" s="8" t="n">
        <v>46322</v>
      </c>
      <c r="L220" s="7" t="inlineStr">
        <is>
          <t>발송(회신 대기)</t>
        </is>
      </c>
      <c r="M220" s="8" t="n"/>
      <c r="N220" s="7" t="n"/>
      <c r="O220" s="7" t="n"/>
      <c r="P220" s="7" t="inlineStr">
        <is>
          <t>현물 증빙(사진·위치) 확인 → 매핑표에 현물 보유 반영 검토</t>
        </is>
      </c>
      <c r="Q220" s="7" t="inlineStr">
        <is>
          <t>미완료</t>
        </is>
      </c>
      <c r="R220" s="7" t="inlineStr">
        <is>
          <t>담당자 변경 재안내 발송 2026-10-27</t>
        </is>
      </c>
      <c r="S220">
        <f>IF(L220="회신 완료","",J220-TODAY())</f>
        <v/>
      </c>
      <c r="T220">
        <f>IF(L220="회신 완료","완료",IF(J220&lt;TODAY(),"지연",IF(J220-TODAY()&lt;=1,"임박(D-1 이내)",IF(J220-TODAY()&lt;=3,"임박(D-3 이내)","여유"))))</f>
        <v/>
      </c>
    </row>
    <row r="221">
      <c r="A221" s="7" t="n">
        <v>25</v>
      </c>
      <c r="B221" s="7" t="inlineStr">
        <is>
          <t>생산조건관리</t>
        </is>
      </c>
      <c r="C221" s="7" t="inlineStr">
        <is>
          <t>1-5</t>
        </is>
      </c>
      <c r="D221" s="7" t="inlineStr">
        <is>
          <t>로봇용접프로그램백업관리기준서</t>
        </is>
      </c>
      <c r="E221" s="7" t="inlineStr">
        <is>
          <t>보완 필요</t>
        </is>
      </c>
      <c r="F221" s="7" t="inlineStr">
        <is>
          <t>SH-FM-147</t>
        </is>
      </c>
      <c r="G221" s="7" t="inlineStr">
        <is>
          <t>SH-FM-147</t>
        </is>
      </c>
      <c r="H221" s="7" t="inlineStr">
        <is>
          <t>황지환</t>
        </is>
      </c>
      <c r="I221" s="7" t="inlineStr">
        <is>
          <t>발송용_담당자변경_20261027/메시지_황지환_20261027.txt</t>
        </is>
      </c>
      <c r="J221" s="8" t="n">
        <v>46331</v>
      </c>
      <c r="K221" s="8" t="n">
        <v>46322</v>
      </c>
      <c r="L221" s="7" t="inlineStr">
        <is>
          <t>발송(회신 대기)</t>
        </is>
      </c>
      <c r="M221" s="8" t="n"/>
      <c r="N221" s="7" t="n"/>
      <c r="O221" s="7" t="n"/>
      <c r="P221" s="7" t="inlineStr">
        <is>
          <t>항목·기준 작성 파일 수령 → 같은 Rev.00 재개정(recheck → 승인·배포) → 매핑표 '보유'로 갱신</t>
        </is>
      </c>
      <c r="Q221" s="7" t="inlineStr">
        <is>
          <t>미완료</t>
        </is>
      </c>
      <c r="R221" s="7" t="inlineStr">
        <is>
          <t>담당자 변경 재안내 발송 2026-10-27</t>
        </is>
      </c>
      <c r="S221">
        <f>IF(L221="회신 완료","",J221-TODAY())</f>
        <v/>
      </c>
      <c r="T221">
        <f>IF(L221="회신 완료","완료",IF(J221&lt;TODAY(),"지연",IF(J221-TODAY()&lt;=1,"임박(D-1 이내)",IF(J221-TODAY()&lt;=3,"임박(D-3 이내)","여유"))))</f>
        <v/>
      </c>
    </row>
    <row r="222">
      <c r="A222" s="7" t="n">
        <v>26</v>
      </c>
      <c r="B222" s="7" t="inlineStr">
        <is>
          <t>생산조건관리</t>
        </is>
      </c>
      <c r="C222" s="7" t="inlineStr">
        <is>
          <t>1-5</t>
        </is>
      </c>
      <c r="D222" s="7" t="inlineStr">
        <is>
          <t>로봇용접프로그램백업관리실적</t>
        </is>
      </c>
      <c r="E222" s="7" t="inlineStr">
        <is>
          <t>보완 필요</t>
        </is>
      </c>
      <c r="F222" s="7" t="inlineStr">
        <is>
          <t>SH-FM-148</t>
        </is>
      </c>
      <c r="G222" s="7" t="inlineStr">
        <is>
          <t>SH-FM-148</t>
        </is>
      </c>
      <c r="H222" s="7" t="inlineStr">
        <is>
          <t>황지환</t>
        </is>
      </c>
      <c r="I222" s="7" t="inlineStr">
        <is>
          <t>발송용_담당자변경_20261027/메시지_황지환_20261027.txt</t>
        </is>
      </c>
      <c r="J222" s="8" t="n">
        <v>46331</v>
      </c>
      <c r="K222" s="8" t="n">
        <v>46322</v>
      </c>
      <c r="L222" s="7" t="inlineStr">
        <is>
          <t>발송(회신 대기)</t>
        </is>
      </c>
      <c r="M222" s="8" t="n"/>
      <c r="N222" s="7" t="n"/>
      <c r="O222" s="7" t="n"/>
      <c r="P222" s="7" t="inlineStr">
        <is>
          <t>항목·기준 작성 파일 수령 → 같은 Rev.00 재개정(recheck → 승인·배포) → 매핑표 '보유'로 갱신</t>
        </is>
      </c>
      <c r="Q222" s="7" t="inlineStr">
        <is>
          <t>미완료</t>
        </is>
      </c>
      <c r="R222" s="7" t="inlineStr">
        <is>
          <t>담당자 변경 재안내 발송 2026-10-27</t>
        </is>
      </c>
      <c r="S222">
        <f>IF(L222="회신 완료","",J222-TODAY())</f>
        <v/>
      </c>
      <c r="T222">
        <f>IF(L222="회신 완료","완료",IF(J222&lt;TODAY(),"지연",IF(J222-TODAY()&lt;=1,"임박(D-1 이내)",IF(J222-TODAY()&lt;=3,"임박(D-3 이내)","여유"))))</f>
        <v/>
      </c>
    </row>
    <row r="223">
      <c r="A223" s="7" t="n">
        <v>106</v>
      </c>
      <c r="B223" s="7" t="inlineStr">
        <is>
          <t>설비관리</t>
        </is>
      </c>
      <c r="C223" s="7" t="inlineStr">
        <is>
          <t>3-5</t>
        </is>
      </c>
      <c r="D223" s="7" t="inlineStr">
        <is>
          <t>CO2용접원점확인장치</t>
        </is>
      </c>
      <c r="E223" s="7" t="inlineStr">
        <is>
          <t>보완 필요</t>
        </is>
      </c>
      <c r="F223" s="7" t="inlineStr">
        <is>
          <t>SH-FM-228</t>
        </is>
      </c>
      <c r="G223" s="7" t="inlineStr">
        <is>
          <t>SH-FM-222</t>
        </is>
      </c>
      <c r="H223" s="7" t="inlineStr">
        <is>
          <t>황지환</t>
        </is>
      </c>
      <c r="I223" s="7" t="inlineStr">
        <is>
          <t>발송용_담당자변경_20261027/메시지_황지환_20261027.txt</t>
        </is>
      </c>
      <c r="J223" s="8" t="n">
        <v>46331</v>
      </c>
      <c r="K223" s="8" t="n">
        <v>46322</v>
      </c>
      <c r="L223" s="7" t="inlineStr">
        <is>
          <t>발송(회신 대기)</t>
        </is>
      </c>
      <c r="M223" s="8" t="n"/>
      <c r="N223" s="7" t="n"/>
      <c r="O223" s="7" t="n"/>
      <c r="P223" s="7" t="inlineStr">
        <is>
          <t>항목·기준 작성 파일 수령 → 같은 Rev.00 재개정(recheck → 승인·배포) → 매핑표 '보유'로 갱신</t>
        </is>
      </c>
      <c r="Q223" s="7" t="inlineStr">
        <is>
          <t>미완료</t>
        </is>
      </c>
      <c r="R223" s="7" t="inlineStr">
        <is>
          <t>담당자 변경 재안내 발송 2026-10-27</t>
        </is>
      </c>
      <c r="S223">
        <f>IF(L223="회신 완료","",J223-TODAY())</f>
        <v/>
      </c>
      <c r="T223">
        <f>IF(L223="회신 완료","완료",IF(J223&lt;TODAY(),"지연",IF(J223-TODAY()&lt;=1,"임박(D-1 이내)",IF(J223-TODAY()&lt;=3,"임박(D-3 이내)","여유"))))</f>
        <v/>
      </c>
    </row>
    <row r="224">
      <c r="A224" s="7" t="n">
        <v>107</v>
      </c>
      <c r="B224" s="7" t="inlineStr">
        <is>
          <t>설비관리</t>
        </is>
      </c>
      <c r="C224" s="7" t="inlineStr">
        <is>
          <t>3-5</t>
        </is>
      </c>
      <c r="D224" s="7" t="inlineStr">
        <is>
          <t>스폿로봇 원점확인장치</t>
        </is>
      </c>
      <c r="E224" s="7" t="inlineStr">
        <is>
          <t>보완 필요</t>
        </is>
      </c>
      <c r="F224" s="7" t="inlineStr">
        <is>
          <t>SH-FM-229</t>
        </is>
      </c>
      <c r="G224" s="7" t="inlineStr">
        <is>
          <t>SH-FM-223</t>
        </is>
      </c>
      <c r="H224" s="7" t="inlineStr">
        <is>
          <t>황지환</t>
        </is>
      </c>
      <c r="I224" s="7" t="inlineStr">
        <is>
          <t>발송용_담당자변경_20261027/메시지_황지환_20261027.txt</t>
        </is>
      </c>
      <c r="J224" s="8" t="n">
        <v>46331</v>
      </c>
      <c r="K224" s="8" t="n">
        <v>46322</v>
      </c>
      <c r="L224" s="7" t="inlineStr">
        <is>
          <t>발송(회신 대기)</t>
        </is>
      </c>
      <c r="M224" s="8" t="n"/>
      <c r="N224" s="7" t="n"/>
      <c r="O224" s="7" t="n"/>
      <c r="P224" s="7" t="inlineStr">
        <is>
          <t>항목·기준 작성 파일 수령 → 같은 Rev.00 재개정(recheck → 승인·배포) → 매핑표 '보유'로 갱신</t>
        </is>
      </c>
      <c r="Q224" s="7" t="inlineStr">
        <is>
          <t>미완료</t>
        </is>
      </c>
      <c r="R224" s="7" t="inlineStr">
        <is>
          <t>담당자 변경 재안내 발송 2026-10-27</t>
        </is>
      </c>
      <c r="S224">
        <f>IF(L224="회신 완료","",J224-TODAY())</f>
        <v/>
      </c>
      <c r="T224">
        <f>IF(L224="회신 완료","완료",IF(J224&lt;TODAY(),"지연",IF(J224-TODAY()&lt;=1,"임박(D-1 이내)",IF(J224-TODAY()&lt;=3,"임박(D-3 이내)","여유"))))</f>
        <v/>
      </c>
    </row>
    <row r="225">
      <c r="A225" s="7" t="n">
        <v>108</v>
      </c>
      <c r="B225" s="7" t="inlineStr">
        <is>
          <t>설비관리</t>
        </is>
      </c>
      <c r="C225" s="7" t="inlineStr">
        <is>
          <t>3-5</t>
        </is>
      </c>
      <c r="D225" s="7" t="inlineStr">
        <is>
          <t>가스잔량 F/P장치</t>
        </is>
      </c>
      <c r="E225" s="7" t="inlineStr">
        <is>
          <t>보완 필요</t>
        </is>
      </c>
      <c r="F225" s="7" t="inlineStr">
        <is>
          <t>SH-FM-230</t>
        </is>
      </c>
      <c r="G225" s="7" t="inlineStr">
        <is>
          <t>SH-FM-230</t>
        </is>
      </c>
      <c r="H225" s="7" t="inlineStr">
        <is>
          <t>황지환</t>
        </is>
      </c>
      <c r="I225" s="7" t="inlineStr">
        <is>
          <t>발송용_담당자변경_20261027/메시지_황지환_20261027.txt</t>
        </is>
      </c>
      <c r="J225" s="8" t="n">
        <v>46331</v>
      </c>
      <c r="K225" s="8" t="n">
        <v>46322</v>
      </c>
      <c r="L225" s="7" t="inlineStr">
        <is>
          <t>발송(회신 대기)</t>
        </is>
      </c>
      <c r="M225" s="8" t="n"/>
      <c r="N225" s="7" t="n"/>
      <c r="O225" s="7" t="n"/>
      <c r="P225" s="7" t="inlineStr">
        <is>
          <t>항목·기준 작성 파일 수령 → 같은 Rev.00 재개정(recheck → 승인·배포) → 매핑표 '보유'로 갱신</t>
        </is>
      </c>
      <c r="Q225" s="7" t="inlineStr">
        <is>
          <t>미완료</t>
        </is>
      </c>
      <c r="R225" s="7" t="inlineStr">
        <is>
          <t>담당자 변경 재안내 발송 2026-10-27</t>
        </is>
      </c>
      <c r="S225">
        <f>IF(L225="회신 완료","",J225-TODAY())</f>
        <v/>
      </c>
      <c r="T225">
        <f>IF(L225="회신 완료","완료",IF(J225&lt;TODAY(),"지연",IF(J225-TODAY()&lt;=1,"임박(D-1 이내)",IF(J225-TODAY()&lt;=3,"임박(D-3 이내)","여유"))))</f>
        <v/>
      </c>
    </row>
    <row r="226">
      <c r="A226" s="7" t="n">
        <v>27</v>
      </c>
      <c r="B226" s="7" t="inlineStr">
        <is>
          <t>생산조건관리</t>
        </is>
      </c>
      <c r="C226" s="7" t="inlineStr">
        <is>
          <t>1-5</t>
        </is>
      </c>
      <c r="D226" s="7" t="inlineStr">
        <is>
          <t>용접조건 검증체크시트</t>
        </is>
      </c>
      <c r="E226" s="7" t="inlineStr">
        <is>
          <t>보완 필요</t>
        </is>
      </c>
      <c r="F226" s="7" t="inlineStr">
        <is>
          <t>SH-FM-149</t>
        </is>
      </c>
      <c r="G226" s="7" t="inlineStr">
        <is>
          <t>SH-FM-149</t>
        </is>
      </c>
      <c r="H226" s="7" t="inlineStr">
        <is>
          <t>황지환</t>
        </is>
      </c>
      <c r="I226" s="7" t="inlineStr">
        <is>
          <t>발송용_담당자변경_20261027/메시지_황지환_20261027.txt</t>
        </is>
      </c>
      <c r="J226" s="8" t="n">
        <v>46331</v>
      </c>
      <c r="K226" s="8" t="n">
        <v>46322</v>
      </c>
      <c r="L226" s="7" t="inlineStr">
        <is>
          <t>발송(회신 대기)</t>
        </is>
      </c>
      <c r="M226" s="8" t="n"/>
      <c r="N226" s="7" t="n"/>
      <c r="O226" s="7" t="n"/>
      <c r="P226" s="7" t="inlineStr">
        <is>
          <t>항목·기준 작성 파일 수령 → 같은 Rev.00 재개정(recheck → 승인·배포) → 매핑표 '보유'로 갱신</t>
        </is>
      </c>
      <c r="Q226" s="7" t="inlineStr">
        <is>
          <t>미완료</t>
        </is>
      </c>
      <c r="R226" s="7" t="inlineStr">
        <is>
          <t>담당자 변경 재안내 발송 2026-10-27</t>
        </is>
      </c>
      <c r="S226">
        <f>IF(L226="회신 완료","",J226-TODAY())</f>
        <v/>
      </c>
      <c r="T226">
        <f>IF(L226="회신 완료","완료",IF(J226&lt;TODAY(),"지연",IF(J226-TODAY()&lt;=1,"임박(D-1 이내)",IF(J226-TODAY()&lt;=3,"임박(D-3 이내)","여유"))))</f>
        <v/>
      </c>
    </row>
    <row r="227">
      <c r="A227" s="7" t="n">
        <v>28</v>
      </c>
      <c r="B227" s="7" t="inlineStr">
        <is>
          <t>생산조건관리</t>
        </is>
      </c>
      <c r="C227" s="7" t="inlineStr">
        <is>
          <t>1-5</t>
        </is>
      </c>
      <c r="D227" s="7" t="inlineStr">
        <is>
          <t>스폿용접전류/가압력 관리기준서</t>
        </is>
      </c>
      <c r="E227" s="7" t="inlineStr">
        <is>
          <t>보완 필요</t>
        </is>
      </c>
      <c r="F227" s="7" t="inlineStr">
        <is>
          <t>SH-FM-150</t>
        </is>
      </c>
      <c r="G227" s="7" t="inlineStr">
        <is>
          <t>SH-FM-150</t>
        </is>
      </c>
      <c r="H227" s="7" t="inlineStr">
        <is>
          <t>한상돈</t>
        </is>
      </c>
      <c r="I227" s="7" t="inlineStr">
        <is>
          <t>발송용_담당자변경_20261027/메시지_한상돈_20261027.txt</t>
        </is>
      </c>
      <c r="J227" s="8" t="n">
        <v>46331</v>
      </c>
      <c r="K227" s="8" t="n">
        <v>46322</v>
      </c>
      <c r="L227" s="7" t="inlineStr">
        <is>
          <t>발송(회신 대기)</t>
        </is>
      </c>
      <c r="M227" s="8" t="n"/>
      <c r="N227" s="7" t="n"/>
      <c r="O227" s="7" t="n"/>
      <c r="P227" s="7" t="inlineStr">
        <is>
          <t>항목·기준 작성 파일 수령 → 같은 Rev.00 재개정(recheck → 승인·배포) → 매핑표 '보유'로 갱신</t>
        </is>
      </c>
      <c r="Q227" s="7" t="inlineStr">
        <is>
          <t>미완료</t>
        </is>
      </c>
      <c r="R227" s="7" t="inlineStr">
        <is>
          <t>담당자 정정본3 기준 변경(인쇄물 전달 당시: 황지환); 담당자 변경 재안내 발송 2026-10-27</t>
        </is>
      </c>
      <c r="S227">
        <f>IF(L227="회신 완료","",J227-TODAY())</f>
        <v/>
      </c>
      <c r="T227">
        <f>IF(L227="회신 완료","완료",IF(J227&lt;TODAY(),"지연",IF(J227-TODAY()&lt;=1,"임박(D-1 이내)",IF(J227-TODAY()&lt;=3,"임박(D-3 이내)","여유"))))</f>
        <v/>
      </c>
    </row>
    <row r="228">
      <c r="A228" s="7" t="n">
        <v>29</v>
      </c>
      <c r="B228" s="7" t="inlineStr">
        <is>
          <t>생산조건관리</t>
        </is>
      </c>
      <c r="C228" s="7" t="inlineStr">
        <is>
          <t>1-5</t>
        </is>
      </c>
      <c r="D228" s="7" t="inlineStr">
        <is>
          <t>스폿용접전류/가압력 관리실적(1회/월)</t>
        </is>
      </c>
      <c r="E228" s="7" t="inlineStr">
        <is>
          <t>보완 필요</t>
        </is>
      </c>
      <c r="F228" s="7" t="inlineStr">
        <is>
          <t>SH-FM-151</t>
        </is>
      </c>
      <c r="G228" s="7" t="inlineStr">
        <is>
          <t>SH-FM-151</t>
        </is>
      </c>
      <c r="H228" s="7" t="inlineStr">
        <is>
          <t>황지환</t>
        </is>
      </c>
      <c r="I228" s="7" t="inlineStr">
        <is>
          <t>발송용_담당자변경_20261027/메시지_황지환_20261027.txt</t>
        </is>
      </c>
      <c r="J228" s="8" t="n">
        <v>46331</v>
      </c>
      <c r="K228" s="8" t="n">
        <v>46322</v>
      </c>
      <c r="L228" s="7" t="inlineStr">
        <is>
          <t>발송(회신 대기)</t>
        </is>
      </c>
      <c r="M228" s="8" t="n"/>
      <c r="N228" s="7" t="n"/>
      <c r="O228" s="7" t="n"/>
      <c r="P228" s="7" t="inlineStr">
        <is>
          <t>항목·기준 작성 파일 수령 → 같은 Rev.00 재개정(recheck → 승인·배포) → 매핑표 '보유'로 갱신</t>
        </is>
      </c>
      <c r="Q228" s="7" t="inlineStr">
        <is>
          <t>미완료</t>
        </is>
      </c>
      <c r="R228" s="7" t="inlineStr">
        <is>
          <t>담당자 변경 재안내 발송 2026-10-27</t>
        </is>
      </c>
      <c r="S228">
        <f>IF(L228="회신 완료","",J228-TODAY())</f>
        <v/>
      </c>
      <c r="T228">
        <f>IF(L228="회신 완료","완료",IF(J228&lt;TODAY(),"지연",IF(J228-TODAY()&lt;=1,"임박(D-1 이내)",IF(J228-TODAY()&lt;=3,"임박(D-3 이내)","여유"))))</f>
        <v/>
      </c>
    </row>
    <row r="229">
      <c r="A229" s="7" t="n">
        <v>89</v>
      </c>
      <c r="B229" s="7" t="inlineStr">
        <is>
          <t>설비관리</t>
        </is>
      </c>
      <c r="C229" s="7" t="inlineStr">
        <is>
          <t>3-2</t>
        </is>
      </c>
      <c r="D229" s="7" t="inlineStr">
        <is>
          <t>설비정기점검 계획대실적표</t>
        </is>
      </c>
      <c r="E229" s="7" t="inlineStr">
        <is>
          <t>보완 필요</t>
        </is>
      </c>
      <c r="F229" s="7" t="inlineStr">
        <is>
          <t>SH-FM-211</t>
        </is>
      </c>
      <c r="G229" s="7" t="inlineStr">
        <is>
          <t>SH-FM-211</t>
        </is>
      </c>
      <c r="H229" s="7" t="inlineStr">
        <is>
          <t>황지환</t>
        </is>
      </c>
      <c r="I229" s="7" t="inlineStr">
        <is>
          <t>발송용_담당자변경_20261027/메시지_황지환_20261027.txt</t>
        </is>
      </c>
      <c r="J229" s="8" t="n">
        <v>46331</v>
      </c>
      <c r="K229" s="8" t="n">
        <v>46322</v>
      </c>
      <c r="L229" s="7" t="inlineStr">
        <is>
          <t>발송(회신 대기)</t>
        </is>
      </c>
      <c r="M229" s="8" t="n"/>
      <c r="N229" s="7" t="n"/>
      <c r="O229" s="7" t="n"/>
      <c r="P229" s="7" t="inlineStr">
        <is>
          <t>항목·기준 작성 파일 수령 → 같은 Rev.00 재개정(recheck → 승인·배포) → 매핑표 '보유'로 갱신</t>
        </is>
      </c>
      <c r="Q229" s="7" t="inlineStr">
        <is>
          <t>미완료</t>
        </is>
      </c>
      <c r="R229" s="7" t="inlineStr">
        <is>
          <t>담당자 변경 재안내 발송 2026-10-27</t>
        </is>
      </c>
      <c r="S229">
        <f>IF(L229="회신 완료","",J229-TODAY())</f>
        <v/>
      </c>
      <c r="T229">
        <f>IF(L229="회신 완료","완료",IF(J229&lt;TODAY(),"지연",IF(J229-TODAY()&lt;=1,"임박(D-1 이내)",IF(J229-TODAY()&lt;=3,"임박(D-3 이내)","여유"))))</f>
        <v/>
      </c>
    </row>
    <row r="230">
      <c r="A230" s="7" t="n">
        <v>90</v>
      </c>
      <c r="B230" s="7" t="inlineStr">
        <is>
          <t>설비관리</t>
        </is>
      </c>
      <c r="C230" s="7" t="inlineStr">
        <is>
          <t>3-2</t>
        </is>
      </c>
      <c r="D230" s="7" t="inlineStr">
        <is>
          <t>설비정기점검 실적</t>
        </is>
      </c>
      <c r="E230" s="7" t="inlineStr">
        <is>
          <t>보완 필요</t>
        </is>
      </c>
      <c r="F230" s="7" t="inlineStr">
        <is>
          <t>SH-FM-212</t>
        </is>
      </c>
      <c r="G230" s="7" t="inlineStr">
        <is>
          <t>SH-FM-212</t>
        </is>
      </c>
      <c r="H230" s="7" t="inlineStr">
        <is>
          <t>황지환</t>
        </is>
      </c>
      <c r="I230" s="7" t="inlineStr">
        <is>
          <t>발송용_담당자변경_20261027/메시지_황지환_20261027.txt</t>
        </is>
      </c>
      <c r="J230" s="8" t="n">
        <v>46331</v>
      </c>
      <c r="K230" s="8" t="n">
        <v>46322</v>
      </c>
      <c r="L230" s="7" t="inlineStr">
        <is>
          <t>발송(회신 대기)</t>
        </is>
      </c>
      <c r="M230" s="8" t="n"/>
      <c r="N230" s="7" t="n"/>
      <c r="O230" s="7" t="n"/>
      <c r="P230" s="7" t="inlineStr">
        <is>
          <t>항목·기준 작성 파일 수령 → 같은 Rev.00 재개정(recheck → 승인·배포) → 매핑표 '보유'로 갱신</t>
        </is>
      </c>
      <c r="Q230" s="7" t="inlineStr">
        <is>
          <t>미완료</t>
        </is>
      </c>
      <c r="R230" s="7" t="inlineStr">
        <is>
          <t>담당자 변경 재안내 발송 2026-10-27</t>
        </is>
      </c>
      <c r="S230">
        <f>IF(L230="회신 완료","",J230-TODAY())</f>
        <v/>
      </c>
      <c r="T230">
        <f>IF(L230="회신 완료","완료",IF(J230&lt;TODAY(),"지연",IF(J230-TODAY()&lt;=1,"임박(D-1 이내)",IF(J230-TODAY()&lt;=3,"임박(D-3 이내)","여유"))))</f>
        <v/>
      </c>
    </row>
    <row r="231">
      <c r="A231" s="7" t="n">
        <v>91</v>
      </c>
      <c r="B231" s="7" t="inlineStr">
        <is>
          <t>설비관리</t>
        </is>
      </c>
      <c r="C231" s="7" t="inlineStr">
        <is>
          <t>3-2</t>
        </is>
      </c>
      <c r="D231" s="7" t="inlineStr">
        <is>
          <t>설비관리대장</t>
        </is>
      </c>
      <c r="E231" s="7" t="inlineStr">
        <is>
          <t>보완 필요</t>
        </is>
      </c>
      <c r="F231" s="7" t="inlineStr">
        <is>
          <t>SH-FM-213</t>
        </is>
      </c>
      <c r="G231" s="7" t="inlineStr">
        <is>
          <t>SH-FM-213</t>
        </is>
      </c>
      <c r="H231" s="7" t="inlineStr">
        <is>
          <t>황지환</t>
        </is>
      </c>
      <c r="I231" s="7" t="inlineStr">
        <is>
          <t>발송용_담당자변경_20261027/메시지_황지환_20261027.txt</t>
        </is>
      </c>
      <c r="J231" s="8" t="n">
        <v>46331</v>
      </c>
      <c r="K231" s="8" t="n">
        <v>46322</v>
      </c>
      <c r="L231" s="7" t="inlineStr">
        <is>
          <t>발송(회신 대기)</t>
        </is>
      </c>
      <c r="M231" s="8" t="n"/>
      <c r="N231" s="7" t="n"/>
      <c r="O231" s="7" t="n"/>
      <c r="P231" s="7" t="inlineStr">
        <is>
          <t>항목·기준 작성 파일 수령 → 같은 Rev.00 재개정(recheck → 승인·배포) → 매핑표 '보유'로 갱신</t>
        </is>
      </c>
      <c r="Q231" s="7" t="inlineStr">
        <is>
          <t>미완료</t>
        </is>
      </c>
      <c r="R231" s="7" t="inlineStr">
        <is>
          <t>담당자 변경 재안내 발송 2026-10-27</t>
        </is>
      </c>
      <c r="S231">
        <f>IF(L231="회신 완료","",J231-TODAY())</f>
        <v/>
      </c>
      <c r="T231">
        <f>IF(L231="회신 완료","완료",IF(J231&lt;TODAY(),"지연",IF(J231-TODAY()&lt;=1,"임박(D-1 이내)",IF(J231-TODAY()&lt;=3,"임박(D-3 이내)","여유"))))</f>
        <v/>
      </c>
    </row>
    <row r="232">
      <c r="A232" s="7" t="n">
        <v>92</v>
      </c>
      <c r="B232" s="7" t="inlineStr">
        <is>
          <t>설비관리</t>
        </is>
      </c>
      <c r="C232" s="7" t="inlineStr">
        <is>
          <t>3-2</t>
        </is>
      </c>
      <c r="D232" s="7" t="inlineStr">
        <is>
          <t>설비이력카드</t>
        </is>
      </c>
      <c r="E232" s="7" t="inlineStr">
        <is>
          <t>보완 필요</t>
        </is>
      </c>
      <c r="F232" s="7" t="inlineStr">
        <is>
          <t>SH-FM-214</t>
        </is>
      </c>
      <c r="G232" s="7" t="inlineStr">
        <is>
          <t>SH-FM-214</t>
        </is>
      </c>
      <c r="H232" s="7" t="inlineStr">
        <is>
          <t>황지환</t>
        </is>
      </c>
      <c r="I232" s="7" t="inlineStr">
        <is>
          <t>발송용_담당자변경_20261027/메시지_황지환_20261027.txt</t>
        </is>
      </c>
      <c r="J232" s="8" t="n">
        <v>46331</v>
      </c>
      <c r="K232" s="8" t="n">
        <v>46322</v>
      </c>
      <c r="L232" s="7" t="inlineStr">
        <is>
          <t>발송(회신 대기)</t>
        </is>
      </c>
      <c r="M232" s="8" t="n"/>
      <c r="N232" s="7" t="n"/>
      <c r="O232" s="7" t="n"/>
      <c r="P232" s="7" t="inlineStr">
        <is>
          <t>항목·기준 작성 파일 수령 → 같은 Rev.00 재개정(recheck → 승인·배포) → 매핑표 '보유'로 갱신</t>
        </is>
      </c>
      <c r="Q232" s="7" t="inlineStr">
        <is>
          <t>미완료</t>
        </is>
      </c>
      <c r="R232" s="7" t="inlineStr">
        <is>
          <t>담당자 변경 재안내 발송 2026-10-27</t>
        </is>
      </c>
      <c r="S232">
        <f>IF(L232="회신 완료","",J232-TODAY())</f>
        <v/>
      </c>
      <c r="T232">
        <f>IF(L232="회신 완료","완료",IF(J232&lt;TODAY(),"지연",IF(J232-TODAY()&lt;=1,"임박(D-1 이내)",IF(J232-TODAY()&lt;=3,"임박(D-3 이내)","여유"))))</f>
        <v/>
      </c>
    </row>
    <row r="233">
      <c r="A233" s="7" t="n">
        <v>93</v>
      </c>
      <c r="B233" s="7" t="inlineStr">
        <is>
          <t>설비관리</t>
        </is>
      </c>
      <c r="C233" s="7" t="inlineStr">
        <is>
          <t>3-2</t>
        </is>
      </c>
      <c r="D233" s="7" t="inlineStr">
        <is>
          <t>설비수리보고서</t>
        </is>
      </c>
      <c r="E233" s="7" t="inlineStr">
        <is>
          <t>보완 필요</t>
        </is>
      </c>
      <c r="F233" s="7" t="inlineStr">
        <is>
          <t>SH-FM-215</t>
        </is>
      </c>
      <c r="G233" s="7" t="inlineStr">
        <is>
          <t>SH-FM-215</t>
        </is>
      </c>
      <c r="H233" s="7" t="inlineStr">
        <is>
          <t>황지환</t>
        </is>
      </c>
      <c r="I233" s="7" t="inlineStr">
        <is>
          <t>발송용_담당자변경_20261027/메시지_황지환_20261027.txt</t>
        </is>
      </c>
      <c r="J233" s="8" t="n">
        <v>46331</v>
      </c>
      <c r="K233" s="8" t="n">
        <v>46322</v>
      </c>
      <c r="L233" s="7" t="inlineStr">
        <is>
          <t>발송(회신 대기)</t>
        </is>
      </c>
      <c r="M233" s="8" t="n"/>
      <c r="N233" s="7" t="n"/>
      <c r="O233" s="7" t="n"/>
      <c r="P233" s="7" t="inlineStr">
        <is>
          <t>항목·기준 작성 파일 수령 → 같은 Rev.00 재개정(recheck → 승인·배포) → 매핑표 '보유'로 갱신</t>
        </is>
      </c>
      <c r="Q233" s="7" t="inlineStr">
        <is>
          <t>미완료</t>
        </is>
      </c>
      <c r="R233" s="7" t="inlineStr">
        <is>
          <t>담당자 변경 재안내 발송 2026-10-27</t>
        </is>
      </c>
      <c r="S233">
        <f>IF(L233="회신 완료","",J233-TODAY())</f>
        <v/>
      </c>
      <c r="T233">
        <f>IF(L233="회신 완료","완료",IF(J233&lt;TODAY(),"지연",IF(J233-TODAY()&lt;=1,"임박(D-1 이내)",IF(J233-TODAY()&lt;=3,"임박(D-3 이내)","여유"))))</f>
        <v/>
      </c>
    </row>
    <row r="234">
      <c r="A234" s="7" t="n">
        <v>94</v>
      </c>
      <c r="B234" s="7" t="inlineStr">
        <is>
          <t>설비관리</t>
        </is>
      </c>
      <c r="C234" s="7" t="inlineStr">
        <is>
          <t>3-2</t>
        </is>
      </c>
      <c r="D234" s="7" t="inlineStr">
        <is>
          <t>설비압력게이지 검증 계획대실적표</t>
        </is>
      </c>
      <c r="E234" s="7" t="inlineStr">
        <is>
          <t>보완 필요</t>
        </is>
      </c>
      <c r="F234" s="7" t="inlineStr">
        <is>
          <t>SH-FM-216</t>
        </is>
      </c>
      <c r="G234" s="7" t="inlineStr">
        <is>
          <t>SH-FM-216</t>
        </is>
      </c>
      <c r="H234" s="7" t="inlineStr">
        <is>
          <t>황지환</t>
        </is>
      </c>
      <c r="I234" s="7" t="inlineStr">
        <is>
          <t>발송용_담당자변경_20261027/메시지_황지환_20261027.txt</t>
        </is>
      </c>
      <c r="J234" s="8" t="n">
        <v>46331</v>
      </c>
      <c r="K234" s="8" t="n">
        <v>46322</v>
      </c>
      <c r="L234" s="7" t="inlineStr">
        <is>
          <t>발송(회신 대기)</t>
        </is>
      </c>
      <c r="M234" s="8" t="n"/>
      <c r="N234" s="7" t="n"/>
      <c r="O234" s="7" t="n"/>
      <c r="P234" s="7" t="inlineStr">
        <is>
          <t>항목·기준 작성 파일 수령 → 같은 Rev.00 재개정(recheck → 승인·배포) → 매핑표 '보유'로 갱신</t>
        </is>
      </c>
      <c r="Q234" s="7" t="inlineStr">
        <is>
          <t>미완료</t>
        </is>
      </c>
      <c r="R234" s="7" t="inlineStr">
        <is>
          <t>담당자 변경 재안내 발송 2026-10-27</t>
        </is>
      </c>
      <c r="S234">
        <f>IF(L234="회신 완료","",J234-TODAY())</f>
        <v/>
      </c>
      <c r="T234">
        <f>IF(L234="회신 완료","완료",IF(J234&lt;TODAY(),"지연",IF(J234-TODAY()&lt;=1,"임박(D-1 이내)",IF(J234-TODAY()&lt;=3,"임박(D-3 이내)","여유"))))</f>
        <v/>
      </c>
    </row>
    <row r="235">
      <c r="A235" s="7" t="n">
        <v>95</v>
      </c>
      <c r="B235" s="7" t="inlineStr">
        <is>
          <t>설비관리</t>
        </is>
      </c>
      <c r="C235" s="7" t="inlineStr">
        <is>
          <t>3-2</t>
        </is>
      </c>
      <c r="D235" s="7" t="inlineStr">
        <is>
          <t>설비압력게이지 점검실적</t>
        </is>
      </c>
      <c r="E235" s="7" t="inlineStr">
        <is>
          <t>보완 필요</t>
        </is>
      </c>
      <c r="F235" s="7" t="inlineStr">
        <is>
          <t>SH-FM-217</t>
        </is>
      </c>
      <c r="G235" s="7" t="inlineStr">
        <is>
          <t>SH-FM-217</t>
        </is>
      </c>
      <c r="H235" s="7" t="inlineStr">
        <is>
          <t>황지환</t>
        </is>
      </c>
      <c r="I235" s="7" t="inlineStr">
        <is>
          <t>발송용_담당자변경_20261027/메시지_황지환_20261027.txt</t>
        </is>
      </c>
      <c r="J235" s="8" t="n">
        <v>46331</v>
      </c>
      <c r="K235" s="8" t="n">
        <v>46322</v>
      </c>
      <c r="L235" s="7" t="inlineStr">
        <is>
          <t>발송(회신 대기)</t>
        </is>
      </c>
      <c r="M235" s="8" t="n"/>
      <c r="N235" s="7" t="n"/>
      <c r="O235" s="7" t="n"/>
      <c r="P235" s="7" t="inlineStr">
        <is>
          <t>항목·기준 작성 파일 수령 → 같은 Rev.00 재개정(recheck → 승인·배포) → 매핑표 '보유'로 갱신</t>
        </is>
      </c>
      <c r="Q235" s="7" t="inlineStr">
        <is>
          <t>미완료</t>
        </is>
      </c>
      <c r="R235" s="7" t="inlineStr">
        <is>
          <t>담당자 변경 재안내 발송 2026-10-27</t>
        </is>
      </c>
      <c r="S235">
        <f>IF(L235="회신 완료","",J235-TODAY())</f>
        <v/>
      </c>
      <c r="T235">
        <f>IF(L235="회신 완료","완료",IF(J235&lt;TODAY(),"지연",IF(J235-TODAY()&lt;=1,"임박(D-1 이내)",IF(J235-TODAY()&lt;=3,"임박(D-3 이내)","여유"))))</f>
        <v/>
      </c>
    </row>
    <row r="236">
      <c r="A236" s="7" t="n">
        <v>96</v>
      </c>
      <c r="B236" s="7" t="inlineStr">
        <is>
          <t>설비관리</t>
        </is>
      </c>
      <c r="C236" s="7" t="inlineStr">
        <is>
          <t>3-2</t>
        </is>
      </c>
      <c r="D236" s="7" t="inlineStr">
        <is>
          <t>설비예비품관리대장</t>
        </is>
      </c>
      <c r="E236" s="7" t="inlineStr">
        <is>
          <t>보완 필요</t>
        </is>
      </c>
      <c r="F236" s="7" t="inlineStr">
        <is>
          <t>SH-FM-218</t>
        </is>
      </c>
      <c r="G236" s="7" t="inlineStr">
        <is>
          <t>SH-FM-218</t>
        </is>
      </c>
      <c r="H236" s="7" t="inlineStr">
        <is>
          <t>황지환</t>
        </is>
      </c>
      <c r="I236" s="7" t="inlineStr">
        <is>
          <t>발송용_담당자변경_20261027/메시지_황지환_20261027.txt</t>
        </is>
      </c>
      <c r="J236" s="8" t="n">
        <v>46331</v>
      </c>
      <c r="K236" s="8" t="n">
        <v>46322</v>
      </c>
      <c r="L236" s="7" t="inlineStr">
        <is>
          <t>발송(회신 대기)</t>
        </is>
      </c>
      <c r="M236" s="8" t="n"/>
      <c r="N236" s="7" t="n"/>
      <c r="O236" s="7" t="n"/>
      <c r="P236" s="7" t="inlineStr">
        <is>
          <t>항목·기준 작성 파일 수령 → 같은 Rev.00 재개정(recheck → 승인·배포) → 매핑표 '보유'로 갱신</t>
        </is>
      </c>
      <c r="Q236" s="7" t="inlineStr">
        <is>
          <t>미완료</t>
        </is>
      </c>
      <c r="R236" s="7" t="inlineStr">
        <is>
          <t>담당자 변경 재안내 발송 2026-10-27</t>
        </is>
      </c>
      <c r="S236">
        <f>IF(L236="회신 완료","",J236-TODAY())</f>
        <v/>
      </c>
      <c r="T236">
        <f>IF(L236="회신 완료","완료",IF(J236&lt;TODAY(),"지연",IF(J236-TODAY()&lt;=1,"임박(D-1 이내)",IF(J236-TODAY()&lt;=3,"임박(D-3 이내)","여유"))))</f>
        <v/>
      </c>
    </row>
    <row r="237">
      <c r="A237" s="7" t="n">
        <v>97</v>
      </c>
      <c r="B237" s="7" t="inlineStr">
        <is>
          <t>설비관리</t>
        </is>
      </c>
      <c r="C237" s="7" t="inlineStr">
        <is>
          <t>3-2</t>
        </is>
      </c>
      <c r="D237" s="7" t="inlineStr">
        <is>
          <t>설비예비품 입출고 관리일지</t>
        </is>
      </c>
      <c r="E237" s="7" t="inlineStr">
        <is>
          <t>보완 필요</t>
        </is>
      </c>
      <c r="F237" s="7" t="inlineStr">
        <is>
          <t>SH-FM-219</t>
        </is>
      </c>
      <c r="G237" s="7" t="inlineStr">
        <is>
          <t>SH-FM-219</t>
        </is>
      </c>
      <c r="H237" s="7" t="inlineStr">
        <is>
          <t>황지환</t>
        </is>
      </c>
      <c r="I237" s="7" t="inlineStr">
        <is>
          <t>발송용_담당자변경_20261027/메시지_황지환_20261027.txt</t>
        </is>
      </c>
      <c r="J237" s="8" t="n">
        <v>46331</v>
      </c>
      <c r="K237" s="8" t="n">
        <v>46322</v>
      </c>
      <c r="L237" s="7" t="inlineStr">
        <is>
          <t>발송(회신 대기)</t>
        </is>
      </c>
      <c r="M237" s="8" t="n"/>
      <c r="N237" s="7" t="n"/>
      <c r="O237" s="7" t="n"/>
      <c r="P237" s="7" t="inlineStr">
        <is>
          <t>항목·기준 작성 파일 수령 → 같은 Rev.00 재개정(recheck → 승인·배포) → 매핑표 '보유'로 갱신</t>
        </is>
      </c>
      <c r="Q237" s="7" t="inlineStr">
        <is>
          <t>미완료</t>
        </is>
      </c>
      <c r="R237" s="7" t="inlineStr">
        <is>
          <t>담당자 변경 재안내 발송 2026-10-27</t>
        </is>
      </c>
      <c r="S237">
        <f>IF(L237="회신 완료","",J237-TODAY())</f>
        <v/>
      </c>
      <c r="T237">
        <f>IF(L237="회신 완료","완료",IF(J237&lt;TODAY(),"지연",IF(J237-TODAY()&lt;=1,"임박(D-1 이내)",IF(J237-TODAY()&lt;=3,"임박(D-3 이내)","여유"))))</f>
        <v/>
      </c>
    </row>
    <row r="238">
      <c r="A238" s="7" t="n">
        <v>98</v>
      </c>
      <c r="B238" s="7" t="inlineStr">
        <is>
          <t>설비관리</t>
        </is>
      </c>
      <c r="C238" s="7" t="inlineStr">
        <is>
          <t>3-2</t>
        </is>
      </c>
      <c r="D238" s="7" t="inlineStr">
        <is>
          <t>작동유관리기준서</t>
        </is>
      </c>
      <c r="E238" s="7" t="inlineStr">
        <is>
          <t>보완 필요</t>
        </is>
      </c>
      <c r="F238" s="7" t="inlineStr">
        <is>
          <t>SH-FM-220</t>
        </is>
      </c>
      <c r="G238" s="7" t="inlineStr">
        <is>
          <t>SH-FM-220</t>
        </is>
      </c>
      <c r="H238" s="7" t="inlineStr">
        <is>
          <t>황지환</t>
        </is>
      </c>
      <c r="I238" s="7" t="inlineStr">
        <is>
          <t>발송용_담당자변경_20261027/메시지_황지환_20261027.txt</t>
        </is>
      </c>
      <c r="J238" s="8" t="n">
        <v>46331</v>
      </c>
      <c r="K238" s="8" t="n">
        <v>46322</v>
      </c>
      <c r="L238" s="7" t="inlineStr">
        <is>
          <t>발송(회신 대기)</t>
        </is>
      </c>
      <c r="M238" s="8" t="n"/>
      <c r="N238" s="7" t="n"/>
      <c r="O238" s="7" t="n"/>
      <c r="P238" s="7" t="inlineStr">
        <is>
          <t>항목·기준 작성 파일 수령 → 같은 Rev.00 재개정(recheck → 승인·배포) → 매핑표 '보유'로 갱신</t>
        </is>
      </c>
      <c r="Q238" s="7" t="inlineStr">
        <is>
          <t>미완료</t>
        </is>
      </c>
      <c r="R238" s="7" t="inlineStr">
        <is>
          <t>담당자 변경 재안내 발송 2026-10-27</t>
        </is>
      </c>
      <c r="S238">
        <f>IF(L238="회신 완료","",J238-TODAY())</f>
        <v/>
      </c>
      <c r="T238">
        <f>IF(L238="회신 완료","완료",IF(J238&lt;TODAY(),"지연",IF(J238-TODAY()&lt;=1,"임박(D-1 이내)",IF(J238-TODAY()&lt;=3,"임박(D-3 이내)","여유"))))</f>
        <v/>
      </c>
    </row>
    <row r="239">
      <c r="A239" s="7" t="n">
        <v>103</v>
      </c>
      <c r="B239" s="7" t="inlineStr">
        <is>
          <t>설비관리</t>
        </is>
      </c>
      <c r="C239" s="7" t="inlineStr">
        <is>
          <t>3-4</t>
        </is>
      </c>
      <c r="D239" s="7" t="inlineStr">
        <is>
          <t>설비정기점검 관리기준서</t>
        </is>
      </c>
      <c r="E239" s="7" t="inlineStr">
        <is>
          <t>보완 필요</t>
        </is>
      </c>
      <c r="F239" s="7" t="inlineStr">
        <is>
          <t>SH-FM-225</t>
        </is>
      </c>
      <c r="G239" s="7" t="inlineStr">
        <is>
          <t>SH-FM-225</t>
        </is>
      </c>
      <c r="H239" s="7" t="inlineStr">
        <is>
          <t>황지환</t>
        </is>
      </c>
      <c r="I239" s="7" t="inlineStr">
        <is>
          <t>발송용_담당자변경_20261027/메시지_황지환_20261027.txt</t>
        </is>
      </c>
      <c r="J239" s="8" t="n">
        <v>46331</v>
      </c>
      <c r="K239" s="8" t="n">
        <v>46322</v>
      </c>
      <c r="L239" s="7" t="inlineStr">
        <is>
          <t>발송(회신 대기)</t>
        </is>
      </c>
      <c r="M239" s="8" t="n"/>
      <c r="N239" s="7" t="n"/>
      <c r="O239" s="7" t="n"/>
      <c r="P239" s="7" t="inlineStr">
        <is>
          <t>항목·기준 작성 파일 수령 → 같은 Rev.00 재개정(recheck → 승인·배포) → 매핑표 '보유'로 갱신</t>
        </is>
      </c>
      <c r="Q239" s="7" t="inlineStr">
        <is>
          <t>미완료</t>
        </is>
      </c>
      <c r="R239" s="7" t="inlineStr">
        <is>
          <t>담당자 변경 재안내 발송 2026-10-27</t>
        </is>
      </c>
      <c r="S239">
        <f>IF(L239="회신 완료","",J239-TODAY())</f>
        <v/>
      </c>
      <c r="T239">
        <f>IF(L239="회신 완료","완료",IF(J239&lt;TODAY(),"지연",IF(J239-TODAY()&lt;=1,"임박(D-1 이내)",IF(J239-TODAY()&lt;=3,"임박(D-3 이내)","여유"))))</f>
        <v/>
      </c>
    </row>
    <row r="240">
      <c r="A240" s="7" t="n">
        <v>104</v>
      </c>
      <c r="B240" s="7" t="inlineStr">
        <is>
          <t>설비관리</t>
        </is>
      </c>
      <c r="C240" s="7" t="inlineStr">
        <is>
          <t>3-4</t>
        </is>
      </c>
      <c r="D240" s="7" t="inlineStr">
        <is>
          <t>설비정기점검계획대실적표</t>
        </is>
      </c>
      <c r="E240" s="7" t="inlineStr">
        <is>
          <t>보완 필요</t>
        </is>
      </c>
      <c r="F240" s="7" t="inlineStr">
        <is>
          <t>SH-FM-226</t>
        </is>
      </c>
      <c r="G240" s="7" t="inlineStr">
        <is>
          <t>SH-FM-211</t>
        </is>
      </c>
      <c r="H240" s="7" t="inlineStr">
        <is>
          <t>황지환</t>
        </is>
      </c>
      <c r="I240" s="7" t="inlineStr">
        <is>
          <t>발송용_담당자변경_20261027/메시지_황지환_20261027.txt</t>
        </is>
      </c>
      <c r="J240" s="8" t="n">
        <v>46331</v>
      </c>
      <c r="K240" s="8" t="n">
        <v>46322</v>
      </c>
      <c r="L240" s="7" t="inlineStr">
        <is>
          <t>발송(회신 대기)</t>
        </is>
      </c>
      <c r="M240" s="8" t="n"/>
      <c r="N240" s="7" t="n"/>
      <c r="O240" s="7" t="n"/>
      <c r="P240" s="7" t="inlineStr">
        <is>
          <t>항목·기준 작성 파일 수령 → 같은 Rev.00 재개정(recheck → 승인·배포) → 매핑표 '보유'로 갱신</t>
        </is>
      </c>
      <c r="Q240" s="7" t="inlineStr">
        <is>
          <t>미완료</t>
        </is>
      </c>
      <c r="R240" s="7" t="inlineStr">
        <is>
          <t>담당자 변경 재안내 발송 2026-10-27</t>
        </is>
      </c>
      <c r="S240">
        <f>IF(L240="회신 완료","",J240-TODAY())</f>
        <v/>
      </c>
      <c r="T240">
        <f>IF(L240="회신 완료","완료",IF(J240&lt;TODAY(),"지연",IF(J240-TODAY()&lt;=1,"임박(D-1 이내)",IF(J240-TODAY()&lt;=3,"임박(D-3 이내)","여유"))))</f>
        <v/>
      </c>
    </row>
    <row r="241">
      <c r="A241" s="7" t="n">
        <v>105</v>
      </c>
      <c r="B241" s="7" t="inlineStr">
        <is>
          <t>설비관리</t>
        </is>
      </c>
      <c r="C241" s="7" t="inlineStr">
        <is>
          <t>3-4</t>
        </is>
      </c>
      <c r="D241" s="7" t="inlineStr">
        <is>
          <t>설비정기점검 실적</t>
        </is>
      </c>
      <c r="E241" s="7" t="inlineStr">
        <is>
          <t>보완 필요</t>
        </is>
      </c>
      <c r="F241" s="7" t="inlineStr">
        <is>
          <t>SH-FM-227</t>
        </is>
      </c>
      <c r="G241" s="7" t="inlineStr">
        <is>
          <t>SH-FM-212</t>
        </is>
      </c>
      <c r="H241" s="7" t="inlineStr">
        <is>
          <t>황지환</t>
        </is>
      </c>
      <c r="I241" s="7" t="inlineStr">
        <is>
          <t>발송용_담당자변경_20261027/메시지_황지환_20261027.txt</t>
        </is>
      </c>
      <c r="J241" s="8" t="n">
        <v>46331</v>
      </c>
      <c r="K241" s="8" t="n">
        <v>46322</v>
      </c>
      <c r="L241" s="7" t="inlineStr">
        <is>
          <t>발송(회신 대기)</t>
        </is>
      </c>
      <c r="M241" s="8" t="n"/>
      <c r="N241" s="7" t="n"/>
      <c r="O241" s="7" t="n"/>
      <c r="P241" s="7" t="inlineStr">
        <is>
          <t>항목·기준 작성 파일 수령 → 같은 Rev.00 재개정(recheck → 승인·배포) → 매핑표 '보유'로 갱신</t>
        </is>
      </c>
      <c r="Q241" s="7" t="inlineStr">
        <is>
          <t>미완료</t>
        </is>
      </c>
      <c r="R241" s="7" t="inlineStr">
        <is>
          <t>담당자 변경 재안내 발송 2026-10-27</t>
        </is>
      </c>
      <c r="S241">
        <f>IF(L241="회신 완료","",J241-TODAY())</f>
        <v/>
      </c>
      <c r="T241">
        <f>IF(L241="회신 완료","완료",IF(J241&lt;TODAY(),"지연",IF(J241-TODAY()&lt;=1,"임박(D-1 이내)",IF(J241-TODAY()&lt;=3,"임박(D-3 이내)","여유"))))</f>
        <v/>
      </c>
    </row>
  </sheetData>
  <autoFilter ref="A1:T241"/>
  <conditionalFormatting sqref="A2:R241">
    <cfRule type="expression" priority="1" dxfId="0">
      <formula>AND($L2&lt;&gt;"회신 완료",$K2&lt;&gt;"",$J2&lt;TODAY())</formula>
    </cfRule>
    <cfRule type="expression" priority="2" dxfId="1">
      <formula>$L2="회신 완료"</formula>
    </cfRule>
  </conditionalFormatting>
  <conditionalFormatting sqref="A2:T241">
    <cfRule type="expression" priority="3" dxfId="3">
      <formula>AND($L2&lt;&gt;"회신 완료",$J2&gt;=TODAY(),$J2-TODAY()&lt;=1)</formula>
    </cfRule>
    <cfRule type="expression" priority="4" dxfId="2">
      <formula>AND($L2&lt;&gt;"회신 완료",$J2&gt;=TODAY(),$J2-TODAY()&lt;=3,$J2-TODAY()&gt;1)</formula>
    </cfRule>
  </conditionalFormatting>
  <dataValidations count="3">
    <dataValidation sqref="L2:L241" showDropDown="0" showInputMessage="0" showErrorMessage="0" allowBlank="0" type="list">
      <formula1>"미발송,발송(회신 대기),일부 회신,회신 완료,재요청"</formula1>
    </dataValidation>
    <dataValidation sqref="Q2:Q241" showDropDown="0" showInputMessage="0" showErrorMessage="0" allowBlank="0" type="list">
      <formula1>"미완료,진행 중,완료"</formula1>
    </dataValidation>
    <dataValidation sqref="K2:K241 M2:M241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3" t="inlineStr">
        <is>
          <t>회신 현황 체크리스트 사용 안내 (2026-10-08)</t>
        </is>
      </c>
    </row>
    <row r="2">
      <c r="A2" s="7" t="inlineStr"/>
    </row>
    <row r="3">
      <c r="A3" s="14" t="inlineStr">
        <is>
          <t>■ 개요</t>
        </is>
      </c>
    </row>
    <row r="4">
      <c r="A4" s="7" t="inlineStr">
        <is>
          <t>대상: 판단 보류 29 + 미비 17 + 보완 필요 189 = 235건 + 보유 확인 5건 = 240행. 담당자 11명(이은주·박철호 공동 1건 포함).</t>
        </is>
      </c>
    </row>
    <row r="5">
      <c r="A5" s="7" t="inlineStr">
        <is>
          <t>발송용 메시지: 99_산출물/발송용_최종_20261008/ (담당자 1명당 1통, 지성규·이광재·이은주는 보유 확인 포함). 근거 자료는 99_산출물의 근거 정리 문서를 참고합니다.</t>
        </is>
      </c>
    </row>
    <row r="6">
      <c r="A6" s="7" t="inlineStr">
        <is>
          <t>회신 기한: 2026-11-05 (사용자 지정 2026-10-27, 기존 2026-10-15 에서 변경. 보유 확인에도 같은 날짜 적용). 담당자가 바뀐 6명의 재안내(발송용_담당자변경_20261027)는 발송 후 상세 시트의 발송일·상태를 갱신하세요.</t>
        </is>
      </c>
    </row>
    <row r="7">
      <c r="A7" s="7" t="inlineStr"/>
    </row>
    <row r="8">
      <c r="A8" s="14" t="inlineStr">
        <is>
          <t>■ 시트 구성</t>
        </is>
      </c>
    </row>
    <row r="9">
      <c r="A9" s="7" t="inlineStr">
        <is>
          <t>1. 담당자별 현황: 담당자 1명당 1행. 요청 건수(유형별), 회신 진행(미발송·발송·일부 회신·재요청·회신 완료·회신율·미회신·지연·조치 완료), 최근 발송일, 가장 이른 미회신 기한, 다음 조치, 판단 보류·미비·보유 확인의 SQ NO를 한 줄에 보여줍니다. 직접 입력하지 않고 '상세' 입력에 따라 자동 집계됩니다(보완 필요 SQ NO는 상세에서 확인).</t>
        </is>
      </c>
    </row>
    <row r="10">
      <c r="A10" s="7" t="inlineStr">
        <is>
          <t>2. 유형별 현황: 판단 보류·미비·보완 필요·보유 확인별 총 건수와 회신 진행 집계(자동).</t>
        </is>
      </c>
    </row>
    <row r="11">
      <c r="A11" s="7" t="inlineStr">
        <is>
          <t>3. 상세: 240행 건별 기록. 여기에만 입력합니다(아래 입력 순서 참고).</t>
        </is>
      </c>
    </row>
    <row r="12">
      <c r="A12" s="7" t="inlineStr">
        <is>
          <t>4. 사용 안내: 이 시트.</t>
        </is>
      </c>
    </row>
    <row r="13">
      <c r="A13" s="7" t="inlineStr"/>
    </row>
    <row r="14">
      <c r="A14" s="14" t="inlineStr">
        <is>
          <t>■ 입력 순서 (상세 시트)</t>
        </is>
      </c>
    </row>
    <row r="15">
      <c r="A15" s="7" t="inlineStr">
        <is>
          <t>1. 메시지를 보낸 뒤 '발송일'을 입력하고 '회신 상태'를 '발송(회신 대기)'로 바꿉니다. 담당자 열 필터로 해당 담당자 행을 한꺼번에 선택하면 편합니다.</t>
        </is>
      </c>
    </row>
    <row r="16">
      <c r="A16" s="7" t="inlineStr">
        <is>
          <t>2. 회신이 오면 '회신일'·'회신 내용 요약'·'확인자'를 적고 회신 상태를 '일부 회신' 또는 '회신 완료'로 바꿉니다. 보완이 필요하면 '재요청'.</t>
        </is>
      </c>
    </row>
    <row r="17">
      <c r="A17" s="7" t="inlineStr">
        <is>
          <t>3. '회신 후 필요한 조치' 열의 후속 작업을 처리한 뒤 '조치 완료'를 '완료'(진행 중이면 '진행 중')로 바꿉니다.</t>
        </is>
      </c>
    </row>
    <row r="18">
      <c r="A18" s="7" t="inlineStr"/>
    </row>
    <row r="19">
      <c r="A19" s="14" t="inlineStr">
        <is>
          <t>■ 자동 표시</t>
        </is>
      </c>
    </row>
    <row r="20">
      <c r="A20" s="7" t="inlineStr">
        <is>
          <t>- 지연: 발송일이 있고 회신 상태가 '회신 완료'가 아니며 회신 기한이 오늘보다 앞이면 상세 행이 붉게 표시되고 담당자별 현황의 '지연'에 집계됩니다. 회신 완료 행은 초록으로 표시됩니다.</t>
        </is>
      </c>
    </row>
    <row r="21">
      <c r="A21" s="7" t="inlineStr">
        <is>
          <t>- 다음 조치(담당자별 현황): 발송 필요 / 일부 미발송 — 확인 / 회신 대기 / 지연 — 재촉 필요 / 회신 완료 — 조치 완료 여부 확인 중 하나가 자동으로 나옵니다.</t>
        </is>
      </c>
    </row>
    <row r="22">
      <c r="A22" s="7" t="inlineStr">
        <is>
          <t>- 담당자별 현황 행의 색: 지연이 있으면 붉게, 담당자의 모든 건이 회신 완료면 초록으로 표시됩니다.</t>
        </is>
      </c>
    </row>
    <row r="23">
      <c r="A23" s="7" t="inlineStr"/>
    </row>
    <row r="24">
      <c r="A24" s="14" t="inlineStr">
        <is>
          <t>■ 주의</t>
        </is>
      </c>
    </row>
    <row r="25">
      <c r="A25" s="7" t="inlineStr">
        <is>
          <t>- 회신 내용은 사람이 확인해 확정하기 전에는 FM 번호·문서 상태를 바꾸지 않습니다. 조치 후 증빙 매핑표·FM Master 갱신은 별도로 진행합니다.</t>
        </is>
      </c>
    </row>
    <row r="26">
      <c r="A26" s="7" t="inlineStr">
        <is>
          <t>- 이 체크리스트는 기록용이며 발송·회신 상태는 직접 입력해야 합니다(자동 수집하지 않습니다).</t>
        </is>
      </c>
    </row>
    <row r="27">
      <c r="A27" s="7" t="inlineStr">
        <is>
          <t>- 집계는 수식(COUNTIFS, MAXIFS/MINIFS)입니다. 엑셀(MAXIFS는 2019 이상)에서 열면 자동 계산됩니다. '상세' 열 순서나 이름을 바꾸면 집계가 깨집니다.</t>
        </is>
      </c>
    </row>
    <row r="28">
      <c r="A28" s="7" t="inlineStr">
        <is>
          <t>- 담당자별 현황의 SQ NO 목록은 요청 시점(2026-10-08) 값입니다. 담당자·건이 바뀌면 상세 시트를 고치고 이 목록은 직접 수정하세요.</t>
        </is>
      </c>
    </row>
    <row r="30">
      <c r="A30" s="17" t="inlineStr">
        <is>
          <t>■ 기한 임박 표시 (2026-10-08 추가)</t>
        </is>
      </c>
    </row>
    <row r="31">
      <c r="A31" s="7" t="inlineStr">
        <is>
          <t>- 상세 시트 S열 '기한까지 남은 일수', T열 '기한 상태'(완료 / 지연 / 임박(D-1 이내) / 임박(D-3 이내) / 여유)가 자동 계산됩니다. 회신 완료가 아닌 행만 대상입니다.</t>
        </is>
      </c>
    </row>
    <row r="32">
      <c r="A32" s="7" t="inlineStr">
        <is>
          <t>- 상세 행 색: 기한 D-3 이내는 노랑, D-1 이내(당일 포함)는 주황, 기한 경과는 빨강, 회신 완료는 초록입니다.</t>
        </is>
      </c>
    </row>
    <row r="33">
      <c r="A33" s="7" t="inlineStr">
        <is>
          <t>- 담당자별 현황의 '임박(D-3 이내) 미회신'과 '기한까지 남은 일수(최소)' 열에서 담당자별로 확인합니다. 임박 건이 있는 담당자 행은 노랑으로 표시됩니다(지연이 있으면 빨강 우선).</t>
        </is>
      </c>
    </row>
    <row r="34">
      <c r="A34" s="7" t="inlineStr">
        <is>
          <t>- 표시는 파일을 열 때 오늘 날짜로 계산됩니다. 파일을 열지 않으면 알림이 뜨지 않으므로, 별도로 예약 알림(세션 알림)을 2026-10-12·14·15·16 오전 9시(KST)에 설정했습니다.</t>
        </is>
      </c>
    </row>
    <row r="36">
      <c r="A36" s="17" t="inlineStr">
        <is>
          <t>■ 회신 취합 (2026-10-08 추가)</t>
        </is>
      </c>
    </row>
    <row r="37">
      <c r="A37" s="7" t="inlineStr">
        <is>
          <t>- 인쇄물은 직접 전달했습니다. 회신이 오면 회신취합/회신수집/ 에 채운 첨부 xlsx 를 넣고 `python3 회신취합.py 회신수집 [--apply]` 로 이 체크리스트의 사본(회신 반영)과 반영 후보 CSV 를 만듭니다. 절차는 회신취합/00_회신취합_안내.md 를 참고하세요.</t>
        </is>
      </c>
    </row>
    <row r="38">
      <c r="A38" s="7" t="inlineStr">
        <is>
          <t>- 수신처(메일·메신저) 목록은 사용하지 않아 삭제했습니다.</t>
        </is>
      </c>
    </row>
    <row r="40">
      <c r="A40" s="17" t="inlineStr">
        <is>
          <t>■ 담당자 기준 변경 (2026-10-27)</t>
        </is>
      </c>
    </row>
    <row r="41">
      <c r="A41" s="7" t="inlineStr">
        <is>
          <t>- 담당자는 주 브랜치 SQ_FM번호_배정대응표_정정본3.csv 기준으로 바꿨습니다(사용자 확인). 인쇄물 전달(2026-10-08) 당시 담당자와 달라진 행은 상세 R열에 이전 담당자를 적었습니다. 요청 유형도 최신 판정(매핑표 v5: 보유 6·보완 필요 205·판단 보류 29·미비 0)으로 갱신했습니다.</t>
        </is>
      </c>
    </row>
    <row r="42">
      <c r="A42" s="7" t="inlineStr">
        <is>
          <t>- 정정본3 에 담당자가 없는 4건(SQ NO 129·130·131·214)은 '(미지정)'입니다. 담당자 지정 후 상세 H열을 바꾸세요.</t>
        </is>
      </c>
    </row>
    <row r="44">
      <c r="A44" s="9" t="inlineStr">
        <is>
          <t>SQ 준비 일정 (한온 SQ 심사 2026-12-10 기준, 제안 — 3개심사_통합달력_20261027_v2.xlsx)</t>
        </is>
      </c>
    </row>
    <row r="45">
      <c r="A45" s="7" t="inlineStr">
        <is>
          <t>10/30 M1 기준 확정 · 11/05 담당자 회신 기한(사용자 지정) · 11/10 M2 문서 정합성·매핑표 갱신 · 11/13 M3 현장 증빙·현물 18건 확인</t>
        </is>
      </c>
    </row>
    <row r="46">
      <c r="A46" s="7" t="inlineStr">
        <is>
          <t>11/25 M4 MSA·SPC·LOT 모의추적 · 11/27 양식 본문 작성·재개정 완료 목표 및 M5 자체점검 · 12/01 M6 미흡 종결 · 12/03 M7 모의심사</t>
        </is>
      </c>
    </row>
    <row r="47">
      <c r="A47" s="7" t="inlineStr">
        <is>
          <t>12/07 M8 최종검토 · 12/08 M9 준비완료 판정 · 12/09 예비일 · 12/10 한온 SQ 심사</t>
        </is>
      </c>
    </row>
    <row r="48">
      <c r="A48" s="7" t="inlineStr">
        <is>
          <t>11/16~11/20은 ISO 14001 갱신심사(NQA) 주간이라 SQ 마일스톤을 두지 않았습니다. 확정된 날짜는 회신 11/05·SQ 심사 12/10(사용자 지정), 나머지는 담당자 협의 후 확정합니다.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2026-10-08T04:53:17Z</dcterms:created>
  <dcterms:modified xmlns:dcterms="http://purl.org/dc/terms/" xmlns:xsi="http://www.w3.org/2001/XMLSchema-instance" xsi:type="dcterms:W3CDTF">2026-10-28T05:44:35Z</dcterms:modified>
</cp:coreProperties>
</file>