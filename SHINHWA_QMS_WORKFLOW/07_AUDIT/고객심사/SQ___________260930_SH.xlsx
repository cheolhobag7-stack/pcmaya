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신화에이치앤티 SQ심사 최종자료\"/>
    </mc:Choice>
  </mc:AlternateContent>
  <xr:revisionPtr revIDLastSave="0" documentId="13_ncr:1_{5577C0F3-C7BA-4589-ABFC-B2A356F30AC2}" xr6:coauthVersionLast="47" xr6:coauthVersionMax="47" xr10:uidLastSave="{00000000-0000-0000-0000-000000000000}"/>
  <bookViews>
    <workbookView xWindow="8865" yWindow="1245" windowWidth="16125" windowHeight="10830" activeTab="2" xr2:uid="{00000000-000D-0000-FFFF-FFFF00000000}"/>
  </bookViews>
  <sheets>
    <sheet name="0_대시보드" sheetId="1" r:id="rId1"/>
    <sheet name="요약" sheetId="2" r:id="rId2"/>
    <sheet name="전체_필요서류리스트" sheetId="3" r:id="rId3"/>
    <sheet name="신규작성_실행리스트" sheetId="4" r:id="rId4"/>
    <sheet name="FM양식번호_초안" sheetId="5" r:id="rId5"/>
    <sheet name="C1_생산조건관리" sheetId="6" r:id="rId6"/>
    <sheet name="C2_검사시험" sheetId="7" r:id="rId7"/>
    <sheet name="C3_설비관리" sheetId="8" r:id="rId8"/>
    <sheet name="C4_금형관리" sheetId="9" r:id="rId9"/>
    <sheet name="C5_자재관리" sheetId="10" r:id="rId10"/>
    <sheet name="C6_품질경영체제" sheetId="11" r:id="rId11"/>
    <sheet name="D_생산팀" sheetId="12" r:id="rId12"/>
    <sheet name="D_품질팀" sheetId="13" r:id="rId13"/>
    <sheet name="D_구매자재팀" sheetId="14" r:id="rId14"/>
    <sheet name="D_생산기술" sheetId="15" r:id="rId15"/>
    <sheet name="D_개발팀" sheetId="16" r:id="rId16"/>
    <sheet name="D_부서 미정" sheetId="17" r:id="rId17"/>
  </sheets>
  <definedNames>
    <definedName name="_xlnm._FilterDatabase" localSheetId="5" hidden="1">'C1_생산조건관리'!$A$4:$N$33</definedName>
    <definedName name="_xlnm._FilterDatabase" localSheetId="6" hidden="1">'C2_검사시험'!$A$4:$N$59</definedName>
    <definedName name="_xlnm._FilterDatabase" localSheetId="7" hidden="1">'C3_설비관리'!$A$4:$N$32</definedName>
    <definedName name="_xlnm._FilterDatabase" localSheetId="8" hidden="1">'C4_금형관리'!$A$4:$N$23</definedName>
    <definedName name="_xlnm._FilterDatabase" localSheetId="9" hidden="1">'C5_자재관리'!$A$4:$N$37</definedName>
    <definedName name="_xlnm._FilterDatabase" localSheetId="10" hidden="1">'C6_품질경영체제'!$A$4:$N$80</definedName>
    <definedName name="_xlnm._FilterDatabase" localSheetId="15" hidden="1">D_개발팀!$A$4:$K$6</definedName>
    <definedName name="_xlnm._FilterDatabase" localSheetId="13" hidden="1">D_구매자재팀!$A$4:$K$36</definedName>
    <definedName name="_xlnm._FilterDatabase" localSheetId="16" hidden="1">'D_부서 미정'!$A$4:$K$12</definedName>
    <definedName name="_xlnm._FilterDatabase" localSheetId="14" hidden="1">D_생산기술!$A$4:$K$23</definedName>
    <definedName name="_xlnm._FilterDatabase" localSheetId="11" hidden="1">D_생산팀!$A$4:$K$95</definedName>
    <definedName name="_xlnm._FilterDatabase" localSheetId="12" hidden="1">D_품질팀!$A$4:$K$92</definedName>
    <definedName name="_xlnm._FilterDatabase" localSheetId="4" hidden="1">FM양식번호_초안!$A$4:$J$244</definedName>
    <definedName name="_xlnm._FilterDatabase" localSheetId="3" hidden="1">신규작성_실행리스트!$A$4:$L$108</definedName>
    <definedName name="_xlnm._FilterDatabase" localSheetId="2" hidden="1">전체_필요서류리스트!$A$4:$T$244</definedName>
    <definedName name="_xlnm.Print_Area" localSheetId="0">'0_대시보드'!$A$1:$H$55</definedName>
    <definedName name="_xlnm.Print_Area" localSheetId="2">전체_필요서류리스트!$A$1:$T$244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2" l="1"/>
  <c r="B28" i="2"/>
  <c r="B27" i="2"/>
  <c r="B26" i="2"/>
  <c r="E22" i="2"/>
  <c r="D22" i="2"/>
  <c r="C22" i="2"/>
  <c r="B22" i="2"/>
  <c r="E21" i="2"/>
  <c r="D21" i="2"/>
  <c r="C21" i="2"/>
  <c r="B21" i="2"/>
  <c r="E20" i="2"/>
  <c r="D20" i="2"/>
  <c r="C20" i="2"/>
  <c r="B20" i="2"/>
  <c r="E19" i="2"/>
  <c r="D19" i="2"/>
  <c r="C19" i="2"/>
  <c r="B19" i="2"/>
  <c r="E18" i="2"/>
  <c r="D18" i="2"/>
  <c r="C18" i="2"/>
  <c r="B18" i="2"/>
  <c r="E17" i="2"/>
  <c r="D17" i="2"/>
  <c r="C17" i="2"/>
  <c r="B17" i="2"/>
  <c r="G13" i="2"/>
  <c r="F13" i="2"/>
  <c r="E13" i="2"/>
  <c r="D13" i="2"/>
  <c r="C13" i="2"/>
  <c r="G12" i="2"/>
  <c r="H12" i="2" s="1"/>
  <c r="F12" i="2"/>
  <c r="E12" i="2"/>
  <c r="D12" i="2"/>
  <c r="C12" i="2"/>
  <c r="G11" i="2"/>
  <c r="H11" i="2" s="1"/>
  <c r="F11" i="2"/>
  <c r="E11" i="2"/>
  <c r="D11" i="2"/>
  <c r="C11" i="2"/>
  <c r="G10" i="2"/>
  <c r="H10" i="2" s="1"/>
  <c r="F10" i="2"/>
  <c r="E10" i="2"/>
  <c r="D10" i="2"/>
  <c r="C10" i="2"/>
  <c r="G9" i="2"/>
  <c r="H9" i="2" s="1"/>
  <c r="F9" i="2"/>
  <c r="E9" i="2"/>
  <c r="D9" i="2"/>
  <c r="C9" i="2"/>
  <c r="G8" i="2"/>
  <c r="H8" i="2" s="1"/>
  <c r="F8" i="2"/>
  <c r="E8" i="2"/>
  <c r="D8" i="2"/>
  <c r="C8" i="2"/>
  <c r="G7" i="2"/>
  <c r="H7" i="2" s="1"/>
  <c r="H13" i="2" s="1"/>
  <c r="F7" i="2"/>
  <c r="E7" i="2"/>
  <c r="D7" i="2"/>
  <c r="C7" i="2"/>
  <c r="D28" i="1"/>
  <c r="C28" i="1"/>
  <c r="B28" i="1"/>
  <c r="D27" i="1"/>
  <c r="C27" i="1"/>
  <c r="B27" i="1"/>
  <c r="F26" i="1"/>
  <c r="D26" i="1"/>
  <c r="E26" i="1" s="1"/>
  <c r="C26" i="1"/>
  <c r="B26" i="1"/>
  <c r="D25" i="1"/>
  <c r="C25" i="1"/>
  <c r="B25" i="1"/>
  <c r="D21" i="1"/>
  <c r="C21" i="1"/>
  <c r="B21" i="1"/>
  <c r="D20" i="1"/>
  <c r="C20" i="1"/>
  <c r="B20" i="1"/>
  <c r="D19" i="1"/>
  <c r="C19" i="1"/>
  <c r="B19" i="1"/>
  <c r="D18" i="1"/>
  <c r="C18" i="1"/>
  <c r="B18" i="1"/>
  <c r="D17" i="1"/>
  <c r="C17" i="1"/>
  <c r="B17" i="1"/>
  <c r="D16" i="1"/>
  <c r="C16" i="1"/>
  <c r="B16" i="1"/>
  <c r="D12" i="1"/>
  <c r="C12" i="1"/>
  <c r="B12" i="1"/>
  <c r="D11" i="1"/>
  <c r="C11" i="1"/>
  <c r="B11" i="1"/>
  <c r="D10" i="1"/>
  <c r="C10" i="1"/>
  <c r="B10" i="1"/>
  <c r="E6" i="1"/>
  <c r="H52" i="1" s="1"/>
  <c r="C6" i="1"/>
  <c r="H50" i="1" s="1"/>
  <c r="B6" i="1"/>
  <c r="A6" i="1"/>
  <c r="E28" i="1" l="1"/>
  <c r="F28" i="1"/>
  <c r="F27" i="1"/>
  <c r="E27" i="1"/>
  <c r="E25" i="1"/>
  <c r="F25" i="1"/>
  <c r="F21" i="1"/>
  <c r="E21" i="1"/>
  <c r="F20" i="1"/>
  <c r="E20" i="1"/>
  <c r="F19" i="1"/>
  <c r="E19" i="1"/>
  <c r="F18" i="1"/>
  <c r="E18" i="1"/>
  <c r="F17" i="1"/>
  <c r="E17" i="1"/>
  <c r="F16" i="1"/>
  <c r="E16" i="1"/>
  <c r="E12" i="1"/>
  <c r="F12" i="1"/>
  <c r="F11" i="1"/>
  <c r="E11" i="1"/>
  <c r="F10" i="1"/>
  <c r="E10" i="1"/>
  <c r="H49" i="1"/>
  <c r="D6" i="1"/>
  <c r="H51" i="1" s="1"/>
  <c r="F6" i="1"/>
</calcChain>
</file>

<file path=xl/sharedStrings.xml><?xml version="1.0" encoding="utf-8"?>
<sst xmlns="http://schemas.openxmlformats.org/spreadsheetml/2006/main" count="10233" uniqueCount="1004">
  <si>
    <t>SQ mark 심사 준비 현황 대시보드 (경영보고용)</t>
  </si>
  <si>
    <t>고객사: 한온시스템(Hanon Systems) | 기준: IATF16949/ISO9001 | 작성일: 2026-09-17(Rev.2, QP/WI 본문 대조 재판정 반영) | 데이터 갱신 안내: "전체_필요서류리스트"/부서별 탭의 "준비상태" 드롭다운을 갱신하면 이 표가 자동으로 다시 계산됩니다.</t>
  </si>
  <si>
    <t>1. 전체 진행 현황</t>
  </si>
  <si>
    <t>총 필요서류</t>
  </si>
  <si>
    <t>완료</t>
  </si>
  <si>
    <t>진행중</t>
  </si>
  <si>
    <t>미착수</t>
  </si>
  <si>
    <t>해당없음</t>
  </si>
  <si>
    <t>전체 완료율</t>
  </si>
  <si>
    <t>2. 우선순위별 진행 현황</t>
  </si>
  <si>
    <t>우선순위</t>
  </si>
  <si>
    <t>총 건수</t>
  </si>
  <si>
    <t>완료율</t>
  </si>
  <si>
    <t>높음 (A)</t>
  </si>
  <si>
    <t>보통 (B)</t>
  </si>
  <si>
    <t>낮음 (C)</t>
  </si>
  <si>
    <t>3. 담당부서별 진행 현황</t>
  </si>
  <si>
    <t>담당부서</t>
  </si>
  <si>
    <t>생산팀</t>
  </si>
  <si>
    <t>품질팀</t>
  </si>
  <si>
    <t>구매자재팀</t>
  </si>
  <si>
    <t>생산기술</t>
  </si>
  <si>
    <t>개발팀</t>
  </si>
  <si>
    <t>(부서 미정)</t>
  </si>
  <si>
    <t>4. 월별 목표완료 일정 및 진행 현황</t>
  </si>
  <si>
    <t>목표월</t>
  </si>
  <si>
    <t>배정 건수</t>
  </si>
  <si>
    <t>2026-09</t>
  </si>
  <si>
    <t>2026-10</t>
  </si>
  <si>
    <t>2026-11</t>
  </si>
  <si>
    <t>2026-12</t>
  </si>
  <si>
    <t>준비상태</t>
  </si>
  <si>
    <t>건수</t>
  </si>
  <si>
    <t>※ 본 대시보드는 "전체_필요서류리스트" 시트의 데이터를 실시간으로 집계합니다. 각 부서 탭(D_생산팀 등)에서 "준비상태"를 미착수→진행중→완료로 갱신하면 파일을 열 때 자동으로 반영됩니다.</t>
  </si>
  <si>
    <t>SQ mark 심사 추진 계획 - 필요서류 정리 요약(종합)</t>
  </si>
  <si>
    <t>고객사: 한온시스템(Hanon Systems) | 기준: IATF16949/ISO9001 | 작성일: 2026-09-17(Rev.2, QP/WI 본문 대조 재판정 반영) | 원본: SQ_진척율 보고 자료 한온시스템 260907.xlsx</t>
  </si>
  <si>
    <t>DISCLAIMER: "작성구분"/"관련 기존 문서"는 QMS_REV00 품질경영시스템 통합문서(SH-QP-001~025, SH-WI-001~030) 실제 본문과 대조한 재판정 결과입니다(2026-09-17, Rev.2). 녹색=본문상 근거 확인된 기존 연계, 노란색="기존 절차 연계 (제안 — 검토 필요)"로 표시된 항목(본문 근거가 약하거나 새로 발견된 연계 후보 — 관련 기존 문서 칸의 [재검토]/[신규 발견]/[참고] 문구 확인), 빨간색=신규 작성 필요. "FM문서번호(안)"/"목표완료월"은 규칙 기반 1차 추정치입니다. 실제 활용 가능 여부, 양식 신규 제정 여부, 일정은 반드시 담당부서·품질책임자 검토 후 확정하세요.</t>
  </si>
  <si>
    <t>구분별 필요서류 현황</t>
  </si>
  <si>
    <t>NO</t>
  </si>
  <si>
    <t>구분</t>
  </si>
  <si>
    <t>필요서류 건수</t>
  </si>
  <si>
    <t>기존 절차 연계(건)</t>
  </si>
  <si>
    <t>기존 절차 연계-제안/검토필요(건)</t>
  </si>
  <si>
    <t>신규 작성 필요(건)</t>
  </si>
  <si>
    <t>준비상태-완료(건)</t>
  </si>
  <si>
    <t>준비상태-미완료(건)</t>
  </si>
  <si>
    <t>1. 생산조건관리</t>
  </si>
  <si>
    <t>2. 검사시험</t>
  </si>
  <si>
    <t>3. 설비관리</t>
  </si>
  <si>
    <t>4. 금형관리</t>
  </si>
  <si>
    <t>5. 자재관리</t>
  </si>
  <si>
    <t>6. 품질경영체제</t>
  </si>
  <si>
    <t>합계</t>
  </si>
  <si>
    <t>담당부서별 필요서류 건수 및 우선순위 분포</t>
  </si>
  <si>
    <t>우선순위 높음(A)</t>
  </si>
  <si>
    <t>우선순위 보통(B)</t>
  </si>
  <si>
    <t>우선순위 낮음(C)</t>
  </si>
  <si>
    <t>월별 목표완료 배정 건수 (전체_필요서류리스트 기준)</t>
  </si>
  <si>
    <t>SQ mark 심사 - 필요서류 전체 리스트 (구분별 통합, 우선순위/FM번호/일정 포함)</t>
  </si>
  <si>
    <t>작성일: 2026-09-17(Rev.2) | 총 240건 | 준비상태는 드롭다운으로 선택</t>
  </si>
  <si>
    <t>번호</t>
  </si>
  <si>
    <t>배점</t>
  </si>
  <si>
    <t>요구사항(세부 추진 항목)</t>
  </si>
  <si>
    <t>필요서류(준비서류)</t>
  </si>
  <si>
    <t>FM문서번호(안)</t>
  </si>
  <si>
    <t>현장 연계</t>
  </si>
  <si>
    <t>담당자</t>
  </si>
  <si>
    <t>작성구분(자동추정)</t>
  </si>
  <si>
    <t>관련 기존 문서(참고)</t>
  </si>
  <si>
    <t>목표완료월(제안)</t>
  </si>
  <si>
    <t>비고</t>
  </si>
  <si>
    <t>1-1</t>
  </si>
  <si>
    <t>보통</t>
  </si>
  <si>
    <t>표준류(관리계획서, 작업표준서, 설비일상점검표 등)와 실제공정 일치성 확인[관리 분담 등]</t>
  </si>
  <si>
    <t>P-FMEA</t>
  </si>
  <si>
    <t>SH-FM-QP010-01</t>
  </si>
  <si>
    <t>이광재</t>
  </si>
  <si>
    <t>기존 절차 연계</t>
  </si>
  <si>
    <t>SH-QP-010(APQP 및 PPAP 관리 절차서); SH-WI-004(설비 일상점검 및 이상대응 표준)  [참고: 본문상 명확한 근거 약함(ratio=0.28), 담당부서 확인 권장]</t>
  </si>
  <si>
    <t>※재판정(본문대조): 본문상 명확한 근거 약함 — 담당부서 확인 권장(기존 분류 유지)</t>
  </si>
  <si>
    <t>고객과 협의된 검사협정서/검사기준서 기준과 실제 업무절차 일치성</t>
  </si>
  <si>
    <t>관리계획서</t>
  </si>
  <si>
    <t>SH-FM-QP010-02</t>
  </si>
  <si>
    <t>기존 절차 연계 (제안 — 검토 필요)</t>
  </si>
  <si>
    <t>[재검토] 기존 추정 SH-QP-010 근거 약함(ratio=0.34) -&gt; 대안 후보 SH-WI-022(변경 초기유동 및 강화검사 작업표준, ratio=0.69)</t>
  </si>
  <si>
    <t>※재판정(본문대조): 기존 근거서류 재검토 필요 — 관련문서 참고, 담당부서/품질팀 확인 후 확정</t>
  </si>
  <si>
    <t>공정 FMEA작성 및 주요 품질 문서 내용과 연계상태 확인</t>
  </si>
  <si>
    <t>작업표준서</t>
  </si>
  <si>
    <t>SH-FM-QP010-03</t>
  </si>
  <si>
    <t>관리본 배포</t>
  </si>
  <si>
    <t>지성규</t>
  </si>
  <si>
    <t>SH-QP-010(APQP 및 PPAP 관리 절차서)  [참고: 본문상 명확한 근거 약함(ratio=0.11), 담당부서 확인 권장]</t>
  </si>
  <si>
    <t>주요 표준류(작업표준서 등) 현장내 게시 상태</t>
  </si>
  <si>
    <t>설비일상점검표</t>
  </si>
  <si>
    <t>SH-FM-WI004-01</t>
  </si>
  <si>
    <t>SH-WI-004(설비 일상점검 및 이상대응 표준) [본문 확인 ratio=0.73]</t>
  </si>
  <si>
    <t>관리계획서 및 현장내 표준류 중요공정/안전 보안공정 식별표시관리</t>
  </si>
  <si>
    <t>고객승인 검사협정 / ISIR 서류</t>
  </si>
  <si>
    <t>SH-FM-QP010-04</t>
  </si>
  <si>
    <t>SH-QP-010(APQP 및 PPAP 관리 절차서); SH-QP-025(고객별 요구사항(CSR) 관리 절차서)  [참고: 본문상 명확한 근거 약함(ratio=0.23), 담당부서 확인 권장]</t>
  </si>
  <si>
    <t>1-2</t>
  </si>
  <si>
    <t>설비 가동중단 발생시 설비점검 절차 수립 및 준수상태</t>
  </si>
  <si>
    <t>설비재가동업무 프로세스</t>
  </si>
  <si>
    <t>SH-FM-WI016-01</t>
  </si>
  <si>
    <t>[재검토] 기존 추정 SH-WI-016 근거 약함(ratio=0.20) -&gt; 대안 후보 SH-QP-025(고객별 요구사항(CSR) 관리 절차서, ratio=0.56)</t>
  </si>
  <si>
    <t>※ 계획 : 가동중단 시간별/사유별 점검절차 수립 및 이행</t>
  </si>
  <si>
    <t>(계획/비계획정지 기준 명확화)</t>
  </si>
  <si>
    <t>SH-FM-WI020-01</t>
  </si>
  <si>
    <t>SH-WI-020(비상상황 생산복구 표준); SH-WI-025(품질이상 정지·보고·재가동 표준)  [참고: 본문상 명확한 근거 약함(ratio=0.28), 담당부서 확인 권장]</t>
  </si>
  <si>
    <t>비계획 : 이상발생 가동중단 발생시 설비 점검 지침, 생산중인 제품에 대한 품질보증 업무절차 수립 및 이행</t>
  </si>
  <si>
    <t>설비가동중단 LIST (설비이력카드 연계)</t>
  </si>
  <si>
    <t>SH-FM-WI016-02</t>
  </si>
  <si>
    <t>SH-WI-016(예방보전 및 설비점검 표준); SH-WI-020(비상상황 생산복구 표준)  [참고: 본문상 명확한 근거 약함(ratio=0.09), 담당부서 확인 권장]</t>
  </si>
  <si>
    <t>재가동후 초도생산품에 대한 중요품질특성부 품질검증 결과 기록관리여부</t>
  </si>
  <si>
    <t>재가동 초품 검사 체크시트</t>
  </si>
  <si>
    <t>SH-FM-QP003-01</t>
  </si>
  <si>
    <t>[재검토] 기존 추정 SH-QP-003 근거 약함(ratio=0.05) -&gt; 대안 후보 SH-WI-020(비상상황 생산복구 작업표준, ratio=0.79)</t>
  </si>
  <si>
    <t>비계획 가동중단 발생시 전/후 생산제품에 대한 LOT 구분 관리방안 수립 및 식별관리 실시</t>
  </si>
  <si>
    <t>재가동 초도생산품 LOT식별관리 기준서</t>
  </si>
  <si>
    <t>SH-FM-QP018-01</t>
  </si>
  <si>
    <t>SH-QP-018(식별 및 추적성 관리 절차서); SH-WI-005(제품 식별·LOT 추적 및 출하 표준)  [참고: 본문상 명확한 근거 약함(ratio=0.14), 담당부서 확인 권장]</t>
  </si>
  <si>
    <t>1-3</t>
  </si>
  <si>
    <t>낮음</t>
  </si>
  <si>
    <t>작업표준서, 설비일상점검 기준표, 작업일보 등 외국인 배치공정 표준류 현지어 번역 게시상태</t>
  </si>
  <si>
    <t>작업표준서 현지어번역본</t>
  </si>
  <si>
    <t>SH-FM-WI004-02</t>
  </si>
  <si>
    <t>SH-WI-004(설비 일상점검 및 이상대응 표준) [본문 확인 ratio=0.43]</t>
  </si>
  <si>
    <t>: 부적합 처리절차 및 중요 품질문제 개선 사례등 품질의식 강화목적 표준류 번역 게시 (추가 관리시 우수)</t>
  </si>
  <si>
    <t>설비일상점검표 현지어 번역본</t>
  </si>
  <si>
    <t>SH-FM-WI004-03</t>
  </si>
  <si>
    <t>SH-WI-004(설비 일상점검 및 이상대응 표준) [본문 확인 ratio=0.64]</t>
  </si>
  <si>
    <t>※ 해당공정 외국인작업자 주요 표준류 교육 및 내용 숙지 시 현지어 번역게시 불필요(현장확인 필요)</t>
  </si>
  <si>
    <t>작업일보 현지어 번역본</t>
  </si>
  <si>
    <t>SH-FM-PRD-N01</t>
  </si>
  <si>
    <t>신규 작성 필요</t>
  </si>
  <si>
    <t>부적합처리기준 현지어번역본</t>
  </si>
  <si>
    <t>SH-FM-PRD-N02</t>
  </si>
  <si>
    <t>[신규 발견] SH-QP-014(부적합품 및 재작업 관리 절차서, ratio=0.72) — 검토 후 확정 필요</t>
  </si>
  <si>
    <t>※재판정(본문대조): 기존 절차 연계 가능성 신규 발견 — 검토 후 확정 필요</t>
  </si>
  <si>
    <t>외관검사기준 현지어번역본</t>
  </si>
  <si>
    <t>SH-FM-PRD-N03</t>
  </si>
  <si>
    <t>[신규 발견] SH-WI-030(고객감사·인증심사 현장대응 표준, ratio=1.00) — 검토 후 확정 필요</t>
  </si>
  <si>
    <t>1-4</t>
  </si>
  <si>
    <t>품질관리 취약 시간대 관리기준 수립 및 관리상태</t>
  </si>
  <si>
    <t>품질취약시간관리기준서</t>
  </si>
  <si>
    <t>SH-FM-PRD-N04</t>
  </si>
  <si>
    <t>주간/야간 작업전 일상점검, 자주검사 및 순회검사 관리기준 수립 및 관리상태</t>
  </si>
  <si>
    <t>비상연락망</t>
  </si>
  <si>
    <t>SH-FM-QP020-01</t>
  </si>
  <si>
    <t>SH-QP-020(비상계획 및 공급연속성 절차서) [본문 확인 ratio=0.48]</t>
  </si>
  <si>
    <t>주간/야간 교대 시 공정 Issue 사항 전달 여부</t>
  </si>
  <si>
    <t>주야간업무 인수인계서</t>
  </si>
  <si>
    <t>SH-FM-WI015-01</t>
  </si>
  <si>
    <t>SH-WI-015(작업자 표준작업 및 교대인수인계 표준) [본문 확인 ratio=0.83]</t>
  </si>
  <si>
    <t>※ 초/종품 검사는 필수, 중품은 선택사항으로 자율적 기준 수립필요, 중품검사 미진행도 가능,</t>
  </si>
  <si>
    <t>야간설비일상점검표</t>
  </si>
  <si>
    <t>SH-FM-WI001-01</t>
  </si>
  <si>
    <t>[재검토] 기존 추정 SH-WI-001 근거 약함(ratio=0.17) -&gt; 대안 후보 SH-WI-004(설비 일상점검 및 이상대응 표준, ratio=0.73)</t>
  </si>
  <si>
    <t>단, 생산LOT가 장기적일경우 최소 1회/shift검사 진행 필요</t>
  </si>
  <si>
    <t>야간생산품 식별격리절차</t>
  </si>
  <si>
    <t>SH-FM-WI003-01</t>
  </si>
  <si>
    <t>SH-WI-003(부적합품 식별·격리 및 재작업 표준)  [참고: 본문상 명확한 근거 약함(ratio=0.24), 담당부서 확인 권장]</t>
  </si>
  <si>
    <t>※ 인원 부족으로 야간 검사요원 미 투입 시 야간 생산품 검증 프로세스 수립</t>
  </si>
  <si>
    <t>야간생산품 검사일지</t>
  </si>
  <si>
    <t>SH-FM-PRD-N05</t>
  </si>
  <si>
    <t>1-5</t>
  </si>
  <si>
    <t>높음</t>
  </si>
  <si>
    <t>▣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t>
  </si>
  <si>
    <t>작업표준서 OR 작업조건표</t>
  </si>
  <si>
    <t>SH-FM-QP003-02</t>
  </si>
  <si>
    <t>SH-QP-003(기록관리 절차서); SH-WI-011(공정조건 설정 및 변경관리 표준)  [참고: 본문상 명확한 근거 약함(ratio=0.15), 담당부서 확인 권장]</t>
  </si>
  <si>
    <t>작업일보</t>
  </si>
  <si>
    <t>SH-FM-PRD-N06</t>
  </si>
  <si>
    <t>(작업일보내작업조건필히기록)</t>
  </si>
  <si>
    <t>SH-FM-PRD-N07</t>
  </si>
  <si>
    <t>[신규 발견] SH-WI-001(생산 작업준비 및 초품확인 표준, ratio=0.72) — 검토 후 확정 필요</t>
  </si>
  <si>
    <t>로봇용접프로그램백업관리기준서</t>
  </si>
  <si>
    <t>SH-FM-PRD-N08</t>
  </si>
  <si>
    <t>황지환</t>
  </si>
  <si>
    <t>[신규 발견] SH-QP-003(기록관리 절차서, ratio=0.59) — 검토 후 확정 필요</t>
  </si>
  <si>
    <t>로봇용접프로그램백업관리실적</t>
  </si>
  <si>
    <t>SH-FM-PRD-N09</t>
  </si>
  <si>
    <t>[신규 발견] SH-QP-003(기록관리 절차서, ratio=0.82) — 검토 후 확정 필요</t>
  </si>
  <si>
    <t>용접조건 검증체크시트</t>
  </si>
  <si>
    <t>SH-FM-PRD-N10</t>
  </si>
  <si>
    <t>스폿용접전류/가압력 관리기준서</t>
  </si>
  <si>
    <t>SH-FM-PRD-N11</t>
  </si>
  <si>
    <t>스폿용접전류/가압력 관리실적(1회/월)</t>
  </si>
  <si>
    <t>SH-FM-PRD-N12</t>
  </si>
  <si>
    <t>2-1</t>
  </si>
  <si>
    <t>검사협정서/기준서 체결상태</t>
  </si>
  <si>
    <t>원자재 검사협정서  OR 검사기준서</t>
  </si>
  <si>
    <t>SH-FM-QP013-01</t>
  </si>
  <si>
    <t>이은주
박철호</t>
  </si>
  <si>
    <t>SH-QP-013(검사 및 시험관리 절차서) [본문 확인 ratio=0.46]</t>
  </si>
  <si>
    <t>(사급품은 1차 협력사가 체결한 검사협정서 사본 접수 및 동일 시료/주기로 검사 실시 필요)</t>
  </si>
  <si>
    <t>원자재 입고 LIST</t>
  </si>
  <si>
    <t>SH-FM-WI009-01</t>
  </si>
  <si>
    <t>SH-WI-009(자재 입고·보관·불출 관리 표준) [본문 확인 ratio=0.42]</t>
  </si>
  <si>
    <t>→ 검사협정 체결이 어려울 시 검사기준서 수립으로 대체 (예: 대기업 공급 원재료,도금업종 등)</t>
  </si>
  <si>
    <t>원자재수입검사 기준서</t>
  </si>
  <si>
    <t>SH-FM-QP013-02</t>
  </si>
  <si>
    <t>SH-QP-013(검사 및 시험관리 절차서) [본문 확인 ratio=0.68]</t>
  </si>
  <si>
    <t>외주품 입고 시 외주사 출하성적서 접수 및 수입검사 실측값 비교검증 여부</t>
  </si>
  <si>
    <t>원자재수입검사 일지</t>
  </si>
  <si>
    <t>SH-FM-INS-N01</t>
  </si>
  <si>
    <t>[신규 발견] SH-QP-013(검사 및 시험관리 절차서, ratio=0.91) — 검토 후 확정 필요</t>
  </si>
  <si>
    <t>원재료 M/SHEET 접수 시 물성 및 화학조성비 합/부 판단기준 명확화 수립</t>
  </si>
  <si>
    <t>원자재 M/SHEET (입고LOT별 접수)</t>
  </si>
  <si>
    <t>SH-FM-INS-N02</t>
  </si>
  <si>
    <t>[신규 발견] SH-WI-029(공급자 변경품 및 초도품 확인표준, ratio=0.64) — 검토 후 확정 필요</t>
  </si>
  <si>
    <t>입고 LOT와 출하검사 성적서내 LOT 일치성 확보여부(원소재의 경우 M/SHEET내 검사시료 LOT 일치성)</t>
  </si>
  <si>
    <t>원자재 규격별 물성및 화학조성비 기준서</t>
  </si>
  <si>
    <t>SH-FM-WI027-01</t>
  </si>
  <si>
    <t>SH-WI-027(검사성적서 및 품질기록 작성 표준)  [참고: 본문상 명확한 근거 약함(ratio=0.22), 담당부서 확인 권장]</t>
  </si>
  <si>
    <t>검사협정서/기준서에 준한 일상검사/정기검사 실시상태</t>
  </si>
  <si>
    <t>원자재 중금속검사 성적서</t>
  </si>
  <si>
    <t>SH-FM-WI027-02</t>
  </si>
  <si>
    <t>SH-WI-027(검사성적서 및 품질기록 작성표준) [본문 확인 ratio=0.80]</t>
  </si>
  <si>
    <t>(원소재) 도금처리된 원소재 판넬 : 도금 부착력 검사 (180˚밴딩후 크랙, 박리여부), 도금두께(3point),</t>
  </si>
  <si>
    <t>원자재식별표</t>
  </si>
  <si>
    <t>SH-FM-INS-N03</t>
  </si>
  <si>
    <t>2-2</t>
  </si>
  <si>
    <t>외주품 입고시 수입검사 마스터 관리 대장 작성을 통한 검사 누락 예방</t>
  </si>
  <si>
    <t>외주품 수입검사기준서</t>
  </si>
  <si>
    <t>SH-FM-QP013-03</t>
  </si>
  <si>
    <t>김명용</t>
  </si>
  <si>
    <t>SH-QP-013(검사 및 시험관리 절차서) [본문 확인 ratio=0.81]</t>
  </si>
  <si>
    <t>수입검사 실시 전 외주품/원재료 입고처리 안되도록 업무 프로세스 수립</t>
  </si>
  <si>
    <t>외주품입고식별표</t>
  </si>
  <si>
    <t>SH-FM-INS-N04</t>
  </si>
  <si>
    <t>이은주</t>
  </si>
  <si>
    <t>외주품 부적합처리기준서</t>
  </si>
  <si>
    <t>SH-FM-INS-N05</t>
  </si>
  <si>
    <t>외주품 검사협정서</t>
  </si>
  <si>
    <t>SH-FM-INS-N06</t>
  </si>
  <si>
    <t>외주품 검사기준서</t>
  </si>
  <si>
    <t>SH-FM-QP013-04</t>
  </si>
  <si>
    <t>SH-QP-013(검사 및 시험관리 절차서) [본문 확인 ratio=0.55]</t>
  </si>
  <si>
    <t>2-3</t>
  </si>
  <si>
    <t>외주품/완제품 외관 합/부 판별용 한도견본 운영</t>
  </si>
  <si>
    <t>한도견본 관리대장(외주품/완성품)</t>
  </si>
  <si>
    <t>SH-FM-INS-N07</t>
  </si>
  <si>
    <t>한도견본의 변색, 변형, 녹 발생 등으로 실제 견본품 운영이 어려울 경우 외관검사기준서로 대체 가능</t>
  </si>
  <si>
    <t>한도견본 식별표</t>
  </si>
  <si>
    <t>SH-FM-QP013-05</t>
  </si>
  <si>
    <t>[재검토] 기존 추정 SH-QP-013 근거 약함(ratio=0.10) -&gt; 대안 후보 SH-WI-001(생산 작업준비 및 초품확인 표준, ratio=0.62)</t>
  </si>
  <si>
    <t>검사기 신뢰도 확인을 위한 양/불 마스터 설정기준 및 관리상태</t>
  </si>
  <si>
    <t>한도견본 샘플보관대 및 샘플</t>
  </si>
  <si>
    <t>SH-FM-INS-N08</t>
  </si>
  <si>
    <t>외관검사 지정항목 (버, 찍힘, 스크래치, 밴딩, 뒤틀림, 오염, 변색, 얼룩, 이물질) 수치적 한도설정,</t>
  </si>
  <si>
    <t>외관검사기준서</t>
  </si>
  <si>
    <t>SH-FM-QP013-06</t>
  </si>
  <si>
    <t>SH-QP-013(검사 및 시험관리 절차서)  [참고: 본문상 명확한 근거 약함(ratio=0.29), 담당부서 확인 권장]</t>
  </si>
  <si>
    <t>2-4</t>
  </si>
  <si>
    <t>정기 시험 성적서 신뢰도 확보</t>
  </si>
  <si>
    <t>정기검사계획대실적(치수/용접)</t>
  </si>
  <si>
    <t>SH-FM-INS-N09</t>
  </si>
  <si>
    <t>(성적서 시험 전/후 사진 첨부, 사진內 시험 날짜표시, 계측기 전산 연동시 원본데이터 저장관리 등)</t>
  </si>
  <si>
    <t>정기검사성적서(치수/용접)</t>
  </si>
  <si>
    <t>SH-FM-WI006-01</t>
  </si>
  <si>
    <t>[재검토] 기존 추정 SH-WI-006 근거 약함(ratio=0.02) -&gt; 대안 후보 SH-WI-027(검사성적서 및 품질기록 작성표준, ratio=0.66)</t>
  </si>
  <si>
    <t>환경규제(중금속) 정기시험 실시상태 : 검사협정 체결기준 시험결과 증빙관리 상태</t>
  </si>
  <si>
    <t>중금속 정기검사 계획대실적</t>
  </si>
  <si>
    <t>SH-FM-INS-N10</t>
  </si>
  <si>
    <t>(시험장비 보유시 자체 성적서 인정, 미보유시 1차사 또는 공인기관 의뢰 가능)</t>
  </si>
  <si>
    <t>중금속 성적서</t>
  </si>
  <si>
    <t>SH-FM-INS-N11</t>
  </si>
  <si>
    <t>2-5</t>
  </si>
  <si>
    <t>검사협정 체결기준 시험항목 자체시험 가능한 계측장비 보유상태 (정기 신뢰성 항목별 계측기 지정 및 준수필요)</t>
  </si>
  <si>
    <t>계측기관리대장</t>
  </si>
  <si>
    <t>SH-FM-QP008-01</t>
  </si>
  <si>
    <t>SH-QP-008(모니터링 및 측정자원 관리 절차서) [본문 확인 ratio=0.63]</t>
  </si>
  <si>
    <t>※ 고가 계측기 등 자체검증 불가능 시험 항목의 경우 1차 협력사 또는 공인기관시험 인정</t>
  </si>
  <si>
    <t>계측기이력카드</t>
  </si>
  <si>
    <t>SH-FM-WI006-02</t>
  </si>
  <si>
    <t>SH-WI-006(계측기 사용 및 일상점검 표준)  [참고: 본문상 명확한 근거 약함(ratio=0.12), 담당부서 확인 권장]</t>
  </si>
  <si>
    <t>(예 : 3차원 측정기, 성분분석기 등)되나 시험결과 접수 및 이상발생 여부 검토 필요</t>
  </si>
  <si>
    <t>계측기검교정 계획대실적표</t>
  </si>
  <si>
    <t>SH-FM-WI006-03</t>
  </si>
  <si>
    <t>계측기 검교정 계획 대비 실적관리 상태 (계측기 검교정 성적서/테그 관리)</t>
  </si>
  <si>
    <t>계측기검교정 성적서</t>
  </si>
  <si>
    <t>SH-FM-WI006-04</t>
  </si>
  <si>
    <t>SH-WI-006(계측기 사용 및 일상점검 표준)  [참고: 본문상 명확한 근거 약함(ratio=0.22), 담당부서 확인 권장]</t>
  </si>
  <si>
    <t>계측기보관함  위치지정및 레이아웃 주소화</t>
  </si>
  <si>
    <t>SH-FM-WI006-05</t>
  </si>
  <si>
    <t>주요 검사구 유효성 확보여부 점검결과</t>
  </si>
  <si>
    <t>검사구관리대장</t>
  </si>
  <si>
    <t>SH-FM-WI007-01</t>
  </si>
  <si>
    <t>김주태</t>
  </si>
  <si>
    <t>SH-WI-007(검사구 및 Gauge R&amp;R 수행 표준)  [참고: 본문상 명확한 근거 약함(ratio=0.13), 담당부서 확인 권장]</t>
  </si>
  <si>
    <t>[정밀프레스] 자주검사用 정밀 측정장비 필수보유</t>
  </si>
  <si>
    <t>검사구이력카드</t>
  </si>
  <si>
    <t>SH-FM-WI002-01</t>
  </si>
  <si>
    <t>SH-WI-002(공정검사 및 특수특성 관리 표준); SH-WI-007(검사구 및 Gauge R&amp;R 수행 표준)  [참고: 본문상 명확한 근거 약함(ratio=0.00), 담당부서 확인 권장]</t>
  </si>
  <si>
    <t>→ 필수 측정장비는 검사항목별 상이: 공구현미경, 비접촉시 3차원 측정기, 투영기, X-Ray 측정기</t>
  </si>
  <si>
    <t>검사구정기점검 계획대실적표</t>
  </si>
  <si>
    <t>SH-FM-WI007-02</t>
  </si>
  <si>
    <t>SH-WI-007(검사구 및 Gauge R&amp;R 수행 표준)  [참고: 본문상 명확한 근거 약함(ratio=0.14), 담당부서 확인 권장]</t>
  </si>
  <si>
    <t>(내부 단면검사, 단자 &amp; 터미널 필수)등</t>
  </si>
  <si>
    <t>검사구점검체크시트</t>
  </si>
  <si>
    <t>SH-FM-WI007-03</t>
  </si>
  <si>
    <t>SH-WI-007(검사구 및 Gauge R&amp;R 수행 표준) [본문 확인 ratio=0.81]</t>
  </si>
  <si>
    <t>비전 전수검사장비 유효성 검사 : 시업전 OK, NG마스터를 활용한 검출 유효성 점검후 생산</t>
  </si>
  <si>
    <t>검사구보관 lay-out</t>
  </si>
  <si>
    <t>SH-FM-WI007-04</t>
  </si>
  <si>
    <t>SH-WI-007(검사구 및 Gauge R&amp;R 수행 표준)  [참고: 본문상 명확한 근거 약함(ratio=0.22), 담당부서 확인 권장]</t>
  </si>
  <si>
    <t>(정기적 반복측정 게이지 R&amp;R진행)</t>
  </si>
  <si>
    <t>검사구 식별표</t>
  </si>
  <si>
    <t>SH-FM-WI007-05</t>
  </si>
  <si>
    <t>SH-WI-007(검사구 및 Gauge R&amp;R 수행 표준) [본문 확인 ratio=0.56]</t>
  </si>
  <si>
    <t>2-6</t>
  </si>
  <si>
    <t>계측기 운영 기준별 R&amp;R 평가 계획 수립</t>
  </si>
  <si>
    <t>계측기 GAGE R&amp;R 계획대실적표</t>
  </si>
  <si>
    <t>SH-FM-WI006-06</t>
  </si>
  <si>
    <t>SH-WI-006(계측기 사용 및 일상점검 표준)  [참고: 본문상 명확한 근거 약함(ratio=0.18), 담당부서 확인 권장]</t>
  </si>
  <si>
    <t>(자체제작 전용 계측기는 필히 실시할 것. V/C등 범용 계측기의 경우 별도 계측기별 R&amp;R 평가 불필요)</t>
  </si>
  <si>
    <t>계측기 GAGE R&amp;R 실시실적</t>
  </si>
  <si>
    <t>SH-FM-WI006-07</t>
  </si>
  <si>
    <t>SH-WI-006(계측기 사용 및 일상점검 표준) [본문 확인 ratio=0.43]</t>
  </si>
  <si>
    <t>계측 장비별 실제 사용인력(작업자/검사원) 계량형  R&amp;R 검증 진행 및 R&amp;R 10% 이하관리 필요</t>
  </si>
  <si>
    <t>계측기 사용자 등록현황</t>
  </si>
  <si>
    <t>SH-FM-WI006-08</t>
  </si>
  <si>
    <t>SH-WI-006(계측기 사용 및 일상점검 표준) [본문 확인 ratio=0.52]</t>
  </si>
  <si>
    <t>2-7</t>
  </si>
  <si>
    <t>초/종품 외관, 치수 및 장착상태 (용접지그 수정/변경시 치수 및 용접물간 갭 최대 1mm 이하관리 - 샘플실측)</t>
  </si>
  <si>
    <t>자주검사기준서</t>
  </si>
  <si>
    <t>SH-FM-QP013-07</t>
  </si>
  <si>
    <t>SH-QP-013(검사 및 시험관리 절차서); SH-WI-002(공정검사 및 특수특성 관리 표준)  [참고: 본문상 명확한 근거 약함(ratio=0.32), 담당부서 확인 권장]</t>
  </si>
  <si>
    <t>예) 카울크로스바 파이프-SUB 용접물 간 갭</t>
  </si>
  <si>
    <t>자주검사체크시트</t>
  </si>
  <si>
    <t>SH-FM-WI002-02</t>
  </si>
  <si>
    <t>SH-WI-002(공정검사 및 특수특성 관리 표준)  [참고: 본문상 명확한 근거 약함(ratio=0.00), 담당부서 확인 권장]</t>
  </si>
  <si>
    <t>자주검사 기록, 불량품 시정조치 내역 및 이력관리 상태</t>
  </si>
  <si>
    <t>용접spatter 관리기준</t>
  </si>
  <si>
    <t>SH-FM-QP016-01</t>
  </si>
  <si>
    <t>SH-QP-016(시정조치 및 문제해결 절차서); SH-WI-002(공정검사 및 특수특성 관리 표준)  [참고: 본문상 명확한 근거 약함(ratio=0.09), 담당부서 확인 권장]</t>
  </si>
  <si>
    <t>용접제품 표면관리기준 설정 (스패터, Chip, 버어, 이물질 ) 및 점검 이력 관리</t>
  </si>
  <si>
    <t>용접스패터관리 점검체크시트</t>
  </si>
  <si>
    <t>SH-FM-INS-N12</t>
  </si>
  <si>
    <t>QC순회검사: 작업자 자주검사 실시상태 확인 및 주요 포인트 추가 검사 후 확인 서명</t>
  </si>
  <si>
    <t>SH-FM-WI002-03</t>
  </si>
  <si>
    <t>SH-WI-002(공정검사 및 특수특성 관리 표준)  [참고: 본문상 명확한 근거 약함(ratio=0.13), 담당부서 확인 권장]</t>
  </si>
  <si>
    <t>→ 용접관련 기술표준 (MS181   ▷ 13 (용융용접) / MS 181   ▷ 06 (SEAM용접) /</t>
  </si>
  <si>
    <t>품질순회검사체크시트(중요항목치수추가)</t>
  </si>
  <si>
    <t>SH-FM-WI002-04</t>
  </si>
  <si>
    <t>SH-WI-002(공정검사 및 특수특성 관리 표준)  [참고: 본문상 명확한 근거 약함(ratio=0.04), 담당부서 확인 권장]</t>
  </si>
  <si>
    <t>MS181   ▷ 15 (점용접) 참조</t>
  </si>
  <si>
    <t>자주검사대 설치(초중종현품보관)</t>
  </si>
  <si>
    <t>SH-FM-WI002-05</t>
  </si>
  <si>
    <t>2-8</t>
  </si>
  <si>
    <t>외관, 치수, 취약부 절단면 검사, 상대 물 조립 성 검증 등 (샘플 실측 요망)</t>
  </si>
  <si>
    <t>완성품검사기준서</t>
  </si>
  <si>
    <t>SH-FM-QP013-08</t>
  </si>
  <si>
    <t>SH-QP-013(검사 및 시험관리 절차서) [본문 확인 ratio=0.36]</t>
  </si>
  <si>
    <t>완성품검사체크시트</t>
  </si>
  <si>
    <t>SH-FM-INS-N13</t>
  </si>
  <si>
    <t>완성품검사식별표</t>
  </si>
  <si>
    <t>SH-FM-INS-N14</t>
  </si>
  <si>
    <t>완성품보관장소선정</t>
  </si>
  <si>
    <t>SH-FM-INS-N15</t>
  </si>
  <si>
    <t>[신규 발견] SH-WI-006(계측기 사용 및 일상점검 표준, ratio=1.00) — 검토 후 확정 필요</t>
  </si>
  <si>
    <t>완성검사관리대제작</t>
  </si>
  <si>
    <t>SH-FM-INS-N16</t>
  </si>
  <si>
    <t>[신규 발견] SH-QP-012(생산 및 공정관리 절차서, ratio=0.63) — 검토 후 확정 필요</t>
  </si>
  <si>
    <t>(QMS SYSTEM 운영시 컴퓨터설치운영)</t>
  </si>
  <si>
    <t>SH-FM-INS-N17</t>
  </si>
  <si>
    <t>2-9</t>
  </si>
  <si>
    <t>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t>
  </si>
  <si>
    <t>용입검사 계획대실적</t>
  </si>
  <si>
    <t>SH-FM-INS-N18</t>
  </si>
  <si>
    <t>용접로보트별 용접POINT 관리표준</t>
  </si>
  <si>
    <t>SH-FM-INS-N19</t>
  </si>
  <si>
    <t>한상돈</t>
  </si>
  <si>
    <t>SH-FM-INS-N20</t>
  </si>
  <si>
    <t>용접반파괴/파괴검사기준</t>
  </si>
  <si>
    <t>SH-FM-INS-N21</t>
  </si>
  <si>
    <t>용접검사체크시트</t>
  </si>
  <si>
    <t>SH-FM-INS-N22</t>
  </si>
  <si>
    <t>용접반파괴 검사대제작</t>
  </si>
  <si>
    <t>SH-FM-INS-N23</t>
  </si>
  <si>
    <t>(용접반파괴테스트 보관대제작-한도견본&amp;현품)</t>
  </si>
  <si>
    <t>SH-FM-INS-N24</t>
  </si>
  <si>
    <t>[신규 발견] SH-WI-001(생산 작업준비 및 초품확인 표준, ratio=1.00) — 검토 후 확정 필요</t>
  </si>
  <si>
    <t>3-1</t>
  </si>
  <si>
    <t>설비별 설비일상 점검부위 및 점검방법 도식화 관리상태</t>
  </si>
  <si>
    <t>설비일상점검기준서</t>
  </si>
  <si>
    <t>SH-FM-WI004-04</t>
  </si>
  <si>
    <t>SH-WI-004(설비 일상점검 및 이상대응 표준) [본문 확인 ratio=0.62]</t>
  </si>
  <si>
    <t>설비내 부착 게이지류 상/하한 식별 및 측정 실측값 일상점검표 기록관리</t>
  </si>
  <si>
    <t>설비일상점검표(각부위별사진도식화)</t>
  </si>
  <si>
    <t>SH-FM-QP003-03</t>
  </si>
  <si>
    <t>게이지값기록</t>
  </si>
  <si>
    <t>[재검토] 기존 추정 SH-QP-003 근거 약함(ratio=0.04) -&gt; 대안 후보 SH-WI-004(설비 일상점검 및 이상대응 표준, ratio=0.68)</t>
  </si>
  <si>
    <t>설비내 F/P설비 경고등/알람 정상작동 및 설비내 셋팅값/관리공차 표준과 일치여부</t>
  </si>
  <si>
    <t>설비게이지 상하한식별관리</t>
  </si>
  <si>
    <t>SH-FM-QP018-02</t>
  </si>
  <si>
    <t>SH-QP-018(식별 및 추적성 관리 절차서)  [참고: 본문상 명확한 근거 약함(ratio=0.00), 담당부서 확인 권장]</t>
  </si>
  <si>
    <t>설비 셋팅값 임의조작 방지를 위한 시건장치/KEY-LOCK 반영상태</t>
  </si>
  <si>
    <t>설비 오셋팅방지 KEY-LOCK</t>
  </si>
  <si>
    <t>SH-FM-EQP-N01</t>
  </si>
  <si>
    <t>3-2</t>
  </si>
  <si>
    <t>주요 핵심설비 정기점검 계획수립 및 점검상태(외주업체 정도점검 성적서 포함, 최소 1회/년)</t>
  </si>
  <si>
    <t>설비정기점검 계획대실적표</t>
  </si>
  <si>
    <t>SH-FM-EQP-N02</t>
  </si>
  <si>
    <t>0</t>
  </si>
  <si>
    <t>(외주업체 또는 자체 정도점검 가능 설비/인력이 확보된경우 인정)</t>
  </si>
  <si>
    <t>설비정기점검 실적</t>
  </si>
  <si>
    <t>SH-FM-EQP-N03</t>
  </si>
  <si>
    <t>설비내 소모성 부자재류 점검/교체주기 설정 및 준수여부</t>
  </si>
  <si>
    <t>설비관리대장</t>
  </si>
  <si>
    <t>SH-FM-EQP-N04</t>
  </si>
  <si>
    <t>[필요시 소모성 부자재 교체주기 설정근거 제시 필요, T/O 이력 등]</t>
  </si>
  <si>
    <t>설비이력카드</t>
  </si>
  <si>
    <t>SH-FM-EQP-N05</t>
  </si>
  <si>
    <t>설비고장수리반영</t>
  </si>
  <si>
    <t>설비 부착 센서 및 게이지류에 대한 정도 보증 방안 수립 및 이행 상태</t>
  </si>
  <si>
    <t>설비수리보고서</t>
  </si>
  <si>
    <t>SH-FM-WI018-01</t>
  </si>
  <si>
    <t>[재검토] 기존 추정 SH-WI-018 근거 약함(ratio=0.00) -&gt; 대안 후보 SH-WI-015(작업자 표준작업 및 교대인수인계 표준, ratio=0.55)</t>
  </si>
  <si>
    <t>1) 설비내 주요 압력계 정기점검 정도보증 또른 검교정된 마스터게이지 비교 검증활동 실시</t>
  </si>
  <si>
    <t>설비압력게이지 검증 계획대실적표</t>
  </si>
  <si>
    <t>SH-FM-EQP-N06</t>
  </si>
  <si>
    <t>[신규 발견] SH-QP-015(변경관리 절차서, ratio=0.67) — 검토 후 확정 필요</t>
  </si>
  <si>
    <t>2) 금형내 노즐온도 센서 등 중요 센서류 고장여부 정기점검시 정도보증 활동 필요</t>
  </si>
  <si>
    <t>설비압력게이지 점검실적</t>
  </si>
  <si>
    <t>SH-FM-WI008-01</t>
  </si>
  <si>
    <t>B/C,C/B,O/R</t>
  </si>
  <si>
    <t>SH-WI-008(금형·치공구 교환 및 관리 표준)  [참고: 본문상 명확한 근거 약함(ratio=0.00), 담당부서 확인 권장]</t>
  </si>
  <si>
    <t>※ 설비 일상점검 항목을 제외한 세부 점검 필요부만 정기점검 계획 수립 및 점검 필요</t>
  </si>
  <si>
    <t>설비예비품관리대장</t>
  </si>
  <si>
    <t>SH-FM-WI004-05</t>
  </si>
  <si>
    <t>SH-WI-004(설비 일상점검 및 이상대응 표준)  [참고: 본문상 명확한 근거 약함(ratio=0.25), 담당부서 확인 권장]</t>
  </si>
  <si>
    <t>설비 작동유는 사용시간을 고려한 교체주기설정 예)설비오일 2,000Hr시 전량교체 (필터포함)(※정밀프레스추가)</t>
  </si>
  <si>
    <t>설비예비품 입출고 관리일지</t>
  </si>
  <si>
    <t>SH-FM-EQP-N07</t>
  </si>
  <si>
    <t>프레스설비 1회/년 설비제조협력사에 정기정도 점검 진행</t>
  </si>
  <si>
    <t>작동유관리기준서</t>
  </si>
  <si>
    <t>SH-FM-EQP-N08</t>
  </si>
  <si>
    <t>(일상검사시 Air 압력 검사: 바란스, 클러치, 브레이크 AIR) (※정밀프레스 추가)</t>
  </si>
  <si>
    <t>작동유샘플보관대제작설치</t>
  </si>
  <si>
    <t>SH-FM-EQP-N09</t>
  </si>
  <si>
    <t>3-3</t>
  </si>
  <si>
    <t>용접기: 팁 교환. 노즐청소. 와이어 공급기. 케이블. 전류 전압. 전극 드레싱 및 교환</t>
  </si>
  <si>
    <t>CO2용접원점확인장치</t>
  </si>
  <si>
    <t>SH-FM-EQP-N10</t>
  </si>
  <si>
    <t>김운주</t>
  </si>
  <si>
    <t>'- 유압설비: 유압. 유량. 소음. 누유 등 이상유무 확인</t>
  </si>
  <si>
    <t>스폿로봇 원점확인장치</t>
  </si>
  <si>
    <t>SH-FM-EQP-N11</t>
  </si>
  <si>
    <t>유틸리티: 에어압력. 냉각수(온도: 10∼30℃). 압력: 가스 유량</t>
  </si>
  <si>
    <t>용접전극드레싱/교환 F/P장비설치</t>
  </si>
  <si>
    <t>SH-FM-EQP-N12</t>
  </si>
  <si>
    <t>3-4</t>
  </si>
  <si>
    <t>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t>
  </si>
  <si>
    <t>설비정기점검 관리기준서</t>
  </si>
  <si>
    <t>SH-FM-EQP-N13</t>
  </si>
  <si>
    <t>설비정기점검계획대실적표</t>
  </si>
  <si>
    <t>SH-FM-EQP-N14</t>
  </si>
  <si>
    <t>SH-FM-EQP-N15</t>
  </si>
  <si>
    <t>3-5</t>
  </si>
  <si>
    <t>전극, 가스, 냉각수 관리 F/PROOF 구축시 관리기준 및 준수상태, F/PROOF 미구축시 관리기준 수립여부,</t>
  </si>
  <si>
    <t>SH-FM-EQP-N16</t>
  </si>
  <si>
    <t>기준준수 및 이행상태</t>
  </si>
  <si>
    <t>SH-FM-EQP-N17</t>
  </si>
  <si>
    <t>(드레싱 및 교체 주기 관리, 용접타점 관리, 타점 도달시 경보장치)</t>
  </si>
  <si>
    <t>가스잔량 F/P장치</t>
  </si>
  <si>
    <t>SH-FM-EQP-N18</t>
  </si>
  <si>
    <t>3-6</t>
  </si>
  <si>
    <t>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t>
  </si>
  <si>
    <t>JIG정기점검 관리기준서</t>
  </si>
  <si>
    <t>SH-FM-EQP-N19</t>
  </si>
  <si>
    <t>JIG정기점검계획대실적표</t>
  </si>
  <si>
    <t>SH-FM-EQP-N20</t>
  </si>
  <si>
    <t>JIG 기준핀정기점검 실적</t>
  </si>
  <si>
    <t>SH-FM-EQP-N21</t>
  </si>
  <si>
    <t>JIG PIN 위치도 및 상세사진 위치도</t>
  </si>
  <si>
    <t>SH-FM-EQP-N22</t>
  </si>
  <si>
    <t>4-1</t>
  </si>
  <si>
    <t>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t>
  </si>
  <si>
    <t>금형관리 프로세스</t>
  </si>
  <si>
    <t>SH-FM-WI008-02</t>
  </si>
  <si>
    <t>SH-WI-008(금형·치공구 교환 및 관리 표준)  [참고: 본문상 명확한 근거 약함(ratio=0.08), 담당부서 확인 권장]</t>
  </si>
  <si>
    <t>금형관리대장</t>
  </si>
  <si>
    <t>SH-FM-WI008-03</t>
  </si>
  <si>
    <t>[재검토] 기존 추정 SH-WI-008 근거 약함(ratio=0.00) -&gt; 대안 후보 SH-QP-021(품질목표 및 KPI 관리 절차서, ratio=1.00)</t>
  </si>
  <si>
    <t>금형이력카드</t>
  </si>
  <si>
    <t>SH-FM-WI008-04</t>
  </si>
  <si>
    <t>MMS SYSTEM금형수리내역</t>
  </si>
  <si>
    <t>SH-FM-WI008-05</t>
  </si>
  <si>
    <t>SH-WI-008(금형·치공구 교환 및 관리 표준); SH-WI-018(재작업 및 수리 표준)  [참고: 본문상 명확한 근거 약함(ratio=0.00), 담당부서 확인 권장]</t>
  </si>
  <si>
    <t>금형일상점검관리기준서</t>
  </si>
  <si>
    <t>SH-FM-WI008-06</t>
  </si>
  <si>
    <t>[재검토] 기존 추정 SH-WI-008 근거 약함(ratio=0.00) -&gt; 대안 후보 SH-WI-001(생산 작업준비 및 초품확인 표준, ratio=0.80)</t>
  </si>
  <si>
    <t>금형일상점검체크시트</t>
  </si>
  <si>
    <t>SH-FM-WI008-07</t>
  </si>
  <si>
    <t>4-2</t>
  </si>
  <si>
    <t>금형별 등급별 점검/세척 기준 설정 및 준수상태 [점검 타발수 도달 전 예방점검 활동 가능토록 업무절차 수립 필요]</t>
  </si>
  <si>
    <t>금형등급관리준서</t>
  </si>
  <si>
    <t>SH-FM-WI008-08</t>
  </si>
  <si>
    <t>금형별 타발수 기록/관리 상태(정기적인 실적점검 실적)</t>
  </si>
  <si>
    <t>금형별 등급실적</t>
  </si>
  <si>
    <t>SH-FM-QP003-04</t>
  </si>
  <si>
    <t>SH-QP-003(기록관리 절차서); SH-WI-008(금형·치공구 교환 및 관리 표준)  [참고: 본문상 명확한 근거 약함(ratio=0.00), 담당부서 확인 권장]</t>
  </si>
  <si>
    <t>→ 전산시스템 대체 방안(엑셀, 금형관리 마스터 LIST 등) 활용한 타발수 실적관리 데이터 유효성 확보여부 점검</t>
  </si>
  <si>
    <t>금형정기점검실적</t>
  </si>
  <si>
    <t>SH-FM-WI008-09</t>
  </si>
  <si>
    <t>(설비내 카운터 또는 생산일보 실적 기준으로 타발수 관리 필요,      ※ 출하수량 기준으로 타발수 관리시 감점 실시)</t>
  </si>
  <si>
    <t>금형타발수관리대장</t>
  </si>
  <si>
    <t>SH-FM-WI008-10</t>
  </si>
  <si>
    <t>※ 출하수량 기준으로 타발수 관리시 감점 실시)</t>
  </si>
  <si>
    <t>금형전산화시스템적용시 금형반컴퓨터설치</t>
  </si>
  <si>
    <t>SH-FM-WI008-11</t>
  </si>
  <si>
    <t>SH-WI-008(금형·치공구 교환 및 관리 표준)  [참고: 본문상 명확한 근거 약함(ratio=0.23), 담당부서 확인 권장]</t>
  </si>
  <si>
    <t>4-3</t>
  </si>
  <si>
    <t>금형 및 지그 수리이력 관리대장 (금형 Shot수, 지그 보수 이력)</t>
  </si>
  <si>
    <t>금형/지그관리대장</t>
  </si>
  <si>
    <t>SH-FM-WI008-12</t>
  </si>
  <si>
    <t>[재검토] 기존 추정 SH-WI-008 근거 약함(ratio=0.26) -&gt; 대안 후보 SH-QP-023(통계적 공정관리(SPC) 절차서, ratio=0.59)</t>
  </si>
  <si>
    <t>※ 자체 프레스 공정이 없는경우 미해당으로 표기</t>
  </si>
  <si>
    <t>금형/JIG이력카드</t>
  </si>
  <si>
    <t>SH-FM-WI008-13</t>
  </si>
  <si>
    <t>SH-WI-008(금형·치공구 교환 및 관리 표준) [본문 확인 ratio=0.51]</t>
  </si>
  <si>
    <t>4-4</t>
  </si>
  <si>
    <t>금형보관대 제작 및 금형위치 현황판 주소화 관리(공정투입/작업대기/외주수리 등 LOCATION별 관리여부)</t>
  </si>
  <si>
    <t>금형보관 lay-out 설치</t>
  </si>
  <si>
    <t>SH-FM-WI008-14</t>
  </si>
  <si>
    <t>금형 식별관리 절차 수립 및 준수(양산, A/S차종 등)</t>
  </si>
  <si>
    <t>금형보관구역 식별표시</t>
  </si>
  <si>
    <t>SH-FM-QP018-03</t>
  </si>
  <si>
    <t>[재검토] 기존 추정 SH-QP-018 근거 약함(ratio=0.06) -&gt; 대안 후보 SH-WI-017(청정도 및 이물관리 작업표준, ratio=0.71)</t>
  </si>
  <si>
    <t>금형 보관시 이물유입 방지 대책 수립 및 세척/냉각수 탈수 상태 보관 등 관리실태 현장 점검</t>
  </si>
  <si>
    <t>금형보관시 잔존이물제거후 적재</t>
  </si>
  <si>
    <t>SH-FM-WI008-15</t>
  </si>
  <si>
    <t>[재검토] 기존 추정 SH-WI-008 근거 약함(ratio=0.00) -&gt; 대안 후보 SH-WI-017(청정도 및 이물관리 작업표준, ratio=0.56)</t>
  </si>
  <si>
    <t>4-5</t>
  </si>
  <si>
    <t>신규제작 금형 이관시 T/OUT 성형 검증 실시(실시결과 증빙관리)
      ※ 자체 프레스 공정이 없는경우 미해당으로 표기</t>
  </si>
  <si>
    <t>금형이관 T/O보고서</t>
  </si>
  <si>
    <t>SH-FM-WI008-16</t>
  </si>
  <si>
    <t>사무실</t>
  </si>
  <si>
    <t>금형이관시 접수자료</t>
  </si>
  <si>
    <t>SH-FM-WI008-17</t>
  </si>
  <si>
    <t>금형문제점개선자료</t>
  </si>
  <si>
    <t>SH-FM-WI008-18</t>
  </si>
  <si>
    <t>5-1</t>
  </si>
  <si>
    <t>[CASE1] LOT수작업관리    - 파렛트or 부품단위</t>
  </si>
  <si>
    <t>원자재입고 부품식별표</t>
  </si>
  <si>
    <t>SH-FM-WI009-02</t>
  </si>
  <si>
    <t>COIL NO기록</t>
  </si>
  <si>
    <t>[재검토] 기존 추정 SH-WI-009 근거 약함(ratio=0.34) -&gt; 대안 후보 SH-QP-018(식별 및 추적성 관리 절차서, ratio=0.87)</t>
  </si>
  <si>
    <t>수입검사 완료품 식별 프로세스 수립 (합격도장 등) - 보안/안전 부품 별도 식별 표시 : LOT타각, 식별마크 등</t>
  </si>
  <si>
    <t>SH-FM-MAT-N01</t>
  </si>
  <si>
    <t>입고LOT OR C/N</t>
  </si>
  <si>
    <t>선입/선출 관리기준 유무 (공정~출하) - 관리 대장, 레이아웃</t>
  </si>
  <si>
    <t>부품식별표</t>
  </si>
  <si>
    <t>SH-FM-QP019-01</t>
  </si>
  <si>
    <t>LOT NO기록</t>
  </si>
  <si>
    <t>SH-QP-019(보관·포장 및 출하관리 절차서)  [참고: 본문상 명확한 근거 약함(ratio=0.00), 담당부서 확인 권장]</t>
  </si>
  <si>
    <t>선입선출 준수여부 - 중요부품 샘플링 점검, 인라인투입제품, 투입대기제품, 자재창고 적재 제품 생산일 점검</t>
  </si>
  <si>
    <t>SH-FM-MAT-N02</t>
  </si>
  <si>
    <t>생산LOT OR C/N</t>
  </si>
  <si>
    <t>부품 LOT 표기 여부  (표준류 지정시) - 각인, 스티커, 타각 등</t>
  </si>
  <si>
    <t>SH-FM-MAT-N03</t>
  </si>
  <si>
    <t>부품 LOT기록 마스터리스트 관리되고 역추적 가능 여부</t>
  </si>
  <si>
    <t>출하일지</t>
  </si>
  <si>
    <t>SH-FM-MAT-N04</t>
  </si>
  <si>
    <t>[CASE2] LOT전산관리    - 파렛트단위</t>
  </si>
  <si>
    <t>고객부품식별표</t>
  </si>
  <si>
    <t>SH-FM-MAT-N05</t>
  </si>
  <si>
    <t>[CASE3] LOT전산관리    - 부품단위</t>
  </si>
  <si>
    <t>일별생산실적현황 OR LOT 관리대장</t>
  </si>
  <si>
    <t>SH-FM-QP018-04</t>
  </si>
  <si>
    <t>종합수합</t>
  </si>
  <si>
    <t>SH-QP-018(식별 및 추적성 관리 절차서)  [참고: 본문상 명확한 근거 약함(ratio=0.03), 담당부서 확인 권장]</t>
  </si>
  <si>
    <t>LOT관리기준서</t>
  </si>
  <si>
    <t>SH-FM-QP018-05</t>
  </si>
  <si>
    <t>[재검토] 기존 추정 SH-QP-018 근거 약함(ratio=0.06) -&gt; 대안 후보 SH-WI-001(생산 작업준비 및 초품확인 표준, ratio=0.71)</t>
  </si>
  <si>
    <t>5-2</t>
  </si>
  <si>
    <t>자재 창고 Lay Out 현황도 작성 및 선입선출 다이 등반영 상태(구조적 시스템, 입/불출 절차 효율성 확보 여부)</t>
  </si>
  <si>
    <t>원자재보관관리기준서</t>
  </si>
  <si>
    <t>SH-FM-QP019-02</t>
  </si>
  <si>
    <t>SH-QP-019(보관·포장 및 출하관리 절차서) [본문 확인 ratio=0.39]</t>
  </si>
  <si>
    <t>입고품 적재/관리기준 수립 및 준수(입고 완료품 찍힘/발청, 이물질오염, 기타 손상 확인시 감점)</t>
  </si>
  <si>
    <t>원자재보관대 LAY-OUT 및재고현황</t>
  </si>
  <si>
    <t>SH-FM-WI009-03</t>
  </si>
  <si>
    <t>SH-WI-009(자재 입고·보관·불출 관리 표준)  [참고: 본문상 명확한 근거 약함(ratio=0.12), 담당부서 확인 권장]</t>
  </si>
  <si>
    <t>원소재 보관 관리기준 수립 및 준수상태(포장상태 및 개봉후 식별방법 등)</t>
  </si>
  <si>
    <t>원자재보관대 구역설정및 식별</t>
  </si>
  <si>
    <t>SH-FM-QP019-03</t>
  </si>
  <si>
    <t>SH-QP-019(보관·포장 및 출하관리 절차서); SH-WI-009(자재 입고·보관·불출 관리 표준)  [참고: 본문상 명확한 근거 약함(ratio=0.24), 담당부서 확인 권장]</t>
  </si>
  <si>
    <t>미사용 장기보관 자재류 처리기준 수립 및 이행상태</t>
  </si>
  <si>
    <t>원자재선입선출관리기준서</t>
  </si>
  <si>
    <t>SH-FM-MAT-N06</t>
  </si>
  <si>
    <t>설변에 의한 불용자재 발생시 자재 식별 및 혼입 방지 관리 상태</t>
  </si>
  <si>
    <t>.원자재식별표</t>
  </si>
  <si>
    <t>SH-FM-MAT-N07</t>
  </si>
  <si>
    <t>항온/항습보관 필요 자재의 경우 보관장 관리기준 수립 및 준수 상태</t>
  </si>
  <si>
    <t>장기재고보관관리기준서</t>
  </si>
  <si>
    <t>SH-FM-QP019-04</t>
  </si>
  <si>
    <t>SH-QP-019(보관·포장 및 출하관리 절차서) [본문 확인 ratio=0.45]</t>
  </si>
  <si>
    <t>장기재고점검체크시트</t>
  </si>
  <si>
    <t>SH-FM-WI028-01</t>
  </si>
  <si>
    <t>SH-WI-028(장기재고 및 유효기간 관리표준) [본문 확인 ratio=0.42]</t>
  </si>
  <si>
    <t>장기재고식별표</t>
  </si>
  <si>
    <t>SH-FM-WI028-02</t>
  </si>
  <si>
    <t>SH-WI-028(장기재고 및 유효기간 관리표준) [본문 확인 ratio=0.71]</t>
  </si>
  <si>
    <t>LAY-OUT 및재고현황</t>
  </si>
  <si>
    <t>SH-FM-MAT-N08</t>
  </si>
  <si>
    <t>구역설정및 식별</t>
  </si>
  <si>
    <t>SH-FM-MAT-N09</t>
  </si>
  <si>
    <t>SH-FM-MAT-N10</t>
  </si>
  <si>
    <t>'-불용자재관리기준서</t>
  </si>
  <si>
    <t>SH-FM-WI009-04</t>
  </si>
  <si>
    <t>SH-WI-009(자재 입고·보관·불출 관리 표준)  [참고: 본문상 명확한 근거 약함(ratio=0.00), 담당부서 확인 권장]</t>
  </si>
  <si>
    <t>불용자재식별표</t>
  </si>
  <si>
    <t>SH-FM-MAT-N11</t>
  </si>
  <si>
    <t>5-3</t>
  </si>
  <si>
    <t>검사 전,후 식별 및 선입선출 관리</t>
  </si>
  <si>
    <t>선입고품 우선사용 TAG식별</t>
  </si>
  <si>
    <t>SH-FM-MAT-N12</t>
  </si>
  <si>
    <t>[신규 발견] SH-WI-028(장기재고 및 유효기간 관리표준, ratio=0.65) — 검토 후 확정 필요</t>
  </si>
  <si>
    <t>소재사양 및 GRADE 식별절차</t>
  </si>
  <si>
    <t>SH-FM-MAT-N13</t>
  </si>
  <si>
    <t>장기/불용/개발품 자재 관리기준 및 식별절차(장기/불용/개발용 원재료 별도 구분/식별관리)</t>
  </si>
  <si>
    <t>SH-FM-QP018-06</t>
  </si>
  <si>
    <t>SH-QP-018(식별 및 추적성 관리 절차서); SH-QP-019(보관·포장 및 출하관리 절차서)  [참고: 본문상 명확한 근거 약함(ratio=0.00), 담당부서 확인 권장]</t>
  </si>
  <si>
    <t>공정 투입후 잔량관리(보관상태/식별표시/유효기간 설정 등)</t>
  </si>
  <si>
    <t>SH-FM-WI028-03</t>
  </si>
  <si>
    <t>SH-WI-028(장기재고 및 유효기간 관리표준) [본문 확인 ratio=0.51]</t>
  </si>
  <si>
    <t>SH-FM-MAT-N14</t>
  </si>
  <si>
    <t>5-4</t>
  </si>
  <si>
    <t>품목별/공정별 장입(적재) 기준 수립 및 준수상태/ 과다적재 예방을 위한 장입 한계 기준설정 등</t>
  </si>
  <si>
    <t>공정제품 용기설정 기준서</t>
  </si>
  <si>
    <t>SH-FM-MAT-N15</t>
  </si>
  <si>
    <t>외관확인이 어려운 공정처리 전/후 재공품 보관용기 식별절차 수립 및 준수상태</t>
  </si>
  <si>
    <t>과다적재방지 장입한계기준 설정</t>
  </si>
  <si>
    <t>SH-FM-MAT-N16</t>
  </si>
  <si>
    <t>공용용기한계선</t>
  </si>
  <si>
    <t>(예: 표면처리, 열처리 전/후 용기 식별관리 절차 수립 등)</t>
  </si>
  <si>
    <t>완성품 납용용기설정서</t>
  </si>
  <si>
    <t>SH-FM-QP018-07</t>
  </si>
  <si>
    <t>고객승인</t>
  </si>
  <si>
    <t>SH-QP-018(식별 및 추적성 관리 절차서)  [참고: 본문상 명확한 근거 약함(ratio=0.12), 담당부서 확인 권장]</t>
  </si>
  <si>
    <t>제품 특성을 고려한 용기 관리기준 설정(청정도 관리 대상품 이물질유입 예방목적 용기세척, 오염방지커버적용등)</t>
  </si>
  <si>
    <t>완성품 LAY-OUT</t>
  </si>
  <si>
    <t>SH-FM-WI017-01</t>
  </si>
  <si>
    <t>SH-WI-017(청정도 및 이물관리 표준)  [참고: 본문상 명확한 근거 약함(ratio=0.31), 담당부서 확인 권장]</t>
  </si>
  <si>
    <t>포장 용기 다단적재 및 현장 적재상태 (종이BOX, 프라스틱BOX, 전용용기 등 적재 관리기준 수립 및 이행상태)</t>
  </si>
  <si>
    <t>완성품 적재공간 구역설정 LINE MARK'G</t>
  </si>
  <si>
    <t>SH-FM-WI010-01</t>
  </si>
  <si>
    <t>SH-WI-010(포장·라벨 및 출하검증 표준)  [참고: 본문상 명확한 근거 약함(ratio=0.00), 담당부서 확인 권장]</t>
  </si>
  <si>
    <t>완제품 보관관리 기준 및 관리상태</t>
  </si>
  <si>
    <t>완성품 적재장소 NAME PLATE부착</t>
  </si>
  <si>
    <t>SH-FM-QP019-05</t>
  </si>
  <si>
    <t>SH-QP-019(보관·포장 및 출하관리 절차서)  [참고: 본문상 명확한 근거 약함(ratio=0.28), 담당부서 확인 권장]</t>
  </si>
  <si>
    <t>6-1</t>
  </si>
  <si>
    <t>작업자 안전관리 프로세스 수립 및 준수실태(현장확인)</t>
  </si>
  <si>
    <t>안전관리업무기준서</t>
  </si>
  <si>
    <t>SH-FM-QMS-N01</t>
  </si>
  <si>
    <t>[신규 발견] SH-QP-004(리스크 및 기회관리 절차서, ratio=0.59) — 검토 후 확정 필요</t>
  </si>
  <si>
    <t>: 생산라인 투입전 핸드폰 보관을 위한 별도 보관대 설치 및 활용상태 점검 (생산중 핸드폰 사용에 따른 사고 방지)</t>
  </si>
  <si>
    <t>안전보호구 지급기준</t>
  </si>
  <si>
    <t>SH-FM-QMS-N02</t>
  </si>
  <si>
    <t>: 안전 보호장구(보안경/헬멧/장갑 등) 착용 기준수립 및 이행상태 점검(일상)</t>
  </si>
  <si>
    <t>안전보호구 지급관리대장</t>
  </si>
  <si>
    <t>SH-FM-QMS-N03</t>
  </si>
  <si>
    <t>업종별 안전사고 발생 예방을 위한 설비/레이아웃 반영</t>
  </si>
  <si>
    <t>안전교육교안</t>
  </si>
  <si>
    <t>SH-FM-QMS-N04</t>
  </si>
  <si>
    <t>⇒ 예) 프레스 : 작업자 감지센서(안전BAR), 양수 조작버튼, 플라이휠 커버 등</t>
  </si>
  <si>
    <t>안전교육실시보고서</t>
  </si>
  <si>
    <t>SH-FM-QMS-N05</t>
  </si>
  <si>
    <t>작업 현장내 안전표지/수칙 게시 및 작업자 교육</t>
  </si>
  <si>
    <t>작업장 안전수칙 라인별 제작활용</t>
  </si>
  <si>
    <t>SH-FM-QMS-N06</t>
  </si>
  <si>
    <t>작업 현장내 위험요소(위험물)에 대한 사고예방 장비/시설물 설치 및 식별 표준류 반영</t>
  </si>
  <si>
    <t>유해물질보관장 선정</t>
  </si>
  <si>
    <t>SH-FM-QMS-N07</t>
  </si>
  <si>
    <t>1) 표준류 게시된 현위치 기준 소화 방재시설 위치 및 비상대피 동선 표기된 표준류 작성/게시</t>
  </si>
  <si>
    <t>유해물질보관장 MSDS비치활용</t>
  </si>
  <si>
    <t>SH-FM-QMS-N08</t>
  </si>
  <si>
    <t>2) 설비 간섭 등 고려 소화 방재시설 식별표, 비상대비 표시등 2층높이 반영</t>
  </si>
  <si>
    <t>설비일상/정기점검기준서(안전장치점검반영)</t>
  </si>
  <si>
    <t>SH-FM-QMS-N09</t>
  </si>
  <si>
    <t>[신규 발견] SH-WI-016(예방보전 및 설비점검 작업표준, ratio=0.74) — 검토 후 확정 필요</t>
  </si>
  <si>
    <t>운영중인 설비에 대한 정기 안전관리 프로세스 수립 및 이행상태</t>
  </si>
  <si>
    <t>설비안전관리책임자선정및 정,부 식별현황</t>
  </si>
  <si>
    <t>SH-FM-QMS-N10</t>
  </si>
  <si>
    <t>설비 점검시(계획/비계획) 업무 처리절차 수립 : 2인 1개조 운영, 비정상 가동 예방절차 등</t>
  </si>
  <si>
    <t>소화기 배치 LAY-OUT</t>
  </si>
  <si>
    <t>SH-FM-WI016-03</t>
  </si>
  <si>
    <t>공장LAYOUT반영</t>
  </si>
  <si>
    <t>SH-WI-016(예방보전 및 설비점검 표준)  [참고: 본문상 명확한 근거 약함(ratio=0.30), 담당부서 확인 권장]</t>
  </si>
  <si>
    <t>소화기점검식별표</t>
  </si>
  <si>
    <t>SH-FM-QMS-N11</t>
  </si>
  <si>
    <t>6-2</t>
  </si>
  <si>
    <t>설계변경/4M 변경 업무 프로세스 수립여부</t>
  </si>
  <si>
    <t>설계변경/4M관리업무 프로세스</t>
  </si>
  <si>
    <t>SH-FM-QMS-N12</t>
  </si>
  <si>
    <t>[세부 유형별 업무 처리절차 및 관리분담, 고객사 ISIR 재승인 필요여부 등]</t>
  </si>
  <si>
    <t>변경관리 master list</t>
  </si>
  <si>
    <t>SH-FM-QP010-05</t>
  </si>
  <si>
    <t>[재검토] 기존 추정 SH-QP-010 근거 약함(ratio=0.16) -&gt; 대안 후보 SH-WI-020(비상상황 생산복구 작업표준, ratio=0.73)</t>
  </si>
  <si>
    <t>변경점 추적성 확보를 위한 마스터리스트 작성관리[누락 발생시 감점 처리]</t>
  </si>
  <si>
    <t>변경품적용시점통보서</t>
  </si>
  <si>
    <t>SH-FM-WI029-01</t>
  </si>
  <si>
    <t>SH-WI-029(공급자 변경품 및 초도품 확인 표준)  [참고: 본문상 명확한 근거 약함(ratio=0.12), 담당부서 확인 권장]</t>
  </si>
  <si>
    <t>변경점 누락 발생 예방을 위한 정기적인 점검활동 실시여부[담당자 지정 및 점검주기 설정관리]</t>
  </si>
  <si>
    <t>변경품적용시 고객ISIR승인서류</t>
  </si>
  <si>
    <t>SH-FM-QP010-06</t>
  </si>
  <si>
    <t>SH-QP-010(APQP 및 PPAP 관리 절차서); SH-WI-029(공급자 변경품 및 초도품 확인 표준)  [참고: 본문상 명확한 근거 약함(ratio=0.21), 담당부서 확인 권장]</t>
  </si>
  <si>
    <t>6-3</t>
  </si>
  <si>
    <t>도면에 명시된 외관, 치수, 기능, 주기를 검사협정 및 사내 검사기준 반영</t>
  </si>
  <si>
    <t>도면일치성관리기준서</t>
  </si>
  <si>
    <t>SH-FM-QMS-N13</t>
  </si>
  <si>
    <t>검사협정서/기준서/초도품 보증서 고객 승인본 보유</t>
  </si>
  <si>
    <t>도면일치성점검체크시트(고객사관리본접수)</t>
  </si>
  <si>
    <t>SH-FM-QMS-N14</t>
  </si>
  <si>
    <t>고객점검접수</t>
  </si>
  <si>
    <t>[신규 발견] SH-QP-002(문서화된 정보 관리 절차서, ratio=0.60) — 검토 후 확정 필요</t>
  </si>
  <si>
    <t>'-도면 일치성 점검 담당자 지정하여 정기적 도면대비 검사협정/기준서 일치성 점검 및 점검이력 관리</t>
  </si>
  <si>
    <t>도면/검사협정서/초도품보증서고객승인본</t>
  </si>
  <si>
    <t>SH-FM-QMS-N15</t>
  </si>
  <si>
    <t>검사협정 및 검사기준서내 부품 검사항목(정기신뢰성 시험 포함)의 점검주기 준수여부</t>
  </si>
  <si>
    <t>정기검사계획대실적표</t>
  </si>
  <si>
    <t>SH-FM-QP013-09</t>
  </si>
  <si>
    <t>SH-QP-013(검사 및 시험관리 절차서)  [참고: 본문상 명확한 근거 약함(ratio=0.08), 담당부서 확인 권장]</t>
  </si>
  <si>
    <t>정기검사실적</t>
  </si>
  <si>
    <t>SH-FM-QMS-N16</t>
  </si>
  <si>
    <t>6-4</t>
  </si>
  <si>
    <t>품질 매뉴얼/절차서/지침서 구비 및 적용상태</t>
  </si>
  <si>
    <t>ISO인증서</t>
  </si>
  <si>
    <t>SH-FM-QMS-N17</t>
  </si>
  <si>
    <t>[신규 발견] SH-QP-025(고객별 요구사항(CSR) 관리 절차서, ratio=0.92) — 검토 후 확정 필요</t>
  </si>
  <si>
    <t>구체적인 업무분장 수립상태</t>
  </si>
  <si>
    <t>품질매뉴얼/절차서/지침서</t>
  </si>
  <si>
    <t>SH-FM-QMS-N18</t>
  </si>
  <si>
    <t>[신규 발견] SH-QP-025(고객별 요구사항(CSR) 관리 절차서, ratio=0.97) — 검토 후 확정 필요</t>
  </si>
  <si>
    <t>SQ 인증업종 자체 내부심사[평가서 기준] 활동 실시 및 발췌 문제점에 대한 개선활동 추진</t>
  </si>
  <si>
    <t>전사조직도 및 업무분장표</t>
  </si>
  <si>
    <t>SH-FM-QP005-01</t>
  </si>
  <si>
    <t>SH-QP-005(내부심사 절차서) [본문 확인 ratio=0.46]</t>
  </si>
  <si>
    <t>⇒ 점검결과 경영자/임원 보고 및 후속조치 활동 이력[증빙물 관리]</t>
  </si>
  <si>
    <t>SQ 사전점검 지적사항및 개선대책</t>
  </si>
  <si>
    <t>SH-FM-QMS-N19</t>
  </si>
  <si>
    <t>(유효성검증관리 실적)</t>
  </si>
  <si>
    <t>SH-FM-QMS-N20</t>
  </si>
  <si>
    <t>6-5</t>
  </si>
  <si>
    <t>공정별 작업자/검사자 배치기준 수립 및 자격인증 평가 실시여부 [품질 표준류내 검사지정 항목별 담당자]</t>
  </si>
  <si>
    <t>자격인증관리 기준서</t>
  </si>
  <si>
    <t>SH-FM-QMS-N21</t>
  </si>
  <si>
    <t>⇒ 자격인증 실시 기준</t>
  </si>
  <si>
    <t>자격인증체크시트 (검사원)</t>
  </si>
  <si>
    <t>SH-FM-QMS-N22</t>
  </si>
  <si>
    <t>[신규 발견] SH-QP-006(교육훈련 및 역량관리 절차서, ratio=1.00) — 검토 후 확정 필요</t>
  </si>
  <si>
    <t>[부적합 판별 실기평가, 품질특성 교육, 동일업무 경력, 생산품 품질산포 발생 가능성 검증 등]</t>
  </si>
  <si>
    <t>자격인증체크시트 (현장작업자)</t>
  </si>
  <si>
    <t>SH-FM-QMS-N23</t>
  </si>
  <si>
    <t>[신규 발견] SH-QP-006(교육훈련 및 역량관리 절차서, ratio=0.57) — 검토 후 확정 필요</t>
  </si>
  <si>
    <t>※ 부적합 판별 실기평가</t>
  </si>
  <si>
    <t>계수형R&amp;R 계획대실적표</t>
  </si>
  <si>
    <t>SH-FM-QMS-N24</t>
  </si>
  <si>
    <t>외관검사 : 부적합 유형별 검출능력 실기평가</t>
  </si>
  <si>
    <t>계수형R&amp;R 실시실적</t>
  </si>
  <si>
    <t>SH-FM-QMS-N25</t>
  </si>
  <si>
    <t>치수검사 : 담당별 지정 계측기 사용능력 평가 [계측기 활용능력 평가로 CpK 산출 불필요]</t>
  </si>
  <si>
    <t>계량형/계수형 R&amp;R 수기작성본</t>
  </si>
  <si>
    <t>SH-FM-WI006-09</t>
  </si>
  <si>
    <t>샘플OR사진</t>
  </si>
  <si>
    <t>SH-WI-006(계측기 사용 및 일상점검 표준)  [참고: 본문상 명확한 근거 약함(ratio=0.21), 담당부서 확인 권장]</t>
  </si>
  <si>
    <t>자격인증 검증평가 결과에 대한 신뢰도 확보 필요(수기 작성 원본데이터, 검증용 시료 확보 등)</t>
  </si>
  <si>
    <t>계수형R&amp;R 평가샘플 보관대</t>
  </si>
  <si>
    <t>SH-FM-QMS-N26</t>
  </si>
  <si>
    <t>자격인증자 결원/휴가시 대응인원 확보상태 및 후속조치 관리방안/실행상태</t>
  </si>
  <si>
    <t>자격인증대상자교육실시보고서</t>
  </si>
  <si>
    <t>SH-FM-QMS-N27</t>
  </si>
  <si>
    <t>작업자 결원으로 대체인원 투입 불가피시, 투입전 교육/품질보증 방안 등 관리 규정 수립 및 관리 상태점검</t>
  </si>
  <si>
    <t>자격인증서(검사원/현장작업자)</t>
  </si>
  <si>
    <t>SH-FM-QMS-N28</t>
  </si>
  <si>
    <t>현장라인부착</t>
  </si>
  <si>
    <t>생산작업자 자격인증 : 동일작업 반복 생산후 부품간 산포발생 가능성 검증</t>
  </si>
  <si>
    <t>작업자변경시 교육실시보고서</t>
  </si>
  <si>
    <t>SH-FM-QMS-N29</t>
  </si>
  <si>
    <t>4M변경연계</t>
  </si>
  <si>
    <t>6-6</t>
  </si>
  <si>
    <t>리콜/캠페인 등 고객사 품질문제 발생시 회사에 미치는 영향성 (대외이미지, 비용부담 등) 교안작성</t>
  </si>
  <si>
    <t>교육교안</t>
  </si>
  <si>
    <t>SH-FM-QMS-N30</t>
  </si>
  <si>
    <t>[신규 발견] SH-QP-006(교육훈련 및 역량관리 절차서, ratio=0.64) — 검토 후 확정 필요</t>
  </si>
  <si>
    <t>임직원 대상(비정규직 포함) 교육 실시후 교육이력 증빙관리</t>
  </si>
  <si>
    <t>2026년 교육계획대실적</t>
  </si>
  <si>
    <t>SH-FM-QP006-01</t>
  </si>
  <si>
    <t>SH-QP-006(교육훈련 및 역량관리 절차서) [본문 확인 ratio=0.76]</t>
  </si>
  <si>
    <t>작업실수 방지 및 안전사고 예방을 위한 작업자 교육실시(실시교안 및 이력 증빙관리)</t>
  </si>
  <si>
    <t>교육실시보고서 (교육사진/참석자서명)</t>
  </si>
  <si>
    <t>SH-FM-QMS-N31</t>
  </si>
  <si>
    <t>공정별(수입/제조/완성품 검사) 작업자 및 검사 담당자에 대한 부적합 처리절차 교육 시행여부</t>
  </si>
  <si>
    <t>품질문제발생시 즉시교육실적보고서</t>
  </si>
  <si>
    <t>SH-FM-QMS-N32</t>
  </si>
  <si>
    <t>6-7</t>
  </si>
  <si>
    <t>수입검사/생산공정/최종검사 부적합(추정)품에 대한 격리/식별절차 수립 및 준수여부</t>
  </si>
  <si>
    <t>부적합처리업무 프로세스</t>
  </si>
  <si>
    <t>SH-FM-QMS-N33</t>
  </si>
  <si>
    <t>부적합품 후공정 유출 방지를 위한 식별 및 격리방안 세부 작성 및 준수여부</t>
  </si>
  <si>
    <t>부적합 격리보관장소 지정 (펜스격리)</t>
  </si>
  <si>
    <t>SH-FM-QMS-N34</t>
  </si>
  <si>
    <t>LOT불량격리</t>
  </si>
  <si>
    <t>부적합(추정)품 처리 프로세스 수립 및 준수여부</t>
  </si>
  <si>
    <t>부적합처리일지</t>
  </si>
  <si>
    <t>SH-FM-QMS-N35</t>
  </si>
  <si>
    <t>[신규 발견] SH-QP-014(부적합품 및 재작업 관리 절차서, ratio=0.80) — 검토 후 확정 필요</t>
  </si>
  <si>
    <t>생산중 부적합품 발생수량과 실제 수거량 비교를 통한 부적합품 후공정 유출 발생여부점검활동[점검이력 보관]</t>
  </si>
  <si>
    <t>부적합품 보관함</t>
  </si>
  <si>
    <t>SH-FM-QMS-N36</t>
  </si>
  <si>
    <t>라인별비치</t>
  </si>
  <si>
    <t>개발등 시제품 생산시 양산부품과 혼입 방지를 위한 식별 및 격리 절차 수립/준수상태 점검</t>
  </si>
  <si>
    <t>부적합식별표</t>
  </si>
  <si>
    <t>SH-FM-QMS-N37</t>
  </si>
  <si>
    <t>[신규 발견] SH-QP-014(부적합품 및 재작업 관리 절차서, ratio=0.59) — 검토 후 확정 필요</t>
  </si>
  <si>
    <t>6-8</t>
  </si>
  <si>
    <t>전년도 품질 실적대비 목표설정 및 실적 점검(1회/월)상태</t>
  </si>
  <si>
    <t>품질실적보고서 (전부서KPI목표대비실적)</t>
  </si>
  <si>
    <t>SH-FM-QP021-01</t>
  </si>
  <si>
    <t>매월경영자승인본</t>
  </si>
  <si>
    <t>박철호</t>
  </si>
  <si>
    <t>SH-QP-021(품질목표 및 KPI 관리 절차서) [본문 확인 ratio=0.91]</t>
  </si>
  <si>
    <t>⇒ 공정불량 (생산수량, 불량수, PPM), 고객불량 (납품수량, 불량수, PPM), 외주불량(입고수량, 불량수, PPM)</t>
  </si>
  <si>
    <t>고객/공정/외주불량 실적PPM</t>
  </si>
  <si>
    <t>SH-FM-QMS-N38</t>
  </si>
  <si>
    <t>목표 미달시 워스트 항목에 대한 근본적인 원인분석 및 개선대책 수립/유효성 평가 실시상태</t>
  </si>
  <si>
    <t>고객/공정/외주불량 개선대책서</t>
  </si>
  <si>
    <t>SH-FM-QMS-N39</t>
  </si>
  <si>
    <t>고객 불량(필드 클레임) 문제점에 대한 고품분석 및 시정조치 활동 실시여부</t>
  </si>
  <si>
    <t>고객불량 유효성검증  MASTER LIST</t>
  </si>
  <si>
    <t>SH-FM-QP016-02</t>
  </si>
  <si>
    <t>현장현황판제작</t>
  </si>
  <si>
    <t>SH-QP-016(시정조치 및 문제해결 절차서); SH-QP-017(고객불만 및 보증관리 절차서)  [참고: 본문상 명확한 근거 약함(ratio=0.22), 담당부서 확인 권장]</t>
  </si>
  <si>
    <t>D+3개월 유효성검증</t>
  </si>
  <si>
    <t>SH-FM-QMS-N40</t>
  </si>
  <si>
    <t>6-9</t>
  </si>
  <si>
    <t>정기적인 작업장/ 검사장 조도 관리를 위한 운영 프로세스 수립[측정장소/시간, 조도 관리기준, 측정장소 지정]</t>
  </si>
  <si>
    <t>조도관리기준서</t>
  </si>
  <si>
    <t>SH-FM-QMS-N41</t>
  </si>
  <si>
    <t>표준류내 자주/순회검사 실시구간 조도관리 포인트 누락여부</t>
  </si>
  <si>
    <t>조도측정 LAY-OUT</t>
  </si>
  <si>
    <t>SH-FM-WI002-06</t>
  </si>
  <si>
    <t>조도측정부 현장내 식별</t>
  </si>
  <si>
    <t>SH-FM-QMS-N42</t>
  </si>
  <si>
    <t>조도측정구역표시</t>
  </si>
  <si>
    <t>조도측정 실적</t>
  </si>
  <si>
    <t>SH-FM-QMS-N43</t>
  </si>
  <si>
    <t>6-10</t>
  </si>
  <si>
    <t>정기적인 3정5행 현장개선 프로세스 수립</t>
  </si>
  <si>
    <t>3정5행관리 기준서</t>
  </si>
  <si>
    <t>SH-FM-QMS-N44</t>
  </si>
  <si>
    <t>[신규 발견] SH-QP-001(경영검토 절차서, ratio=0.69) — 검토 후 확정 필요</t>
  </si>
  <si>
    <t>(점검 체크시트 작성, 점검 주기, 업무 분담, 지적사항 개선 시정조치 완료여부]</t>
  </si>
  <si>
    <t>3정5행 점검 구역별 책임자 선정</t>
  </si>
  <si>
    <t>SH-FM-QP016-03</t>
  </si>
  <si>
    <t>SH-QP-016(시정조치 및 문제해결 절차서)  [참고: 본문상 명확한 근거 약함(ratio=0.09), 담당부서 확인 권장]</t>
  </si>
  <si>
    <t>현장점검시 3정 5행 관리실태</t>
  </si>
  <si>
    <t>3정5행점검 체크시트</t>
  </si>
  <si>
    <t>SH-FM-QMS-N45</t>
  </si>
  <si>
    <t>3정5행 점검 결과 개선대책</t>
  </si>
  <si>
    <t>SH-FM-QMS-N46</t>
  </si>
  <si>
    <t>[신규 발견] SH-WI-001(생산 작업준비 및 초품확인 표준, ratio=0.57) — 검토 후 확정 필요</t>
  </si>
  <si>
    <t>3정5행개선사례 현황판</t>
  </si>
  <si>
    <t>SH-FM-QMS-N47</t>
  </si>
  <si>
    <t>6-11</t>
  </si>
  <si>
    <t>주기 : 최소 월 1회 이상 주요 품질 문제점 현황 작성현장내 게시활동 실시</t>
  </si>
  <si>
    <t>품질종합현황판 제작설치</t>
  </si>
  <si>
    <t>SH-FM-QMS-N48</t>
  </si>
  <si>
    <t>3정5행개선사례</t>
  </si>
  <si>
    <t>내용 : 고객사 입고불량, HKMC 주요 필드 클레임, 고객/HKMC 입고불량 문제점 및 발생(유출)원인</t>
  </si>
  <si>
    <t>공정별 주요문제점 각공정별 비치</t>
  </si>
  <si>
    <t>SH-FM-QP017-01</t>
  </si>
  <si>
    <t>SH-QP-017(고객불만 및 보증관리 절차서)  [참고: 본문상 명확한 근거 약함(ratio=0.15), 담당부서 확인 권장]</t>
  </si>
  <si>
    <t>장소 : 발생 해당공정 및 필요시 주요 공정(예: 수입검사 공정, 완제품 검사공정, 교육장 등)</t>
  </si>
  <si>
    <t>중점관리POINT 선정 운영</t>
  </si>
  <si>
    <t>SH-FM-QMS-N49</t>
  </si>
  <si>
    <t>6-12</t>
  </si>
  <si>
    <t>리워크 가능부품 선정기준 수립 및 관리상태</t>
  </si>
  <si>
    <t>재작업엄무처리 기준서</t>
  </si>
  <si>
    <t>SH-FM-WI018-02</t>
  </si>
  <si>
    <t>SH-WI-018(재작업 및 수리 표준)  [참고: 본문상 명확한 근거 약함(ratio=0.15), 담당부서 확인 권장]</t>
  </si>
  <si>
    <t>리워크품 LOT 추적성 및 선입선출 관리상태</t>
  </si>
  <si>
    <t>재작업품 작업공간 장소지정(공구확보)</t>
  </si>
  <si>
    <t>SH-FM-QP018-08</t>
  </si>
  <si>
    <t>부적합품보관장소</t>
  </si>
  <si>
    <t>SH-QP-018(식별 및 추적성 관리 절차서); SH-WI-005(제품 식별·LOT 추적 및 출하 표준)  [참고: 본문상 명확한 근거 약함(ratio=0.17), 담당부서 확인 권장]</t>
  </si>
  <si>
    <t>불량부품 REWORK시 품질검사항목 설정 및 REWORK 전후 검사 이력 유지 관리상태</t>
  </si>
  <si>
    <t>재작업품 MASTER LIST</t>
  </si>
  <si>
    <t>SH-FM-WI018-03</t>
  </si>
  <si>
    <t>SH-WI-018(재작업 및 수리 작업표준) [본문 확인 ratio=0.40]</t>
  </si>
  <si>
    <t>REWORK 전/후 부품의 식별 관리기준 및 준수상태</t>
  </si>
  <si>
    <t>재작업품 검사기준및 검사실적</t>
  </si>
  <si>
    <t>SH-FM-QP018-09</t>
  </si>
  <si>
    <t>SH-QP-018(식별 및 추적성 관리 절차서); SH-WI-018(재작업 및 수리 표준)  [참고: 본문상 명확한 근거 약함(ratio=0.08), 담당부서 확인 권장]</t>
  </si>
  <si>
    <t>REWORK 제품의 출하 절차 준수 상태</t>
  </si>
  <si>
    <t>재작업품 부품식별표</t>
  </si>
  <si>
    <t>SH-FM-WI018-04</t>
  </si>
  <si>
    <t>SH-WI-018(재작업 및 수리 작업표준) [본문 확인 ratio=0.48]</t>
  </si>
  <si>
    <t>REWORK 작업을 위한 별도 공간 운영시 작업을 위한 TOOL 및 자재의 비치 상태</t>
  </si>
  <si>
    <t>재작업품 출하 고객승인본</t>
  </si>
  <si>
    <t>SH-FM-WI018-05</t>
  </si>
  <si>
    <t>SH-WI-018(재작업 및 수리 작업표준) [본문 확인 ratio=0.75]</t>
  </si>
  <si>
    <t>이론 및 실습교육 이력 보관관리 및 용접교육 교안비치 (권장사항)</t>
  </si>
  <si>
    <t>용접교육장설치</t>
  </si>
  <si>
    <t>SH-FM-QP006-02</t>
  </si>
  <si>
    <t>안종명</t>
  </si>
  <si>
    <t>SH-QP-006(교육훈련 및 역량관리 절차서); SH-QP-019(보관·포장 및 출하관리 절차서)  [참고: 본문상 명확한 근거 약함(ratio=0.00), 담당부서 확인 권장]</t>
  </si>
  <si>
    <t>자격인증내 실기평가보고서첨부</t>
  </si>
  <si>
    <t>SH-FM-QMS-N50</t>
  </si>
  <si>
    <t>[신규 발견] SH-QP-006(교육훈련 및 역량관리 절차서, ratio=0.89) — 검토 후 확정 필요</t>
  </si>
  <si>
    <t>6-13</t>
  </si>
  <si>
    <t>『정성품질』 활동 관련 업무분장(키맨)</t>
  </si>
  <si>
    <t>정성품질향상가이드</t>
  </si>
  <si>
    <t>SH-FM-QMS-N51</t>
  </si>
  <si>
    <t>『정성품질』 수평전개 교육 담당/ 품질문제 발생시 개선활동 담당/ 고객사 협업 담당 등</t>
  </si>
  <si>
    <t>정성품질 조직도 (키맨선정)</t>
  </si>
  <si>
    <t>SH-FM-QMS-N52</t>
  </si>
  <si>
    <t>제조현장 『정성품질』관련 예방/개선 프로세스 수립(제조현장 반영내역 확인)</t>
  </si>
  <si>
    <t>정성품질 체크시트</t>
  </si>
  <si>
    <t>SH-FM-QMS-N53</t>
  </si>
  <si>
    <t>예방활동 : 휴먼에러 발생 예방을 위한 작업자/공정/설비 등 예방점검 개선 이력</t>
  </si>
  <si>
    <t>정성품질 개선추진보고서</t>
  </si>
  <si>
    <t>SH-FM-QMS-N54</t>
  </si>
  <si>
    <t>경영자승인본</t>
  </si>
  <si>
    <t>→ 발생 원인에 대한 세부적인 원인 분류 및 근본적인 시정조치 활동 실시</t>
  </si>
  <si>
    <t>정성품질 포상제도 시행안 보고서</t>
  </si>
  <si>
    <t>SH-FM-QP016-04</t>
  </si>
  <si>
    <t>3정5행연계</t>
  </si>
  <si>
    <t>SH-QP-016(시정조치 및 문제해결 절차서) [본문 확인 ratio=0.82]</t>
  </si>
  <si>
    <t>『정성품질』 유지 및 관리실태 점검 활동 실시이력(현황 및 개선대책 경영진 보고)</t>
  </si>
  <si>
    <t>정성품질 포상실행 품의서</t>
  </si>
  <si>
    <t>SH-FM-QMS-N55</t>
  </si>
  <si>
    <t>SQ mark 심사 - 신규 작성 필요 문서 실행 리스트</t>
  </si>
  <si>
    <t>작성일: 2026-09-17(Rev.2) | 기존 절차/표준이 없어 절차 검토부터 필요한 104건 | 우선순위 A(배점40+) &gt; B(20~39) &gt; C(19이하)</t>
  </si>
  <si>
    <t>SQ mark 심사 - 신규 양식(FM) 문서번호 부여 초안</t>
  </si>
  <si>
    <t>작성일: 2026-09-17(Rev.2) | 총 240건 | 체계: SH-FM-&lt;근거 QP/WI 번호&gt;-&lt;순번&gt; / 근거 문서가 없으면 SH-FM-&lt;SQ구분코드&gt;-N&lt;순번&gt; | 문서관리대장(SH-FM-002-01 표기 방식) 준용</t>
  </si>
  <si>
    <t>문서구분</t>
  </si>
  <si>
    <t>문서번호(FM안)</t>
  </si>
  <si>
    <t>문서명(필요서류)</t>
  </si>
  <si>
    <t>근거 상위문서(QM/QP/WI)</t>
  </si>
  <si>
    <t>SQ 심사구분</t>
  </si>
  <si>
    <t>주관부서</t>
  </si>
  <si>
    <t>목표 제정월</t>
  </si>
  <si>
    <t>제정상태</t>
  </si>
  <si>
    <t>FM</t>
  </si>
  <si>
    <t>(신규 절차 필요)</t>
  </si>
  <si>
    <t>제정 예정</t>
  </si>
  <si>
    <t>SH-QP-003</t>
  </si>
  <si>
    <t>SH-QP-005</t>
  </si>
  <si>
    <t>SH-QP-006</t>
  </si>
  <si>
    <t>SH-QP-008</t>
  </si>
  <si>
    <t>SH-QP-010</t>
  </si>
  <si>
    <t>SH-QP-013</t>
  </si>
  <si>
    <t>SH-QP-016</t>
  </si>
  <si>
    <t>SH-QP-017</t>
  </si>
  <si>
    <t>SH-QP-018</t>
  </si>
  <si>
    <t>SH-QP-019</t>
  </si>
  <si>
    <t>SH-QP-020</t>
  </si>
  <si>
    <t>SH-QP-021</t>
  </si>
  <si>
    <t>SH-WI-001</t>
  </si>
  <si>
    <t>SH-WI-002</t>
  </si>
  <si>
    <t>SH-WI-003</t>
  </si>
  <si>
    <t>SH-WI-004</t>
  </si>
  <si>
    <t>SH-WI-006</t>
  </si>
  <si>
    <t>SH-WI-007</t>
  </si>
  <si>
    <t>SH-WI-008</t>
  </si>
  <si>
    <t>SH-WI-009</t>
  </si>
  <si>
    <t>SH-WI-010</t>
  </si>
  <si>
    <t>SH-WI-015</t>
  </si>
  <si>
    <t>SH-WI-016</t>
  </si>
  <si>
    <t>SH-WI-017</t>
  </si>
  <si>
    <t>SH-WI-018</t>
  </si>
  <si>
    <t>SH-WI-020</t>
  </si>
  <si>
    <t>SH-WI-027</t>
  </si>
  <si>
    <t>SH-WI-028</t>
  </si>
  <si>
    <t>SH-WI-029</t>
  </si>
  <si>
    <t>SQ mark 심사 - 1. 생산조건관리 필요서류 체크리스트</t>
  </si>
  <si>
    <t>고객사: 한온시스템 | 작성일: 2026-09-17(Rev.2) | 해당 구분 필요서류: 29건</t>
  </si>
  <si>
    <t>SQ mark 심사 - 2. 검사시험 필요서류 체크리스트</t>
  </si>
  <si>
    <t>고객사: 한온시스템 | 작성일: 2026-09-17(Rev.2) | 해당 구분 필요서류: 55건</t>
  </si>
  <si>
    <t>SQ mark 심사 - 3. 설비관리 필요서류 체크리스트</t>
  </si>
  <si>
    <t>고객사: 한온시스템 | 작성일: 2026-09-17(Rev.2) | 해당 구분 필요서류: 28건</t>
  </si>
  <si>
    <t>SQ mark 심사 - 4. 금형관리 필요서류 체크리스트</t>
  </si>
  <si>
    <t>고객사: 한온시스템 | 작성일: 2026-09-17(Rev.2) | 해당 구분 필요서류: 19건</t>
  </si>
  <si>
    <t>SQ mark 심사 - 5. 자재관리 필요서류 체크리스트</t>
  </si>
  <si>
    <t>고객사: 한온시스템 | 작성일: 2026-09-17(Rev.2) | 해당 구분 필요서류: 33건</t>
  </si>
  <si>
    <t>SQ mark 심사 - 6. 품질경영체제 필요서류 체크리스트</t>
  </si>
  <si>
    <t>고객사: 한온시스템 | 작성일: 2026-09-17(Rev.2) | 해당 구분 필요서류: 76건</t>
  </si>
  <si>
    <t>SQ mark 심사 - 생산팀 배포용 필요서류 체크리스트</t>
  </si>
  <si>
    <t>작성일: 2026-09-17(Rev.2) | 생산팀 담당 필요서류: 91건 | 목표완료월 순으로 정렬</t>
  </si>
  <si>
    <t>SQ mark 심사 - 품질팀 배포용 필요서류 체크리스트</t>
  </si>
  <si>
    <t>작성일: 2026-09-17(Rev.2) | 품질팀 담당 필요서류: 88건 | 목표완료월 순으로 정렬</t>
  </si>
  <si>
    <t>SQ mark 심사 - 구매자재팀 배포용 필요서류 체크리스트</t>
  </si>
  <si>
    <t>작성일: 2026-09-17(Rev.2) | 구매자재팀 담당 필요서류: 32건 | 목표완료월 순으로 정렬</t>
  </si>
  <si>
    <t>SQ mark 심사 - 생산기술 배포용 필요서류 체크리스트</t>
  </si>
  <si>
    <t>작성일: 2026-09-17(Rev.2) | 생산기술 담당 필요서류: 19건 | 목표완료월 순으로 정렬</t>
  </si>
  <si>
    <t>SQ mark 심사 - 개발팀 배포용 필요서류 체크리스트</t>
  </si>
  <si>
    <t>작성일: 2026-09-17(Rev.2) | 개발팀 담당 필요서류: 2건 | 목표완료월 순으로 정렬</t>
  </si>
  <si>
    <t>SQ mark 심사 - (부서 미정) 배포용 필요서류 체크리스트</t>
  </si>
  <si>
    <t>작성일: 2026-09-17(Rev.2) | (부서 미정) 담당 필요서류: 8건 | 목표완료월 순으로 정렬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</si>
</sst>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맑은 고딕"/>
      <family val="2"/>
      <scheme val="minor"/>
    </font>
    <font>
      <b/>
      <sz val="14"/>
      <color rgb="FFFFFFFF"/>
      <name val="Arial"/>
      <family val="2"/>
    </font>
    <font>
      <i/>
      <sz val="9"/>
      <color rgb="FF595959"/>
      <name val="Arial"/>
      <family val="2"/>
    </font>
    <font>
      <i/>
      <sz val="9"/>
      <color rgb="FFC00000"/>
      <name val="Arial"/>
      <family val="2"/>
    </font>
    <font>
      <b/>
      <sz val="10"/>
      <name val="Arial"/>
      <family val="2"/>
    </font>
    <font>
      <b/>
      <sz val="10"/>
      <color rgb="FFFFFFFF"/>
      <name val="Arial"/>
      <family val="2"/>
    </font>
    <font>
      <sz val="10"/>
      <name val="Arial"/>
      <family val="2"/>
    </font>
    <font>
      <b/>
      <sz val="18"/>
      <color rgb="FFFFFFFF"/>
      <name val="Malgun Gothic"/>
      <family val="3"/>
      <charset val="129"/>
    </font>
    <font>
      <i/>
      <sz val="10"/>
      <color rgb="FF595959"/>
      <name val="Malgun Gothic"/>
      <family val="3"/>
      <charset val="129"/>
    </font>
    <font>
      <b/>
      <sz val="13"/>
      <color rgb="FF1F4E78"/>
      <name val="Malgun Gothic"/>
      <family val="3"/>
      <charset val="129"/>
    </font>
    <font>
      <sz val="10"/>
      <color rgb="FF595959"/>
      <name val="Malgun Gothic"/>
      <family val="3"/>
      <charset val="129"/>
    </font>
    <font>
      <b/>
      <sz val="22"/>
      <color rgb="FF1F4E78"/>
      <name val="Malgun Gothic"/>
      <family val="3"/>
      <charset val="129"/>
    </font>
    <font>
      <b/>
      <sz val="10.5"/>
      <color rgb="FFFFFFFF"/>
      <name val="Malgun Gothic"/>
      <family val="3"/>
      <charset val="129"/>
    </font>
    <font>
      <b/>
      <sz val="10.5"/>
      <name val="Malgun Gothic"/>
      <family val="3"/>
      <charset val="129"/>
    </font>
    <font>
      <sz val="10.5"/>
      <name val="Malgun Gothic"/>
      <family val="3"/>
      <charset val="129"/>
    </font>
    <font>
      <sz val="8"/>
      <name val="맑은 고딕"/>
      <family val="3"/>
      <charset val="129"/>
      <scheme val="minor"/>
    </font>
  </fonts>
  <fills count="13">
    <fill>
      <patternFill patternType="none"/>
    </fill>
    <fill>
      <patternFill patternType="gray125"/>
    </fill>
    <fill>
      <patternFill patternType="solid">
        <fgColor rgb="FF1F4E78"/>
      </patternFill>
    </fill>
    <fill>
      <patternFill patternType="solid">
        <fgColor rgb="FF2E5A87"/>
      </patternFill>
    </fill>
    <fill>
      <patternFill patternType="solid">
        <fgColor rgb="FFF2F6FA"/>
      </patternFill>
    </fill>
    <fill>
      <patternFill patternType="solid">
        <fgColor rgb="FFFFF2CC"/>
      </patternFill>
    </fill>
    <fill>
      <patternFill patternType="solid">
        <fgColor rgb="FFE2F0D9"/>
      </patternFill>
    </fill>
    <fill>
      <patternFill patternType="solid">
        <fgColor rgb="FFFFE699"/>
      </patternFill>
    </fill>
    <fill>
      <patternFill patternType="solid">
        <fgColor rgb="FFFCE4E4"/>
      </patternFill>
    </fill>
    <fill>
      <patternFill patternType="solid">
        <fgColor rgb="FFF8CBAD"/>
      </patternFill>
    </fill>
    <fill>
      <patternFill patternType="solid">
        <fgColor rgb="FFD9E1F2"/>
      </patternFill>
    </fill>
    <fill>
      <patternFill patternType="solid">
        <fgColor rgb="FFEAF1F8"/>
      </patternFill>
    </fill>
    <fill>
      <patternFill patternType="solid">
        <fgColor rgb="FFF7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32">
    <xf numFmtId="0" fontId="0" fillId="0" borderId="0" xfId="0"/>
    <xf numFmtId="0" fontId="4" fillId="0" borderId="0" xfId="0" applyFont="1"/>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6" fillId="4" borderId="1" xfId="0" applyFont="1" applyFill="1" applyBorder="1" applyAlignment="1">
      <alignment horizontal="left" vertical="top" wrapText="1"/>
    </xf>
    <xf numFmtId="0" fontId="6" fillId="6" borderId="1" xfId="0" applyFont="1" applyFill="1" applyBorder="1" applyAlignment="1">
      <alignment horizontal="center" vertical="center"/>
    </xf>
    <xf numFmtId="0" fontId="6" fillId="0" borderId="1" xfId="0" applyFont="1" applyBorder="1" applyAlignment="1">
      <alignment horizontal="left" vertical="top" wrapText="1"/>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6" fillId="8"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10" fillId="12" borderId="2" xfId="0" applyFont="1" applyFill="1" applyBorder="1" applyAlignment="1">
      <alignment horizontal="center" vertical="center"/>
    </xf>
    <xf numFmtId="1" fontId="11" fillId="12" borderId="2" xfId="0" applyNumberFormat="1" applyFont="1" applyFill="1" applyBorder="1" applyAlignment="1">
      <alignment horizontal="center" vertical="center"/>
    </xf>
    <xf numFmtId="9" fontId="11" fillId="12" borderId="2"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9" fontId="14" fillId="0" borderId="1" xfId="0" applyNumberFormat="1" applyFont="1" applyBorder="1" applyAlignment="1">
      <alignment horizontal="center" vertical="center"/>
    </xf>
    <xf numFmtId="0" fontId="13" fillId="0" borderId="1" xfId="0" applyFont="1" applyBorder="1" applyAlignment="1">
      <alignment horizontal="left" vertical="center" indent="1"/>
    </xf>
    <xf numFmtId="0" fontId="14" fillId="0" borderId="1" xfId="0" applyFont="1" applyBorder="1" applyAlignment="1">
      <alignment horizontal="left" vertical="center" indent="1"/>
    </xf>
    <xf numFmtId="0" fontId="1" fillId="2" borderId="0" xfId="0" applyFont="1" applyFill="1" applyAlignment="1">
      <alignment horizontal="center" vertical="center"/>
    </xf>
    <xf numFmtId="0" fontId="0" fillId="0" borderId="0" xfId="0"/>
    <xf numFmtId="0" fontId="3" fillId="0" borderId="0" xfId="0" applyFont="1" applyAlignment="1">
      <alignment horizontal="left" vertical="center"/>
    </xf>
    <xf numFmtId="0" fontId="2" fillId="0" borderId="0" xfId="0" applyFont="1" applyAlignment="1">
      <alignment horizontal="left" vertical="center"/>
    </xf>
    <xf numFmtId="0" fontId="9" fillId="11" borderId="0" xfId="0" applyFont="1" applyFill="1" applyAlignment="1">
      <alignment horizontal="left" vertical="center" indent="1"/>
    </xf>
    <xf numFmtId="0" fontId="8" fillId="0" borderId="0" xfId="0" applyFont="1"/>
    <xf numFmtId="0" fontId="8" fillId="0" borderId="0" xfId="0" applyFont="1" applyAlignment="1">
      <alignment horizontal="left" vertical="center" wrapText="1"/>
    </xf>
    <xf numFmtId="0" fontId="7" fillId="2" borderId="0" xfId="0" applyFont="1" applyFill="1" applyAlignment="1">
      <alignment horizontal="left" vertical="center" indent="1"/>
    </xf>
  </cellXfs>
  <cellStyles count="1">
    <cellStyle name="표준" xfId="0" builtinId="0"/>
  </cellStyles>
  <dxfs count="6">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C6E0B4"/>
        </patternFill>
      </fill>
    </dxf>
    <dxf>
      <fill>
        <patternFill patternType="solid">
          <fgColor rgb="FFFFE699"/>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a:defRPr/>
            </a:pPr>
            <a:r>
              <a:rPr lang="ko-KR" altLang="en-US"/>
              <a:t>담당부서별 진행 현황 </a:t>
            </a:r>
            <a:r>
              <a:rPr lang="en-US" altLang="ko-KR"/>
              <a:t>(</a:t>
            </a:r>
            <a:r>
              <a:rPr lang="ko-KR" altLang="en-US"/>
              <a:t>완료 </a:t>
            </a:r>
            <a:r>
              <a:rPr lang="en-US" altLang="ko-KR"/>
              <a:t>/ </a:t>
            </a:r>
            <a:r>
              <a:rPr lang="ko-KR" altLang="en-US"/>
              <a:t>진행중 </a:t>
            </a:r>
            <a:r>
              <a:rPr lang="en-US" altLang="ko-KR"/>
              <a:t>/ </a:t>
            </a:r>
            <a:r>
              <a:rPr lang="ko-KR" altLang="en-US"/>
              <a:t>미착수</a:t>
            </a:r>
            <a:r>
              <a:rPr lang="en-US" altLang="ko-KR"/>
              <a:t>)</a:t>
            </a:r>
          </a:p>
        </c:rich>
      </c:tx>
      <c:overlay val="1"/>
    </c:title>
    <c:autoTitleDeleted val="0"/>
    <c:plotArea>
      <c:layout/>
      <c:barChart>
        <c:barDir val="col"/>
        <c:grouping val="stacked"/>
        <c:varyColors val="1"/>
        <c:ser>
          <c:idx val="0"/>
          <c:order val="0"/>
          <c:tx>
            <c:strRef>
              <c:f>'0_대시보드'!$C$15</c:f>
              <c:strCache>
                <c:ptCount val="1"/>
                <c:pt idx="0">
                  <c:v>완료</c:v>
                </c:pt>
              </c:strCache>
            </c:strRef>
          </c:tx>
          <c:spPr>
            <a:solidFill>
              <a:srgbClr val="4CAF7A"/>
            </a:solidFill>
            <a:ln>
              <a:prstDash val="solid"/>
            </a:ln>
          </c:spPr>
          <c:invertIfNegative val="1"/>
          <c:cat>
            <c:strRef>
              <c:f>'0_대시보드'!$A$16:$A$21</c:f>
              <c:strCache>
                <c:ptCount val="6"/>
                <c:pt idx="0">
                  <c:v>생산팀</c:v>
                </c:pt>
                <c:pt idx="1">
                  <c:v>품질팀</c:v>
                </c:pt>
                <c:pt idx="2">
                  <c:v>구매자재팀</c:v>
                </c:pt>
                <c:pt idx="3">
                  <c:v>생산기술</c:v>
                </c:pt>
                <c:pt idx="4">
                  <c:v>개발팀</c:v>
                </c:pt>
                <c:pt idx="5">
                  <c:v>(부서 미정)</c:v>
                </c:pt>
              </c:strCache>
            </c:strRef>
          </c:cat>
          <c:val>
            <c:numRef>
              <c:f>'0_대시보드'!$C$16:$C$21</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D8-4358-BD98-AE12FD699F03}"/>
            </c:ext>
          </c:extLst>
        </c:ser>
        <c:ser>
          <c:idx val="1"/>
          <c:order val="1"/>
          <c:tx>
            <c:strRef>
              <c:f>'0_대시보드'!$D$15</c:f>
              <c:strCache>
                <c:ptCount val="1"/>
                <c:pt idx="0">
                  <c:v>진행중</c:v>
                </c:pt>
              </c:strCache>
            </c:strRef>
          </c:tx>
          <c:spPr>
            <a:solidFill>
              <a:srgbClr val="FFC000"/>
            </a:solidFill>
            <a:ln>
              <a:prstDash val="solid"/>
            </a:ln>
          </c:spPr>
          <c:invertIfNegative val="1"/>
          <c:cat>
            <c:strRef>
              <c:f>'0_대시보드'!$A$16:$A$21</c:f>
              <c:strCache>
                <c:ptCount val="6"/>
                <c:pt idx="0">
                  <c:v>생산팀</c:v>
                </c:pt>
                <c:pt idx="1">
                  <c:v>품질팀</c:v>
                </c:pt>
                <c:pt idx="2">
                  <c:v>구매자재팀</c:v>
                </c:pt>
                <c:pt idx="3">
                  <c:v>생산기술</c:v>
                </c:pt>
                <c:pt idx="4">
                  <c:v>개발팀</c:v>
                </c:pt>
                <c:pt idx="5">
                  <c:v>(부서 미정)</c:v>
                </c:pt>
              </c:strCache>
            </c:strRef>
          </c:cat>
          <c:val>
            <c:numRef>
              <c:f>'0_대시보드'!$D$16:$D$21</c:f>
              <c:numCache>
                <c:formatCode>General</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9D8-4358-BD98-AE12FD699F03}"/>
            </c:ext>
          </c:extLst>
        </c:ser>
        <c:ser>
          <c:idx val="2"/>
          <c:order val="2"/>
          <c:tx>
            <c:strRef>
              <c:f>'0_대시보드'!$E$15</c:f>
              <c:strCache>
                <c:ptCount val="1"/>
                <c:pt idx="0">
                  <c:v>미착수</c:v>
                </c:pt>
              </c:strCache>
            </c:strRef>
          </c:tx>
          <c:spPr>
            <a:solidFill>
              <a:srgbClr val="C00000"/>
            </a:solidFill>
            <a:ln>
              <a:prstDash val="solid"/>
            </a:ln>
          </c:spPr>
          <c:invertIfNegative val="1"/>
          <c:cat>
            <c:strRef>
              <c:f>'0_대시보드'!$A$16:$A$21</c:f>
              <c:strCache>
                <c:ptCount val="6"/>
                <c:pt idx="0">
                  <c:v>생산팀</c:v>
                </c:pt>
                <c:pt idx="1">
                  <c:v>품질팀</c:v>
                </c:pt>
                <c:pt idx="2">
                  <c:v>구매자재팀</c:v>
                </c:pt>
                <c:pt idx="3">
                  <c:v>생산기술</c:v>
                </c:pt>
                <c:pt idx="4">
                  <c:v>개발팀</c:v>
                </c:pt>
                <c:pt idx="5">
                  <c:v>(부서 미정)</c:v>
                </c:pt>
              </c:strCache>
            </c:strRef>
          </c:cat>
          <c:val>
            <c:numRef>
              <c:f>'0_대시보드'!$E$16:$E$21</c:f>
              <c:numCache>
                <c:formatCode>General</c:formatCode>
                <c:ptCount val="6"/>
                <c:pt idx="0">
                  <c:v>91</c:v>
                </c:pt>
                <c:pt idx="1">
                  <c:v>88</c:v>
                </c:pt>
                <c:pt idx="2">
                  <c:v>32</c:v>
                </c:pt>
                <c:pt idx="3">
                  <c:v>19</c:v>
                </c:pt>
                <c:pt idx="4">
                  <c:v>2</c:v>
                </c:pt>
                <c:pt idx="5">
                  <c:v>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E9D8-4358-BD98-AE12FD699F03}"/>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ko-KR" altLang="en-US"/>
                  <a:t>건수</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a:defRPr/>
            </a:pPr>
            <a:r>
              <a:rPr lang="ko-KR" altLang="en-US"/>
              <a:t>전체 준비상태 분포</a:t>
            </a:r>
          </a:p>
        </c:rich>
      </c:tx>
      <c:overlay val="1"/>
    </c:title>
    <c:autoTitleDeleted val="0"/>
    <c:plotArea>
      <c:layout/>
      <c:pieChart>
        <c:varyColors val="1"/>
        <c:ser>
          <c:idx val="0"/>
          <c:order val="0"/>
          <c:tx>
            <c:strRef>
              <c:f>'0_대시보드'!$H$48</c:f>
              <c:strCache>
                <c:ptCount val="1"/>
                <c:pt idx="0">
                  <c:v>건수</c:v>
                </c:pt>
              </c:strCache>
            </c:strRef>
          </c:tx>
          <c:spPr>
            <a:ln>
              <a:prstDash val="solid"/>
            </a:ln>
          </c:spPr>
          <c:dPt>
            <c:idx val="0"/>
            <c:bubble3D val="0"/>
            <c:spPr>
              <a:solidFill>
                <a:srgbClr val="4CAF7A"/>
              </a:solidFill>
              <a:ln>
                <a:prstDash val="solid"/>
              </a:ln>
            </c:spPr>
            <c:extLst>
              <c:ext xmlns:c16="http://schemas.microsoft.com/office/drawing/2014/chart" uri="{C3380CC4-5D6E-409C-BE32-E72D297353CC}">
                <c16:uniqueId val="{00000001-B522-43D7-A9BB-FB56AFC56983}"/>
              </c:ext>
            </c:extLst>
          </c:dPt>
          <c:dPt>
            <c:idx val="1"/>
            <c:bubble3D val="0"/>
            <c:spPr>
              <a:solidFill>
                <a:srgbClr val="FFC000"/>
              </a:solidFill>
              <a:ln>
                <a:prstDash val="solid"/>
              </a:ln>
            </c:spPr>
            <c:extLst>
              <c:ext xmlns:c16="http://schemas.microsoft.com/office/drawing/2014/chart" uri="{C3380CC4-5D6E-409C-BE32-E72D297353CC}">
                <c16:uniqueId val="{00000003-B522-43D7-A9BB-FB56AFC56983}"/>
              </c:ext>
            </c:extLst>
          </c:dPt>
          <c:dPt>
            <c:idx val="2"/>
            <c:bubble3D val="0"/>
            <c:spPr>
              <a:solidFill>
                <a:srgbClr val="C00000"/>
              </a:solidFill>
              <a:ln>
                <a:prstDash val="solid"/>
              </a:ln>
            </c:spPr>
            <c:extLst>
              <c:ext xmlns:c16="http://schemas.microsoft.com/office/drawing/2014/chart" uri="{C3380CC4-5D6E-409C-BE32-E72D297353CC}">
                <c16:uniqueId val="{00000005-B522-43D7-A9BB-FB56AFC56983}"/>
              </c:ext>
            </c:extLst>
          </c:dPt>
          <c:dPt>
            <c:idx val="3"/>
            <c:bubble3D val="0"/>
            <c:spPr>
              <a:solidFill>
                <a:srgbClr val="BFBFBF"/>
              </a:solidFill>
              <a:ln>
                <a:prstDash val="solid"/>
              </a:ln>
            </c:spPr>
            <c:extLst>
              <c:ext xmlns:c16="http://schemas.microsoft.com/office/drawing/2014/chart" uri="{C3380CC4-5D6E-409C-BE32-E72D297353CC}">
                <c16:uniqueId val="{00000007-B522-43D7-A9BB-FB56AFC56983}"/>
              </c:ext>
            </c:extLst>
          </c:dPt>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'0_대시보드'!$G$49:$G$52</c:f>
              <c:strCache>
                <c:ptCount val="4"/>
                <c:pt idx="0">
                  <c:v>완료</c:v>
                </c:pt>
                <c:pt idx="1">
                  <c:v>진행중</c:v>
                </c:pt>
                <c:pt idx="2">
                  <c:v>미착수</c:v>
                </c:pt>
                <c:pt idx="3">
                  <c:v>해당없음</c:v>
                </c:pt>
              </c:strCache>
            </c:strRef>
          </c:cat>
          <c:val>
            <c:numRef>
              <c:f>'0_대시보드'!$H$49:$H$52</c:f>
              <c:numCache>
                <c:formatCode>General</c:formatCode>
                <c:ptCount val="4"/>
                <c:pt idx="0">
                  <c:v>0</c:v>
                </c:pt>
                <c:pt idx="1">
                  <c:v>0</c:v>
                </c:pt>
                <c:pt idx="2">
                  <c:v>240</c:v>
                </c:pt>
                <c:pt idx="3">
                  <c:v>0</c:v>
                </c:pt>
              </c:numCache>
            </c:numRef>
          </c:val>
          <c:extLst>
            <c:ext xmlns:c16="http://schemas.microsoft.com/office/drawing/2014/chart" uri="{C3380CC4-5D6E-409C-BE32-E72D297353CC}">
              <c16:uniqueId val="{00000008-B522-43D7-A9BB-FB56AFC56983}"/>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30</xdr:row>
      <xdr:rowOff>0</xdr:rowOff>
    </xdr:from>
    <xdr:ext cx="648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30</xdr:row>
      <xdr:rowOff>0</xdr:rowOff>
    </xdr:from>
    <xdr:ext cx="360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4"/>
  <sheetViews>
    <sheetView showGridLines="0" workbookViewId="0">
      <selection activeCell="D10" sqref="D10"/>
    </sheetView>
  </sheetViews>
  <sheetFormatPr defaultRowHeight="16.5"/>
  <cols>
    <col min="1" max="8" width="16" customWidth="1"/>
  </cols>
  <sheetData>
    <row r="1" spans="1:8" ht="30" customHeight="1">
      <c r="A1" s="31" t="s">
        <v>0</v>
      </c>
      <c r="B1" s="25"/>
      <c r="C1" s="25"/>
      <c r="D1" s="25"/>
      <c r="E1" s="25"/>
      <c r="F1" s="25"/>
      <c r="G1" s="25"/>
      <c r="H1" s="25"/>
    </row>
    <row r="2" spans="1:8" ht="15.95" customHeight="1">
      <c r="A2" s="29" t="s">
        <v>1</v>
      </c>
      <c r="B2" s="25"/>
      <c r="C2" s="25"/>
      <c r="D2" s="25"/>
      <c r="E2" s="25"/>
      <c r="F2" s="25"/>
      <c r="G2" s="25"/>
      <c r="H2" s="25"/>
    </row>
    <row r="4" spans="1:8" ht="21.95" customHeight="1">
      <c r="A4" s="28" t="s">
        <v>2</v>
      </c>
      <c r="B4" s="25"/>
      <c r="C4" s="25"/>
      <c r="D4" s="25"/>
      <c r="E4" s="25"/>
      <c r="F4" s="25"/>
      <c r="G4" s="25"/>
      <c r="H4" s="25"/>
    </row>
    <row r="5" spans="1:8">
      <c r="A5" s="15" t="s">
        <v>3</v>
      </c>
      <c r="B5" s="15" t="s">
        <v>4</v>
      </c>
      <c r="C5" s="15" t="s">
        <v>5</v>
      </c>
      <c r="D5" s="15" t="s">
        <v>6</v>
      </c>
      <c r="E5" s="15" t="s">
        <v>7</v>
      </c>
      <c r="F5" s="15" t="s">
        <v>8</v>
      </c>
    </row>
    <row r="6" spans="1:8" ht="33.950000000000003" customHeight="1">
      <c r="A6" s="16">
        <f>COUNT(전체_필요서류리스트!$A$4:$A$1000)</f>
        <v>240</v>
      </c>
      <c r="B6" s="16">
        <f>COUNTIF(전체_필요서류리스트!$O$4:$O$1000,"완료")</f>
        <v>0</v>
      </c>
      <c r="C6" s="16">
        <f>COUNTIF(전체_필요서류리스트!$O$4:$O$1000,"진행중")</f>
        <v>0</v>
      </c>
      <c r="D6" s="16">
        <f>COUNT(전체_필요서류리스트!$A$4:$A$1000)-B6-C6-E6</f>
        <v>240</v>
      </c>
      <c r="E6" s="16">
        <f>COUNTIF(전체_필요서류리스트!$O$4:$O$1000,"해당없음")</f>
        <v>0</v>
      </c>
      <c r="F6" s="17">
        <f>B6/A6</f>
        <v>0</v>
      </c>
    </row>
    <row r="8" spans="1:8" ht="21.95" customHeight="1">
      <c r="A8" s="28" t="s">
        <v>9</v>
      </c>
      <c r="B8" s="25"/>
      <c r="C8" s="25"/>
      <c r="D8" s="25"/>
      <c r="E8" s="25"/>
      <c r="F8" s="25"/>
      <c r="G8" s="25"/>
      <c r="H8" s="25"/>
    </row>
    <row r="9" spans="1:8">
      <c r="A9" s="18" t="s">
        <v>10</v>
      </c>
      <c r="B9" s="18" t="s">
        <v>11</v>
      </c>
      <c r="C9" s="18" t="s">
        <v>4</v>
      </c>
      <c r="D9" s="18" t="s">
        <v>5</v>
      </c>
      <c r="E9" s="18" t="s">
        <v>6</v>
      </c>
      <c r="F9" s="18" t="s">
        <v>12</v>
      </c>
    </row>
    <row r="10" spans="1:8">
      <c r="A10" s="19" t="s">
        <v>13</v>
      </c>
      <c r="B10" s="20">
        <f>COUNTIF(전체_필요서류리스트!$E$4:$E$1000,"높음")</f>
        <v>36</v>
      </c>
      <c r="C10" s="20">
        <f>COUNTIFS(전체_필요서류리스트!$E$4:$E$1000,"높음",전체_필요서류리스트!$O$4:$O$1000,"완료")</f>
        <v>0</v>
      </c>
      <c r="D10" s="20">
        <f>COUNTIFS(전체_필요서류리스트!$E$4:$E$1000,"높음",전체_필요서류리스트!$O$4:$O$1000,"진행중")</f>
        <v>0</v>
      </c>
      <c r="E10" s="20">
        <f>B10-C10-D10</f>
        <v>36</v>
      </c>
      <c r="F10" s="21">
        <f>IF(B10=0,0,C10/B10)</f>
        <v>0</v>
      </c>
    </row>
    <row r="11" spans="1:8">
      <c r="A11" s="19" t="s">
        <v>14</v>
      </c>
      <c r="B11" s="20">
        <f>COUNTIF(전체_필요서류리스트!$E$4:$E$1000,"보통")</f>
        <v>162</v>
      </c>
      <c r="C11" s="20">
        <f>COUNTIFS(전체_필요서류리스트!$E$4:$E$1000,"보통",전체_필요서류리스트!$O$4:$O$1000,"완료")</f>
        <v>0</v>
      </c>
      <c r="D11" s="20">
        <f>COUNTIFS(전체_필요서류리스트!$E$4:$E$1000,"보통",전체_필요서류리스트!$O$4:$O$1000,"진행중")</f>
        <v>0</v>
      </c>
      <c r="E11" s="20">
        <f>B11-C11-D11</f>
        <v>162</v>
      </c>
      <c r="F11" s="21">
        <f>IF(B11=0,0,C11/B11)</f>
        <v>0</v>
      </c>
    </row>
    <row r="12" spans="1:8">
      <c r="A12" s="19" t="s">
        <v>15</v>
      </c>
      <c r="B12" s="20">
        <f>COUNTIF(전체_필요서류리스트!$E$4:$E$1000,"낮음")</f>
        <v>42</v>
      </c>
      <c r="C12" s="20">
        <f>COUNTIFS(전체_필요서류리스트!$E$4:$E$1000,"낮음",전체_필요서류리스트!$O$4:$O$1000,"완료")</f>
        <v>0</v>
      </c>
      <c r="D12" s="20">
        <f>COUNTIFS(전체_필요서류리스트!$E$4:$E$1000,"낮음",전체_필요서류리스트!$O$4:$O$1000,"진행중")</f>
        <v>0</v>
      </c>
      <c r="E12" s="20">
        <f>B12-C12-D12</f>
        <v>42</v>
      </c>
      <c r="F12" s="21">
        <f>IF(B12=0,0,C12/B12)</f>
        <v>0</v>
      </c>
    </row>
    <row r="14" spans="1:8" ht="21.95" customHeight="1">
      <c r="A14" s="28" t="s">
        <v>16</v>
      </c>
      <c r="B14" s="25"/>
      <c r="C14" s="25"/>
      <c r="D14" s="25"/>
      <c r="E14" s="25"/>
      <c r="F14" s="25"/>
      <c r="G14" s="25"/>
      <c r="H14" s="25"/>
    </row>
    <row r="15" spans="1:8">
      <c r="A15" s="18" t="s">
        <v>17</v>
      </c>
      <c r="B15" s="18" t="s">
        <v>11</v>
      </c>
      <c r="C15" s="18" t="s">
        <v>4</v>
      </c>
      <c r="D15" s="18" t="s">
        <v>5</v>
      </c>
      <c r="E15" s="18" t="s">
        <v>6</v>
      </c>
      <c r="F15" s="18" t="s">
        <v>12</v>
      </c>
    </row>
    <row r="16" spans="1:8">
      <c r="A16" s="22" t="s">
        <v>18</v>
      </c>
      <c r="B16" s="20">
        <f>COUNTIF(전체_필요서류리스트!$J$4:$J$1000,"생산팀")</f>
        <v>91</v>
      </c>
      <c r="C16" s="20">
        <f>COUNTIFS(전체_필요서류리스트!$J$4:$J$1000,"생산팀",전체_필요서류리스트!$O$4:$O$1000,"완료")</f>
        <v>0</v>
      </c>
      <c r="D16" s="20">
        <f>COUNTIFS(전체_필요서류리스트!$J$4:$J$1000,"생산팀",전체_필요서류리스트!$O$4:$O$1000,"진행중")</f>
        <v>0</v>
      </c>
      <c r="E16" s="20">
        <f t="shared" ref="E16:E21" si="0">B16-C16-D16</f>
        <v>91</v>
      </c>
      <c r="F16" s="21">
        <f t="shared" ref="F16:F21" si="1">IF(B16=0,0,C16/B16)</f>
        <v>0</v>
      </c>
    </row>
    <row r="17" spans="1:8">
      <c r="A17" s="22" t="s">
        <v>19</v>
      </c>
      <c r="B17" s="20">
        <f>COUNTIF(전체_필요서류리스트!$J$4:$J$1000,"품질팀")</f>
        <v>88</v>
      </c>
      <c r="C17" s="20">
        <f>COUNTIFS(전체_필요서류리스트!$J$4:$J$1000,"품질팀",전체_필요서류리스트!$O$4:$O$1000,"완료")</f>
        <v>0</v>
      </c>
      <c r="D17" s="20">
        <f>COUNTIFS(전체_필요서류리스트!$J$4:$J$1000,"품질팀",전체_필요서류리스트!$O$4:$O$1000,"진행중")</f>
        <v>0</v>
      </c>
      <c r="E17" s="20">
        <f t="shared" si="0"/>
        <v>88</v>
      </c>
      <c r="F17" s="21">
        <f t="shared" si="1"/>
        <v>0</v>
      </c>
    </row>
    <row r="18" spans="1:8">
      <c r="A18" s="22" t="s">
        <v>20</v>
      </c>
      <c r="B18" s="20">
        <f>COUNTIF(전체_필요서류리스트!$J$4:$J$1000,"구매자재팀")</f>
        <v>32</v>
      </c>
      <c r="C18" s="20">
        <f>COUNTIFS(전체_필요서류리스트!$J$4:$J$1000,"구매자재팀",전체_필요서류리스트!$O$4:$O$1000,"완료")</f>
        <v>0</v>
      </c>
      <c r="D18" s="20">
        <f>COUNTIFS(전체_필요서류리스트!$J$4:$J$1000,"구매자재팀",전체_필요서류리스트!$O$4:$O$1000,"진행중")</f>
        <v>0</v>
      </c>
      <c r="E18" s="20">
        <f t="shared" si="0"/>
        <v>32</v>
      </c>
      <c r="F18" s="21">
        <f t="shared" si="1"/>
        <v>0</v>
      </c>
    </row>
    <row r="19" spans="1:8">
      <c r="A19" s="22" t="s">
        <v>21</v>
      </c>
      <c r="B19" s="20">
        <f>COUNTIF(전체_필요서류리스트!$J$4:$J$1000,"생산기술")</f>
        <v>19</v>
      </c>
      <c r="C19" s="20">
        <f>COUNTIFS(전체_필요서류리스트!$J$4:$J$1000,"생산기술",전체_필요서류리스트!$O$4:$O$1000,"완료")</f>
        <v>0</v>
      </c>
      <c r="D19" s="20">
        <f>COUNTIFS(전체_필요서류리스트!$J$4:$J$1000,"생산기술",전체_필요서류리스트!$O$4:$O$1000,"진행중")</f>
        <v>0</v>
      </c>
      <c r="E19" s="20">
        <f t="shared" si="0"/>
        <v>19</v>
      </c>
      <c r="F19" s="21">
        <f t="shared" si="1"/>
        <v>0</v>
      </c>
    </row>
    <row r="20" spans="1:8">
      <c r="A20" s="22" t="s">
        <v>22</v>
      </c>
      <c r="B20" s="20">
        <f>COUNTIF(전체_필요서류리스트!$J$4:$J$1000,"개발팀")</f>
        <v>2</v>
      </c>
      <c r="C20" s="20">
        <f>COUNTIFS(전체_필요서류리스트!$J$4:$J$1000,"개발팀",전체_필요서류리스트!$O$4:$O$1000,"완료")</f>
        <v>0</v>
      </c>
      <c r="D20" s="20">
        <f>COUNTIFS(전체_필요서류리스트!$J$4:$J$1000,"개발팀",전체_필요서류리스트!$O$4:$O$1000,"진행중")</f>
        <v>0</v>
      </c>
      <c r="E20" s="20">
        <f t="shared" si="0"/>
        <v>2</v>
      </c>
      <c r="F20" s="21">
        <f t="shared" si="1"/>
        <v>0</v>
      </c>
    </row>
    <row r="21" spans="1:8">
      <c r="A21" s="22" t="s">
        <v>23</v>
      </c>
      <c r="B21" s="20">
        <f>COUNTIF(전체_필요서류리스트!$J$4:$J$1000,"(부서 미정)")</f>
        <v>8</v>
      </c>
      <c r="C21" s="20">
        <f>COUNTIFS(전체_필요서류리스트!$J$4:$J$1000,"(부서 미정)",전체_필요서류리스트!$O$4:$O$1000,"완료")</f>
        <v>0</v>
      </c>
      <c r="D21" s="20">
        <f>COUNTIFS(전체_필요서류리스트!$J$4:$J$1000,"(부서 미정)",전체_필요서류리스트!$O$4:$O$1000,"진행중")</f>
        <v>0</v>
      </c>
      <c r="E21" s="20">
        <f t="shared" si="0"/>
        <v>8</v>
      </c>
      <c r="F21" s="21">
        <f t="shared" si="1"/>
        <v>0</v>
      </c>
    </row>
    <row r="23" spans="1:8" ht="21.95" customHeight="1">
      <c r="A23" s="28" t="s">
        <v>24</v>
      </c>
      <c r="B23" s="25"/>
      <c r="C23" s="25"/>
      <c r="D23" s="25"/>
      <c r="E23" s="25"/>
      <c r="F23" s="25"/>
      <c r="G23" s="25"/>
      <c r="H23" s="25"/>
    </row>
    <row r="24" spans="1:8">
      <c r="A24" s="18" t="s">
        <v>25</v>
      </c>
      <c r="B24" s="18" t="s">
        <v>26</v>
      </c>
      <c r="C24" s="18" t="s">
        <v>4</v>
      </c>
      <c r="D24" s="18" t="s">
        <v>5</v>
      </c>
      <c r="E24" s="18" t="s">
        <v>6</v>
      </c>
      <c r="F24" s="18" t="s">
        <v>12</v>
      </c>
    </row>
    <row r="25" spans="1:8">
      <c r="A25" s="19" t="s">
        <v>27</v>
      </c>
      <c r="B25" s="20">
        <f>COUNTIF(전체_필요서류리스트!$N$4:$N$1000,"2026-09")</f>
        <v>48</v>
      </c>
      <c r="C25" s="20">
        <f>COUNTIFS(전체_필요서류리스트!$N$4:$N$1000,"2026-09",전체_필요서류리스트!$O$4:$O$1000,"완료")</f>
        <v>0</v>
      </c>
      <c r="D25" s="20">
        <f>COUNTIFS(전체_필요서류리스트!$N$4:$N$1000,"2026-09",전체_필요서류리스트!$O$4:$O$1000,"진행중")</f>
        <v>0</v>
      </c>
      <c r="E25" s="20">
        <f>B25-C25-D25</f>
        <v>48</v>
      </c>
      <c r="F25" s="21">
        <f>IF(B25=0,0,C25/B25)</f>
        <v>0</v>
      </c>
    </row>
    <row r="26" spans="1:8">
      <c r="A26" s="19" t="s">
        <v>28</v>
      </c>
      <c r="B26" s="20">
        <f>COUNTIF(전체_필요서류리스트!$N$4:$N$1000,"2026-10")</f>
        <v>64</v>
      </c>
      <c r="C26" s="20">
        <f>COUNTIFS(전체_필요서류리스트!$N$4:$N$1000,"2026-10",전체_필요서류리스트!$O$4:$O$1000,"완료")</f>
        <v>0</v>
      </c>
      <c r="D26" s="20">
        <f>COUNTIFS(전체_필요서류리스트!$N$4:$N$1000,"2026-10",전체_필요서류리스트!$O$4:$O$1000,"진행중")</f>
        <v>0</v>
      </c>
      <c r="E26" s="20">
        <f>B26-C26-D26</f>
        <v>64</v>
      </c>
      <c r="F26" s="21">
        <f>IF(B26=0,0,C26/B26)</f>
        <v>0</v>
      </c>
    </row>
    <row r="27" spans="1:8">
      <c r="A27" s="19" t="s">
        <v>29</v>
      </c>
      <c r="B27" s="20">
        <f>COUNTIF(전체_필요서류리스트!$N$4:$N$1000,"2026-11")</f>
        <v>64</v>
      </c>
      <c r="C27" s="20">
        <f>COUNTIFS(전체_필요서류리스트!$N$4:$N$1000,"2026-11",전체_필요서류리스트!$O$4:$O$1000,"완료")</f>
        <v>0</v>
      </c>
      <c r="D27" s="20">
        <f>COUNTIFS(전체_필요서류리스트!$N$4:$N$1000,"2026-11",전체_필요서류리스트!$O$4:$O$1000,"진행중")</f>
        <v>0</v>
      </c>
      <c r="E27" s="20">
        <f>B27-C27-D27</f>
        <v>64</v>
      </c>
      <c r="F27" s="21">
        <f>IF(B27=0,0,C27/B27)</f>
        <v>0</v>
      </c>
    </row>
    <row r="28" spans="1:8">
      <c r="A28" s="19" t="s">
        <v>30</v>
      </c>
      <c r="B28" s="20">
        <f>COUNTIF(전체_필요서류리스트!$N$4:$N$1000,"2026-12")</f>
        <v>64</v>
      </c>
      <c r="C28" s="20">
        <f>COUNTIFS(전체_필요서류리스트!$N$4:$N$1000,"2026-12",전체_필요서류리스트!$O$4:$O$1000,"완료")</f>
        <v>0</v>
      </c>
      <c r="D28" s="20">
        <f>COUNTIFS(전체_필요서류리스트!$N$4:$N$1000,"2026-12",전체_필요서류리스트!$O$4:$O$1000,"진행중")</f>
        <v>0</v>
      </c>
      <c r="E28" s="20">
        <f>B28-C28-D28</f>
        <v>64</v>
      </c>
      <c r="F28" s="21">
        <f>IF(B28=0,0,C28/B28)</f>
        <v>0</v>
      </c>
    </row>
    <row r="48" spans="7:8">
      <c r="G48" s="18" t="s">
        <v>31</v>
      </c>
      <c r="H48" s="18" t="s">
        <v>32</v>
      </c>
    </row>
    <row r="49" spans="1:8">
      <c r="G49" s="23" t="s">
        <v>4</v>
      </c>
      <c r="H49" s="20">
        <f>B6</f>
        <v>0</v>
      </c>
    </row>
    <row r="50" spans="1:8">
      <c r="G50" s="23" t="s">
        <v>5</v>
      </c>
      <c r="H50" s="20">
        <f>C6</f>
        <v>0</v>
      </c>
    </row>
    <row r="51" spans="1:8">
      <c r="G51" s="23" t="s">
        <v>6</v>
      </c>
      <c r="H51" s="20">
        <f>D6</f>
        <v>240</v>
      </c>
    </row>
    <row r="52" spans="1:8">
      <c r="G52" s="23" t="s">
        <v>7</v>
      </c>
      <c r="H52" s="20">
        <f>E6</f>
        <v>0</v>
      </c>
    </row>
    <row r="54" spans="1:8" ht="30" customHeight="1">
      <c r="A54" s="30" t="s">
        <v>33</v>
      </c>
      <c r="B54" s="25"/>
      <c r="C54" s="25"/>
      <c r="D54" s="25"/>
      <c r="E54" s="25"/>
      <c r="F54" s="25"/>
      <c r="G54" s="25"/>
      <c r="H54" s="25"/>
    </row>
  </sheetData>
  <mergeCells count="7">
    <mergeCell ref="A4:H4"/>
    <mergeCell ref="A2:H2"/>
    <mergeCell ref="A54:H54"/>
    <mergeCell ref="A14:H14"/>
    <mergeCell ref="A1:H1"/>
    <mergeCell ref="A23:H23"/>
    <mergeCell ref="A8:H8"/>
  </mergeCells>
  <phoneticPr fontId="15" type="noConversion"/>
  <conditionalFormatting sqref="E16:E21">
    <cfRule type="cellIs" dxfId="5" priority="4" operator="greaterThan">
      <formula>15</formula>
    </cfRule>
    <cfRule type="cellIs" dxfId="4" priority="5" operator="between">
      <formula>1</formula>
      <formula>15</formula>
    </cfRule>
    <cfRule type="cellIs" dxfId="3" priority="6" operator="equal">
      <formula>0</formula>
    </cfRule>
  </conditionalFormatting>
  <conditionalFormatting sqref="E25:E28">
    <cfRule type="cellIs" dxfId="2" priority="7" operator="greaterThan">
      <formula>15</formula>
    </cfRule>
    <cfRule type="cellIs" dxfId="1" priority="8" operator="between">
      <formula>1</formula>
      <formula>15</formula>
    </cfRule>
    <cfRule type="cellIs" dxfId="0" priority="9" operator="equal">
      <formula>0</formula>
    </cfRule>
  </conditionalFormatting>
  <conditionalFormatting sqref="F10:F12">
    <cfRule type="dataBar" priority="1">
      <dataBar>
        <cfvo type="num" val="0"/>
        <cfvo type="num" val="1"/>
        <color rgb="FF4CAF7A"/>
      </dataBar>
    </cfRule>
  </conditionalFormatting>
  <conditionalFormatting sqref="F16:F21">
    <cfRule type="dataBar" priority="2">
      <dataBar>
        <cfvo type="num" val="0"/>
        <cfvo type="num" val="1"/>
        <color rgb="FF4CAF7A"/>
      </dataBar>
    </cfRule>
  </conditionalFormatting>
  <conditionalFormatting sqref="F25:F28">
    <cfRule type="dataBar" priority="3">
      <dataBar>
        <cfvo type="num" val="0"/>
        <cfvo type="num" val="1"/>
        <color rgb="FF4CAF7A"/>
      </dataBar>
    </cfRule>
  </conditionalFormatting>
  <pageMargins left="0.75" right="0.75" top="1" bottom="1" header="0.5" footer="0.5"/>
  <pageSetup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showGridLines="0" topLeftCell="A8" workbookViewId="0">
      <selection sqref="A1:H1"/>
    </sheetView>
  </sheetViews>
  <sheetFormatPr defaultRowHeight="16.5"/>
  <cols>
    <col min="1" max="1" width="10" customWidth="1"/>
    <col min="2" max="2" width="22" customWidth="1"/>
    <col min="3" max="8" width="18" customWidth="1"/>
  </cols>
  <sheetData>
    <row r="1" spans="1:8" ht="26.1" customHeight="1">
      <c r="A1" s="24" t="s">
        <v>34</v>
      </c>
      <c r="B1" s="25"/>
      <c r="C1" s="25"/>
      <c r="D1" s="25"/>
      <c r="E1" s="25"/>
      <c r="F1" s="25"/>
      <c r="G1" s="25"/>
      <c r="H1" s="25"/>
    </row>
    <row r="2" spans="1:8" ht="15.95" customHeight="1">
      <c r="A2" s="27" t="s">
        <v>35</v>
      </c>
      <c r="B2" s="25"/>
      <c r="C2" s="25"/>
      <c r="D2" s="25"/>
      <c r="E2" s="25"/>
      <c r="F2" s="25"/>
      <c r="G2" s="25"/>
      <c r="H2" s="25"/>
    </row>
    <row r="3" spans="1:8" ht="15.95" customHeight="1">
      <c r="A3" s="26" t="s">
        <v>36</v>
      </c>
      <c r="B3" s="25"/>
      <c r="C3" s="25"/>
      <c r="D3" s="25"/>
      <c r="E3" s="25"/>
      <c r="F3" s="25"/>
      <c r="G3" s="25"/>
      <c r="H3" s="25"/>
    </row>
    <row r="5" spans="1:8">
      <c r="A5" s="1" t="s">
        <v>37</v>
      </c>
    </row>
    <row r="6" spans="1:8" ht="30" customHeight="1">
      <c r="A6" s="2" t="s">
        <v>38</v>
      </c>
      <c r="B6" s="2" t="s">
        <v>39</v>
      </c>
      <c r="C6" s="2" t="s">
        <v>40</v>
      </c>
      <c r="D6" s="2" t="s">
        <v>41</v>
      </c>
      <c r="E6" s="2" t="s">
        <v>42</v>
      </c>
      <c r="F6" s="2" t="s">
        <v>43</v>
      </c>
      <c r="G6" s="2" t="s">
        <v>44</v>
      </c>
      <c r="H6" s="2" t="s">
        <v>45</v>
      </c>
    </row>
    <row r="7" spans="1:8" ht="20.100000000000001" customHeight="1">
      <c r="A7" s="3">
        <v>1</v>
      </c>
      <c r="B7" s="4" t="s">
        <v>46</v>
      </c>
      <c r="C7" s="3">
        <f>COUNT('C1_생산조건관리'!$A$4:$A$1000)</f>
        <v>29</v>
      </c>
      <c r="D7" s="4">
        <f>COUNTIF('C1_생산조건관리'!$J$4:$J$1000,"기존 절차 연계")</f>
        <v>13</v>
      </c>
      <c r="E7" s="3">
        <f>COUNTIF('C1_생산조건관리'!$J$4:$J$1000,"기존 절차 연계 (제안 — 검토 필요)")</f>
        <v>9</v>
      </c>
      <c r="F7" s="4">
        <f>COUNTIF('C1_생산조건관리'!$J$4:$J$1000,"신규 작성 필요")</f>
        <v>7</v>
      </c>
      <c r="G7" s="3">
        <f>COUNTIF('C1_생산조건관리'!$M$4:$M$1000,"완료")</f>
        <v>0</v>
      </c>
      <c r="H7" s="4">
        <f>COUNT('C1_생산조건관리'!$A$4:$A$1000)-G7</f>
        <v>29</v>
      </c>
    </row>
    <row r="8" spans="1:8" ht="20.100000000000001" customHeight="1">
      <c r="A8" s="3">
        <v>2</v>
      </c>
      <c r="B8" s="4" t="s">
        <v>47</v>
      </c>
      <c r="C8" s="3">
        <f>COUNT('C2_검사시험'!$A$4:$A$1000)</f>
        <v>55</v>
      </c>
      <c r="D8" s="4">
        <f>COUNTIF('C2_검사시험'!$J$4:$J$1000,"기존 절차 연계")</f>
        <v>29</v>
      </c>
      <c r="E8" s="3">
        <f>COUNTIF('C2_검사시험'!$J$4:$J$1000,"기존 절차 연계 (제안 — 검토 필요)")</f>
        <v>7</v>
      </c>
      <c r="F8" s="4">
        <f>COUNTIF('C2_검사시험'!$J$4:$J$1000,"신규 작성 필요")</f>
        <v>19</v>
      </c>
      <c r="G8" s="3">
        <f>COUNTIF('C2_검사시험'!$M$4:$M$1000,"완료")</f>
        <v>0</v>
      </c>
      <c r="H8" s="4">
        <f>COUNT('C2_검사시험'!$A$4:$A$1000)-G8</f>
        <v>55</v>
      </c>
    </row>
    <row r="9" spans="1:8" ht="20.100000000000001" customHeight="1">
      <c r="A9" s="3">
        <v>3</v>
      </c>
      <c r="B9" s="4" t="s">
        <v>48</v>
      </c>
      <c r="C9" s="3">
        <f>COUNT('C3_설비관리'!$A$4:$A$1000)</f>
        <v>28</v>
      </c>
      <c r="D9" s="4">
        <f>COUNTIF('C3_설비관리'!$J$4:$J$1000,"기존 절차 연계")</f>
        <v>4</v>
      </c>
      <c r="E9" s="3">
        <f>COUNTIF('C3_설비관리'!$J$4:$J$1000,"기존 절차 연계 (제안 — 검토 필요)")</f>
        <v>3</v>
      </c>
      <c r="F9" s="4">
        <f>COUNTIF('C3_설비관리'!$J$4:$J$1000,"신규 작성 필요")</f>
        <v>21</v>
      </c>
      <c r="G9" s="3">
        <f>COUNTIF('C3_설비관리'!$M$4:$M$1000,"완료")</f>
        <v>0</v>
      </c>
      <c r="H9" s="4">
        <f>COUNT('C3_설비관리'!$A$4:$A$1000)-G9</f>
        <v>28</v>
      </c>
    </row>
    <row r="10" spans="1:8" ht="20.100000000000001" customHeight="1">
      <c r="A10" s="3">
        <v>4</v>
      </c>
      <c r="B10" s="4" t="s">
        <v>49</v>
      </c>
      <c r="C10" s="3">
        <f>COUNT('C4_금형관리'!$A$4:$A$1000)</f>
        <v>19</v>
      </c>
      <c r="D10" s="4">
        <f>COUNTIF('C4_금형관리'!$J$4:$J$1000,"기존 절차 연계")</f>
        <v>14</v>
      </c>
      <c r="E10" s="3">
        <f>COUNTIF('C4_금형관리'!$J$4:$J$1000,"기존 절차 연계 (제안 — 검토 필요)")</f>
        <v>5</v>
      </c>
      <c r="F10" s="4">
        <f>COUNTIF('C4_금형관리'!$J$4:$J$1000,"신규 작성 필요")</f>
        <v>0</v>
      </c>
      <c r="G10" s="3">
        <f>COUNTIF('C4_금형관리'!$M$4:$M$1000,"완료")</f>
        <v>0</v>
      </c>
      <c r="H10" s="4">
        <f>COUNT('C4_금형관리'!$A$4:$A$1000)-G10</f>
        <v>19</v>
      </c>
    </row>
    <row r="11" spans="1:8" ht="20.100000000000001" customHeight="1">
      <c r="A11" s="3">
        <v>5</v>
      </c>
      <c r="B11" s="4" t="s">
        <v>50</v>
      </c>
      <c r="C11" s="3">
        <f>COUNT('C5_자재관리'!$A$4:$A$1000)</f>
        <v>33</v>
      </c>
      <c r="D11" s="4">
        <f>COUNTIF('C5_자재관리'!$J$4:$J$1000,"기존 절차 연계")</f>
        <v>15</v>
      </c>
      <c r="E11" s="3">
        <f>COUNTIF('C5_자재관리'!$J$4:$J$1000,"기존 절차 연계 (제안 — 검토 필요)")</f>
        <v>3</v>
      </c>
      <c r="F11" s="4">
        <f>COUNTIF('C5_자재관리'!$J$4:$J$1000,"신규 작성 필요")</f>
        <v>15</v>
      </c>
      <c r="G11" s="3">
        <f>COUNTIF('C5_자재관리'!$M$4:$M$1000,"완료")</f>
        <v>0</v>
      </c>
      <c r="H11" s="4">
        <f>COUNT('C5_자재관리'!$A$4:$A$1000)-G11</f>
        <v>33</v>
      </c>
    </row>
    <row r="12" spans="1:8" ht="20.100000000000001" customHeight="1">
      <c r="A12" s="3">
        <v>6</v>
      </c>
      <c r="B12" s="4" t="s">
        <v>51</v>
      </c>
      <c r="C12" s="3">
        <f>COUNT('C6_품질경영체제'!$A$4:$A$1000)</f>
        <v>76</v>
      </c>
      <c r="D12" s="4">
        <f>COUNTIF('C6_품질경영체제'!$J$4:$J$1000,"기존 절차 연계")</f>
        <v>20</v>
      </c>
      <c r="E12" s="3">
        <f>COUNTIF('C6_품질경영체제'!$J$4:$J$1000,"기존 절차 연계 (제안 — 검토 필요)")</f>
        <v>14</v>
      </c>
      <c r="F12" s="4">
        <f>COUNTIF('C6_품질경영체제'!$J$4:$J$1000,"신규 작성 필요")</f>
        <v>42</v>
      </c>
      <c r="G12" s="3">
        <f>COUNTIF('C6_품질경영체제'!$M$4:$M$1000,"완료")</f>
        <v>0</v>
      </c>
      <c r="H12" s="4">
        <f>COUNT('C6_품질경영체제'!$A$4:$A$1000)-G12</f>
        <v>76</v>
      </c>
    </row>
    <row r="13" spans="1:8">
      <c r="A13" s="5"/>
      <c r="B13" s="5" t="s">
        <v>52</v>
      </c>
      <c r="C13" s="5">
        <f t="shared" ref="C13:H13" si="0">SUM(C7:C12)</f>
        <v>240</v>
      </c>
      <c r="D13" s="5">
        <f t="shared" si="0"/>
        <v>95</v>
      </c>
      <c r="E13" s="5">
        <f t="shared" si="0"/>
        <v>41</v>
      </c>
      <c r="F13" s="5">
        <f t="shared" si="0"/>
        <v>104</v>
      </c>
      <c r="G13" s="5">
        <f t="shared" si="0"/>
        <v>0</v>
      </c>
      <c r="H13" s="5">
        <f t="shared" si="0"/>
        <v>240</v>
      </c>
    </row>
    <row r="15" spans="1:8">
      <c r="A15" s="1" t="s">
        <v>53</v>
      </c>
    </row>
    <row r="16" spans="1:8">
      <c r="A16" s="2" t="s">
        <v>17</v>
      </c>
      <c r="B16" s="2" t="s">
        <v>40</v>
      </c>
      <c r="C16" s="2" t="s">
        <v>54</v>
      </c>
      <c r="D16" s="2" t="s">
        <v>55</v>
      </c>
      <c r="E16" s="2" t="s">
        <v>56</v>
      </c>
    </row>
    <row r="17" spans="1:5">
      <c r="A17" s="4" t="s">
        <v>18</v>
      </c>
      <c r="B17" s="4">
        <f>COUNT(D_생산팀!$A$4:$A$1000)</f>
        <v>91</v>
      </c>
      <c r="C17" s="4">
        <f>COUNTIF(D_생산팀!$D$4:$D$1000,"높음")</f>
        <v>8</v>
      </c>
      <c r="D17" s="4">
        <f>COUNTIF(D_생산팀!$D$4:$D$1000,"보통")</f>
        <v>58</v>
      </c>
      <c r="E17" s="4">
        <f>COUNTIF(D_생산팀!$D$4:$D$1000,"낮음")</f>
        <v>25</v>
      </c>
    </row>
    <row r="18" spans="1:5">
      <c r="A18" s="3" t="s">
        <v>19</v>
      </c>
      <c r="B18" s="3">
        <f>COUNT(D_품질팀!$A$4:$A$1000)</f>
        <v>88</v>
      </c>
      <c r="C18" s="3">
        <f>COUNTIF(D_품질팀!$D$4:$D$1000,"높음")</f>
        <v>13</v>
      </c>
      <c r="D18" s="3">
        <f>COUNTIF(D_품질팀!$D$4:$D$1000,"보통")</f>
        <v>61</v>
      </c>
      <c r="E18" s="3">
        <f>COUNTIF(D_품질팀!$D$4:$D$1000,"낮음")</f>
        <v>14</v>
      </c>
    </row>
    <row r="19" spans="1:5">
      <c r="A19" s="4" t="s">
        <v>20</v>
      </c>
      <c r="B19" s="4">
        <f>COUNT(D_구매자재팀!$A$4:$A$1000)</f>
        <v>32</v>
      </c>
      <c r="C19" s="4">
        <f>COUNTIF(D_구매자재팀!$D$4:$D$1000,"높음")</f>
        <v>8</v>
      </c>
      <c r="D19" s="4">
        <f>COUNTIF(D_구매자재팀!$D$4:$D$1000,"보통")</f>
        <v>24</v>
      </c>
      <c r="E19" s="4">
        <f>COUNTIF(D_구매자재팀!$D$4:$D$1000,"낮음")</f>
        <v>0</v>
      </c>
    </row>
    <row r="20" spans="1:5">
      <c r="A20" s="3" t="s">
        <v>21</v>
      </c>
      <c r="B20" s="3">
        <f>COUNT(D_생산기술!$A$4:$A$1000)</f>
        <v>19</v>
      </c>
      <c r="C20" s="3">
        <f>COUNTIF(D_생산기술!$D$4:$D$1000,"높음")</f>
        <v>4</v>
      </c>
      <c r="D20" s="3">
        <f>COUNTIF(D_생산기술!$D$4:$D$1000,"보통")</f>
        <v>15</v>
      </c>
      <c r="E20" s="3">
        <f>COUNTIF(D_생산기술!$D$4:$D$1000,"낮음")</f>
        <v>0</v>
      </c>
    </row>
    <row r="21" spans="1:5">
      <c r="A21" s="4" t="s">
        <v>22</v>
      </c>
      <c r="B21" s="4">
        <f>COUNT(D_개발팀!$A$4:$A$1000)</f>
        <v>2</v>
      </c>
      <c r="C21" s="4">
        <f>COUNTIF(D_개발팀!$D$4:$D$1000,"높음")</f>
        <v>0</v>
      </c>
      <c r="D21" s="4">
        <f>COUNTIF(D_개발팀!$D$4:$D$1000,"보통")</f>
        <v>0</v>
      </c>
      <c r="E21" s="4">
        <f>COUNTIF(D_개발팀!$D$4:$D$1000,"낮음")</f>
        <v>2</v>
      </c>
    </row>
    <row r="22" spans="1:5">
      <c r="A22" s="3" t="s">
        <v>23</v>
      </c>
      <c r="B22" s="3">
        <f>COUNT('D_부서 미정'!$A$4:$A$1000)</f>
        <v>8</v>
      </c>
      <c r="C22" s="3">
        <f>COUNTIF('D_부서 미정'!$D$4:$D$1000,"높음")</f>
        <v>3</v>
      </c>
      <c r="D22" s="3">
        <f>COUNTIF('D_부서 미정'!$D$4:$D$1000,"보통")</f>
        <v>4</v>
      </c>
      <c r="E22" s="3">
        <f>COUNTIF('D_부서 미정'!$D$4:$D$1000,"낮음")</f>
        <v>1</v>
      </c>
    </row>
    <row r="24" spans="1:5">
      <c r="A24" s="1" t="s">
        <v>57</v>
      </c>
    </row>
    <row r="25" spans="1:5">
      <c r="A25" s="2" t="s">
        <v>25</v>
      </c>
      <c r="B25" s="2" t="s">
        <v>26</v>
      </c>
    </row>
    <row r="26" spans="1:5">
      <c r="A26" s="4" t="s">
        <v>27</v>
      </c>
      <c r="B26" s="4">
        <f>COUNTIF(전체_필요서류리스트!$N$4:$N$1000,A26)</f>
        <v>48</v>
      </c>
    </row>
    <row r="27" spans="1:5">
      <c r="A27" s="3" t="s">
        <v>28</v>
      </c>
      <c r="B27" s="3">
        <f>COUNTIF(전체_필요서류리스트!$N$4:$N$1000,A27)</f>
        <v>64</v>
      </c>
    </row>
    <row r="28" spans="1:5">
      <c r="A28" s="4" t="s">
        <v>29</v>
      </c>
      <c r="B28" s="4">
        <f>COUNTIF(전체_필요서류리스트!$N$4:$N$1000,A28)</f>
        <v>64</v>
      </c>
    </row>
    <row r="29" spans="1:5">
      <c r="A29" s="3" t="s">
        <v>30</v>
      </c>
      <c r="B29" s="3">
        <f>COUNTIF(전체_필요서류리스트!$N$4:$N$1000,A29)</f>
        <v>64</v>
      </c>
    </row>
  </sheetData>
  <mergeCells count="3">
    <mergeCell ref="A3:H3"/>
    <mergeCell ref="A2:H2"/>
    <mergeCell ref="A1:H1"/>
  </mergeCells>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244"/>
  <sheetViews>
    <sheetView showGridLines="0" tabSelected="1" workbookViewId="0">
      <pane ySplit="4" topLeftCell="A5" activePane="bottomLeft" state="frozen"/>
      <selection pane="bottomLeft" activeCell="I12" sqref="I12"/>
    </sheetView>
  </sheetViews>
  <sheetFormatPr defaultRowHeight="16.5"/>
  <cols>
    <col min="1" max="1" width="5" customWidth="1"/>
    <col min="2" max="2" width="13" customWidth="1"/>
    <col min="3" max="4" width="7" customWidth="1"/>
    <col min="5" max="5" width="8" customWidth="1"/>
    <col min="6" max="6" width="34" customWidth="1"/>
    <col min="7" max="7" width="26" customWidth="1"/>
    <col min="8" max="9" width="13" customWidth="1"/>
    <col min="10" max="10" width="10" customWidth="1"/>
    <col min="11" max="11" width="9" customWidth="1"/>
    <col min="12" max="12" width="14" customWidth="1"/>
    <col min="13" max="13" width="26" customWidth="1"/>
    <col min="14" max="14" width="12" customWidth="1"/>
    <col min="15" max="15" width="10" customWidth="1"/>
    <col min="16" max="16" width="16" customWidth="1"/>
    <col min="17" max="17" width="14" customWidth="1"/>
    <col min="18" max="18" width="24" customWidth="1"/>
    <col min="19" max="19" width="10" customWidth="1"/>
    <col min="20" max="20" width="12" customWidth="1"/>
  </cols>
  <sheetData>
    <row r="1" spans="1:16" ht="26.1" customHeight="1">
      <c r="A1" s="24" t="s">
        <v>58</v>
      </c>
      <c r="B1" s="25"/>
      <c r="C1" s="25"/>
      <c r="D1" s="25"/>
      <c r="E1" s="25"/>
      <c r="F1" s="25"/>
      <c r="G1" s="25"/>
      <c r="H1" s="25"/>
      <c r="I1" s="25"/>
      <c r="J1" s="25"/>
      <c r="K1" s="25"/>
      <c r="L1" s="25"/>
      <c r="M1" s="25"/>
      <c r="N1" s="25"/>
      <c r="O1" s="25"/>
      <c r="P1" s="25"/>
    </row>
    <row r="2" spans="1:16" ht="15.95" customHeight="1">
      <c r="A2" s="27" t="s">
        <v>59</v>
      </c>
      <c r="B2" s="25"/>
      <c r="C2" s="25"/>
      <c r="D2" s="25"/>
      <c r="E2" s="25"/>
      <c r="F2" s="25"/>
      <c r="G2" s="25"/>
      <c r="H2" s="25"/>
      <c r="I2" s="25"/>
      <c r="J2" s="25"/>
      <c r="K2" s="25"/>
      <c r="L2" s="25"/>
      <c r="M2" s="25"/>
      <c r="N2" s="25"/>
      <c r="O2" s="25"/>
      <c r="P2" s="25"/>
    </row>
    <row r="3" spans="1:16" ht="15.95" customHeight="1">
      <c r="A3" s="26" t="inlineStr">
        <is>
          <t xml:space="preserve">DISCLAIMER: "작성구분"/"관련 기존 문서"는 QMS_REV00 품질경영시스템 통합문서(SH-QP-001~025, SH-WI-001~030) 실제 본문과 대조한 재판정 결과입니다(2026-09-17, Rev.2). 녹색=기존 절차 연계(확정), 빨간색=신규 작성 필요. ※2026-09-22: 재판정(본문대조) 결과 검토가 필요했던 41건(과거 노란색 표시)은 품질경영담당(박철호)이 담당부서 정식 회신 없이 일괄 검토·확정했습니다 — 대안 후보/신규 발견 연계를 채택해 "기존 절차 연계"로 전환(녹색), "관련 기존 문서"·"비고" 칸에 확정 근거(ratio)와 확정 일자를 기재했습니다. 이 중 4건(외관검사기준 현지어번역본, 완성품보관장소선정, 금형관리대장, 3정5행관리 기준서)은 "비고" 칸에 ⚠ 표시 — 유사도는 높으나 문서 성격이 다를 가능성이 있어 현장 실제 서식과의 대조 확인이 별도로 필요합니다. "FM문서번호"는 이번 확정으로 240건 전체가 확정 상태입니다. 다만 41건은 애초 번호가 옛 추정/신규작성 기준으로 채번되어 있어 확정된 연계절차와 번호가 어긋나 있던 것을 2026-09-22 발견, 확정된 연계절차 코드 기준("SH-FM-&lt;연계절차코드&gt;-&lt;순번&gt;")으로 재채번했습니다(해당 행 "비고"에 구번호→신번호 기록). 이 재채번은 카테고리별(C1~C6)·부서별(D_생산팀 등) 탭, "FM양식번호_초안" 시트, 공식 문서관리대장에도 동일하게 반영했습니다. "목표완료월"은 규칙 기반 1차 추정치입니다. 실제 활용 가능 여부, 양식 신규 제정 여부, 일정은 반드시 담당부서·품질책임자 검토 후 확정하세요. "배점"은 문서 단위가 아니라 "번호"(요구사항) 단위 배점입니다 — 한 요구사항에 필요서류가 여러 건이면 첫 행에만 배점을 표기하고 나머지 행은 공란입니다(전체 42개 요구사항 배점 합계 1,000점; 행별로 단순 합산하지 마세요). ※2026-09-30: 통합문서(QM-001 계열)에 회사 내부에서 "SH-" 접두사를 부여해 편집한 개정본(시행일 2026-09-23)이 확인되어, 앞으로 전 문서번호 체계를 "SH-" 접두사로 통일하기로 확정했습니다(SH-QM-001, SH-QP-001~025, SH-WI-001~030, SH-FM-XXX). 본 파일의 FM문서번호·관련 기존 문서 표기도 전부 SH- 접두사 기준으로 갱신했습니다.</t>
        </is>
      </c>
      <c r="B3" s="25"/>
      <c r="C3" s="25"/>
      <c r="D3" s="25"/>
      <c r="E3" s="25"/>
      <c r="F3" s="25"/>
      <c r="G3" s="25"/>
      <c r="H3" s="25"/>
      <c r="I3" s="25"/>
      <c r="J3" s="25"/>
      <c r="K3" s="25"/>
      <c r="L3" s="25"/>
      <c r="M3" s="25"/>
      <c r="N3" s="25"/>
      <c r="O3" s="25"/>
      <c r="P3" s="25"/>
    </row>
    <row r="4" spans="1:16" ht="30" customHeight="1">
      <c r="A4" s="2" t="s">
        <v>38</v>
      </c>
      <c r="B4" s="2" t="s">
        <v>39</v>
      </c>
      <c r="C4" s="2" t="s">
        <v>60</v>
      </c>
      <c r="D4" s="2" t="inlineStr">
        <is>
          <t xml:space="preserve">배점(요구사항당)</t>
        </is>
      </c>
      <c r="E4" s="2" t="s">
        <v>10</v>
      </c>
      <c r="F4" s="2" t="s">
        <v>62</v>
      </c>
      <c r="G4" s="2" t="s">
        <v>63</v>
      </c>
      <c r="H4" s="2" t="inlineStr">
        <is>
          <t xml:space="preserve">FM문서번호</t>
        </is>
      </c>
      <c r="I4" s="2" t="s">
        <v>65</v>
      </c>
      <c r="J4" s="2" t="s">
        <v>17</v>
      </c>
      <c r="K4" s="2" t="s">
        <v>66</v>
      </c>
      <c r="L4" s="2" t="s">
        <v>67</v>
      </c>
      <c r="M4" s="2" t="s">
        <v>68</v>
      </c>
      <c r="N4" s="2" t="s">
        <v>69</v>
      </c>
      <c r="O4" s="2" t="s">
        <v>31</v>
      </c>
      <c r="P4" s="2" t="s">
        <v>70</v>
      </c>
      <c r="Q4" s="2" t="inlineStr">
        <is>
          <t xml:space="preserve">확인결과</t>
        </is>
      </c>
      <c r="R4" s="2" t="inlineStr">
        <is>
          <t xml:space="preserve">확정 연계문서/FM번호</t>
        </is>
      </c>
      <c r="S4" s="2" t="inlineStr">
        <is>
          <t xml:space="preserve">확인자</t>
        </is>
      </c>
      <c r="T4" s="2" t="inlineStr">
        <is>
          <t xml:space="preserve">확인일자</t>
        </is>
      </c>
    </row>
    <row r="5" spans="1:20" ht="30" customHeight="1">
      <c r="A5" s="4">
        <v>1</v>
      </c>
      <c r="B5" s="4" t="s">
        <v>46</v>
      </c>
      <c r="C5" s="4" t="s">
        <v>71</v>
      </c>
      <c r="D5" s="4">
        <v>20</v>
      </c>
      <c r="E5" s="4" t="s">
        <v>72</v>
      </c>
      <c r="F5" s="6" t="s">
        <v>73</v>
      </c>
      <c r="G5" s="6" t="s">
        <v>74</v>
      </c>
      <c r="H5" s="7" t="s">
        <v>75</v>
      </c>
      <c r="I5" s="4"/>
      <c r="J5" s="4" t="s">
        <v>19</v>
      </c>
      <c r="K5" s="4" t="s">
        <v>76</v>
      </c>
      <c r="L5" s="7" t="s">
        <v>77</v>
      </c>
      <c r="M5" s="6" t="s">
        <v>78</v>
      </c>
      <c r="N5" s="4" t="s">
        <v>29</v>
      </c>
      <c r="O5" s="4"/>
      <c r="P5" s="6" t="s">
        <v>79</v>
      </c>
      <c r="Q5" s="4"/>
      <c r="R5" s="4"/>
      <c r="S5" s="4"/>
      <c r="T5" s="4"/>
    </row>
    <row r="6" spans="1:20" ht="30" customHeight="1">
      <c r="A6" s="3">
        <v>2</v>
      </c>
      <c r="B6" s="3" t="s">
        <v>46</v>
      </c>
      <c r="C6" s="3" t="s">
        <v>71</v>
      </c>
      <c r="D6" s="3"/>
      <c r="E6" s="3" t="s">
        <v>72</v>
      </c>
      <c r="F6" s="8" t="s">
        <v>80</v>
      </c>
      <c r="G6" s="8" t="s">
        <v>81</v>
      </c>
      <c r="H6" s="7" t="inlineStr">
        <is>
          <t xml:space="preserve">SH-FM-WI022-01</t>
        </is>
      </c>
      <c r="I6" s="3"/>
      <c r="J6" s="3" t="s">
        <v>19</v>
      </c>
      <c r="K6" s="3" t="s">
        <v>76</v>
      </c>
      <c r="L6" s="7" t="inlineStr">
        <is>
          <t xml:space="preserve">기존 절차 연계</t>
        </is>
      </c>
      <c r="M6" s="8" t="inlineStr">
        <is>
          <t xml:space="preserve">SH-WI-022(변경 초기유동 및 강화검사 작업표준)  [확정 2026-09-22: 기존 추정 SH-QP-010(ratio=0.34) 대비 대안 채택(ratio=0.69) — 품질경영담당 일괄판단, 부서 정식회신 생략]</t>
        </is>
      </c>
      <c r="N6" s="3" t="s">
        <v>29</v>
      </c>
      <c r="O6" s="3"/>
      <c r="P6" s="8" t="inlineStr">
        <is>
          <t xml:space="preserve">※재판정(본문대조) 확정(2026-09-22, 품질경영담당 일괄판단 — 부서 정식회신 없이 처리): 관련 기존 문서란 참고 | FM번호 재부여(2026-09-22, 확정 연계절차 기준): SH-FM-QP010-02 → SH-FM-WI022-01</t>
        </is>
      </c>
      <c r="Q6" s="3" t="inlineStr">
        <is>
          <t xml:space="preserve">대안 채택</t>
        </is>
      </c>
      <c r="R6" s="3" t="inlineStr">
        <is>
          <t xml:space="preserve">SH-WI-022(변경 초기유동 및 강화검사 작업표준)</t>
        </is>
      </c>
      <c r="S6" s="3" t="inlineStr">
        <is>
          <t xml:space="preserve">박철호(품질경영 담당, 일괄확정)</t>
        </is>
      </c>
      <c r="T6" s="3" t="inlineStr">
        <is>
          <t xml:space="preserve">2026-09-22</t>
        </is>
      </c>
    </row>
    <row r="7" spans="1:20" ht="30" customHeight="1">
      <c r="A7" s="4">
        <v>3</v>
      </c>
      <c r="B7" s="4" t="s">
        <v>46</v>
      </c>
      <c r="C7" s="4" t="s">
        <v>71</v>
      </c>
      <c r="D7" s="4"/>
      <c r="E7" s="4" t="s">
        <v>72</v>
      </c>
      <c r="F7" s="6" t="s">
        <v>86</v>
      </c>
      <c r="G7" s="6" t="s">
        <v>87</v>
      </c>
      <c r="H7" s="7" t="s">
        <v>88</v>
      </c>
      <c r="I7" s="4" t="s">
        <v>89</v>
      </c>
      <c r="J7" s="4" t="s">
        <v>18</v>
      </c>
      <c r="K7" s="4" t="s">
        <v>90</v>
      </c>
      <c r="L7" s="7" t="s">
        <v>77</v>
      </c>
      <c r="M7" s="6" t="s">
        <v>91</v>
      </c>
      <c r="N7" s="4" t="s">
        <v>30</v>
      </c>
      <c r="O7" s="4"/>
      <c r="P7" s="6" t="s">
        <v>79</v>
      </c>
      <c r="Q7" s="4"/>
      <c r="R7" s="4"/>
      <c r="S7" s="4"/>
      <c r="T7" s="4"/>
    </row>
    <row r="8" spans="1:20" ht="30" customHeight="1">
      <c r="A8" s="3">
        <v>4</v>
      </c>
      <c r="B8" s="3" t="s">
        <v>46</v>
      </c>
      <c r="C8" s="3" t="s">
        <v>71</v>
      </c>
      <c r="D8" s="3"/>
      <c r="E8" s="3" t="s">
        <v>72</v>
      </c>
      <c r="F8" s="8" t="s">
        <v>92</v>
      </c>
      <c r="G8" s="8" t="s">
        <v>93</v>
      </c>
      <c r="H8" s="7" t="s">
        <v>94</v>
      </c>
      <c r="I8" s="3" t="s">
        <v>89</v>
      </c>
      <c r="J8" s="3" t="s">
        <v>18</v>
      </c>
      <c r="K8" s="3" t="s">
        <v>90</v>
      </c>
      <c r="L8" s="7" t="s">
        <v>77</v>
      </c>
      <c r="M8" s="8" t="s">
        <v>95</v>
      </c>
      <c r="N8" s="3" t="s">
        <v>30</v>
      </c>
      <c r="O8" s="3"/>
      <c r="P8" s="8"/>
      <c r="Q8" s="3"/>
      <c r="R8" s="3"/>
      <c r="S8" s="3"/>
      <c r="T8" s="3"/>
    </row>
    <row r="9" spans="1:20" ht="30" customHeight="1">
      <c r="A9" s="4">
        <v>5</v>
      </c>
      <c r="B9" s="4" t="s">
        <v>46</v>
      </c>
      <c r="C9" s="4" t="s">
        <v>71</v>
      </c>
      <c r="D9" s="4"/>
      <c r="E9" s="4" t="s">
        <v>72</v>
      </c>
      <c r="F9" s="6" t="s">
        <v>96</v>
      </c>
      <c r="G9" s="6" t="s">
        <v>97</v>
      </c>
      <c r="H9" s="7" t="s">
        <v>98</v>
      </c>
      <c r="I9" s="4"/>
      <c r="J9" s="4" t="s">
        <v>19</v>
      </c>
      <c r="K9" s="4" t="s">
        <v>76</v>
      </c>
      <c r="L9" s="7" t="s">
        <v>77</v>
      </c>
      <c r="M9" s="6" t="s">
        <v>99</v>
      </c>
      <c r="N9" s="4" t="s">
        <v>29</v>
      </c>
      <c r="O9" s="4"/>
      <c r="P9" s="6" t="s">
        <v>79</v>
      </c>
      <c r="Q9" s="4"/>
      <c r="R9" s="4"/>
      <c r="S9" s="4"/>
      <c r="T9" s="4"/>
    </row>
    <row r="10" spans="1:20" ht="30" customHeight="1">
      <c r="A10" s="3">
        <v>6</v>
      </c>
      <c r="B10" s="3" t="s">
        <v>46</v>
      </c>
      <c r="C10" s="3" t="s">
        <v>100</v>
      </c>
      <c r="D10" s="3">
        <v>20</v>
      </c>
      <c r="E10" s="3" t="s">
        <v>72</v>
      </c>
      <c r="F10" s="8" t="s">
        <v>101</v>
      </c>
      <c r="G10" s="8" t="s">
        <v>102</v>
      </c>
      <c r="H10" s="7" t="inlineStr">
        <is>
          <t xml:space="preserve">SH-FM-QP025-01</t>
        </is>
      </c>
      <c r="I10" s="3" t="s">
        <v>89</v>
      </c>
      <c r="J10" s="3" t="s">
        <v>18</v>
      </c>
      <c r="K10" s="3" t="s">
        <v>90</v>
      </c>
      <c r="L10" s="7" t="inlineStr">
        <is>
          <t xml:space="preserve">기존 절차 연계</t>
        </is>
      </c>
      <c r="M10" s="8" t="inlineStr">
        <is>
          <t xml:space="preserve">SH-QP-025(고객별 요구사항(CSR) 관리 절차서)  [확정 2026-09-22: 기존 추정 SH-WI-016(ratio=0.20) 대비 대안 채택(ratio=0.56) — 품질경영담당 일괄판단, 부서 정식회신 생략]</t>
        </is>
      </c>
      <c r="N10" s="3" t="s">
        <v>30</v>
      </c>
      <c r="O10" s="3"/>
      <c r="P10" s="8" t="inlineStr">
        <is>
          <t xml:space="preserve">※재판정(본문대조) 확정(2026-09-22, 품질경영담당 일괄판단 — 부서 정식회신 없이 처리): 관련 기존 문서란 참고 | FM번호 재부여(2026-09-22, 확정 연계절차 기준): SH-FM-WI016-01 → SH-FM-QP025-01</t>
        </is>
      </c>
      <c r="Q10" s="3" t="inlineStr">
        <is>
          <t xml:space="preserve">대안 채택</t>
        </is>
      </c>
      <c r="R10" s="3" t="inlineStr">
        <is>
          <t xml:space="preserve">SH-QP-025(고객별 요구사항(CSR) 관리 절차서)</t>
        </is>
      </c>
      <c r="S10" s="3" t="inlineStr">
        <is>
          <t xml:space="preserve">박철호(품질경영 담당, 일괄확정)</t>
        </is>
      </c>
      <c r="T10" s="3" t="inlineStr">
        <is>
          <t xml:space="preserve">2026-09-22</t>
        </is>
      </c>
    </row>
    <row r="11" spans="1:20" ht="30" customHeight="1">
      <c r="A11" s="4">
        <v>7</v>
      </c>
      <c r="B11" s="4" t="s">
        <v>46</v>
      </c>
      <c r="C11" s="4" t="s">
        <v>100</v>
      </c>
      <c r="D11" s="4"/>
      <c r="E11" s="4" t="s">
        <v>72</v>
      </c>
      <c r="F11" s="6" t="s">
        <v>105</v>
      </c>
      <c r="G11" s="6" t="s">
        <v>106</v>
      </c>
      <c r="H11" s="7" t="s">
        <v>107</v>
      </c>
      <c r="I11" s="4"/>
      <c r="J11" s="4" t="s">
        <v>23</v>
      </c>
      <c r="K11" s="4"/>
      <c r="L11" s="7" t="s">
        <v>77</v>
      </c>
      <c r="M11" s="6" t="s">
        <v>108</v>
      </c>
      <c r="N11" s="4" t="s">
        <v>30</v>
      </c>
      <c r="O11" s="4"/>
      <c r="P11" s="6" t="s">
        <v>79</v>
      </c>
      <c r="Q11" s="4"/>
      <c r="R11" s="4"/>
      <c r="S11" s="4"/>
      <c r="T11" s="4"/>
    </row>
    <row r="12" spans="1:20" ht="30" customHeight="1">
      <c r="A12" s="3">
        <v>8</v>
      </c>
      <c r="B12" s="3" t="s">
        <v>46</v>
      </c>
      <c r="C12" s="3" t="s">
        <v>100</v>
      </c>
      <c r="D12" s="3"/>
      <c r="E12" s="3" t="s">
        <v>72</v>
      </c>
      <c r="F12" s="8" t="s">
        <v>109</v>
      </c>
      <c r="G12" s="8" t="s">
        <v>110</v>
      </c>
      <c r="H12" s="7" t="s">
        <v>111</v>
      </c>
      <c r="I12" s="3" t="s">
        <v>89</v>
      </c>
      <c r="J12" s="3" t="s">
        <v>18</v>
      </c>
      <c r="K12" s="3"/>
      <c r="L12" s="7" t="s">
        <v>77</v>
      </c>
      <c r="M12" s="8" t="s">
        <v>112</v>
      </c>
      <c r="N12" s="3" t="s">
        <v>30</v>
      </c>
      <c r="O12" s="3"/>
      <c r="P12" s="8" t="s">
        <v>79</v>
      </c>
      <c r="Q12" s="3"/>
      <c r="R12" s="3"/>
      <c r="S12" s="3"/>
      <c r="T12" s="3"/>
    </row>
    <row r="13" spans="1:20" ht="30" customHeight="1">
      <c r="A13" s="4">
        <v>9</v>
      </c>
      <c r="B13" s="4" t="s">
        <v>46</v>
      </c>
      <c r="C13" s="4" t="s">
        <v>100</v>
      </c>
      <c r="D13" s="4"/>
      <c r="E13" s="4" t="s">
        <v>72</v>
      </c>
      <c r="F13" s="6" t="s">
        <v>113</v>
      </c>
      <c r="G13" s="6" t="s">
        <v>114</v>
      </c>
      <c r="H13" s="7" t="inlineStr">
        <is>
          <t xml:space="preserve">SH-FM-WI020-02</t>
        </is>
      </c>
      <c r="I13" s="4" t="s">
        <v>89</v>
      </c>
      <c r="J13" s="4" t="s">
        <v>19</v>
      </c>
      <c r="K13" s="4" t="s">
        <v>76</v>
      </c>
      <c r="L13" s="7" t="inlineStr">
        <is>
          <t xml:space="preserve">기존 절차 연계</t>
        </is>
      </c>
      <c r="M13" s="6" t="inlineStr">
        <is>
          <t xml:space="preserve">SH-WI-020(비상상황 생산복구 작업표준)  [확정 2026-09-22: 기존 추정 SH-QP-003(ratio=0.05) 대비 대안 채택(ratio=0.79) — 품질경영담당 일괄판단, 부서 정식회신 생략]</t>
        </is>
      </c>
      <c r="N13" s="4" t="s">
        <v>29</v>
      </c>
      <c r="O13" s="4"/>
      <c r="P13" s="6" t="inlineStr">
        <is>
          <t xml:space="preserve">※재판정(본문대조) 확정(2026-09-22, 품질경영담당 일괄판단 — 부서 정식회신 없이 처리): 관련 기존 문서란 참고 | FM번호 재부여(2026-09-22, 확정 연계절차 기준): SH-FM-QP003-01 → SH-FM-WI020-02</t>
        </is>
      </c>
      <c r="Q13" s="4" t="inlineStr">
        <is>
          <t xml:space="preserve">대안 채택</t>
        </is>
      </c>
      <c r="R13" s="4" t="inlineStr">
        <is>
          <t xml:space="preserve">SH-WI-020(비상상황 생산복구 작업표준)</t>
        </is>
      </c>
      <c r="S13" s="4" t="inlineStr">
        <is>
          <t xml:space="preserve">박철호(품질경영 담당, 일괄확정)</t>
        </is>
      </c>
      <c r="T13" s="4" t="inlineStr">
        <is>
          <t xml:space="preserve">2026-09-22</t>
        </is>
      </c>
    </row>
    <row r="14" spans="1:20" ht="30" customHeight="1">
      <c r="A14" s="3">
        <v>10</v>
      </c>
      <c r="B14" s="3" t="s">
        <v>46</v>
      </c>
      <c r="C14" s="3" t="s">
        <v>100</v>
      </c>
      <c r="D14" s="3"/>
      <c r="E14" s="3" t="s">
        <v>72</v>
      </c>
      <c r="F14" s="8" t="s">
        <v>117</v>
      </c>
      <c r="G14" s="8" t="s">
        <v>118</v>
      </c>
      <c r="H14" s="7" t="s">
        <v>119</v>
      </c>
      <c r="I14" s="3"/>
      <c r="J14" s="3" t="s">
        <v>18</v>
      </c>
      <c r="K14" s="3" t="s">
        <v>90</v>
      </c>
      <c r="L14" s="7" t="s">
        <v>77</v>
      </c>
      <c r="M14" s="8" t="s">
        <v>120</v>
      </c>
      <c r="N14" s="3" t="s">
        <v>30</v>
      </c>
      <c r="O14" s="3"/>
      <c r="P14" s="8" t="s">
        <v>79</v>
      </c>
      <c r="Q14" s="3"/>
      <c r="R14" s="3"/>
      <c r="S14" s="3"/>
      <c r="T14" s="3"/>
    </row>
    <row r="15" spans="1:20" ht="30" customHeight="1">
      <c r="A15" s="4">
        <v>11</v>
      </c>
      <c r="B15" s="4" t="s">
        <v>46</v>
      </c>
      <c r="C15" s="4" t="s">
        <v>121</v>
      </c>
      <c r="D15" s="4">
        <v>10</v>
      </c>
      <c r="E15" s="4" t="s">
        <v>122</v>
      </c>
      <c r="F15" s="6" t="s">
        <v>123</v>
      </c>
      <c r="G15" s="6" t="s">
        <v>124</v>
      </c>
      <c r="H15" s="7" t="s">
        <v>125</v>
      </c>
      <c r="I15" s="4" t="s">
        <v>89</v>
      </c>
      <c r="J15" s="4" t="s">
        <v>18</v>
      </c>
      <c r="K15" s="4" t="s">
        <v>90</v>
      </c>
      <c r="L15" s="7" t="s">
        <v>77</v>
      </c>
      <c r="M15" s="6" t="s">
        <v>126</v>
      </c>
      <c r="N15" s="4" t="s">
        <v>30</v>
      </c>
      <c r="O15" s="4"/>
      <c r="P15" s="6"/>
      <c r="Q15" s="4"/>
      <c r="R15" s="4"/>
      <c r="S15" s="4"/>
      <c r="T15" s="4"/>
    </row>
    <row r="16" spans="1:20" ht="30" customHeight="1">
      <c r="A16" s="3">
        <v>12</v>
      </c>
      <c r="B16" s="3" t="s">
        <v>46</v>
      </c>
      <c r="C16" s="3" t="s">
        <v>121</v>
      </c>
      <c r="D16" s="3"/>
      <c r="E16" s="3" t="s">
        <v>122</v>
      </c>
      <c r="F16" s="8" t="s">
        <v>127</v>
      </c>
      <c r="G16" s="8" t="s">
        <v>128</v>
      </c>
      <c r="H16" s="7" t="s">
        <v>129</v>
      </c>
      <c r="I16" s="3" t="s">
        <v>89</v>
      </c>
      <c r="J16" s="3" t="s">
        <v>18</v>
      </c>
      <c r="K16" s="3"/>
      <c r="L16" s="7" t="s">
        <v>77</v>
      </c>
      <c r="M16" s="8" t="s">
        <v>130</v>
      </c>
      <c r="N16" s="3" t="s">
        <v>30</v>
      </c>
      <c r="O16" s="3"/>
      <c r="P16" s="8"/>
      <c r="Q16" s="3"/>
      <c r="R16" s="3"/>
      <c r="S16" s="3"/>
      <c r="T16" s="3"/>
    </row>
    <row r="17" spans="1:20" ht="30" customHeight="1">
      <c r="A17" s="4">
        <v>13</v>
      </c>
      <c r="B17" s="4" t="s">
        <v>46</v>
      </c>
      <c r="C17" s="4" t="s">
        <v>121</v>
      </c>
      <c r="D17" s="4"/>
      <c r="E17" s="4" t="s">
        <v>122</v>
      </c>
      <c r="F17" s="6" t="s">
        <v>131</v>
      </c>
      <c r="G17" s="6" t="s">
        <v>132</v>
      </c>
      <c r="H17" s="7" t="s">
        <v>133</v>
      </c>
      <c r="I17" s="4" t="s">
        <v>89</v>
      </c>
      <c r="J17" s="4" t="s">
        <v>18</v>
      </c>
      <c r="K17" s="4"/>
      <c r="L17" s="10" t="s">
        <v>134</v>
      </c>
      <c r="M17" s="6"/>
      <c r="N17" s="4" t="s">
        <v>28</v>
      </c>
      <c r="O17" s="4"/>
      <c r="P17" s="6"/>
      <c r="Q17" s="4"/>
      <c r="R17" s="4"/>
      <c r="S17" s="4"/>
      <c r="T17" s="4"/>
    </row>
    <row r="18" spans="1:20" ht="30" customHeight="1">
      <c r="A18" s="3">
        <v>14</v>
      </c>
      <c r="B18" s="3" t="s">
        <v>46</v>
      </c>
      <c r="C18" s="3" t="s">
        <v>121</v>
      </c>
      <c r="D18" s="3"/>
      <c r="E18" s="3" t="s">
        <v>122</v>
      </c>
      <c r="F18" s="8"/>
      <c r="G18" s="8" t="s">
        <v>135</v>
      </c>
      <c r="H18" s="7" t="inlineStr">
        <is>
          <t xml:space="preserve">SH-FM-QP014-01</t>
        </is>
      </c>
      <c r="I18" s="3" t="s">
        <v>89</v>
      </c>
      <c r="J18" s="3" t="s">
        <v>19</v>
      </c>
      <c r="K18" s="3" t="s">
        <v>76</v>
      </c>
      <c r="L18" s="7" t="inlineStr">
        <is>
          <t xml:space="preserve">기존 절차 연계</t>
        </is>
      </c>
      <c r="M18" s="8" t="inlineStr">
        <is>
          <t xml:space="preserve">SH-QP-014(부적합품 및 재작업 관리 절차서)  [확정 2026-09-22: 신규 발견 연계 채택(ratio=0.72) — 품질경영담당 일괄판단, 부서 정식회신 생략]</t>
        </is>
      </c>
      <c r="N18" s="3" t="s">
        <v>28</v>
      </c>
      <c r="O18" s="3"/>
      <c r="P18" s="8" t="inlineStr">
        <is>
          <t xml:space="preserve">※재판정(본문대조) 확정(2026-09-22, 품질경영담당 일괄판단 — 부서 정식회신 없이 처리): 관련 기존 문서란 참고 | FM번호 재부여(2026-09-22, 확정 연계절차 기준): SH-FM-PRD-N02 → SH-FM-QP014-01</t>
        </is>
      </c>
      <c r="Q18" s="3" t="inlineStr">
        <is>
          <t xml:space="preserve">대안 채택</t>
        </is>
      </c>
      <c r="R18" s="3" t="inlineStr">
        <is>
          <t xml:space="preserve">SH-QP-014(부적합품 및 재작업 관리 절차서)</t>
        </is>
      </c>
      <c r="S18" s="3" t="inlineStr">
        <is>
          <t xml:space="preserve">박철호(품질경영 담당, 일괄확정)</t>
        </is>
      </c>
      <c r="T18" s="3" t="inlineStr">
        <is>
          <t xml:space="preserve">2026-09-22</t>
        </is>
      </c>
    </row>
    <row r="19" spans="1:20" ht="30" customHeight="1">
      <c r="A19" s="4">
        <v>15</v>
      </c>
      <c r="B19" s="4" t="s">
        <v>46</v>
      </c>
      <c r="C19" s="4" t="s">
        <v>121</v>
      </c>
      <c r="D19" s="4"/>
      <c r="E19" s="4" t="s">
        <v>122</v>
      </c>
      <c r="F19" s="6"/>
      <c r="G19" s="6" t="s">
        <v>139</v>
      </c>
      <c r="H19" s="7" t="inlineStr">
        <is>
          <t xml:space="preserve">SH-FM-WI030-01</t>
        </is>
      </c>
      <c r="I19" s="4" t="s">
        <v>89</v>
      </c>
      <c r="J19" s="4" t="s">
        <v>19</v>
      </c>
      <c r="K19" s="4"/>
      <c r="L19" s="7" t="inlineStr">
        <is>
          <t xml:space="preserve">기존 절차 연계</t>
        </is>
      </c>
      <c r="M19" s="6" t="inlineStr">
        <is>
          <t xml:space="preserve">SH-WI-030(고객감사·인증심사 현장대응 표준)  [확정 2026-09-22: 신규 발견 연계 채택(ratio=1.00) — 품질경영담당 일괄판단, 부서 정식회신 생략]</t>
        </is>
      </c>
      <c r="N19" s="4" t="s">
        <v>28</v>
      </c>
      <c r="O19" s="4"/>
      <c r="P19" s="6" t="inlineStr">
        <is>
          <t xml:space="preserve">※재판정(본문대조) 확정(2026-09-22, 품질경영담당 일괄판단 — 부서 정식회신 없이 처리): 관련 기존 문서란 참고 ⚠현장 실제 서식과 반드시 대조 확인 필요(철호님 직접 확인 권장) | FM번호 재부여(2026-09-22, 확정 연계절차 기준): SH-FM-PRD-N03 → SH-FM-WI030-01</t>
        </is>
      </c>
      <c r="Q19" s="4" t="inlineStr">
        <is>
          <t xml:space="preserve">대안 채택</t>
        </is>
      </c>
      <c r="R19" s="4" t="inlineStr">
        <is>
          <t xml:space="preserve">SH-WI-030(고객감사·인증심사 현장대응 표준)</t>
        </is>
      </c>
      <c r="S19" s="4" t="inlineStr">
        <is>
          <t xml:space="preserve">박철호(품질경영 담당, 일괄확정)</t>
        </is>
      </c>
      <c r="T19" s="4" t="inlineStr">
        <is>
          <t xml:space="preserve">2026-09-22</t>
        </is>
      </c>
    </row>
    <row r="20" spans="1:20" ht="30" customHeight="1">
      <c r="A20" s="3">
        <v>16</v>
      </c>
      <c r="B20" s="3" t="s">
        <v>46</v>
      </c>
      <c r="C20" s="3" t="s">
        <v>142</v>
      </c>
      <c r="D20" s="3">
        <v>20</v>
      </c>
      <c r="E20" s="3" t="s">
        <v>72</v>
      </c>
      <c r="F20" s="8" t="s">
        <v>143</v>
      </c>
      <c r="G20" s="8" t="s">
        <v>144</v>
      </c>
      <c r="H20" s="7" t="s">
        <v>145</v>
      </c>
      <c r="I20" s="3"/>
      <c r="J20" s="3" t="s">
        <v>18</v>
      </c>
      <c r="K20" s="3" t="s">
        <v>90</v>
      </c>
      <c r="L20" s="10" t="s">
        <v>134</v>
      </c>
      <c r="M20" s="8"/>
      <c r="N20" s="3" t="s">
        <v>28</v>
      </c>
      <c r="O20" s="3"/>
      <c r="P20" s="8"/>
      <c r="Q20" s="3"/>
      <c r="R20" s="3"/>
      <c r="S20" s="3"/>
      <c r="T20" s="3"/>
    </row>
    <row r="21" spans="1:20" ht="30" customHeight="1">
      <c r="A21" s="4">
        <v>17</v>
      </c>
      <c r="B21" s="4" t="s">
        <v>46</v>
      </c>
      <c r="C21" s="4" t="s">
        <v>142</v>
      </c>
      <c r="D21" s="4"/>
      <c r="E21" s="4" t="s">
        <v>72</v>
      </c>
      <c r="F21" s="6" t="s">
        <v>146</v>
      </c>
      <c r="G21" s="6" t="s">
        <v>147</v>
      </c>
      <c r="H21" s="7" t="s">
        <v>148</v>
      </c>
      <c r="I21" s="4"/>
      <c r="J21" s="4" t="s">
        <v>18</v>
      </c>
      <c r="K21" s="4"/>
      <c r="L21" s="7" t="s">
        <v>77</v>
      </c>
      <c r="M21" s="6" t="s">
        <v>149</v>
      </c>
      <c r="N21" s="4" t="s">
        <v>30</v>
      </c>
      <c r="O21" s="4"/>
      <c r="P21" s="6"/>
      <c r="Q21" s="4"/>
      <c r="R21" s="4"/>
      <c r="S21" s="4"/>
      <c r="T21" s="4"/>
    </row>
    <row r="22" spans="1:20" ht="30" customHeight="1">
      <c r="A22" s="3">
        <v>18</v>
      </c>
      <c r="B22" s="3" t="s">
        <v>46</v>
      </c>
      <c r="C22" s="3" t="s">
        <v>142</v>
      </c>
      <c r="D22" s="3"/>
      <c r="E22" s="3" t="s">
        <v>72</v>
      </c>
      <c r="F22" s="8" t="s">
        <v>150</v>
      </c>
      <c r="G22" s="8" t="s">
        <v>151</v>
      </c>
      <c r="H22" s="7" t="s">
        <v>152</v>
      </c>
      <c r="I22" s="3" t="s">
        <v>89</v>
      </c>
      <c r="J22" s="3" t="s">
        <v>18</v>
      </c>
      <c r="K22" s="3"/>
      <c r="L22" s="7" t="s">
        <v>77</v>
      </c>
      <c r="M22" s="8" t="s">
        <v>153</v>
      </c>
      <c r="N22" s="3" t="s">
        <v>30</v>
      </c>
      <c r="O22" s="3"/>
      <c r="P22" s="8"/>
      <c r="Q22" s="3"/>
      <c r="R22" s="3"/>
      <c r="S22" s="3"/>
      <c r="T22" s="3"/>
    </row>
    <row r="23" spans="1:20" ht="30" customHeight="1">
      <c r="A23" s="4">
        <v>19</v>
      </c>
      <c r="B23" s="4" t="s">
        <v>46</v>
      </c>
      <c r="C23" s="4" t="s">
        <v>142</v>
      </c>
      <c r="D23" s="4"/>
      <c r="E23" s="4" t="s">
        <v>72</v>
      </c>
      <c r="F23" s="6" t="s">
        <v>154</v>
      </c>
      <c r="G23" s="6" t="s">
        <v>155</v>
      </c>
      <c r="H23" s="7" t="inlineStr">
        <is>
          <t xml:space="preserve">SH-FM-WI004-06</t>
        </is>
      </c>
      <c r="I23" s="4" t="s">
        <v>89</v>
      </c>
      <c r="J23" s="4" t="s">
        <v>18</v>
      </c>
      <c r="K23" s="4"/>
      <c r="L23" s="7" t="inlineStr">
        <is>
          <t xml:space="preserve">기존 절차 연계</t>
        </is>
      </c>
      <c r="M23" s="6" t="inlineStr">
        <is>
          <t xml:space="preserve">SH-WI-004(설비 일상점검 및 이상대응 표준)  [확정 2026-09-22: 기존 추정 SH-WI-001(ratio=0.17) 대비 대안 채택(ratio=0.73) — 품질경영담당 일괄판단, 부서 정식회신 생략]</t>
        </is>
      </c>
      <c r="N23" s="4" t="s">
        <v>30</v>
      </c>
      <c r="O23" s="4"/>
      <c r="P23" s="6" t="inlineStr">
        <is>
          <t xml:space="preserve">※재판정(본문대조) 확정(2026-09-22, 품질경영담당 일괄판단 — 부서 정식회신 없이 처리): 관련 기존 문서란 참고 | FM번호 재부여(2026-09-22, 확정 연계절차 기준): SH-FM-WI001-01 → SH-FM-WI004-06</t>
        </is>
      </c>
      <c r="Q23" s="4" t="inlineStr">
        <is>
          <t xml:space="preserve">대안 채택</t>
        </is>
      </c>
      <c r="R23" s="4" t="inlineStr">
        <is>
          <t xml:space="preserve">SH-WI-004(설비 일상점검 및 이상대응 표준)</t>
        </is>
      </c>
      <c r="S23" s="4" t="inlineStr">
        <is>
          <t xml:space="preserve">박철호(품질경영 담당, 일괄확정)</t>
        </is>
      </c>
      <c r="T23" s="4" t="inlineStr">
        <is>
          <t xml:space="preserve">2026-09-22</t>
        </is>
      </c>
    </row>
    <row r="24" spans="1:20" ht="30" customHeight="1">
      <c r="A24" s="3">
        <v>20</v>
      </c>
      <c r="B24" s="3" t="s">
        <v>46</v>
      </c>
      <c r="C24" s="3" t="s">
        <v>142</v>
      </c>
      <c r="D24" s="3"/>
      <c r="E24" s="3" t="s">
        <v>72</v>
      </c>
      <c r="F24" s="8" t="s">
        <v>158</v>
      </c>
      <c r="G24" s="8" t="s">
        <v>159</v>
      </c>
      <c r="H24" s="7" t="s">
        <v>160</v>
      </c>
      <c r="I24" s="3"/>
      <c r="J24" s="3" t="s">
        <v>19</v>
      </c>
      <c r="K24" s="3" t="s">
        <v>76</v>
      </c>
      <c r="L24" s="7" t="s">
        <v>77</v>
      </c>
      <c r="M24" s="8" t="s">
        <v>161</v>
      </c>
      <c r="N24" s="3" t="s">
        <v>29</v>
      </c>
      <c r="O24" s="3"/>
      <c r="P24" s="8" t="s">
        <v>79</v>
      </c>
      <c r="Q24" s="3"/>
      <c r="R24" s="3"/>
      <c r="S24" s="3"/>
      <c r="T24" s="3"/>
    </row>
    <row r="25" spans="1:20" ht="30" customHeight="1">
      <c r="A25" s="4">
        <v>21</v>
      </c>
      <c r="B25" s="4" t="s">
        <v>46</v>
      </c>
      <c r="C25" s="4" t="s">
        <v>142</v>
      </c>
      <c r="D25" s="4"/>
      <c r="E25" s="4" t="s">
        <v>72</v>
      </c>
      <c r="F25" s="6" t="s">
        <v>162</v>
      </c>
      <c r="G25" s="6" t="s">
        <v>163</v>
      </c>
      <c r="H25" s="7" t="s">
        <v>164</v>
      </c>
      <c r="I25" s="4"/>
      <c r="J25" s="4" t="s">
        <v>19</v>
      </c>
      <c r="K25" s="4"/>
      <c r="L25" s="10" t="s">
        <v>134</v>
      </c>
      <c r="M25" s="6"/>
      <c r="N25" s="4" t="s">
        <v>27</v>
      </c>
      <c r="O25" s="4"/>
      <c r="P25" s="6"/>
      <c r="Q25" s="4"/>
      <c r="R25" s="4"/>
      <c r="S25" s="4"/>
      <c r="T25" s="4"/>
    </row>
    <row r="26" spans="1:20" ht="30" customHeight="1">
      <c r="A26" s="3">
        <v>22</v>
      </c>
      <c r="B26" s="3" t="s">
        <v>46</v>
      </c>
      <c r="C26" s="3" t="s">
        <v>165</v>
      </c>
      <c r="D26" s="3">
        <v>70</v>
      </c>
      <c r="E26" s="3" t="s">
        <v>166</v>
      </c>
      <c r="F26" s="8" t="s">
        <v>167</v>
      </c>
      <c r="G26" s="8" t="s">
        <v>168</v>
      </c>
      <c r="H26" s="7" t="s">
        <v>169</v>
      </c>
      <c r="I26" s="3" t="s">
        <v>89</v>
      </c>
      <c r="J26" s="3" t="s">
        <v>18</v>
      </c>
      <c r="K26" s="3" t="s">
        <v>90</v>
      </c>
      <c r="L26" s="7" t="s">
        <v>77</v>
      </c>
      <c r="M26" s="8" t="s">
        <v>170</v>
      </c>
      <c r="N26" s="3" t="s">
        <v>29</v>
      </c>
      <c r="O26" s="3"/>
      <c r="P26" s="8" t="s">
        <v>79</v>
      </c>
      <c r="Q26" s="3"/>
      <c r="R26" s="3"/>
      <c r="S26" s="3"/>
      <c r="T26" s="3"/>
    </row>
    <row r="27" spans="1:20" ht="30" customHeight="1">
      <c r="A27" s="4">
        <v>23</v>
      </c>
      <c r="B27" s="4" t="s">
        <v>46</v>
      </c>
      <c r="C27" s="4" t="s">
        <v>165</v>
      </c>
      <c r="D27" s="4"/>
      <c r="E27" s="4" t="s">
        <v>166</v>
      </c>
      <c r="F27" s="6"/>
      <c r="G27" s="6" t="s">
        <v>171</v>
      </c>
      <c r="H27" s="7" t="s">
        <v>172</v>
      </c>
      <c r="I27" s="4" t="s">
        <v>89</v>
      </c>
      <c r="J27" s="4" t="s">
        <v>18</v>
      </c>
      <c r="K27" s="4"/>
      <c r="L27" s="10" t="s">
        <v>134</v>
      </c>
      <c r="M27" s="6"/>
      <c r="N27" s="4" t="s">
        <v>27</v>
      </c>
      <c r="O27" s="4"/>
      <c r="P27" s="6"/>
      <c r="Q27" s="4"/>
      <c r="R27" s="4"/>
      <c r="S27" s="4"/>
      <c r="T27" s="4"/>
    </row>
    <row r="28" spans="1:20" ht="30" customHeight="1">
      <c r="A28" s="3">
        <v>24</v>
      </c>
      <c r="B28" s="3" t="s">
        <v>46</v>
      </c>
      <c r="C28" s="3" t="s">
        <v>165</v>
      </c>
      <c r="D28" s="3"/>
      <c r="E28" s="3" t="s">
        <v>166</v>
      </c>
      <c r="F28" s="8"/>
      <c r="G28" s="8" t="s">
        <v>173</v>
      </c>
      <c r="H28" s="7" t="inlineStr">
        <is>
          <t xml:space="preserve">SH-FM-WI001-01</t>
        </is>
      </c>
      <c r="I28" s="3"/>
      <c r="J28" s="3" t="s">
        <v>23</v>
      </c>
      <c r="K28" s="3"/>
      <c r="L28" s="7" t="inlineStr">
        <is>
          <t xml:space="preserve">기존 절차 연계</t>
        </is>
      </c>
      <c r="M28" s="8" t="inlineStr">
        <is>
          <t xml:space="preserve">SH-WI-001(생산 작업준비 및 초품확인 표준)  [확정 2026-09-22: 신규 발견 연계 채택(ratio=0.72) — 품질경영담당 일괄판단, 부서 정식회신 생략]</t>
        </is>
      </c>
      <c r="N28" s="3" t="s">
        <v>27</v>
      </c>
      <c r="O28" s="3"/>
      <c r="P28" s="8" t="inlineStr">
        <is>
          <t xml:space="preserve">※재판정(본문대조) 확정(2026-09-22, 품질경영담당 일괄판단 — 부서 정식회신 없이 처리): 관련 기존 문서란 참고 | FM번호 재부여(2026-09-22, 확정 연계절차 기준): SH-FM-PRD-N07 → SH-FM-WI001-01</t>
        </is>
      </c>
      <c r="Q28" s="3" t="inlineStr">
        <is>
          <t xml:space="preserve">대안 채택</t>
        </is>
      </c>
      <c r="R28" s="3" t="inlineStr">
        <is>
          <t xml:space="preserve">SH-WI-001(생산 작업준비 및 초품확인 표준)</t>
        </is>
      </c>
      <c r="S28" s="3" t="inlineStr">
        <is>
          <t xml:space="preserve">박철호(품질경영 담당, 일괄확정)</t>
        </is>
      </c>
      <c r="T28" s="3" t="inlineStr">
        <is>
          <t xml:space="preserve">2026-09-22</t>
        </is>
      </c>
    </row>
    <row r="29" spans="1:20" ht="30" customHeight="1">
      <c r="A29" s="4">
        <v>25</v>
      </c>
      <c r="B29" s="4" t="s">
        <v>46</v>
      </c>
      <c r="C29" s="4" t="s">
        <v>165</v>
      </c>
      <c r="D29" s="4"/>
      <c r="E29" s="4" t="s">
        <v>166</v>
      </c>
      <c r="F29" s="6"/>
      <c r="G29" s="6" t="s">
        <v>176</v>
      </c>
      <c r="H29" s="7" t="inlineStr">
        <is>
          <t xml:space="preserve">SH-FM-QP003-05</t>
        </is>
      </c>
      <c r="I29" s="4" t="s">
        <v>89</v>
      </c>
      <c r="J29" s="4" t="s">
        <v>21</v>
      </c>
      <c r="K29" s="4" t="s">
        <v>178</v>
      </c>
      <c r="L29" s="7" t="inlineStr">
        <is>
          <t xml:space="preserve">기존 절차 연계</t>
        </is>
      </c>
      <c r="M29" s="6" t="inlineStr">
        <is>
          <t xml:space="preserve">SH-QP-003(기록관리 절차서)  [확정 2026-09-22: 신규 발견 연계 채택(ratio=0.59) — 품질경영담당 일괄판단, 부서 정식회신 생략]</t>
        </is>
      </c>
      <c r="N29" s="4" t="s">
        <v>27</v>
      </c>
      <c r="O29" s="4"/>
      <c r="P29" s="6" t="inlineStr">
        <is>
          <t xml:space="preserve">※재판정(본문대조) 확정(2026-09-22, 품질경영담당 일괄판단 — 부서 정식회신 없이 처리): 관련 기존 문서란 참고 | FM번호 재부여(2026-09-22, 확정 연계절차 기준): SH-FM-PRD-N08 → SH-FM-QP003-05</t>
        </is>
      </c>
      <c r="Q29" s="4" t="inlineStr">
        <is>
          <t xml:space="preserve">대안 채택</t>
        </is>
      </c>
      <c r="R29" s="4" t="inlineStr">
        <is>
          <t xml:space="preserve">SH-QP-003(기록관리 절차서)</t>
        </is>
      </c>
      <c r="S29" s="4" t="inlineStr">
        <is>
          <t xml:space="preserve">박철호(품질경영 담당, 일괄확정)</t>
        </is>
      </c>
      <c r="T29" s="4" t="inlineStr">
        <is>
          <t xml:space="preserve">2026-09-22</t>
        </is>
      </c>
    </row>
    <row r="30" spans="1:20" ht="30" customHeight="1">
      <c r="A30" s="3">
        <v>26</v>
      </c>
      <c r="B30" s="3" t="s">
        <v>46</v>
      </c>
      <c r="C30" s="3" t="s">
        <v>165</v>
      </c>
      <c r="D30" s="3"/>
      <c r="E30" s="3" t="s">
        <v>166</v>
      </c>
      <c r="F30" s="8"/>
      <c r="G30" s="8" t="s">
        <v>180</v>
      </c>
      <c r="H30" s="7" t="inlineStr">
        <is>
          <t xml:space="preserve">SH-FM-QP003-06</t>
        </is>
      </c>
      <c r="I30" s="3" t="s">
        <v>89</v>
      </c>
      <c r="J30" s="3" t="s">
        <v>21</v>
      </c>
      <c r="K30" s="3"/>
      <c r="L30" s="7" t="inlineStr">
        <is>
          <t xml:space="preserve">기존 절차 연계</t>
        </is>
      </c>
      <c r="M30" s="8" t="inlineStr">
        <is>
          <t xml:space="preserve">SH-QP-003(기록관리 절차서)  [확정 2026-09-22: 신규 발견 연계 채택(ratio=0.82) — 품질경영담당 일괄판단, 부서 정식회신 생략]</t>
        </is>
      </c>
      <c r="N30" s="3" t="s">
        <v>27</v>
      </c>
      <c r="O30" s="3"/>
      <c r="P30" s="8" t="inlineStr">
        <is>
          <t xml:space="preserve">※재판정(본문대조) 확정(2026-09-22, 품질경영담당 일괄판단 — 부서 정식회신 없이 처리): 관련 기존 문서란 참고 | FM번호 재부여(2026-09-22, 확정 연계절차 기준): SH-FM-PRD-N09 → SH-FM-QP003-06</t>
        </is>
      </c>
      <c r="Q30" s="3" t="inlineStr">
        <is>
          <t xml:space="preserve">대안 채택</t>
        </is>
      </c>
      <c r="R30" s="3" t="inlineStr">
        <is>
          <t xml:space="preserve">SH-QP-003(기록관리 절차서)</t>
        </is>
      </c>
      <c r="S30" s="3" t="inlineStr">
        <is>
          <t xml:space="preserve">박철호(품질경영 담당, 일괄확정)</t>
        </is>
      </c>
      <c r="T30" s="3" t="inlineStr">
        <is>
          <t xml:space="preserve">2026-09-22</t>
        </is>
      </c>
    </row>
    <row r="31" spans="1:20" ht="30" customHeight="1">
      <c r="A31" s="4">
        <v>27</v>
      </c>
      <c r="B31" s="4" t="s">
        <v>46</v>
      </c>
      <c r="C31" s="4" t="s">
        <v>165</v>
      </c>
      <c r="D31" s="4"/>
      <c r="E31" s="4" t="s">
        <v>166</v>
      </c>
      <c r="F31" s="6"/>
      <c r="G31" s="6" t="s">
        <v>183</v>
      </c>
      <c r="H31" s="7" t="s">
        <v>184</v>
      </c>
      <c r="I31" s="4"/>
      <c r="J31" s="4" t="s">
        <v>21</v>
      </c>
      <c r="K31" s="4"/>
      <c r="L31" s="10" t="s">
        <v>134</v>
      </c>
      <c r="M31" s="6"/>
      <c r="N31" s="4" t="s">
        <v>27</v>
      </c>
      <c r="O31" s="4"/>
      <c r="P31" s="6"/>
      <c r="Q31" s="4"/>
      <c r="R31" s="4"/>
      <c r="S31" s="4"/>
      <c r="T31" s="4"/>
    </row>
    <row r="32" spans="1:20" ht="30" customHeight="1">
      <c r="A32" s="3">
        <v>28</v>
      </c>
      <c r="B32" s="3" t="s">
        <v>46</v>
      </c>
      <c r="C32" s="3" t="s">
        <v>165</v>
      </c>
      <c r="D32" s="3"/>
      <c r="E32" s="3" t="s">
        <v>166</v>
      </c>
      <c r="F32" s="8"/>
      <c r="G32" s="8" t="s">
        <v>185</v>
      </c>
      <c r="H32" s="7" t="s">
        <v>186</v>
      </c>
      <c r="I32" s="3"/>
      <c r="J32" s="3" t="s">
        <v>23</v>
      </c>
      <c r="K32" s="3"/>
      <c r="L32" s="10" t="s">
        <v>134</v>
      </c>
      <c r="M32" s="8"/>
      <c r="N32" s="3" t="s">
        <v>27</v>
      </c>
      <c r="O32" s="3"/>
      <c r="P32" s="8"/>
      <c r="Q32" s="3"/>
      <c r="R32" s="3"/>
      <c r="S32" s="3"/>
      <c r="T32" s="3"/>
    </row>
    <row r="33" spans="1:20" ht="30" customHeight="1">
      <c r="A33" s="4">
        <v>29</v>
      </c>
      <c r="B33" s="4" t="s">
        <v>46</v>
      </c>
      <c r="C33" s="4" t="s">
        <v>165</v>
      </c>
      <c r="D33" s="4"/>
      <c r="E33" s="4" t="s">
        <v>166</v>
      </c>
      <c r="F33" s="6"/>
      <c r="G33" s="6" t="s">
        <v>187</v>
      </c>
      <c r="H33" s="7" t="s">
        <v>188</v>
      </c>
      <c r="I33" s="4"/>
      <c r="J33" s="4" t="s">
        <v>21</v>
      </c>
      <c r="K33" s="4" t="s">
        <v>178</v>
      </c>
      <c r="L33" s="10" t="s">
        <v>134</v>
      </c>
      <c r="M33" s="6"/>
      <c r="N33" s="4" t="s">
        <v>27</v>
      </c>
      <c r="O33" s="4"/>
      <c r="P33" s="6"/>
      <c r="Q33" s="4"/>
      <c r="R33" s="4"/>
      <c r="S33" s="4"/>
      <c r="T33" s="4"/>
    </row>
    <row r="34" spans="1:20" ht="30" customHeight="1">
      <c r="A34" s="3">
        <v>30</v>
      </c>
      <c r="B34" s="3" t="s">
        <v>47</v>
      </c>
      <c r="C34" s="3" t="s">
        <v>189</v>
      </c>
      <c r="D34" s="3">
        <v>40</v>
      </c>
      <c r="E34" s="3" t="s">
        <v>166</v>
      </c>
      <c r="F34" s="8" t="s">
        <v>190</v>
      </c>
      <c r="G34" s="8" t="s">
        <v>191</v>
      </c>
      <c r="H34" s="7" t="s">
        <v>192</v>
      </c>
      <c r="I34" s="3"/>
      <c r="J34" s="3" t="s">
        <v>20</v>
      </c>
      <c r="K34" s="3" t="s">
        <v>193</v>
      </c>
      <c r="L34" s="7" t="s">
        <v>77</v>
      </c>
      <c r="M34" s="8" t="s">
        <v>194</v>
      </c>
      <c r="N34" s="3" t="s">
        <v>28</v>
      </c>
      <c r="O34" s="3"/>
      <c r="P34" s="8"/>
      <c r="Q34" s="3"/>
      <c r="R34" s="3"/>
      <c r="S34" s="3"/>
      <c r="T34" s="3"/>
    </row>
    <row r="35" spans="1:20" ht="30" customHeight="1">
      <c r="A35" s="4">
        <v>31</v>
      </c>
      <c r="B35" s="4" t="s">
        <v>47</v>
      </c>
      <c r="C35" s="4" t="s">
        <v>189</v>
      </c>
      <c r="D35" s="4"/>
      <c r="E35" s="4" t="s">
        <v>166</v>
      </c>
      <c r="F35" s="6" t="s">
        <v>195</v>
      </c>
      <c r="G35" s="6" t="s">
        <v>196</v>
      </c>
      <c r="H35" s="7" t="s">
        <v>197</v>
      </c>
      <c r="I35" s="4"/>
      <c r="J35" s="4" t="s">
        <v>20</v>
      </c>
      <c r="K35" s="4"/>
      <c r="L35" s="7" t="s">
        <v>77</v>
      </c>
      <c r="M35" s="6" t="s">
        <v>198</v>
      </c>
      <c r="N35" s="4" t="s">
        <v>28</v>
      </c>
      <c r="O35" s="4"/>
      <c r="P35" s="6"/>
      <c r="Q35" s="4"/>
      <c r="R35" s="4"/>
      <c r="S35" s="4"/>
      <c r="T35" s="4"/>
    </row>
    <row r="36" spans="1:20" ht="30" customHeight="1">
      <c r="A36" s="3">
        <v>32</v>
      </c>
      <c r="B36" s="3" t="s">
        <v>47</v>
      </c>
      <c r="C36" s="3" t="s">
        <v>189</v>
      </c>
      <c r="D36" s="3"/>
      <c r="E36" s="3" t="s">
        <v>166</v>
      </c>
      <c r="F36" s="8" t="s">
        <v>199</v>
      </c>
      <c r="G36" s="8" t="s">
        <v>200</v>
      </c>
      <c r="H36" s="7" t="s">
        <v>201</v>
      </c>
      <c r="I36" s="3" t="s">
        <v>89</v>
      </c>
      <c r="J36" s="3" t="s">
        <v>20</v>
      </c>
      <c r="K36" s="3"/>
      <c r="L36" s="7" t="s">
        <v>77</v>
      </c>
      <c r="M36" s="8" t="s">
        <v>202</v>
      </c>
      <c r="N36" s="3" t="s">
        <v>29</v>
      </c>
      <c r="O36" s="3"/>
      <c r="P36" s="8"/>
      <c r="Q36" s="3"/>
      <c r="R36" s="3"/>
      <c r="S36" s="3"/>
      <c r="T36" s="3"/>
    </row>
    <row r="37" spans="1:20" ht="30" customHeight="1">
      <c r="A37" s="4">
        <v>33</v>
      </c>
      <c r="B37" s="4" t="s">
        <v>47</v>
      </c>
      <c r="C37" s="4" t="s">
        <v>189</v>
      </c>
      <c r="D37" s="4"/>
      <c r="E37" s="4" t="s">
        <v>166</v>
      </c>
      <c r="F37" s="6" t="s">
        <v>203</v>
      </c>
      <c r="G37" s="6" t="s">
        <v>204</v>
      </c>
      <c r="H37" s="7" t="inlineStr">
        <is>
          <t xml:space="preserve">SH-FM-QP013-10</t>
        </is>
      </c>
      <c r="I37" s="4"/>
      <c r="J37" s="4" t="s">
        <v>20</v>
      </c>
      <c r="K37" s="4"/>
      <c r="L37" s="7" t="inlineStr">
        <is>
          <t xml:space="preserve">기존 절차 연계</t>
        </is>
      </c>
      <c r="M37" s="6" t="inlineStr">
        <is>
          <t xml:space="preserve">SH-QP-013(검사 및 시험관리 절차서)  [확정 2026-09-22: 신규 발견 연계 채택(ratio=0.91) — 품질경영담당 일괄판단, 부서 정식회신 생략]</t>
        </is>
      </c>
      <c r="N37" s="4" t="s">
        <v>27</v>
      </c>
      <c r="O37" s="4"/>
      <c r="P37" s="6" t="inlineStr">
        <is>
          <t xml:space="preserve">※재판정(본문대조) 확정(2026-09-22, 품질경영담당 일괄판단 — 부서 정식회신 없이 처리): 관련 기존 문서란 참고 | FM번호 재부여(2026-09-22, 확정 연계절차 기준): SH-FM-INS-N01 → SH-FM-QP013-10</t>
        </is>
      </c>
      <c r="Q37" s="4" t="inlineStr">
        <is>
          <t xml:space="preserve">대안 채택</t>
        </is>
      </c>
      <c r="R37" s="4" t="inlineStr">
        <is>
          <t xml:space="preserve">SH-QP-013(검사 및 시험관리 절차서)</t>
        </is>
      </c>
      <c r="S37" s="4" t="inlineStr">
        <is>
          <t xml:space="preserve">박철호(품질경영 담당, 일괄확정)</t>
        </is>
      </c>
      <c r="T37" s="4" t="inlineStr">
        <is>
          <t xml:space="preserve">2026-09-22</t>
        </is>
      </c>
    </row>
    <row r="38" spans="1:20" ht="30" customHeight="1">
      <c r="A38" s="3">
        <v>34</v>
      </c>
      <c r="B38" s="3" t="s">
        <v>47</v>
      </c>
      <c r="C38" s="3" t="s">
        <v>189</v>
      </c>
      <c r="D38" s="3"/>
      <c r="E38" s="3" t="s">
        <v>166</v>
      </c>
      <c r="F38" s="8" t="s">
        <v>207</v>
      </c>
      <c r="G38" s="8" t="s">
        <v>208</v>
      </c>
      <c r="H38" s="7" t="inlineStr">
        <is>
          <t xml:space="preserve">SH-FM-WI029-02</t>
        </is>
      </c>
      <c r="I38" s="3"/>
      <c r="J38" s="3" t="s">
        <v>20</v>
      </c>
      <c r="K38" s="3"/>
      <c r="L38" s="7" t="inlineStr">
        <is>
          <t xml:space="preserve">기존 절차 연계</t>
        </is>
      </c>
      <c r="M38" s="8" t="inlineStr">
        <is>
          <t xml:space="preserve">SH-WI-029(공급자 변경품 및 초도품 확인표준)  [확정 2026-09-22: 신규 발견 연계 채택(ratio=0.64) — 품질경영담당 일괄판단, 부서 정식회신 생략]</t>
        </is>
      </c>
      <c r="N38" s="3" t="s">
        <v>27</v>
      </c>
      <c r="O38" s="3"/>
      <c r="P38" s="8" t="inlineStr">
        <is>
          <t xml:space="preserve">※재판정(본문대조) 확정(2026-09-22, 품질경영담당 일괄판단 — 부서 정식회신 없이 처리): 관련 기존 문서란 참고 | FM번호 재부여(2026-09-22, 확정 연계절차 기준): SH-FM-INS-N02 → SH-FM-WI029-02</t>
        </is>
      </c>
      <c r="Q38" s="3" t="inlineStr">
        <is>
          <t xml:space="preserve">대안 채택</t>
        </is>
      </c>
      <c r="R38" s="3" t="inlineStr">
        <is>
          <t xml:space="preserve">SH-WI-029(공급자 변경품 및 초도품 확인표준)</t>
        </is>
      </c>
      <c r="S38" s="3" t="inlineStr">
        <is>
          <t xml:space="preserve">박철호(품질경영 담당, 일괄확정)</t>
        </is>
      </c>
      <c r="T38" s="3" t="inlineStr">
        <is>
          <t xml:space="preserve">2026-09-22</t>
        </is>
      </c>
    </row>
    <row r="39" spans="1:20" ht="30" customHeight="1">
      <c r="A39" s="4">
        <v>35</v>
      </c>
      <c r="B39" s="4" t="s">
        <v>47</v>
      </c>
      <c r="C39" s="4" t="s">
        <v>189</v>
      </c>
      <c r="D39" s="4"/>
      <c r="E39" s="4" t="s">
        <v>166</v>
      </c>
      <c r="F39" s="6" t="s">
        <v>211</v>
      </c>
      <c r="G39" s="6" t="s">
        <v>212</v>
      </c>
      <c r="H39" s="7" t="s">
        <v>213</v>
      </c>
      <c r="I39" s="4" t="s">
        <v>89</v>
      </c>
      <c r="J39" s="4" t="s">
        <v>20</v>
      </c>
      <c r="K39" s="4"/>
      <c r="L39" s="7" t="s">
        <v>77</v>
      </c>
      <c r="M39" s="6" t="s">
        <v>214</v>
      </c>
      <c r="N39" s="4" t="s">
        <v>29</v>
      </c>
      <c r="O39" s="4"/>
      <c r="P39" s="6" t="s">
        <v>79</v>
      </c>
      <c r="Q39" s="4"/>
      <c r="R39" s="4"/>
      <c r="S39" s="4"/>
      <c r="T39" s="4"/>
    </row>
    <row r="40" spans="1:20" ht="30" customHeight="1">
      <c r="A40" s="3">
        <v>36</v>
      </c>
      <c r="B40" s="3" t="s">
        <v>47</v>
      </c>
      <c r="C40" s="3" t="s">
        <v>189</v>
      </c>
      <c r="D40" s="3"/>
      <c r="E40" s="3" t="s">
        <v>166</v>
      </c>
      <c r="F40" s="8" t="s">
        <v>215</v>
      </c>
      <c r="G40" s="8" t="s">
        <v>216</v>
      </c>
      <c r="H40" s="7" t="s">
        <v>217</v>
      </c>
      <c r="I40" s="3"/>
      <c r="J40" s="3" t="s">
        <v>20</v>
      </c>
      <c r="K40" s="3"/>
      <c r="L40" s="7" t="s">
        <v>77</v>
      </c>
      <c r="M40" s="8" t="s">
        <v>218</v>
      </c>
      <c r="N40" s="3" t="s">
        <v>29</v>
      </c>
      <c r="O40" s="3"/>
      <c r="P40" s="8"/>
      <c r="Q40" s="3"/>
      <c r="R40" s="3"/>
      <c r="S40" s="3"/>
      <c r="T40" s="3"/>
    </row>
    <row r="41" spans="1:20" ht="30" customHeight="1">
      <c r="A41" s="4">
        <v>37</v>
      </c>
      <c r="B41" s="4" t="s">
        <v>47</v>
      </c>
      <c r="C41" s="4" t="s">
        <v>189</v>
      </c>
      <c r="D41" s="4"/>
      <c r="E41" s="4" t="s">
        <v>166</v>
      </c>
      <c r="F41" s="6" t="s">
        <v>219</v>
      </c>
      <c r="G41" s="6" t="s">
        <v>220</v>
      </c>
      <c r="H41" s="7" t="s">
        <v>221</v>
      </c>
      <c r="I41" s="4" t="s">
        <v>89</v>
      </c>
      <c r="J41" s="4" t="s">
        <v>20</v>
      </c>
      <c r="K41" s="4"/>
      <c r="L41" s="10" t="s">
        <v>134</v>
      </c>
      <c r="M41" s="6"/>
      <c r="N41" s="4" t="s">
        <v>27</v>
      </c>
      <c r="O41" s="4"/>
      <c r="P41" s="6"/>
      <c r="Q41" s="4"/>
      <c r="R41" s="4"/>
      <c r="S41" s="4"/>
      <c r="T41" s="4"/>
    </row>
    <row r="42" spans="1:20" ht="30" customHeight="1">
      <c r="A42" s="3">
        <v>38</v>
      </c>
      <c r="B42" s="3" t="s">
        <v>47</v>
      </c>
      <c r="C42" s="3" t="s">
        <v>222</v>
      </c>
      <c r="D42" s="3">
        <v>30</v>
      </c>
      <c r="E42" s="3" t="s">
        <v>72</v>
      </c>
      <c r="F42" s="8" t="s">
        <v>223</v>
      </c>
      <c r="G42" s="8" t="s">
        <v>224</v>
      </c>
      <c r="H42" s="7" t="s">
        <v>225</v>
      </c>
      <c r="I42" s="3"/>
      <c r="J42" s="3" t="s">
        <v>19</v>
      </c>
      <c r="K42" s="3" t="s">
        <v>226</v>
      </c>
      <c r="L42" s="7" t="s">
        <v>77</v>
      </c>
      <c r="M42" s="8" t="s">
        <v>227</v>
      </c>
      <c r="N42" s="3" t="s">
        <v>29</v>
      </c>
      <c r="O42" s="3"/>
      <c r="P42" s="8"/>
      <c r="Q42" s="3"/>
      <c r="R42" s="3"/>
      <c r="S42" s="3"/>
      <c r="T42" s="3"/>
    </row>
    <row r="43" spans="1:20" ht="30" customHeight="1">
      <c r="A43" s="4">
        <v>39</v>
      </c>
      <c r="B43" s="4" t="s">
        <v>47</v>
      </c>
      <c r="C43" s="4" t="s">
        <v>222</v>
      </c>
      <c r="D43" s="4"/>
      <c r="E43" s="4" t="s">
        <v>72</v>
      </c>
      <c r="F43" s="6" t="s">
        <v>228</v>
      </c>
      <c r="G43" s="6" t="s">
        <v>229</v>
      </c>
      <c r="H43" s="7" t="s">
        <v>230</v>
      </c>
      <c r="I43" s="4" t="s">
        <v>89</v>
      </c>
      <c r="J43" s="4" t="s">
        <v>20</v>
      </c>
      <c r="K43" s="4" t="s">
        <v>231</v>
      </c>
      <c r="L43" s="10" t="s">
        <v>134</v>
      </c>
      <c r="M43" s="6"/>
      <c r="N43" s="4" t="s">
        <v>27</v>
      </c>
      <c r="O43" s="4"/>
      <c r="P43" s="6"/>
      <c r="Q43" s="4"/>
      <c r="R43" s="4"/>
      <c r="S43" s="4"/>
      <c r="T43" s="4"/>
    </row>
    <row r="44" spans="1:20" ht="30" customHeight="1">
      <c r="A44" s="3">
        <v>40</v>
      </c>
      <c r="B44" s="3" t="s">
        <v>47</v>
      </c>
      <c r="C44" s="3" t="s">
        <v>222</v>
      </c>
      <c r="D44" s="3"/>
      <c r="E44" s="3" t="s">
        <v>72</v>
      </c>
      <c r="F44" s="8"/>
      <c r="G44" s="8" t="s">
        <v>232</v>
      </c>
      <c r="H44" s="7" t="s">
        <v>233</v>
      </c>
      <c r="I44" s="3" t="s">
        <v>89</v>
      </c>
      <c r="J44" s="3" t="s">
        <v>19</v>
      </c>
      <c r="K44" s="3" t="s">
        <v>226</v>
      </c>
      <c r="L44" s="10" t="s">
        <v>134</v>
      </c>
      <c r="M44" s="8"/>
      <c r="N44" s="3" t="s">
        <v>27</v>
      </c>
      <c r="O44" s="3"/>
      <c r="P44" s="8"/>
      <c r="Q44" s="3"/>
      <c r="R44" s="3"/>
      <c r="S44" s="3"/>
      <c r="T44" s="3"/>
    </row>
    <row r="45" spans="1:20" ht="30" customHeight="1">
      <c r="A45" s="4">
        <v>41</v>
      </c>
      <c r="B45" s="4" t="s">
        <v>47</v>
      </c>
      <c r="C45" s="4" t="s">
        <v>222</v>
      </c>
      <c r="D45" s="4"/>
      <c r="E45" s="4" t="s">
        <v>72</v>
      </c>
      <c r="F45" s="6"/>
      <c r="G45" s="6" t="s">
        <v>234</v>
      </c>
      <c r="H45" s="7" t="s">
        <v>235</v>
      </c>
      <c r="I45" s="4"/>
      <c r="J45" s="4" t="s">
        <v>19</v>
      </c>
      <c r="K45" s="4" t="s">
        <v>76</v>
      </c>
      <c r="L45" s="10" t="s">
        <v>134</v>
      </c>
      <c r="M45" s="6"/>
      <c r="N45" s="4" t="s">
        <v>27</v>
      </c>
      <c r="O45" s="4"/>
      <c r="P45" s="6"/>
      <c r="Q45" s="4"/>
      <c r="R45" s="4"/>
      <c r="S45" s="4"/>
      <c r="T45" s="4"/>
    </row>
    <row r="46" spans="1:20" ht="30" customHeight="1">
      <c r="A46" s="3">
        <v>42</v>
      </c>
      <c r="B46" s="3" t="s">
        <v>47</v>
      </c>
      <c r="C46" s="3" t="s">
        <v>222</v>
      </c>
      <c r="D46" s="3"/>
      <c r="E46" s="3" t="s">
        <v>72</v>
      </c>
      <c r="F46" s="8"/>
      <c r="G46" s="8" t="s">
        <v>236</v>
      </c>
      <c r="H46" s="7" t="s">
        <v>237</v>
      </c>
      <c r="I46" s="3"/>
      <c r="J46" s="3" t="s">
        <v>19</v>
      </c>
      <c r="K46" s="3" t="s">
        <v>226</v>
      </c>
      <c r="L46" s="7" t="s">
        <v>77</v>
      </c>
      <c r="M46" s="8" t="s">
        <v>238</v>
      </c>
      <c r="N46" s="3" t="s">
        <v>29</v>
      </c>
      <c r="O46" s="3"/>
      <c r="P46" s="8"/>
      <c r="Q46" s="3"/>
      <c r="R46" s="3"/>
      <c r="S46" s="3"/>
      <c r="T46" s="3"/>
    </row>
    <row r="47" spans="1:20" ht="30" customHeight="1">
      <c r="A47" s="4">
        <v>43</v>
      </c>
      <c r="B47" s="4" t="s">
        <v>47</v>
      </c>
      <c r="C47" s="4" t="s">
        <v>239</v>
      </c>
      <c r="D47" s="4">
        <v>20</v>
      </c>
      <c r="E47" s="4" t="s">
        <v>72</v>
      </c>
      <c r="F47" s="6" t="s">
        <v>240</v>
      </c>
      <c r="G47" s="6" t="s">
        <v>241</v>
      </c>
      <c r="H47" s="7" t="s">
        <v>242</v>
      </c>
      <c r="I47" s="4"/>
      <c r="J47" s="4" t="s">
        <v>19</v>
      </c>
      <c r="K47" s="4" t="s">
        <v>226</v>
      </c>
      <c r="L47" s="10" t="s">
        <v>134</v>
      </c>
      <c r="M47" s="6"/>
      <c r="N47" s="4" t="s">
        <v>27</v>
      </c>
      <c r="O47" s="4"/>
      <c r="P47" s="6"/>
      <c r="Q47" s="4"/>
      <c r="R47" s="4"/>
      <c r="S47" s="4"/>
      <c r="T47" s="4"/>
    </row>
    <row r="48" spans="1:20" ht="30" customHeight="1">
      <c r="A48" s="3">
        <v>44</v>
      </c>
      <c r="B48" s="3" t="s">
        <v>47</v>
      </c>
      <c r="C48" s="3" t="s">
        <v>239</v>
      </c>
      <c r="D48" s="3"/>
      <c r="E48" s="3" t="s">
        <v>72</v>
      </c>
      <c r="F48" s="8" t="s">
        <v>243</v>
      </c>
      <c r="G48" s="8" t="s">
        <v>244</v>
      </c>
      <c r="H48" s="7" t="inlineStr">
        <is>
          <t xml:space="preserve">SH-FM-WI001-02</t>
        </is>
      </c>
      <c r="I48" s="3" t="s">
        <v>89</v>
      </c>
      <c r="J48" s="3" t="s">
        <v>19</v>
      </c>
      <c r="K48" s="3" t="s">
        <v>226</v>
      </c>
      <c r="L48" s="7" t="inlineStr">
        <is>
          <t xml:space="preserve">기존 절차 연계</t>
        </is>
      </c>
      <c r="M48" s="8" t="inlineStr">
        <is>
          <t xml:space="preserve">SH-WI-001(생산 작업준비 및 초품확인 표준)  [확정 2026-09-22: 기존 추정 SH-QP-013(ratio=0.10) 대비 대안 채택(ratio=0.62) — 품질경영담당 일괄판단, 부서 정식회신 생략]</t>
        </is>
      </c>
      <c r="N48" s="3" t="s">
        <v>29</v>
      </c>
      <c r="O48" s="3"/>
      <c r="P48" s="8" t="inlineStr">
        <is>
          <t xml:space="preserve">※재판정(본문대조) 확정(2026-09-22, 품질경영담당 일괄판단 — 부서 정식회신 없이 처리): 관련 기존 문서란 참고 | FM번호 재부여(2026-09-22, 확정 연계절차 기준): SH-FM-QP013-05 → SH-FM-WI001-02</t>
        </is>
      </c>
      <c r="Q48" s="3" t="inlineStr">
        <is>
          <t xml:space="preserve">대안 채택</t>
        </is>
      </c>
      <c r="R48" s="3" t="inlineStr">
        <is>
          <t xml:space="preserve">SH-WI-001(생산 작업준비 및 초품확인 표준)</t>
        </is>
      </c>
      <c r="S48" s="3" t="inlineStr">
        <is>
          <t xml:space="preserve">박철호(품질경영 담당, 일괄확정)</t>
        </is>
      </c>
      <c r="T48" s="3" t="inlineStr">
        <is>
          <t xml:space="preserve">2026-09-22</t>
        </is>
      </c>
    </row>
    <row r="49" spans="1:20" ht="30" customHeight="1">
      <c r="A49" s="4">
        <v>45</v>
      </c>
      <c r="B49" s="4" t="s">
        <v>47</v>
      </c>
      <c r="C49" s="4" t="s">
        <v>239</v>
      </c>
      <c r="D49" s="4"/>
      <c r="E49" s="4" t="s">
        <v>72</v>
      </c>
      <c r="F49" s="6" t="s">
        <v>247</v>
      </c>
      <c r="G49" s="6" t="s">
        <v>248</v>
      </c>
      <c r="H49" s="7" t="s">
        <v>249</v>
      </c>
      <c r="I49" s="4" t="s">
        <v>89</v>
      </c>
      <c r="J49" s="4" t="s">
        <v>18</v>
      </c>
      <c r="K49" s="4" t="s">
        <v>90</v>
      </c>
      <c r="L49" s="10" t="s">
        <v>134</v>
      </c>
      <c r="M49" s="6"/>
      <c r="N49" s="4" t="s">
        <v>28</v>
      </c>
      <c r="O49" s="4"/>
      <c r="P49" s="6"/>
      <c r="Q49" s="4"/>
      <c r="R49" s="4"/>
      <c r="S49" s="4"/>
      <c r="T49" s="4"/>
    </row>
    <row r="50" spans="1:20" ht="30" customHeight="1">
      <c r="A50" s="3">
        <v>46</v>
      </c>
      <c r="B50" s="3" t="s">
        <v>47</v>
      </c>
      <c r="C50" s="3" t="s">
        <v>239</v>
      </c>
      <c r="D50" s="3"/>
      <c r="E50" s="3" t="s">
        <v>72</v>
      </c>
      <c r="F50" s="8" t="s">
        <v>250</v>
      </c>
      <c r="G50" s="8" t="s">
        <v>251</v>
      </c>
      <c r="H50" s="7" t="s">
        <v>252</v>
      </c>
      <c r="I50" s="3" t="s">
        <v>89</v>
      </c>
      <c r="J50" s="3" t="s">
        <v>19</v>
      </c>
      <c r="K50" s="3" t="s">
        <v>226</v>
      </c>
      <c r="L50" s="7" t="s">
        <v>77</v>
      </c>
      <c r="M50" s="8" t="s">
        <v>253</v>
      </c>
      <c r="N50" s="3" t="s">
        <v>29</v>
      </c>
      <c r="O50" s="3"/>
      <c r="P50" s="8" t="s">
        <v>79</v>
      </c>
      <c r="Q50" s="3"/>
      <c r="R50" s="3"/>
      <c r="S50" s="3"/>
      <c r="T50" s="3"/>
    </row>
    <row r="51" spans="1:20" ht="30" customHeight="1">
      <c r="A51" s="4">
        <v>47</v>
      </c>
      <c r="B51" s="4" t="s">
        <v>47</v>
      </c>
      <c r="C51" s="4" t="s">
        <v>254</v>
      </c>
      <c r="D51" s="4">
        <v>30</v>
      </c>
      <c r="E51" s="4" t="s">
        <v>72</v>
      </c>
      <c r="F51" s="6" t="s">
        <v>255</v>
      </c>
      <c r="G51" s="6" t="s">
        <v>256</v>
      </c>
      <c r="H51" s="7" t="s">
        <v>257</v>
      </c>
      <c r="I51" s="4"/>
      <c r="J51" s="4" t="s">
        <v>19</v>
      </c>
      <c r="K51" s="4" t="s">
        <v>76</v>
      </c>
      <c r="L51" s="10" t="s">
        <v>134</v>
      </c>
      <c r="M51" s="6"/>
      <c r="N51" s="4" t="s">
        <v>27</v>
      </c>
      <c r="O51" s="4"/>
      <c r="P51" s="6"/>
      <c r="Q51" s="4"/>
      <c r="R51" s="4"/>
      <c r="S51" s="4"/>
      <c r="T51" s="4"/>
    </row>
    <row r="52" spans="1:20" ht="30" customHeight="1">
      <c r="A52" s="3">
        <v>48</v>
      </c>
      <c r="B52" s="3" t="s">
        <v>47</v>
      </c>
      <c r="C52" s="3" t="s">
        <v>254</v>
      </c>
      <c r="D52" s="3"/>
      <c r="E52" s="3" t="s">
        <v>72</v>
      </c>
      <c r="F52" s="8" t="s">
        <v>258</v>
      </c>
      <c r="G52" s="8" t="s">
        <v>259</v>
      </c>
      <c r="H52" s="7" t="inlineStr">
        <is>
          <t xml:space="preserve">SH-FM-WI027-03</t>
        </is>
      </c>
      <c r="I52" s="3"/>
      <c r="J52" s="3" t="s">
        <v>19</v>
      </c>
      <c r="K52" s="3" t="s">
        <v>76</v>
      </c>
      <c r="L52" s="7" t="inlineStr">
        <is>
          <t xml:space="preserve">기존 절차 연계</t>
        </is>
      </c>
      <c r="M52" s="8" t="inlineStr">
        <is>
          <t xml:space="preserve">SH-WI-027(검사성적서 및 품질기록 작성표준)  [확정 2026-09-22: 기존 추정 SH-WI-006(ratio=0.02) 대비 대안 채택(ratio=0.66) — 품질경영담당 일괄판단, 부서 정식회신 생략]</t>
        </is>
      </c>
      <c r="N52" s="3" t="s">
        <v>29</v>
      </c>
      <c r="O52" s="3"/>
      <c r="P52" s="8" t="inlineStr">
        <is>
          <t xml:space="preserve">※재판정(본문대조) 확정(2026-09-22, 품질경영담당 일괄판단 — 부서 정식회신 없이 처리): 관련 기존 문서란 참고 | FM번호 재부여(2026-09-22, 확정 연계절차 기준): SH-FM-WI006-01 → SH-FM-WI027-03</t>
        </is>
      </c>
      <c r="Q52" s="3" t="inlineStr">
        <is>
          <t xml:space="preserve">대안 채택</t>
        </is>
      </c>
      <c r="R52" s="3" t="inlineStr">
        <is>
          <t xml:space="preserve">SH-WI-027(검사성적서 및 품질기록 작성표준)</t>
        </is>
      </c>
      <c r="S52" s="3" t="inlineStr">
        <is>
          <t xml:space="preserve">박철호(품질경영 담당, 일괄확정)</t>
        </is>
      </c>
      <c r="T52" s="3" t="inlineStr">
        <is>
          <t xml:space="preserve">2026-09-22</t>
        </is>
      </c>
    </row>
    <row r="53" spans="1:20" ht="30" customHeight="1">
      <c r="A53" s="4">
        <v>49</v>
      </c>
      <c r="B53" s="4" t="s">
        <v>47</v>
      </c>
      <c r="C53" s="4" t="s">
        <v>254</v>
      </c>
      <c r="D53" s="4"/>
      <c r="E53" s="4" t="s">
        <v>72</v>
      </c>
      <c r="F53" s="6" t="s">
        <v>262</v>
      </c>
      <c r="G53" s="6" t="s">
        <v>263</v>
      </c>
      <c r="H53" s="7" t="s">
        <v>264</v>
      </c>
      <c r="I53" s="4"/>
      <c r="J53" s="4" t="s">
        <v>20</v>
      </c>
      <c r="K53" s="4" t="s">
        <v>231</v>
      </c>
      <c r="L53" s="10" t="s">
        <v>134</v>
      </c>
      <c r="M53" s="6"/>
      <c r="N53" s="4" t="s">
        <v>27</v>
      </c>
      <c r="O53" s="4"/>
      <c r="P53" s="6"/>
      <c r="Q53" s="4"/>
      <c r="R53" s="4"/>
      <c r="S53" s="4"/>
      <c r="T53" s="4"/>
    </row>
    <row r="54" spans="1:20" ht="30" customHeight="1">
      <c r="A54" s="3">
        <v>50</v>
      </c>
      <c r="B54" s="3" t="s">
        <v>47</v>
      </c>
      <c r="C54" s="3" t="s">
        <v>254</v>
      </c>
      <c r="D54" s="3"/>
      <c r="E54" s="3" t="s">
        <v>72</v>
      </c>
      <c r="F54" s="8" t="s">
        <v>265</v>
      </c>
      <c r="G54" s="8" t="s">
        <v>266</v>
      </c>
      <c r="H54" s="7" t="s">
        <v>267</v>
      </c>
      <c r="I54" s="3"/>
      <c r="J54" s="3" t="s">
        <v>20</v>
      </c>
      <c r="K54" s="3" t="s">
        <v>231</v>
      </c>
      <c r="L54" s="10" t="s">
        <v>134</v>
      </c>
      <c r="M54" s="8"/>
      <c r="N54" s="3" t="s">
        <v>27</v>
      </c>
      <c r="O54" s="3"/>
      <c r="P54" s="8"/>
      <c r="Q54" s="3"/>
      <c r="R54" s="3"/>
      <c r="S54" s="3"/>
      <c r="T54" s="3"/>
    </row>
    <row r="55" spans="1:20" ht="30" customHeight="1">
      <c r="A55" s="4">
        <v>51</v>
      </c>
      <c r="B55" s="4" t="s">
        <v>47</v>
      </c>
      <c r="C55" s="4" t="s">
        <v>268</v>
      </c>
      <c r="D55" s="4">
        <v>20</v>
      </c>
      <c r="E55" s="4" t="s">
        <v>72</v>
      </c>
      <c r="F55" s="6" t="s">
        <v>269</v>
      </c>
      <c r="G55" s="6" t="s">
        <v>270</v>
      </c>
      <c r="H55" s="7" t="s">
        <v>271</v>
      </c>
      <c r="I55" s="4"/>
      <c r="J55" s="4" t="s">
        <v>19</v>
      </c>
      <c r="K55" s="4" t="s">
        <v>226</v>
      </c>
      <c r="L55" s="7" t="s">
        <v>77</v>
      </c>
      <c r="M55" s="6" t="s">
        <v>272</v>
      </c>
      <c r="N55" s="4" t="s">
        <v>29</v>
      </c>
      <c r="O55" s="4"/>
      <c r="P55" s="6"/>
      <c r="Q55" s="4"/>
      <c r="R55" s="4"/>
      <c r="S55" s="4"/>
      <c r="T55" s="4"/>
    </row>
    <row r="56" spans="1:20" ht="30" customHeight="1">
      <c r="A56" s="3">
        <v>52</v>
      </c>
      <c r="B56" s="3" t="s">
        <v>47</v>
      </c>
      <c r="C56" s="3" t="s">
        <v>268</v>
      </c>
      <c r="D56" s="3"/>
      <c r="E56" s="3" t="s">
        <v>72</v>
      </c>
      <c r="F56" s="8" t="s">
        <v>273</v>
      </c>
      <c r="G56" s="8" t="s">
        <v>274</v>
      </c>
      <c r="H56" s="7" t="s">
        <v>275</v>
      </c>
      <c r="I56" s="3"/>
      <c r="J56" s="3" t="s">
        <v>19</v>
      </c>
      <c r="K56" s="3" t="s">
        <v>226</v>
      </c>
      <c r="L56" s="7" t="s">
        <v>77</v>
      </c>
      <c r="M56" s="8" t="s">
        <v>276</v>
      </c>
      <c r="N56" s="3" t="s">
        <v>29</v>
      </c>
      <c r="O56" s="3"/>
      <c r="P56" s="8" t="s">
        <v>79</v>
      </c>
      <c r="Q56" s="3"/>
      <c r="R56" s="3"/>
      <c r="S56" s="3"/>
      <c r="T56" s="3"/>
    </row>
    <row r="57" spans="1:20" ht="30" customHeight="1">
      <c r="A57" s="4">
        <v>53</v>
      </c>
      <c r="B57" s="4" t="s">
        <v>47</v>
      </c>
      <c r="C57" s="4" t="s">
        <v>268</v>
      </c>
      <c r="D57" s="4"/>
      <c r="E57" s="4" t="s">
        <v>72</v>
      </c>
      <c r="F57" s="6" t="s">
        <v>277</v>
      </c>
      <c r="G57" s="6" t="s">
        <v>278</v>
      </c>
      <c r="H57" s="7" t="s">
        <v>279</v>
      </c>
      <c r="I57" s="4"/>
      <c r="J57" s="4" t="s">
        <v>19</v>
      </c>
      <c r="K57" s="4" t="s">
        <v>226</v>
      </c>
      <c r="L57" s="7" t="s">
        <v>77</v>
      </c>
      <c r="M57" s="6" t="s">
        <v>276</v>
      </c>
      <c r="N57" s="4" t="s">
        <v>30</v>
      </c>
      <c r="O57" s="4"/>
      <c r="P57" s="6" t="s">
        <v>79</v>
      </c>
      <c r="Q57" s="4"/>
      <c r="R57" s="4"/>
      <c r="S57" s="4"/>
      <c r="T57" s="4"/>
    </row>
    <row r="58" spans="1:20" ht="30" customHeight="1">
      <c r="A58" s="3">
        <v>54</v>
      </c>
      <c r="B58" s="3" t="s">
        <v>47</v>
      </c>
      <c r="C58" s="3" t="s">
        <v>268</v>
      </c>
      <c r="D58" s="3"/>
      <c r="E58" s="3" t="s">
        <v>72</v>
      </c>
      <c r="F58" s="8" t="s">
        <v>280</v>
      </c>
      <c r="G58" s="8" t="s">
        <v>281</v>
      </c>
      <c r="H58" s="7" t="s">
        <v>282</v>
      </c>
      <c r="I58" s="3"/>
      <c r="J58" s="3" t="s">
        <v>19</v>
      </c>
      <c r="K58" s="3" t="s">
        <v>226</v>
      </c>
      <c r="L58" s="7" t="s">
        <v>77</v>
      </c>
      <c r="M58" s="8" t="s">
        <v>283</v>
      </c>
      <c r="N58" s="3" t="s">
        <v>30</v>
      </c>
      <c r="O58" s="3"/>
      <c r="P58" s="8" t="s">
        <v>79</v>
      </c>
      <c r="Q58" s="3"/>
      <c r="R58" s="3"/>
      <c r="S58" s="3"/>
      <c r="T58" s="3"/>
    </row>
    <row r="59" spans="1:20" ht="30" customHeight="1">
      <c r="A59" s="4">
        <v>55</v>
      </c>
      <c r="B59" s="4" t="s">
        <v>47</v>
      </c>
      <c r="C59" s="4" t="s">
        <v>268</v>
      </c>
      <c r="D59" s="4"/>
      <c r="E59" s="4" t="s">
        <v>72</v>
      </c>
      <c r="F59" s="6"/>
      <c r="G59" s="6" t="s">
        <v>284</v>
      </c>
      <c r="H59" s="7" t="s">
        <v>285</v>
      </c>
      <c r="I59" s="4"/>
      <c r="J59" s="4" t="s">
        <v>19</v>
      </c>
      <c r="K59" s="4" t="s">
        <v>226</v>
      </c>
      <c r="L59" s="7" t="s">
        <v>77</v>
      </c>
      <c r="M59" s="6" t="s">
        <v>283</v>
      </c>
      <c r="N59" s="4" t="s">
        <v>30</v>
      </c>
      <c r="O59" s="4"/>
      <c r="P59" s="6" t="s">
        <v>79</v>
      </c>
      <c r="Q59" s="4"/>
      <c r="R59" s="4"/>
      <c r="S59" s="4"/>
      <c r="T59" s="4"/>
    </row>
    <row r="60" spans="1:20" ht="30" customHeight="1">
      <c r="A60" s="3">
        <v>56</v>
      </c>
      <c r="B60" s="3" t="s">
        <v>47</v>
      </c>
      <c r="C60" s="3" t="s">
        <v>268</v>
      </c>
      <c r="D60" s="3"/>
      <c r="E60" s="3" t="s">
        <v>72</v>
      </c>
      <c r="F60" s="8" t="s">
        <v>286</v>
      </c>
      <c r="G60" s="8" t="s">
        <v>287</v>
      </c>
      <c r="H60" s="7" t="s">
        <v>288</v>
      </c>
      <c r="I60" s="3"/>
      <c r="J60" s="3" t="s">
        <v>19</v>
      </c>
      <c r="K60" s="3" t="s">
        <v>289</v>
      </c>
      <c r="L60" s="7" t="s">
        <v>77</v>
      </c>
      <c r="M60" s="8" t="s">
        <v>290</v>
      </c>
      <c r="N60" s="3" t="s">
        <v>30</v>
      </c>
      <c r="O60" s="3"/>
      <c r="P60" s="8" t="s">
        <v>79</v>
      </c>
      <c r="Q60" s="3"/>
      <c r="R60" s="3"/>
      <c r="S60" s="3"/>
      <c r="T60" s="3"/>
    </row>
    <row r="61" spans="1:20" ht="30" customHeight="1">
      <c r="A61" s="4">
        <v>57</v>
      </c>
      <c r="B61" s="4" t="s">
        <v>47</v>
      </c>
      <c r="C61" s="4" t="s">
        <v>268</v>
      </c>
      <c r="D61" s="4"/>
      <c r="E61" s="4" t="s">
        <v>72</v>
      </c>
      <c r="F61" s="6" t="s">
        <v>291</v>
      </c>
      <c r="G61" s="6" t="s">
        <v>292</v>
      </c>
      <c r="H61" s="7" t="s">
        <v>293</v>
      </c>
      <c r="I61" s="4"/>
      <c r="J61" s="4" t="s">
        <v>19</v>
      </c>
      <c r="K61" s="4" t="s">
        <v>289</v>
      </c>
      <c r="L61" s="7" t="s">
        <v>77</v>
      </c>
      <c r="M61" s="6" t="s">
        <v>294</v>
      </c>
      <c r="N61" s="4" t="s">
        <v>30</v>
      </c>
      <c r="O61" s="4"/>
      <c r="P61" s="6" t="s">
        <v>79</v>
      </c>
      <c r="Q61" s="4"/>
      <c r="R61" s="4"/>
      <c r="S61" s="4"/>
      <c r="T61" s="4"/>
    </row>
    <row r="62" spans="1:20" ht="30" customHeight="1">
      <c r="A62" s="3">
        <v>58</v>
      </c>
      <c r="B62" s="3" t="s">
        <v>47</v>
      </c>
      <c r="C62" s="3" t="s">
        <v>268</v>
      </c>
      <c r="D62" s="3"/>
      <c r="E62" s="3" t="s">
        <v>72</v>
      </c>
      <c r="F62" s="8" t="s">
        <v>295</v>
      </c>
      <c r="G62" s="8" t="s">
        <v>296</v>
      </c>
      <c r="H62" s="7" t="s">
        <v>297</v>
      </c>
      <c r="I62" s="3"/>
      <c r="J62" s="3" t="s">
        <v>19</v>
      </c>
      <c r="K62" s="3" t="s">
        <v>289</v>
      </c>
      <c r="L62" s="7" t="s">
        <v>77</v>
      </c>
      <c r="M62" s="8" t="s">
        <v>298</v>
      </c>
      <c r="N62" s="3" t="s">
        <v>30</v>
      </c>
      <c r="O62" s="3"/>
      <c r="P62" s="8" t="s">
        <v>79</v>
      </c>
      <c r="Q62" s="3"/>
      <c r="R62" s="3"/>
      <c r="S62" s="3"/>
      <c r="T62" s="3"/>
    </row>
    <row r="63" spans="1:20" ht="30" customHeight="1">
      <c r="A63" s="4">
        <v>59</v>
      </c>
      <c r="B63" s="4" t="s">
        <v>47</v>
      </c>
      <c r="C63" s="4" t="s">
        <v>268</v>
      </c>
      <c r="D63" s="4"/>
      <c r="E63" s="4" t="s">
        <v>72</v>
      </c>
      <c r="F63" s="6" t="s">
        <v>299</v>
      </c>
      <c r="G63" s="6" t="s">
        <v>300</v>
      </c>
      <c r="H63" s="7" t="s">
        <v>301</v>
      </c>
      <c r="I63" s="4"/>
      <c r="J63" s="4" t="s">
        <v>19</v>
      </c>
      <c r="K63" s="4" t="s">
        <v>289</v>
      </c>
      <c r="L63" s="7" t="s">
        <v>77</v>
      </c>
      <c r="M63" s="6" t="s">
        <v>302</v>
      </c>
      <c r="N63" s="4" t="s">
        <v>30</v>
      </c>
      <c r="O63" s="4"/>
      <c r="P63" s="6"/>
      <c r="Q63" s="4"/>
      <c r="R63" s="4"/>
      <c r="S63" s="4"/>
      <c r="T63" s="4"/>
    </row>
    <row r="64" spans="1:20" ht="30" customHeight="1">
      <c r="A64" s="3">
        <v>60</v>
      </c>
      <c r="B64" s="3" t="s">
        <v>47</v>
      </c>
      <c r="C64" s="3" t="s">
        <v>268</v>
      </c>
      <c r="D64" s="3"/>
      <c r="E64" s="3" t="s">
        <v>72</v>
      </c>
      <c r="F64" s="8" t="s">
        <v>303</v>
      </c>
      <c r="G64" s="8" t="s">
        <v>304</v>
      </c>
      <c r="H64" s="7" t="s">
        <v>305</v>
      </c>
      <c r="I64" s="3" t="s">
        <v>89</v>
      </c>
      <c r="J64" s="3" t="s">
        <v>19</v>
      </c>
      <c r="K64" s="3" t="s">
        <v>289</v>
      </c>
      <c r="L64" s="7" t="s">
        <v>77</v>
      </c>
      <c r="M64" s="8" t="s">
        <v>306</v>
      </c>
      <c r="N64" s="3" t="s">
        <v>30</v>
      </c>
      <c r="O64" s="3"/>
      <c r="P64" s="8" t="s">
        <v>79</v>
      </c>
      <c r="Q64" s="3"/>
      <c r="R64" s="3"/>
      <c r="S64" s="3"/>
      <c r="T64" s="3"/>
    </row>
    <row r="65" spans="1:20" ht="30" customHeight="1">
      <c r="A65" s="4">
        <v>61</v>
      </c>
      <c r="B65" s="4" t="s">
        <v>47</v>
      </c>
      <c r="C65" s="4" t="s">
        <v>268</v>
      </c>
      <c r="D65" s="4"/>
      <c r="E65" s="4" t="s">
        <v>72</v>
      </c>
      <c r="F65" s="6" t="s">
        <v>307</v>
      </c>
      <c r="G65" s="6" t="s">
        <v>308</v>
      </c>
      <c r="H65" s="7" t="s">
        <v>309</v>
      </c>
      <c r="I65" s="4" t="s">
        <v>89</v>
      </c>
      <c r="J65" s="4" t="s">
        <v>19</v>
      </c>
      <c r="K65" s="4" t="s">
        <v>289</v>
      </c>
      <c r="L65" s="7" t="s">
        <v>77</v>
      </c>
      <c r="M65" s="6" t="s">
        <v>310</v>
      </c>
      <c r="N65" s="4" t="s">
        <v>30</v>
      </c>
      <c r="O65" s="4"/>
      <c r="P65" s="6"/>
      <c r="Q65" s="4"/>
      <c r="R65" s="4"/>
      <c r="S65" s="4"/>
      <c r="T65" s="4"/>
    </row>
    <row r="66" spans="1:20" ht="30" customHeight="1">
      <c r="A66" s="3">
        <v>62</v>
      </c>
      <c r="B66" s="3" t="s">
        <v>47</v>
      </c>
      <c r="C66" s="3" t="s">
        <v>311</v>
      </c>
      <c r="D66" s="3">
        <v>20</v>
      </c>
      <c r="E66" s="3" t="s">
        <v>72</v>
      </c>
      <c r="F66" s="8" t="s">
        <v>312</v>
      </c>
      <c r="G66" s="8" t="s">
        <v>313</v>
      </c>
      <c r="H66" s="7" t="s">
        <v>314</v>
      </c>
      <c r="I66" s="3"/>
      <c r="J66" s="3" t="s">
        <v>19</v>
      </c>
      <c r="K66" s="3" t="s">
        <v>226</v>
      </c>
      <c r="L66" s="7" t="s">
        <v>77</v>
      </c>
      <c r="M66" s="8" t="s">
        <v>315</v>
      </c>
      <c r="N66" s="3" t="s">
        <v>30</v>
      </c>
      <c r="O66" s="3"/>
      <c r="P66" s="8" t="s">
        <v>79</v>
      </c>
      <c r="Q66" s="3"/>
      <c r="R66" s="3"/>
      <c r="S66" s="3"/>
      <c r="T66" s="3"/>
    </row>
    <row r="67" spans="1:20" ht="30" customHeight="1">
      <c r="A67" s="4">
        <v>63</v>
      </c>
      <c r="B67" s="4" t="s">
        <v>47</v>
      </c>
      <c r="C67" s="4" t="s">
        <v>311</v>
      </c>
      <c r="D67" s="4"/>
      <c r="E67" s="4" t="s">
        <v>72</v>
      </c>
      <c r="F67" s="6" t="s">
        <v>316</v>
      </c>
      <c r="G67" s="6" t="s">
        <v>317</v>
      </c>
      <c r="H67" s="7" t="s">
        <v>318</v>
      </c>
      <c r="I67" s="4"/>
      <c r="J67" s="4" t="s">
        <v>19</v>
      </c>
      <c r="K67" s="4" t="s">
        <v>226</v>
      </c>
      <c r="L67" s="7" t="s">
        <v>77</v>
      </c>
      <c r="M67" s="6" t="s">
        <v>319</v>
      </c>
      <c r="N67" s="4" t="s">
        <v>30</v>
      </c>
      <c r="O67" s="4"/>
      <c r="P67" s="6"/>
      <c r="Q67" s="4"/>
      <c r="R67" s="4"/>
      <c r="S67" s="4"/>
      <c r="T67" s="4"/>
    </row>
    <row r="68" spans="1:20" ht="30" customHeight="1">
      <c r="A68" s="3">
        <v>64</v>
      </c>
      <c r="B68" s="3" t="s">
        <v>47</v>
      </c>
      <c r="C68" s="3" t="s">
        <v>311</v>
      </c>
      <c r="D68" s="3"/>
      <c r="E68" s="3" t="s">
        <v>72</v>
      </c>
      <c r="F68" s="8" t="s">
        <v>320</v>
      </c>
      <c r="G68" s="8" t="s">
        <v>321</v>
      </c>
      <c r="H68" s="7" t="s">
        <v>322</v>
      </c>
      <c r="I68" s="3"/>
      <c r="J68" s="3" t="s">
        <v>19</v>
      </c>
      <c r="K68" s="3" t="s">
        <v>226</v>
      </c>
      <c r="L68" s="7" t="s">
        <v>77</v>
      </c>
      <c r="M68" s="8" t="s">
        <v>323</v>
      </c>
      <c r="N68" s="3" t="s">
        <v>30</v>
      </c>
      <c r="O68" s="3"/>
      <c r="P68" s="8"/>
      <c r="Q68" s="3"/>
      <c r="R68" s="3"/>
      <c r="S68" s="3"/>
      <c r="T68" s="3"/>
    </row>
    <row r="69" spans="1:20" ht="30" customHeight="1">
      <c r="A69" s="4">
        <v>65</v>
      </c>
      <c r="B69" s="4" t="s">
        <v>47</v>
      </c>
      <c r="C69" s="4" t="s">
        <v>324</v>
      </c>
      <c r="D69" s="4">
        <v>50</v>
      </c>
      <c r="E69" s="4" t="s">
        <v>166</v>
      </c>
      <c r="F69" s="6" t="s">
        <v>325</v>
      </c>
      <c r="G69" s="6" t="s">
        <v>326</v>
      </c>
      <c r="H69" s="7" t="s">
        <v>327</v>
      </c>
      <c r="I69" s="4" t="s">
        <v>89</v>
      </c>
      <c r="J69" s="4" t="s">
        <v>19</v>
      </c>
      <c r="K69" s="4" t="s">
        <v>76</v>
      </c>
      <c r="L69" s="7" t="s">
        <v>77</v>
      </c>
      <c r="M69" s="6" t="s">
        <v>328</v>
      </c>
      <c r="N69" s="4" t="s">
        <v>29</v>
      </c>
      <c r="O69" s="4"/>
      <c r="P69" s="6" t="s">
        <v>79</v>
      </c>
      <c r="Q69" s="4"/>
      <c r="R69" s="4"/>
      <c r="S69" s="4"/>
      <c r="T69" s="4"/>
    </row>
    <row r="70" spans="1:20" ht="30" customHeight="1">
      <c r="A70" s="3">
        <v>66</v>
      </c>
      <c r="B70" s="3" t="s">
        <v>47</v>
      </c>
      <c r="C70" s="3" t="s">
        <v>324</v>
      </c>
      <c r="D70" s="3"/>
      <c r="E70" s="3" t="s">
        <v>166</v>
      </c>
      <c r="F70" s="8" t="s">
        <v>329</v>
      </c>
      <c r="G70" s="8" t="s">
        <v>330</v>
      </c>
      <c r="H70" s="7" t="s">
        <v>331</v>
      </c>
      <c r="I70" s="3" t="s">
        <v>89</v>
      </c>
      <c r="J70" s="3" t="s">
        <v>19</v>
      </c>
      <c r="K70" s="3" t="s">
        <v>76</v>
      </c>
      <c r="L70" s="7" t="s">
        <v>77</v>
      </c>
      <c r="M70" s="8" t="s">
        <v>332</v>
      </c>
      <c r="N70" s="3" t="s">
        <v>29</v>
      </c>
      <c r="O70" s="3"/>
      <c r="P70" s="8" t="s">
        <v>79</v>
      </c>
      <c r="Q70" s="3"/>
      <c r="R70" s="3"/>
      <c r="S70" s="3"/>
      <c r="T70" s="3"/>
    </row>
    <row r="71" spans="1:20" ht="30" customHeight="1">
      <c r="A71" s="4">
        <v>67</v>
      </c>
      <c r="B71" s="4" t="s">
        <v>47</v>
      </c>
      <c r="C71" s="4" t="s">
        <v>324</v>
      </c>
      <c r="D71" s="4"/>
      <c r="E71" s="4" t="s">
        <v>166</v>
      </c>
      <c r="F71" s="6" t="s">
        <v>333</v>
      </c>
      <c r="G71" s="6" t="s">
        <v>334</v>
      </c>
      <c r="H71" s="7" t="s">
        <v>335</v>
      </c>
      <c r="I71" s="4" t="s">
        <v>89</v>
      </c>
      <c r="J71" s="4" t="s">
        <v>19</v>
      </c>
      <c r="K71" s="4" t="s">
        <v>76</v>
      </c>
      <c r="L71" s="7" t="s">
        <v>77</v>
      </c>
      <c r="M71" s="6" t="s">
        <v>336</v>
      </c>
      <c r="N71" s="4" t="s">
        <v>29</v>
      </c>
      <c r="O71" s="4"/>
      <c r="P71" s="6" t="s">
        <v>79</v>
      </c>
      <c r="Q71" s="4"/>
      <c r="R71" s="4"/>
      <c r="S71" s="4"/>
      <c r="T71" s="4"/>
    </row>
    <row r="72" spans="1:20" ht="30" customHeight="1">
      <c r="A72" s="3">
        <v>68</v>
      </c>
      <c r="B72" s="3" t="s">
        <v>47</v>
      </c>
      <c r="C72" s="3" t="s">
        <v>324</v>
      </c>
      <c r="D72" s="3"/>
      <c r="E72" s="3" t="s">
        <v>166</v>
      </c>
      <c r="F72" s="8" t="s">
        <v>337</v>
      </c>
      <c r="G72" s="8" t="s">
        <v>338</v>
      </c>
      <c r="H72" s="7" t="s">
        <v>339</v>
      </c>
      <c r="I72" s="3" t="s">
        <v>89</v>
      </c>
      <c r="J72" s="3" t="s">
        <v>19</v>
      </c>
      <c r="K72" s="3" t="s">
        <v>76</v>
      </c>
      <c r="L72" s="10" t="s">
        <v>134</v>
      </c>
      <c r="M72" s="8"/>
      <c r="N72" s="3" t="s">
        <v>27</v>
      </c>
      <c r="O72" s="3"/>
      <c r="P72" s="8"/>
      <c r="Q72" s="3"/>
      <c r="R72" s="3"/>
      <c r="S72" s="3"/>
      <c r="T72" s="3"/>
    </row>
    <row r="73" spans="1:20" ht="30" customHeight="1">
      <c r="A73" s="4">
        <v>69</v>
      </c>
      <c r="B73" s="4" t="s">
        <v>47</v>
      </c>
      <c r="C73" s="4" t="s">
        <v>324</v>
      </c>
      <c r="D73" s="4"/>
      <c r="E73" s="4" t="s">
        <v>166</v>
      </c>
      <c r="F73" s="6" t="s">
        <v>340</v>
      </c>
      <c r="G73" s="6" t="s">
        <v>330</v>
      </c>
      <c r="H73" s="7" t="s">
        <v>341</v>
      </c>
      <c r="I73" s="4"/>
      <c r="J73" s="4" t="s">
        <v>19</v>
      </c>
      <c r="K73" s="4" t="s">
        <v>76</v>
      </c>
      <c r="L73" s="7" t="s">
        <v>77</v>
      </c>
      <c r="M73" s="6" t="s">
        <v>342</v>
      </c>
      <c r="N73" s="4" t="s">
        <v>29</v>
      </c>
      <c r="O73" s="4"/>
      <c r="P73" s="6" t="s">
        <v>79</v>
      </c>
      <c r="Q73" s="4"/>
      <c r="R73" s="4"/>
      <c r="S73" s="4"/>
      <c r="T73" s="4"/>
    </row>
    <row r="74" spans="1:20" ht="30" customHeight="1">
      <c r="A74" s="3">
        <v>70</v>
      </c>
      <c r="B74" s="3" t="s">
        <v>47</v>
      </c>
      <c r="C74" s="3" t="s">
        <v>324</v>
      </c>
      <c r="D74" s="3"/>
      <c r="E74" s="3" t="s">
        <v>166</v>
      </c>
      <c r="F74" s="8" t="s">
        <v>343</v>
      </c>
      <c r="G74" s="8" t="s">
        <v>344</v>
      </c>
      <c r="H74" s="7" t="s">
        <v>345</v>
      </c>
      <c r="I74" s="3"/>
      <c r="J74" s="3" t="s">
        <v>19</v>
      </c>
      <c r="K74" s="3" t="s">
        <v>76</v>
      </c>
      <c r="L74" s="7" t="s">
        <v>77</v>
      </c>
      <c r="M74" s="8" t="s">
        <v>346</v>
      </c>
      <c r="N74" s="3" t="s">
        <v>29</v>
      </c>
      <c r="O74" s="3"/>
      <c r="P74" s="8" t="s">
        <v>79</v>
      </c>
      <c r="Q74" s="3"/>
      <c r="R74" s="3"/>
      <c r="S74" s="3"/>
      <c r="T74" s="3"/>
    </row>
    <row r="75" spans="1:20" ht="30" customHeight="1">
      <c r="A75" s="4">
        <v>71</v>
      </c>
      <c r="B75" s="4" t="s">
        <v>47</v>
      </c>
      <c r="C75" s="4" t="s">
        <v>324</v>
      </c>
      <c r="D75" s="4"/>
      <c r="E75" s="4" t="s">
        <v>166</v>
      </c>
      <c r="F75" s="6" t="s">
        <v>347</v>
      </c>
      <c r="G75" s="6" t="s">
        <v>348</v>
      </c>
      <c r="H75" s="7" t="s">
        <v>349</v>
      </c>
      <c r="I75" s="4"/>
      <c r="J75" s="4" t="s">
        <v>18</v>
      </c>
      <c r="K75" s="4" t="s">
        <v>90</v>
      </c>
      <c r="L75" s="7" t="s">
        <v>77</v>
      </c>
      <c r="M75" s="6" t="s">
        <v>332</v>
      </c>
      <c r="N75" s="4" t="s">
        <v>29</v>
      </c>
      <c r="O75" s="4"/>
      <c r="P75" s="6" t="s">
        <v>79</v>
      </c>
      <c r="Q75" s="4"/>
      <c r="R75" s="4"/>
      <c r="S75" s="4"/>
      <c r="T75" s="4"/>
    </row>
    <row r="76" spans="1:20" ht="30" customHeight="1">
      <c r="A76" s="3">
        <v>72</v>
      </c>
      <c r="B76" s="3" t="s">
        <v>47</v>
      </c>
      <c r="C76" s="3" t="s">
        <v>350</v>
      </c>
      <c r="D76" s="3">
        <v>50</v>
      </c>
      <c r="E76" s="3" t="s">
        <v>166</v>
      </c>
      <c r="F76" s="8" t="s">
        <v>351</v>
      </c>
      <c r="G76" s="8" t="s">
        <v>352</v>
      </c>
      <c r="H76" s="7" t="s">
        <v>353</v>
      </c>
      <c r="I76" s="3" t="s">
        <v>89</v>
      </c>
      <c r="J76" s="3" t="s">
        <v>19</v>
      </c>
      <c r="K76" s="3" t="s">
        <v>226</v>
      </c>
      <c r="L76" s="7" t="s">
        <v>77</v>
      </c>
      <c r="M76" s="8" t="s">
        <v>354</v>
      </c>
      <c r="N76" s="3" t="s">
        <v>29</v>
      </c>
      <c r="O76" s="3"/>
      <c r="P76" s="8"/>
      <c r="Q76" s="3"/>
      <c r="R76" s="3"/>
      <c r="S76" s="3"/>
      <c r="T76" s="3"/>
    </row>
    <row r="77" spans="1:20" ht="30" customHeight="1">
      <c r="A77" s="4">
        <v>73</v>
      </c>
      <c r="B77" s="4" t="s">
        <v>47</v>
      </c>
      <c r="C77" s="4" t="s">
        <v>350</v>
      </c>
      <c r="D77" s="4"/>
      <c r="E77" s="4" t="s">
        <v>166</v>
      </c>
      <c r="F77" s="6"/>
      <c r="G77" s="6" t="s">
        <v>355</v>
      </c>
      <c r="H77" s="7" t="s">
        <v>356</v>
      </c>
      <c r="I77" s="4" t="s">
        <v>89</v>
      </c>
      <c r="J77" s="4" t="s">
        <v>19</v>
      </c>
      <c r="K77" s="4" t="s">
        <v>226</v>
      </c>
      <c r="L77" s="10" t="s">
        <v>134</v>
      </c>
      <c r="M77" s="6"/>
      <c r="N77" s="4" t="s">
        <v>27</v>
      </c>
      <c r="O77" s="4"/>
      <c r="P77" s="6"/>
      <c r="Q77" s="4"/>
      <c r="R77" s="4"/>
      <c r="S77" s="4"/>
      <c r="T77" s="4"/>
    </row>
    <row r="78" spans="1:20" ht="30" customHeight="1">
      <c r="A78" s="3">
        <v>74</v>
      </c>
      <c r="B78" s="3" t="s">
        <v>47</v>
      </c>
      <c r="C78" s="3" t="s">
        <v>350</v>
      </c>
      <c r="D78" s="3"/>
      <c r="E78" s="3" t="s">
        <v>166</v>
      </c>
      <c r="F78" s="8"/>
      <c r="G78" s="8" t="s">
        <v>357</v>
      </c>
      <c r="H78" s="7" t="s">
        <v>358</v>
      </c>
      <c r="I78" s="3" t="s">
        <v>89</v>
      </c>
      <c r="J78" s="3" t="s">
        <v>19</v>
      </c>
      <c r="K78" s="3" t="s">
        <v>226</v>
      </c>
      <c r="L78" s="10" t="s">
        <v>134</v>
      </c>
      <c r="M78" s="8"/>
      <c r="N78" s="3" t="s">
        <v>27</v>
      </c>
      <c r="O78" s="3"/>
      <c r="P78" s="8"/>
      <c r="Q78" s="3"/>
      <c r="R78" s="3"/>
      <c r="S78" s="3"/>
      <c r="T78" s="3"/>
    </row>
    <row r="79" spans="1:20" ht="30" customHeight="1">
      <c r="A79" s="4">
        <v>75</v>
      </c>
      <c r="B79" s="4" t="s">
        <v>47</v>
      </c>
      <c r="C79" s="4" t="s">
        <v>350</v>
      </c>
      <c r="D79" s="4"/>
      <c r="E79" s="4" t="s">
        <v>166</v>
      </c>
      <c r="F79" s="6"/>
      <c r="G79" s="6" t="s">
        <v>359</v>
      </c>
      <c r="H79" s="7" t="inlineStr">
        <is>
          <t xml:space="preserve">SH-FM-WI006-10</t>
        </is>
      </c>
      <c r="I79" s="4" t="s">
        <v>89</v>
      </c>
      <c r="J79" s="4" t="s">
        <v>19</v>
      </c>
      <c r="K79" s="4" t="s">
        <v>226</v>
      </c>
      <c r="L79" s="7" t="inlineStr">
        <is>
          <t xml:space="preserve">기존 절차 연계</t>
        </is>
      </c>
      <c r="M79" s="6" t="inlineStr">
        <is>
          <t xml:space="preserve">SH-WI-006(계측기 사용 및 일상점검 표준)  [확정 2026-09-22: 신규 발견 연계 채택(ratio=1.00) — 품질경영담당 일괄판단, 부서 정식회신 생략]</t>
        </is>
      </c>
      <c r="N79" s="4" t="s">
        <v>27</v>
      </c>
      <c r="O79" s="4"/>
      <c r="P79" s="6" t="inlineStr">
        <is>
          <t xml:space="preserve">※재판정(본문대조) 확정(2026-09-22, 품질경영담당 일괄판단 — 부서 정식회신 없이 처리): 관련 기존 문서란 참고 ⚠현장 실제 서식과 반드시 대조 확인 필요(철호님 직접 확인 권장) | FM번호 재부여(2026-09-22, 확정 연계절차 기준): SH-FM-INS-N15 → SH-FM-WI006-10</t>
        </is>
      </c>
      <c r="Q79" s="4" t="inlineStr">
        <is>
          <t xml:space="preserve">대안 채택</t>
        </is>
      </c>
      <c r="R79" s="4" t="inlineStr">
        <is>
          <t xml:space="preserve">SH-WI-006(계측기 사용 및 일상점검 표준)</t>
        </is>
      </c>
      <c r="S79" s="4" t="inlineStr">
        <is>
          <t xml:space="preserve">박철호(품질경영 담당, 일괄확정)</t>
        </is>
      </c>
      <c r="T79" s="4" t="inlineStr">
        <is>
          <t xml:space="preserve">2026-09-22</t>
        </is>
      </c>
    </row>
    <row r="80" spans="1:20" ht="30" customHeight="1">
      <c r="A80" s="3">
        <v>76</v>
      </c>
      <c r="B80" s="3" t="s">
        <v>47</v>
      </c>
      <c r="C80" s="3" t="s">
        <v>350</v>
      </c>
      <c r="D80" s="3"/>
      <c r="E80" s="3" t="s">
        <v>166</v>
      </c>
      <c r="F80" s="8"/>
      <c r="G80" s="8" t="s">
        <v>362</v>
      </c>
      <c r="H80" s="7" t="inlineStr">
        <is>
          <t xml:space="preserve">SH-FM-QP012-01</t>
        </is>
      </c>
      <c r="I80" s="3" t="s">
        <v>89</v>
      </c>
      <c r="J80" s="3" t="s">
        <v>19</v>
      </c>
      <c r="K80" s="3" t="s">
        <v>226</v>
      </c>
      <c r="L80" s="7" t="inlineStr">
        <is>
          <t xml:space="preserve">기존 절차 연계</t>
        </is>
      </c>
      <c r="M80" s="8" t="inlineStr">
        <is>
          <t xml:space="preserve">SH-QP-012(생산 및 공정관리 절차서)  [확정 2026-09-22: 신규 발견 연계 채택(ratio=0.63) — 품질경영담당 일괄판단, 부서 정식회신 생략]</t>
        </is>
      </c>
      <c r="N80" s="3" t="s">
        <v>27</v>
      </c>
      <c r="O80" s="3"/>
      <c r="P80" s="8" t="inlineStr">
        <is>
          <t xml:space="preserve">※재판정(본문대조) 확정(2026-09-22, 품질경영담당 일괄판단 — 부서 정식회신 없이 처리): 관련 기존 문서란 참고 | FM번호 재부여(2026-09-22, 확정 연계절차 기준): SH-FM-INS-N16 → SH-FM-QP012-01</t>
        </is>
      </c>
      <c r="Q80" s="3" t="inlineStr">
        <is>
          <t xml:space="preserve">대안 채택</t>
        </is>
      </c>
      <c r="R80" s="3" t="inlineStr">
        <is>
          <t xml:space="preserve">SH-QP-012(생산 및 공정관리 절차서)</t>
        </is>
      </c>
      <c r="S80" s="3" t="inlineStr">
        <is>
          <t xml:space="preserve">박철호(품질경영 담당, 일괄확정)</t>
        </is>
      </c>
      <c r="T80" s="3" t="inlineStr">
        <is>
          <t xml:space="preserve">2026-09-22</t>
        </is>
      </c>
    </row>
    <row r="81" spans="1:20" ht="30" customHeight="1">
      <c r="A81" s="4">
        <v>77</v>
      </c>
      <c r="B81" s="4" t="s">
        <v>47</v>
      </c>
      <c r="C81" s="4" t="s">
        <v>350</v>
      </c>
      <c r="D81" s="4"/>
      <c r="E81" s="4" t="s">
        <v>166</v>
      </c>
      <c r="F81" s="6"/>
      <c r="G81" s="6" t="s">
        <v>365</v>
      </c>
      <c r="H81" s="7" t="s">
        <v>366</v>
      </c>
      <c r="I81" s="4"/>
      <c r="J81" s="4" t="s">
        <v>23</v>
      </c>
      <c r="K81" s="4"/>
      <c r="L81" s="10" t="s">
        <v>134</v>
      </c>
      <c r="M81" s="6"/>
      <c r="N81" s="4" t="s">
        <v>28</v>
      </c>
      <c r="O81" s="4"/>
      <c r="P81" s="6"/>
      <c r="Q81" s="4"/>
      <c r="R81" s="4"/>
      <c r="S81" s="4"/>
      <c r="T81" s="4"/>
    </row>
    <row r="82" spans="1:20" ht="30" customHeight="1">
      <c r="A82" s="3">
        <v>78</v>
      </c>
      <c r="B82" s="3" t="s">
        <v>47</v>
      </c>
      <c r="C82" s="3" t="s">
        <v>367</v>
      </c>
      <c r="D82" s="3">
        <v>50</v>
      </c>
      <c r="E82" s="3" t="s">
        <v>166</v>
      </c>
      <c r="F82" s="8" t="s">
        <v>368</v>
      </c>
      <c r="G82" s="8" t="s">
        <v>369</v>
      </c>
      <c r="H82" s="7" t="s">
        <v>370</v>
      </c>
      <c r="I82" s="3"/>
      <c r="J82" s="3" t="s">
        <v>19</v>
      </c>
      <c r="K82" s="3" t="s">
        <v>76</v>
      </c>
      <c r="L82" s="10" t="s">
        <v>134</v>
      </c>
      <c r="M82" s="8"/>
      <c r="N82" s="3" t="s">
        <v>27</v>
      </c>
      <c r="O82" s="3"/>
      <c r="P82" s="8"/>
      <c r="Q82" s="3"/>
      <c r="R82" s="3"/>
      <c r="S82" s="3"/>
      <c r="T82" s="3"/>
    </row>
    <row r="83" spans="1:20" ht="30" customHeight="1">
      <c r="A83" s="4">
        <v>79</v>
      </c>
      <c r="B83" s="4" t="s">
        <v>47</v>
      </c>
      <c r="C83" s="4" t="s">
        <v>367</v>
      </c>
      <c r="D83" s="4"/>
      <c r="E83" s="4" t="s">
        <v>166</v>
      </c>
      <c r="F83" s="6"/>
      <c r="G83" s="6" t="s">
        <v>371</v>
      </c>
      <c r="H83" s="7" t="s">
        <v>372</v>
      </c>
      <c r="I83" s="4"/>
      <c r="J83" s="4" t="s">
        <v>18</v>
      </c>
      <c r="K83" s="4" t="s">
        <v>373</v>
      </c>
      <c r="L83" s="10" t="s">
        <v>134</v>
      </c>
      <c r="M83" s="6"/>
      <c r="N83" s="4" t="s">
        <v>27</v>
      </c>
      <c r="O83" s="4"/>
      <c r="P83" s="6"/>
      <c r="Q83" s="4"/>
      <c r="R83" s="4"/>
      <c r="S83" s="4"/>
      <c r="T83" s="4"/>
    </row>
    <row r="84" spans="1:20" ht="30" customHeight="1">
      <c r="A84" s="3">
        <v>80</v>
      </c>
      <c r="B84" s="3" t="s">
        <v>47</v>
      </c>
      <c r="C84" s="3" t="s">
        <v>367</v>
      </c>
      <c r="D84" s="3"/>
      <c r="E84" s="3" t="s">
        <v>166</v>
      </c>
      <c r="F84" s="8"/>
      <c r="G84" s="8" t="s">
        <v>371</v>
      </c>
      <c r="H84" s="7" t="s">
        <v>374</v>
      </c>
      <c r="I84" s="3"/>
      <c r="J84" s="3" t="s">
        <v>19</v>
      </c>
      <c r="K84" s="3" t="s">
        <v>76</v>
      </c>
      <c r="L84" s="10" t="s">
        <v>134</v>
      </c>
      <c r="M84" s="8"/>
      <c r="N84" s="3" t="s">
        <v>27</v>
      </c>
      <c r="O84" s="3"/>
      <c r="P84" s="8"/>
      <c r="Q84" s="3"/>
      <c r="R84" s="3"/>
      <c r="S84" s="3"/>
      <c r="T84" s="3"/>
    </row>
    <row r="85" spans="1:20" ht="30" customHeight="1">
      <c r="A85" s="4">
        <v>81</v>
      </c>
      <c r="B85" s="4" t="s">
        <v>47</v>
      </c>
      <c r="C85" s="4" t="s">
        <v>367</v>
      </c>
      <c r="D85" s="4"/>
      <c r="E85" s="4" t="s">
        <v>166</v>
      </c>
      <c r="F85" s="6"/>
      <c r="G85" s="6" t="s">
        <v>375</v>
      </c>
      <c r="H85" s="7" t="s">
        <v>376</v>
      </c>
      <c r="I85" s="4"/>
      <c r="J85" s="4" t="s">
        <v>18</v>
      </c>
      <c r="K85" s="4" t="s">
        <v>373</v>
      </c>
      <c r="L85" s="10" t="s">
        <v>134</v>
      </c>
      <c r="M85" s="6"/>
      <c r="N85" s="4" t="s">
        <v>27</v>
      </c>
      <c r="O85" s="4"/>
      <c r="P85" s="6"/>
      <c r="Q85" s="4"/>
      <c r="R85" s="4"/>
      <c r="S85" s="4"/>
      <c r="T85" s="4"/>
    </row>
    <row r="86" spans="1:20" ht="30" customHeight="1">
      <c r="A86" s="3">
        <v>82</v>
      </c>
      <c r="B86" s="3" t="s">
        <v>47</v>
      </c>
      <c r="C86" s="3" t="s">
        <v>367</v>
      </c>
      <c r="D86" s="3"/>
      <c r="E86" s="3" t="s">
        <v>166</v>
      </c>
      <c r="F86" s="8"/>
      <c r="G86" s="8" t="s">
        <v>377</v>
      </c>
      <c r="H86" s="7" t="s">
        <v>378</v>
      </c>
      <c r="I86" s="3"/>
      <c r="J86" s="3" t="s">
        <v>18</v>
      </c>
      <c r="K86" s="3" t="s">
        <v>373</v>
      </c>
      <c r="L86" s="10" t="s">
        <v>134</v>
      </c>
      <c r="M86" s="8"/>
      <c r="N86" s="3" t="s">
        <v>27</v>
      </c>
      <c r="O86" s="3"/>
      <c r="P86" s="8"/>
      <c r="Q86" s="3"/>
      <c r="R86" s="3"/>
      <c r="S86" s="3"/>
      <c r="T86" s="3"/>
    </row>
    <row r="87" spans="1:20" ht="30" customHeight="1">
      <c r="A87" s="4">
        <v>83</v>
      </c>
      <c r="B87" s="4" t="s">
        <v>47</v>
      </c>
      <c r="C87" s="4" t="s">
        <v>367</v>
      </c>
      <c r="D87" s="4"/>
      <c r="E87" s="4" t="s">
        <v>166</v>
      </c>
      <c r="F87" s="6"/>
      <c r="G87" s="6" t="s">
        <v>379</v>
      </c>
      <c r="H87" s="7" t="s">
        <v>380</v>
      </c>
      <c r="I87" s="4"/>
      <c r="J87" s="4" t="s">
        <v>18</v>
      </c>
      <c r="K87" s="4" t="s">
        <v>373</v>
      </c>
      <c r="L87" s="10" t="s">
        <v>134</v>
      </c>
      <c r="M87" s="6"/>
      <c r="N87" s="4" t="s">
        <v>27</v>
      </c>
      <c r="O87" s="4"/>
      <c r="P87" s="6"/>
      <c r="Q87" s="4"/>
      <c r="R87" s="4"/>
      <c r="S87" s="4"/>
      <c r="T87" s="4"/>
    </row>
    <row r="88" spans="1:20" ht="30" customHeight="1">
      <c r="A88" s="3">
        <v>84</v>
      </c>
      <c r="B88" s="3" t="s">
        <v>47</v>
      </c>
      <c r="C88" s="3" t="s">
        <v>367</v>
      </c>
      <c r="D88" s="3"/>
      <c r="E88" s="3" t="s">
        <v>166</v>
      </c>
      <c r="F88" s="8"/>
      <c r="G88" s="8" t="s">
        <v>381</v>
      </c>
      <c r="H88" s="7" t="inlineStr">
        <is>
          <t xml:space="preserve">SH-FM-WI001-03</t>
        </is>
      </c>
      <c r="I88" s="3"/>
      <c r="J88" s="3" t="s">
        <v>18</v>
      </c>
      <c r="K88" s="3" t="s">
        <v>373</v>
      </c>
      <c r="L88" s="7" t="inlineStr">
        <is>
          <t xml:space="preserve">기존 절차 연계</t>
        </is>
      </c>
      <c r="M88" s="8" t="inlineStr">
        <is>
          <t xml:space="preserve">SH-WI-001(생산 작업준비 및 초품확인 표준)  [확정 2026-09-22: 신규 발견 연계 채택(ratio=1.00) — 품질경영담당 일괄판단, 부서 정식회신 생략]</t>
        </is>
      </c>
      <c r="N88" s="3" t="s">
        <v>27</v>
      </c>
      <c r="O88" s="3"/>
      <c r="P88" s="8" t="inlineStr">
        <is>
          <t xml:space="preserve">※재판정(본문대조) 확정(2026-09-22, 품질경영담당 일괄판단 — 부서 정식회신 없이 처리): 관련 기존 문서란 참고 | FM번호 재부여(2026-09-22, 확정 연계절차 기준): SH-FM-INS-N24 → SH-FM-WI001-03</t>
        </is>
      </c>
      <c r="Q88" s="3" t="inlineStr">
        <is>
          <t xml:space="preserve">대안 채택</t>
        </is>
      </c>
      <c r="R88" s="3" t="inlineStr">
        <is>
          <t xml:space="preserve">SH-WI-001(생산 작업준비 및 초품확인 표준)</t>
        </is>
      </c>
      <c r="S88" s="3" t="inlineStr">
        <is>
          <t xml:space="preserve">박철호(품질경영 담당, 일괄확정)</t>
        </is>
      </c>
      <c r="T88" s="3" t="inlineStr">
        <is>
          <t xml:space="preserve">2026-09-22</t>
        </is>
      </c>
    </row>
    <row r="89" spans="1:20" ht="30" customHeight="1">
      <c r="A89" s="4">
        <v>85</v>
      </c>
      <c r="B89" s="4" t="s">
        <v>48</v>
      </c>
      <c r="C89" s="4" t="s">
        <v>384</v>
      </c>
      <c r="D89" s="4">
        <v>30</v>
      </c>
      <c r="E89" s="4" t="s">
        <v>72</v>
      </c>
      <c r="F89" s="6" t="s">
        <v>385</v>
      </c>
      <c r="G89" s="6" t="s">
        <v>386</v>
      </c>
      <c r="H89" s="7" t="s">
        <v>387</v>
      </c>
      <c r="I89" s="4"/>
      <c r="J89" s="4" t="s">
        <v>18</v>
      </c>
      <c r="K89" s="4" t="s">
        <v>373</v>
      </c>
      <c r="L89" s="7" t="s">
        <v>77</v>
      </c>
      <c r="M89" s="6" t="s">
        <v>388</v>
      </c>
      <c r="N89" s="4" t="s">
        <v>29</v>
      </c>
      <c r="O89" s="4"/>
      <c r="P89" s="6"/>
      <c r="Q89" s="4"/>
      <c r="R89" s="4"/>
      <c r="S89" s="4"/>
      <c r="T89" s="4"/>
    </row>
    <row r="90" spans="1:20" ht="30" customHeight="1">
      <c r="A90" s="3">
        <v>86</v>
      </c>
      <c r="B90" s="3" t="s">
        <v>48</v>
      </c>
      <c r="C90" s="3" t="s">
        <v>384</v>
      </c>
      <c r="D90" s="3"/>
      <c r="E90" s="3" t="s">
        <v>72</v>
      </c>
      <c r="F90" s="8" t="s">
        <v>389</v>
      </c>
      <c r="G90" s="8" t="s">
        <v>390</v>
      </c>
      <c r="H90" s="7" t="inlineStr">
        <is>
          <t xml:space="preserve">SH-FM-WI004-07</t>
        </is>
      </c>
      <c r="I90" s="3" t="s">
        <v>392</v>
      </c>
      <c r="J90" s="3" t="s">
        <v>18</v>
      </c>
      <c r="K90" s="3" t="s">
        <v>373</v>
      </c>
      <c r="L90" s="7" t="inlineStr">
        <is>
          <t xml:space="preserve">기존 절차 연계</t>
        </is>
      </c>
      <c r="M90" s="8" t="inlineStr">
        <is>
          <t xml:space="preserve">SH-WI-004(설비 일상점검 및 이상대응 표준)  [확정 2026-09-22: 기존 추정 SH-QP-003(ratio=0.04) 대비 대안 채택(ratio=0.68) — 품질경영담당 일괄판단, 부서 정식회신 생략]</t>
        </is>
      </c>
      <c r="N90" s="3" t="s">
        <v>29</v>
      </c>
      <c r="O90" s="3"/>
      <c r="P90" s="8" t="inlineStr">
        <is>
          <t xml:space="preserve">※재판정(본문대조) 확정(2026-09-22, 품질경영담당 일괄판단 — 부서 정식회신 없이 처리): 관련 기존 문서란 참고 | FM번호 재부여(2026-09-22, 확정 연계절차 기준): SH-FM-QP003-03 → SH-FM-WI004-07</t>
        </is>
      </c>
      <c r="Q90" s="3" t="inlineStr">
        <is>
          <t xml:space="preserve">대안 채택</t>
        </is>
      </c>
      <c r="R90" s="3" t="inlineStr">
        <is>
          <t xml:space="preserve">SH-WI-004(설비 일상점검 및 이상대응 표준)</t>
        </is>
      </c>
      <c r="S90" s="3" t="inlineStr">
        <is>
          <t xml:space="preserve">박철호(품질경영 담당, 일괄확정)</t>
        </is>
      </c>
      <c r="T90" s="3" t="inlineStr">
        <is>
          <t xml:space="preserve">2026-09-22</t>
        </is>
      </c>
    </row>
    <row r="91" spans="1:20" ht="30" customHeight="1">
      <c r="A91" s="4">
        <v>87</v>
      </c>
      <c r="B91" s="4" t="s">
        <v>48</v>
      </c>
      <c r="C91" s="4" t="s">
        <v>384</v>
      </c>
      <c r="D91" s="4"/>
      <c r="E91" s="4" t="s">
        <v>72</v>
      </c>
      <c r="F91" s="6" t="s">
        <v>394</v>
      </c>
      <c r="G91" s="6" t="s">
        <v>395</v>
      </c>
      <c r="H91" s="7" t="s">
        <v>396</v>
      </c>
      <c r="I91" s="4"/>
      <c r="J91" s="4" t="s">
        <v>21</v>
      </c>
      <c r="K91" s="4" t="s">
        <v>373</v>
      </c>
      <c r="L91" s="7" t="s">
        <v>77</v>
      </c>
      <c r="M91" s="6" t="s">
        <v>397</v>
      </c>
      <c r="N91" s="4" t="s">
        <v>30</v>
      </c>
      <c r="O91" s="4"/>
      <c r="P91" s="6" t="s">
        <v>79</v>
      </c>
      <c r="Q91" s="4"/>
      <c r="R91" s="4"/>
      <c r="S91" s="4"/>
      <c r="T91" s="4"/>
    </row>
    <row r="92" spans="1:20" ht="30" customHeight="1">
      <c r="A92" s="3">
        <v>88</v>
      </c>
      <c r="B92" s="3" t="s">
        <v>48</v>
      </c>
      <c r="C92" s="3" t="s">
        <v>384</v>
      </c>
      <c r="D92" s="3"/>
      <c r="E92" s="3" t="s">
        <v>72</v>
      </c>
      <c r="F92" s="8" t="s">
        <v>398</v>
      </c>
      <c r="G92" s="8" t="s">
        <v>399</v>
      </c>
      <c r="H92" s="7" t="s">
        <v>400</v>
      </c>
      <c r="I92" s="3"/>
      <c r="J92" s="3" t="s">
        <v>18</v>
      </c>
      <c r="K92" s="3" t="s">
        <v>373</v>
      </c>
      <c r="L92" s="10" t="s">
        <v>134</v>
      </c>
      <c r="M92" s="8"/>
      <c r="N92" s="3" t="s">
        <v>27</v>
      </c>
      <c r="O92" s="3"/>
      <c r="P92" s="8"/>
      <c r="Q92" s="3"/>
      <c r="R92" s="3"/>
      <c r="S92" s="3"/>
      <c r="T92" s="3"/>
    </row>
    <row r="93" spans="1:20" ht="30" customHeight="1">
      <c r="A93" s="4">
        <v>89</v>
      </c>
      <c r="B93" s="4" t="s">
        <v>48</v>
      </c>
      <c r="C93" s="4" t="s">
        <v>401</v>
      </c>
      <c r="D93" s="4">
        <v>30</v>
      </c>
      <c r="E93" s="4" t="s">
        <v>72</v>
      </c>
      <c r="F93" s="6" t="s">
        <v>402</v>
      </c>
      <c r="G93" s="6" t="s">
        <v>403</v>
      </c>
      <c r="H93" s="7" t="s">
        <v>404</v>
      </c>
      <c r="I93" s="4"/>
      <c r="J93" s="4" t="s">
        <v>21</v>
      </c>
      <c r="K93" s="4" t="s">
        <v>178</v>
      </c>
      <c r="L93" s="10" t="s">
        <v>134</v>
      </c>
      <c r="M93" s="6"/>
      <c r="N93" s="4" t="s">
        <v>28</v>
      </c>
      <c r="O93" s="4"/>
      <c r="P93" s="6" t="s">
        <v>405</v>
      </c>
      <c r="Q93" s="4"/>
      <c r="R93" s="4"/>
      <c r="S93" s="4"/>
      <c r="T93" s="4"/>
    </row>
    <row r="94" spans="1:20" ht="30" customHeight="1">
      <c r="A94" s="3">
        <v>90</v>
      </c>
      <c r="B94" s="3" t="s">
        <v>48</v>
      </c>
      <c r="C94" s="3" t="s">
        <v>401</v>
      </c>
      <c r="D94" s="3"/>
      <c r="E94" s="3" t="s">
        <v>72</v>
      </c>
      <c r="F94" s="8" t="s">
        <v>406</v>
      </c>
      <c r="G94" s="8" t="s">
        <v>407</v>
      </c>
      <c r="H94" s="7" t="s">
        <v>408</v>
      </c>
      <c r="I94" s="3"/>
      <c r="J94" s="3" t="s">
        <v>21</v>
      </c>
      <c r="K94" s="3" t="s">
        <v>178</v>
      </c>
      <c r="L94" s="10" t="s">
        <v>134</v>
      </c>
      <c r="M94" s="8"/>
      <c r="N94" s="3" t="s">
        <v>28</v>
      </c>
      <c r="O94" s="3"/>
      <c r="P94" s="8"/>
      <c r="Q94" s="3"/>
      <c r="R94" s="3"/>
      <c r="S94" s="3"/>
      <c r="T94" s="3"/>
    </row>
    <row r="95" spans="1:20" ht="30" customHeight="1">
      <c r="A95" s="4">
        <v>91</v>
      </c>
      <c r="B95" s="4" t="s">
        <v>48</v>
      </c>
      <c r="C95" s="4" t="s">
        <v>401</v>
      </c>
      <c r="D95" s="4"/>
      <c r="E95" s="4" t="s">
        <v>72</v>
      </c>
      <c r="F95" s="6" t="s">
        <v>409</v>
      </c>
      <c r="G95" s="6" t="s">
        <v>410</v>
      </c>
      <c r="H95" s="7" t="s">
        <v>411</v>
      </c>
      <c r="I95" s="4"/>
      <c r="J95" s="4" t="s">
        <v>21</v>
      </c>
      <c r="K95" s="4" t="s">
        <v>178</v>
      </c>
      <c r="L95" s="10" t="s">
        <v>134</v>
      </c>
      <c r="M95" s="6"/>
      <c r="N95" s="4" t="s">
        <v>28</v>
      </c>
      <c r="O95" s="4"/>
      <c r="P95" s="6"/>
      <c r="Q95" s="4"/>
      <c r="R95" s="4"/>
      <c r="S95" s="4"/>
      <c r="T95" s="4"/>
    </row>
    <row r="96" spans="1:20" ht="30" customHeight="1">
      <c r="A96" s="3">
        <v>92</v>
      </c>
      <c r="B96" s="3" t="s">
        <v>48</v>
      </c>
      <c r="C96" s="3" t="s">
        <v>401</v>
      </c>
      <c r="D96" s="3"/>
      <c r="E96" s="3" t="s">
        <v>72</v>
      </c>
      <c r="F96" s="8" t="s">
        <v>412</v>
      </c>
      <c r="G96" s="8" t="s">
        <v>413</v>
      </c>
      <c r="H96" s="7" t="s">
        <v>414</v>
      </c>
      <c r="I96" s="3" t="s">
        <v>415</v>
      </c>
      <c r="J96" s="3" t="s">
        <v>21</v>
      </c>
      <c r="K96" s="3" t="s">
        <v>178</v>
      </c>
      <c r="L96" s="10" t="s">
        <v>134</v>
      </c>
      <c r="M96" s="8"/>
      <c r="N96" s="3" t="s">
        <v>28</v>
      </c>
      <c r="O96" s="3"/>
      <c r="P96" s="8"/>
      <c r="Q96" s="3"/>
      <c r="R96" s="3"/>
      <c r="S96" s="3"/>
      <c r="T96" s="3"/>
    </row>
    <row r="97" spans="1:20" ht="30" customHeight="1">
      <c r="A97" s="4">
        <v>93</v>
      </c>
      <c r="B97" s="4" t="s">
        <v>48</v>
      </c>
      <c r="C97" s="4" t="s">
        <v>401</v>
      </c>
      <c r="D97" s="4"/>
      <c r="E97" s="4" t="s">
        <v>72</v>
      </c>
      <c r="F97" s="6" t="s">
        <v>416</v>
      </c>
      <c r="G97" s="6" t="s">
        <v>417</v>
      </c>
      <c r="H97" s="7" t="inlineStr">
        <is>
          <t xml:space="preserve">SH-FM-WI015-02</t>
        </is>
      </c>
      <c r="I97" s="4"/>
      <c r="J97" s="4" t="s">
        <v>21</v>
      </c>
      <c r="K97" s="4" t="s">
        <v>178</v>
      </c>
      <c r="L97" s="7" t="inlineStr">
        <is>
          <t xml:space="preserve">기존 절차 연계</t>
        </is>
      </c>
      <c r="M97" s="6" t="inlineStr">
        <is>
          <t xml:space="preserve">SH-WI-015(작업자 표준작업 및 교대인수인계 표준)  [확정 2026-09-22: 기존 추정 SH-WI-018(ratio=0.00) 대비 대안 채택(ratio=0.55) — 품질경영담당 일괄판단, 부서 정식회신 생략]</t>
        </is>
      </c>
      <c r="N97" s="4" t="s">
        <v>30</v>
      </c>
      <c r="O97" s="4"/>
      <c r="P97" s="6" t="inlineStr">
        <is>
          <t xml:space="preserve">※재판정(본문대조) 확정(2026-09-22, 품질경영담당 일괄판단 — 부서 정식회신 없이 처리): 관련 기존 문서란 참고 | FM번호 재부여(2026-09-22, 확정 연계절차 기준): SH-FM-WI018-01 → SH-FM-WI015-02</t>
        </is>
      </c>
      <c r="Q97" s="4" t="inlineStr">
        <is>
          <t xml:space="preserve">대안 채택</t>
        </is>
      </c>
      <c r="R97" s="4" t="inlineStr">
        <is>
          <t xml:space="preserve">SH-WI-015(작업자 표준작업 및 교대인수인계 표준)</t>
        </is>
      </c>
      <c r="S97" s="4" t="inlineStr">
        <is>
          <t xml:space="preserve">박철호(품질경영 담당, 일괄확정)</t>
        </is>
      </c>
      <c r="T97" s="4" t="inlineStr">
        <is>
          <t xml:space="preserve">2026-09-22</t>
        </is>
      </c>
    </row>
    <row r="98" spans="1:20" ht="30" customHeight="1">
      <c r="A98" s="3">
        <v>94</v>
      </c>
      <c r="B98" s="3" t="s">
        <v>48</v>
      </c>
      <c r="C98" s="3" t="s">
        <v>401</v>
      </c>
      <c r="D98" s="3"/>
      <c r="E98" s="3" t="s">
        <v>72</v>
      </c>
      <c r="F98" s="8" t="s">
        <v>420</v>
      </c>
      <c r="G98" s="8" t="s">
        <v>421</v>
      </c>
      <c r="H98" s="7" t="inlineStr">
        <is>
          <t xml:space="preserve">SH-FM-QP015-01</t>
        </is>
      </c>
      <c r="I98" s="3"/>
      <c r="J98" s="3" t="s">
        <v>21</v>
      </c>
      <c r="K98" s="3" t="s">
        <v>178</v>
      </c>
      <c r="L98" s="7" t="inlineStr">
        <is>
          <t xml:space="preserve">기존 절차 연계</t>
        </is>
      </c>
      <c r="M98" s="8" t="inlineStr">
        <is>
          <t xml:space="preserve">SH-QP-015(변경관리 절차서)  [확정 2026-09-22: 신규 발견 연계 채택(ratio=0.67) — 품질경영담당 일괄판단, 부서 정식회신 생략]</t>
        </is>
      </c>
      <c r="N98" s="3" t="s">
        <v>28</v>
      </c>
      <c r="O98" s="3"/>
      <c r="P98" s="8" t="inlineStr">
        <is>
          <t xml:space="preserve">※재판정(본문대조) 확정(2026-09-22, 품질경영담당 일괄판단 — 부서 정식회신 없이 처리): 관련 기존 문서란 참고 | FM번호 재부여(2026-09-22, 확정 연계절차 기준): SH-FM-EQP-N06 → SH-FM-QP015-01</t>
        </is>
      </c>
      <c r="Q98" s="3" t="inlineStr">
        <is>
          <t xml:space="preserve">대안 채택</t>
        </is>
      </c>
      <c r="R98" s="3" t="inlineStr">
        <is>
          <t xml:space="preserve">SH-QP-015(변경관리 절차서)</t>
        </is>
      </c>
      <c r="S98" s="3" t="inlineStr">
        <is>
          <t xml:space="preserve">박철호(품질경영 담당, 일괄확정)</t>
        </is>
      </c>
      <c r="T98" s="3" t="inlineStr">
        <is>
          <t xml:space="preserve">2026-09-22</t>
        </is>
      </c>
    </row>
    <row r="99" spans="1:20" ht="30" customHeight="1">
      <c r="A99" s="4">
        <v>95</v>
      </c>
      <c r="B99" s="4" t="s">
        <v>48</v>
      </c>
      <c r="C99" s="4" t="s">
        <v>401</v>
      </c>
      <c r="D99" s="4"/>
      <c r="E99" s="4" t="s">
        <v>72</v>
      </c>
      <c r="F99" s="6" t="s">
        <v>424</v>
      </c>
      <c r="G99" s="6" t="s">
        <v>425</v>
      </c>
      <c r="H99" s="7" t="s">
        <v>426</v>
      </c>
      <c r="I99" s="4" t="s">
        <v>427</v>
      </c>
      <c r="J99" s="4" t="s">
        <v>21</v>
      </c>
      <c r="K99" s="4" t="s">
        <v>178</v>
      </c>
      <c r="L99" s="7" t="s">
        <v>77</v>
      </c>
      <c r="M99" s="6" t="s">
        <v>428</v>
      </c>
      <c r="N99" s="4" t="s">
        <v>30</v>
      </c>
      <c r="O99" s="4"/>
      <c r="P99" s="6" t="s">
        <v>79</v>
      </c>
      <c r="Q99" s="4"/>
      <c r="R99" s="4"/>
      <c r="S99" s="4"/>
      <c r="T99" s="4"/>
    </row>
    <row r="100" spans="1:20" ht="30" customHeight="1">
      <c r="A100" s="3">
        <v>96</v>
      </c>
      <c r="B100" s="3" t="s">
        <v>48</v>
      </c>
      <c r="C100" s="3" t="s">
        <v>401</v>
      </c>
      <c r="D100" s="3"/>
      <c r="E100" s="3" t="s">
        <v>72</v>
      </c>
      <c r="F100" s="8" t="s">
        <v>429</v>
      </c>
      <c r="G100" s="8" t="s">
        <v>430</v>
      </c>
      <c r="H100" s="7" t="s">
        <v>431</v>
      </c>
      <c r="I100" s="3"/>
      <c r="J100" s="3" t="s">
        <v>21</v>
      </c>
      <c r="K100" s="3" t="s">
        <v>178</v>
      </c>
      <c r="L100" s="7" t="s">
        <v>77</v>
      </c>
      <c r="M100" s="8" t="s">
        <v>432</v>
      </c>
      <c r="N100" s="3" t="s">
        <v>30</v>
      </c>
      <c r="O100" s="3"/>
      <c r="P100" s="8" t="s">
        <v>79</v>
      </c>
      <c r="Q100" s="3"/>
      <c r="R100" s="3"/>
      <c r="S100" s="3"/>
      <c r="T100" s="3"/>
    </row>
    <row r="101" spans="1:20" ht="30" customHeight="1">
      <c r="A101" s="4">
        <v>97</v>
      </c>
      <c r="B101" s="4" t="s">
        <v>48</v>
      </c>
      <c r="C101" s="4" t="s">
        <v>401</v>
      </c>
      <c r="D101" s="4"/>
      <c r="E101" s="4" t="s">
        <v>72</v>
      </c>
      <c r="F101" s="6" t="s">
        <v>433</v>
      </c>
      <c r="G101" s="6" t="s">
        <v>434</v>
      </c>
      <c r="H101" s="7" t="s">
        <v>435</v>
      </c>
      <c r="I101" s="4"/>
      <c r="J101" s="4" t="s">
        <v>21</v>
      </c>
      <c r="K101" s="4" t="s">
        <v>178</v>
      </c>
      <c r="L101" s="10" t="s">
        <v>134</v>
      </c>
      <c r="M101" s="6"/>
      <c r="N101" s="4" t="s">
        <v>29</v>
      </c>
      <c r="O101" s="4"/>
      <c r="P101" s="6"/>
      <c r="Q101" s="4"/>
      <c r="R101" s="4"/>
      <c r="S101" s="4"/>
      <c r="T101" s="4"/>
    </row>
    <row r="102" spans="1:20" ht="30" customHeight="1">
      <c r="A102" s="3">
        <v>98</v>
      </c>
      <c r="B102" s="3" t="s">
        <v>48</v>
      </c>
      <c r="C102" s="3" t="s">
        <v>401</v>
      </c>
      <c r="D102" s="3"/>
      <c r="E102" s="3" t="s">
        <v>72</v>
      </c>
      <c r="F102" s="8" t="s">
        <v>436</v>
      </c>
      <c r="G102" s="8" t="s">
        <v>437</v>
      </c>
      <c r="H102" s="7" t="s">
        <v>438</v>
      </c>
      <c r="I102" s="3"/>
      <c r="J102" s="3" t="s">
        <v>21</v>
      </c>
      <c r="K102" s="3" t="s">
        <v>178</v>
      </c>
      <c r="L102" s="10" t="s">
        <v>134</v>
      </c>
      <c r="M102" s="8"/>
      <c r="N102" s="3" t="s">
        <v>29</v>
      </c>
      <c r="O102" s="3"/>
      <c r="P102" s="8"/>
      <c r="Q102" s="3"/>
      <c r="R102" s="3"/>
      <c r="S102" s="3"/>
      <c r="T102" s="3"/>
    </row>
    <row r="103" spans="1:20" ht="30" customHeight="1">
      <c r="A103" s="4">
        <v>99</v>
      </c>
      <c r="B103" s="4" t="s">
        <v>48</v>
      </c>
      <c r="C103" s="4" t="s">
        <v>401</v>
      </c>
      <c r="D103" s="4"/>
      <c r="E103" s="4" t="s">
        <v>72</v>
      </c>
      <c r="F103" s="6" t="s">
        <v>439</v>
      </c>
      <c r="G103" s="6" t="s">
        <v>440</v>
      </c>
      <c r="H103" s="7" t="s">
        <v>441</v>
      </c>
      <c r="I103" s="4"/>
      <c r="J103" s="4" t="s">
        <v>21</v>
      </c>
      <c r="K103" s="4" t="s">
        <v>178</v>
      </c>
      <c r="L103" s="10" t="s">
        <v>134</v>
      </c>
      <c r="M103" s="6"/>
      <c r="N103" s="4" t="s">
        <v>29</v>
      </c>
      <c r="O103" s="4"/>
      <c r="P103" s="6"/>
      <c r="Q103" s="4"/>
      <c r="R103" s="4"/>
      <c r="S103" s="4"/>
      <c r="T103" s="4"/>
    </row>
    <row r="104" spans="1:20" ht="30" customHeight="1">
      <c r="A104" s="3">
        <v>100</v>
      </c>
      <c r="B104" s="3" t="s">
        <v>48</v>
      </c>
      <c r="C104" s="3" t="s">
        <v>442</v>
      </c>
      <c r="D104" s="3">
        <v>30</v>
      </c>
      <c r="E104" s="3" t="s">
        <v>72</v>
      </c>
      <c r="F104" s="8" t="s">
        <v>443</v>
      </c>
      <c r="G104" s="8" t="s">
        <v>444</v>
      </c>
      <c r="H104" s="7" t="s">
        <v>445</v>
      </c>
      <c r="I104" s="3"/>
      <c r="J104" s="3" t="s">
        <v>23</v>
      </c>
      <c r="K104" s="3" t="s">
        <v>446</v>
      </c>
      <c r="L104" s="10" t="s">
        <v>134</v>
      </c>
      <c r="M104" s="8"/>
      <c r="N104" s="3" t="s">
        <v>28</v>
      </c>
      <c r="O104" s="3"/>
      <c r="P104" s="8"/>
      <c r="Q104" s="3"/>
      <c r="R104" s="3"/>
      <c r="S104" s="3"/>
      <c r="T104" s="3"/>
    </row>
    <row r="105" spans="1:20" ht="30" customHeight="1">
      <c r="A105" s="4">
        <v>101</v>
      </c>
      <c r="B105" s="4" t="s">
        <v>48</v>
      </c>
      <c r="C105" s="4" t="s">
        <v>442</v>
      </c>
      <c r="D105" s="4"/>
      <c r="E105" s="4" t="s">
        <v>72</v>
      </c>
      <c r="F105" s="6" t="s">
        <v>447</v>
      </c>
      <c r="G105" s="6" t="s">
        <v>448</v>
      </c>
      <c r="H105" s="7" t="s">
        <v>449</v>
      </c>
      <c r="I105" s="4"/>
      <c r="J105" s="4" t="s">
        <v>18</v>
      </c>
      <c r="K105" s="4" t="s">
        <v>446</v>
      </c>
      <c r="L105" s="10" t="s">
        <v>134</v>
      </c>
      <c r="M105" s="6"/>
      <c r="N105" s="4" t="s">
        <v>27</v>
      </c>
      <c r="O105" s="4"/>
      <c r="P105" s="6"/>
      <c r="Q105" s="4"/>
      <c r="R105" s="4"/>
      <c r="S105" s="4"/>
      <c r="T105" s="4"/>
    </row>
    <row r="106" spans="1:20" ht="30" customHeight="1">
      <c r="A106" s="3">
        <v>102</v>
      </c>
      <c r="B106" s="3" t="s">
        <v>48</v>
      </c>
      <c r="C106" s="3" t="s">
        <v>442</v>
      </c>
      <c r="D106" s="3"/>
      <c r="E106" s="3" t="s">
        <v>72</v>
      </c>
      <c r="F106" s="8" t="s">
        <v>450</v>
      </c>
      <c r="G106" s="8" t="s">
        <v>451</v>
      </c>
      <c r="H106" s="7" t="s">
        <v>452</v>
      </c>
      <c r="I106" s="3"/>
      <c r="J106" s="3" t="s">
        <v>18</v>
      </c>
      <c r="K106" s="3" t="s">
        <v>446</v>
      </c>
      <c r="L106" s="10" t="s">
        <v>134</v>
      </c>
      <c r="M106" s="8"/>
      <c r="N106" s="3" t="s">
        <v>27</v>
      </c>
      <c r="O106" s="3"/>
      <c r="P106" s="8"/>
      <c r="Q106" s="3"/>
      <c r="R106" s="3"/>
      <c r="S106" s="3"/>
      <c r="T106" s="3"/>
    </row>
    <row r="107" spans="1:20" ht="30" customHeight="1">
      <c r="A107" s="4">
        <v>103</v>
      </c>
      <c r="B107" s="4" t="s">
        <v>48</v>
      </c>
      <c r="C107" s="4" t="s">
        <v>453</v>
      </c>
      <c r="D107" s="4">
        <v>20</v>
      </c>
      <c r="E107" s="4" t="s">
        <v>72</v>
      </c>
      <c r="F107" s="6" t="s">
        <v>454</v>
      </c>
      <c r="G107" s="6" t="s">
        <v>455</v>
      </c>
      <c r="H107" s="7" t="s">
        <v>456</v>
      </c>
      <c r="I107" s="4"/>
      <c r="J107" s="4" t="s">
        <v>21</v>
      </c>
      <c r="K107" s="4" t="s">
        <v>178</v>
      </c>
      <c r="L107" s="10" t="s">
        <v>134</v>
      </c>
      <c r="M107" s="6"/>
      <c r="N107" s="4" t="s">
        <v>29</v>
      </c>
      <c r="O107" s="4"/>
      <c r="P107" s="6"/>
      <c r="Q107" s="4"/>
      <c r="R107" s="4"/>
      <c r="S107" s="4"/>
      <c r="T107" s="4"/>
    </row>
    <row r="108" spans="1:20" ht="30" customHeight="1">
      <c r="A108" s="3">
        <v>104</v>
      </c>
      <c r="B108" s="3" t="s">
        <v>48</v>
      </c>
      <c r="C108" s="3" t="s">
        <v>453</v>
      </c>
      <c r="D108" s="3"/>
      <c r="E108" s="3" t="s">
        <v>72</v>
      </c>
      <c r="F108" s="8"/>
      <c r="G108" s="8" t="s">
        <v>457</v>
      </c>
      <c r="H108" s="7" t="s">
        <v>458</v>
      </c>
      <c r="I108" s="3"/>
      <c r="J108" s="3" t="s">
        <v>21</v>
      </c>
      <c r="K108" s="3" t="s">
        <v>178</v>
      </c>
      <c r="L108" s="10" t="s">
        <v>134</v>
      </c>
      <c r="M108" s="8"/>
      <c r="N108" s="3" t="s">
        <v>29</v>
      </c>
      <c r="O108" s="3"/>
      <c r="P108" s="8"/>
      <c r="Q108" s="3"/>
      <c r="R108" s="3"/>
      <c r="S108" s="3"/>
      <c r="T108" s="3"/>
    </row>
    <row r="109" spans="1:20" ht="30" customHeight="1">
      <c r="A109" s="4">
        <v>105</v>
      </c>
      <c r="B109" s="4" t="s">
        <v>48</v>
      </c>
      <c r="C109" s="4" t="s">
        <v>453</v>
      </c>
      <c r="D109" s="4"/>
      <c r="E109" s="4" t="s">
        <v>72</v>
      </c>
      <c r="F109" s="6"/>
      <c r="G109" s="6" t="s">
        <v>407</v>
      </c>
      <c r="H109" s="7" t="s">
        <v>459</v>
      </c>
      <c r="I109" s="4"/>
      <c r="J109" s="4" t="s">
        <v>21</v>
      </c>
      <c r="K109" s="4" t="s">
        <v>178</v>
      </c>
      <c r="L109" s="10" t="s">
        <v>134</v>
      </c>
      <c r="M109" s="6"/>
      <c r="N109" s="4" t="s">
        <v>30</v>
      </c>
      <c r="O109" s="4"/>
      <c r="P109" s="6"/>
      <c r="Q109" s="4"/>
      <c r="R109" s="4"/>
      <c r="S109" s="4"/>
      <c r="T109" s="4"/>
    </row>
    <row r="110" spans="1:20" ht="30" customHeight="1">
      <c r="A110" s="3">
        <v>106</v>
      </c>
      <c r="B110" s="3" t="s">
        <v>48</v>
      </c>
      <c r="C110" s="3" t="s">
        <v>460</v>
      </c>
      <c r="D110" s="3">
        <v>30</v>
      </c>
      <c r="E110" s="3" t="s">
        <v>72</v>
      </c>
      <c r="F110" s="8" t="s">
        <v>461</v>
      </c>
      <c r="G110" s="8" t="s">
        <v>444</v>
      </c>
      <c r="H110" s="7" t="s">
        <v>462</v>
      </c>
      <c r="I110" s="3"/>
      <c r="J110" s="3" t="s">
        <v>23</v>
      </c>
      <c r="K110" s="3" t="s">
        <v>178</v>
      </c>
      <c r="L110" s="10" t="s">
        <v>134</v>
      </c>
      <c r="M110" s="8"/>
      <c r="N110" s="3" t="s">
        <v>29</v>
      </c>
      <c r="O110" s="3"/>
      <c r="P110" s="8"/>
      <c r="Q110" s="3"/>
      <c r="R110" s="3"/>
      <c r="S110" s="3"/>
      <c r="T110" s="3"/>
    </row>
    <row r="111" spans="1:20" ht="30" customHeight="1">
      <c r="A111" s="4">
        <v>107</v>
      </c>
      <c r="B111" s="4" t="s">
        <v>48</v>
      </c>
      <c r="C111" s="4" t="s">
        <v>460</v>
      </c>
      <c r="D111" s="4"/>
      <c r="E111" s="4" t="s">
        <v>72</v>
      </c>
      <c r="F111" s="6" t="s">
        <v>463</v>
      </c>
      <c r="G111" s="6" t="s">
        <v>448</v>
      </c>
      <c r="H111" s="7" t="s">
        <v>464</v>
      </c>
      <c r="I111" s="4"/>
      <c r="J111" s="4" t="s">
        <v>18</v>
      </c>
      <c r="K111" s="4" t="s">
        <v>178</v>
      </c>
      <c r="L111" s="10" t="s">
        <v>134</v>
      </c>
      <c r="M111" s="6"/>
      <c r="N111" s="4" t="s">
        <v>27</v>
      </c>
      <c r="O111" s="4"/>
      <c r="P111" s="6"/>
      <c r="Q111" s="4"/>
      <c r="R111" s="4"/>
      <c r="S111" s="4"/>
      <c r="T111" s="4"/>
    </row>
    <row r="112" spans="1:20" ht="30" customHeight="1">
      <c r="A112" s="3">
        <v>108</v>
      </c>
      <c r="B112" s="3" t="s">
        <v>48</v>
      </c>
      <c r="C112" s="3" t="s">
        <v>460</v>
      </c>
      <c r="D112" s="3"/>
      <c r="E112" s="3" t="s">
        <v>72</v>
      </c>
      <c r="F112" s="8" t="s">
        <v>465</v>
      </c>
      <c r="G112" s="8" t="s">
        <v>466</v>
      </c>
      <c r="H112" s="7" t="s">
        <v>467</v>
      </c>
      <c r="I112" s="3"/>
      <c r="J112" s="3" t="s">
        <v>23</v>
      </c>
      <c r="K112" s="3" t="s">
        <v>178</v>
      </c>
      <c r="L112" s="10" t="s">
        <v>134</v>
      </c>
      <c r="M112" s="8"/>
      <c r="N112" s="3" t="s">
        <v>29</v>
      </c>
      <c r="O112" s="3"/>
      <c r="P112" s="8"/>
      <c r="Q112" s="3"/>
      <c r="R112" s="3"/>
      <c r="S112" s="3"/>
      <c r="T112" s="3"/>
    </row>
    <row r="113" spans="1:20" ht="30" customHeight="1">
      <c r="A113" s="4">
        <v>109</v>
      </c>
      <c r="B113" s="4" t="s">
        <v>48</v>
      </c>
      <c r="C113" s="4" t="s">
        <v>468</v>
      </c>
      <c r="D113" s="4">
        <v>20</v>
      </c>
      <c r="E113" s="4" t="s">
        <v>72</v>
      </c>
      <c r="F113" s="6" t="s">
        <v>469</v>
      </c>
      <c r="G113" s="6" t="s">
        <v>470</v>
      </c>
      <c r="H113" s="7" t="s">
        <v>471</v>
      </c>
      <c r="I113" s="4"/>
      <c r="J113" s="4" t="s">
        <v>18</v>
      </c>
      <c r="K113" s="4" t="s">
        <v>90</v>
      </c>
      <c r="L113" s="10" t="s">
        <v>134</v>
      </c>
      <c r="M113" s="6"/>
      <c r="N113" s="4" t="s">
        <v>28</v>
      </c>
      <c r="O113" s="4"/>
      <c r="P113" s="6"/>
      <c r="Q113" s="4"/>
      <c r="R113" s="4"/>
      <c r="S113" s="4"/>
      <c r="T113" s="4"/>
    </row>
    <row r="114" spans="1:20" ht="30" customHeight="1">
      <c r="A114" s="3">
        <v>110</v>
      </c>
      <c r="B114" s="3" t="s">
        <v>48</v>
      </c>
      <c r="C114" s="3" t="s">
        <v>468</v>
      </c>
      <c r="D114" s="3"/>
      <c r="E114" s="3" t="s">
        <v>72</v>
      </c>
      <c r="F114" s="8"/>
      <c r="G114" s="8" t="s">
        <v>472</v>
      </c>
      <c r="H114" s="7" t="s">
        <v>473</v>
      </c>
      <c r="I114" s="3"/>
      <c r="J114" s="3" t="s">
        <v>18</v>
      </c>
      <c r="K114" s="3" t="s">
        <v>90</v>
      </c>
      <c r="L114" s="10" t="s">
        <v>134</v>
      </c>
      <c r="M114" s="8"/>
      <c r="N114" s="3" t="s">
        <v>28</v>
      </c>
      <c r="O114" s="3"/>
      <c r="P114" s="8"/>
      <c r="Q114" s="3"/>
      <c r="R114" s="3"/>
      <c r="S114" s="3"/>
      <c r="T114" s="3"/>
    </row>
    <row r="115" spans="1:20" ht="30" customHeight="1">
      <c r="A115" s="4">
        <v>111</v>
      </c>
      <c r="B115" s="4" t="s">
        <v>48</v>
      </c>
      <c r="C115" s="4" t="s">
        <v>468</v>
      </c>
      <c r="D115" s="4"/>
      <c r="E115" s="4" t="s">
        <v>72</v>
      </c>
      <c r="F115" s="6"/>
      <c r="G115" s="6" t="s">
        <v>474</v>
      </c>
      <c r="H115" s="7" t="s">
        <v>475</v>
      </c>
      <c r="I115" s="4"/>
      <c r="J115" s="4" t="s">
        <v>18</v>
      </c>
      <c r="K115" s="4" t="s">
        <v>90</v>
      </c>
      <c r="L115" s="10" t="s">
        <v>134</v>
      </c>
      <c r="M115" s="6"/>
      <c r="N115" s="4" t="s">
        <v>28</v>
      </c>
      <c r="O115" s="4"/>
      <c r="P115" s="6"/>
      <c r="Q115" s="4"/>
      <c r="R115" s="4"/>
      <c r="S115" s="4"/>
      <c r="T115" s="4"/>
    </row>
    <row r="116" spans="1:20" ht="30" customHeight="1">
      <c r="A116" s="3">
        <v>112</v>
      </c>
      <c r="B116" s="3" t="s">
        <v>48</v>
      </c>
      <c r="C116" s="3" t="s">
        <v>468</v>
      </c>
      <c r="D116" s="3"/>
      <c r="E116" s="3" t="s">
        <v>72</v>
      </c>
      <c r="F116" s="8"/>
      <c r="G116" s="8" t="s">
        <v>476</v>
      </c>
      <c r="H116" s="7" t="s">
        <v>477</v>
      </c>
      <c r="I116" s="3"/>
      <c r="J116" s="3" t="s">
        <v>18</v>
      </c>
      <c r="K116" s="3" t="s">
        <v>90</v>
      </c>
      <c r="L116" s="10" t="s">
        <v>134</v>
      </c>
      <c r="M116" s="8"/>
      <c r="N116" s="3" t="s">
        <v>28</v>
      </c>
      <c r="O116" s="3"/>
      <c r="P116" s="8"/>
      <c r="Q116" s="3"/>
      <c r="R116" s="3"/>
      <c r="S116" s="3"/>
      <c r="T116" s="3"/>
    </row>
    <row r="117" spans="1:20" ht="30" customHeight="1">
      <c r="A117" s="4">
        <v>113</v>
      </c>
      <c r="B117" s="4" t="s">
        <v>49</v>
      </c>
      <c r="C117" s="4" t="s">
        <v>478</v>
      </c>
      <c r="D117" s="4">
        <v>30</v>
      </c>
      <c r="E117" s="4" t="s">
        <v>72</v>
      </c>
      <c r="F117" s="6" t="s">
        <v>479</v>
      </c>
      <c r="G117" s="6" t="s">
        <v>480</v>
      </c>
      <c r="H117" s="7" t="s">
        <v>481</v>
      </c>
      <c r="I117" s="4"/>
      <c r="J117" s="4" t="s">
        <v>18</v>
      </c>
      <c r="K117" s="4" t="s">
        <v>90</v>
      </c>
      <c r="L117" s="7" t="s">
        <v>77</v>
      </c>
      <c r="M117" s="6" t="s">
        <v>482</v>
      </c>
      <c r="N117" s="4" t="s">
        <v>29</v>
      </c>
      <c r="O117" s="4"/>
      <c r="P117" s="6" t="s">
        <v>79</v>
      </c>
      <c r="Q117" s="4"/>
      <c r="R117" s="4"/>
      <c r="S117" s="4"/>
      <c r="T117" s="4"/>
    </row>
    <row r="118" spans="1:20" ht="30" customHeight="1">
      <c r="A118" s="3">
        <v>114</v>
      </c>
      <c r="B118" s="3" t="s">
        <v>49</v>
      </c>
      <c r="C118" s="3" t="s">
        <v>478</v>
      </c>
      <c r="D118" s="3"/>
      <c r="E118" s="3" t="s">
        <v>72</v>
      </c>
      <c r="F118" s="8"/>
      <c r="G118" s="8" t="s">
        <v>483</v>
      </c>
      <c r="H118" s="7" t="inlineStr">
        <is>
          <t xml:space="preserve">SH-FM-QP021-02</t>
        </is>
      </c>
      <c r="I118" s="3"/>
      <c r="J118" s="3" t="s">
        <v>18</v>
      </c>
      <c r="K118" s="3" t="s">
        <v>90</v>
      </c>
      <c r="L118" s="7" t="inlineStr">
        <is>
          <t xml:space="preserve">기존 절차 연계</t>
        </is>
      </c>
      <c r="M118" s="8" t="inlineStr">
        <is>
          <t xml:space="preserve">SH-QP-021(품질목표 및 KPI 관리 절차서)  [확정 2026-09-22: 기존 추정 SH-WI-008(ratio=0.00) 대비 대안 채택(ratio=1.00) — 품질경영담당 일괄판단, 부서 정식회신 생략]</t>
        </is>
      </c>
      <c r="N118" s="3" t="s">
        <v>29</v>
      </c>
      <c r="O118" s="3"/>
      <c r="P118" s="8" t="inlineStr">
        <is>
          <t xml:space="preserve">※재판정(본문대조) 확정(2026-09-22, 품질경영담당 일괄판단 — 부서 정식회신 없이 처리): 관련 기존 문서란 참고 ⚠현장 실제 서식과 반드시 대조 확인 필요(철호님 직접 확인 권장) | FM번호 재부여(2026-09-22, 확정 연계절차 기준): SH-FM-WI008-03 → SH-FM-QP021-02</t>
        </is>
      </c>
      <c r="Q118" s="3" t="inlineStr">
        <is>
          <t xml:space="preserve">대안 채택</t>
        </is>
      </c>
      <c r="R118" s="3" t="inlineStr">
        <is>
          <t xml:space="preserve">SH-QP-021(품질목표 및 KPI 관리 절차서)</t>
        </is>
      </c>
      <c r="S118" s="3" t="inlineStr">
        <is>
          <t xml:space="preserve">박철호(품질경영 담당, 일괄확정)</t>
        </is>
      </c>
      <c r="T118" s="3" t="inlineStr">
        <is>
          <t xml:space="preserve">2026-09-22</t>
        </is>
      </c>
    </row>
    <row r="119" spans="1:20" ht="30" customHeight="1">
      <c r="A119" s="4">
        <v>115</v>
      </c>
      <c r="B119" s="4" t="s">
        <v>49</v>
      </c>
      <c r="C119" s="4" t="s">
        <v>478</v>
      </c>
      <c r="D119" s="4"/>
      <c r="E119" s="4" t="s">
        <v>72</v>
      </c>
      <c r="F119" s="6"/>
      <c r="G119" s="6" t="s">
        <v>486</v>
      </c>
      <c r="H119" s="7" t="s">
        <v>487</v>
      </c>
      <c r="I119" s="4"/>
      <c r="J119" s="4" t="s">
        <v>18</v>
      </c>
      <c r="K119" s="4" t="s">
        <v>90</v>
      </c>
      <c r="L119" s="7" t="s">
        <v>77</v>
      </c>
      <c r="M119" s="6" t="s">
        <v>428</v>
      </c>
      <c r="N119" s="4" t="s">
        <v>29</v>
      </c>
      <c r="O119" s="4"/>
      <c r="P119" s="6" t="s">
        <v>79</v>
      </c>
      <c r="Q119" s="4"/>
      <c r="R119" s="4"/>
      <c r="S119" s="4"/>
      <c r="T119" s="4"/>
    </row>
    <row r="120" spans="1:20" ht="30" customHeight="1">
      <c r="A120" s="3">
        <v>116</v>
      </c>
      <c r="B120" s="3" t="s">
        <v>49</v>
      </c>
      <c r="C120" s="3" t="s">
        <v>478</v>
      </c>
      <c r="D120" s="3"/>
      <c r="E120" s="3" t="s">
        <v>72</v>
      </c>
      <c r="F120" s="8"/>
      <c r="G120" s="8" t="s">
        <v>488</v>
      </c>
      <c r="H120" s="7" t="s">
        <v>489</v>
      </c>
      <c r="I120" s="3"/>
      <c r="J120" s="3" t="s">
        <v>18</v>
      </c>
      <c r="K120" s="3" t="s">
        <v>90</v>
      </c>
      <c r="L120" s="7" t="s">
        <v>77</v>
      </c>
      <c r="M120" s="8" t="s">
        <v>490</v>
      </c>
      <c r="N120" s="3" t="s">
        <v>29</v>
      </c>
      <c r="O120" s="3"/>
      <c r="P120" s="8" t="s">
        <v>79</v>
      </c>
      <c r="Q120" s="3"/>
      <c r="R120" s="3"/>
      <c r="S120" s="3"/>
      <c r="T120" s="3"/>
    </row>
    <row r="121" spans="1:20" ht="30" customHeight="1">
      <c r="A121" s="4">
        <v>117</v>
      </c>
      <c r="B121" s="4" t="s">
        <v>49</v>
      </c>
      <c r="C121" s="4" t="s">
        <v>478</v>
      </c>
      <c r="D121" s="4"/>
      <c r="E121" s="4" t="s">
        <v>72</v>
      </c>
      <c r="F121" s="6"/>
      <c r="G121" s="6" t="s">
        <v>491</v>
      </c>
      <c r="H121" s="7" t="inlineStr">
        <is>
          <t xml:space="preserve">SH-FM-WI001-04</t>
        </is>
      </c>
      <c r="I121" s="4"/>
      <c r="J121" s="4" t="s">
        <v>18</v>
      </c>
      <c r="K121" s="4" t="s">
        <v>90</v>
      </c>
      <c r="L121" s="7" t="inlineStr">
        <is>
          <t xml:space="preserve">기존 절차 연계</t>
        </is>
      </c>
      <c r="M121" s="6" t="inlineStr">
        <is>
          <t xml:space="preserve">SH-WI-001(생산 작업준비 및 초품확인 표준)  [확정 2026-09-22: 기존 추정 SH-WI-008(ratio=0.00) 대비 대안 채택(ratio=0.80) — 품질경영담당 일괄판단, 부서 정식회신 생략]</t>
        </is>
      </c>
      <c r="N121" s="4" t="s">
        <v>29</v>
      </c>
      <c r="O121" s="4"/>
      <c r="P121" s="6" t="inlineStr">
        <is>
          <t xml:space="preserve">※재판정(본문대조) 확정(2026-09-22, 품질경영담당 일괄판단 — 부서 정식회신 없이 처리): 관련 기존 문서란 참고 | FM번호 재부여(2026-09-22, 확정 연계절차 기준): SH-FM-WI008-06 → SH-FM-WI001-04</t>
        </is>
      </c>
      <c r="Q121" s="4" t="inlineStr">
        <is>
          <t xml:space="preserve">대안 채택</t>
        </is>
      </c>
      <c r="R121" s="4" t="inlineStr">
        <is>
          <t xml:space="preserve">SH-WI-001(생산 작업준비 및 초품확인 표준)</t>
        </is>
      </c>
      <c r="S121" s="4" t="inlineStr">
        <is>
          <t xml:space="preserve">박철호(품질경영 담당, 일괄확정)</t>
        </is>
      </c>
      <c r="T121" s="4" t="inlineStr">
        <is>
          <t xml:space="preserve">2026-09-22</t>
        </is>
      </c>
    </row>
    <row r="122" spans="1:20" ht="30" customHeight="1">
      <c r="A122" s="3">
        <v>118</v>
      </c>
      <c r="B122" s="3" t="s">
        <v>49</v>
      </c>
      <c r="C122" s="3" t="s">
        <v>478</v>
      </c>
      <c r="D122" s="3"/>
      <c r="E122" s="3" t="s">
        <v>72</v>
      </c>
      <c r="F122" s="8"/>
      <c r="G122" s="8" t="s">
        <v>494</v>
      </c>
      <c r="H122" s="7" t="s">
        <v>495</v>
      </c>
      <c r="I122" s="3"/>
      <c r="J122" s="3" t="s">
        <v>18</v>
      </c>
      <c r="K122" s="3" t="s">
        <v>90</v>
      </c>
      <c r="L122" s="7" t="s">
        <v>77</v>
      </c>
      <c r="M122" s="8" t="s">
        <v>428</v>
      </c>
      <c r="N122" s="3" t="s">
        <v>29</v>
      </c>
      <c r="O122" s="3"/>
      <c r="P122" s="8" t="s">
        <v>79</v>
      </c>
      <c r="Q122" s="3"/>
      <c r="R122" s="3"/>
      <c r="S122" s="3"/>
      <c r="T122" s="3"/>
    </row>
    <row r="123" spans="1:20" ht="30" customHeight="1">
      <c r="A123" s="4">
        <v>119</v>
      </c>
      <c r="B123" s="4" t="s">
        <v>49</v>
      </c>
      <c r="C123" s="4" t="s">
        <v>496</v>
      </c>
      <c r="D123" s="4">
        <v>30</v>
      </c>
      <c r="E123" s="4" t="s">
        <v>72</v>
      </c>
      <c r="F123" s="6" t="s">
        <v>497</v>
      </c>
      <c r="G123" s="6" t="s">
        <v>498</v>
      </c>
      <c r="H123" s="7" t="s">
        <v>499</v>
      </c>
      <c r="I123" s="4"/>
      <c r="J123" s="4" t="s">
        <v>18</v>
      </c>
      <c r="K123" s="4" t="s">
        <v>90</v>
      </c>
      <c r="L123" s="7" t="s">
        <v>77</v>
      </c>
      <c r="M123" s="6" t="s">
        <v>428</v>
      </c>
      <c r="N123" s="4" t="s">
        <v>29</v>
      </c>
      <c r="O123" s="4"/>
      <c r="P123" s="6" t="s">
        <v>79</v>
      </c>
      <c r="Q123" s="4"/>
      <c r="R123" s="4"/>
      <c r="S123" s="4"/>
      <c r="T123" s="4"/>
    </row>
    <row r="124" spans="1:20" ht="30" customHeight="1">
      <c r="A124" s="3">
        <v>120</v>
      </c>
      <c r="B124" s="3" t="s">
        <v>49</v>
      </c>
      <c r="C124" s="3" t="s">
        <v>496</v>
      </c>
      <c r="D124" s="3"/>
      <c r="E124" s="3" t="s">
        <v>72</v>
      </c>
      <c r="F124" s="8" t="s">
        <v>500</v>
      </c>
      <c r="G124" s="8" t="s">
        <v>501</v>
      </c>
      <c r="H124" s="7" t="s">
        <v>502</v>
      </c>
      <c r="I124" s="3"/>
      <c r="J124" s="3" t="s">
        <v>18</v>
      </c>
      <c r="K124" s="3" t="s">
        <v>90</v>
      </c>
      <c r="L124" s="7" t="s">
        <v>77</v>
      </c>
      <c r="M124" s="8" t="s">
        <v>503</v>
      </c>
      <c r="N124" s="3" t="s">
        <v>29</v>
      </c>
      <c r="O124" s="3"/>
      <c r="P124" s="8" t="s">
        <v>79</v>
      </c>
      <c r="Q124" s="3"/>
      <c r="R124" s="3"/>
      <c r="S124" s="3"/>
      <c r="T124" s="3"/>
    </row>
    <row r="125" spans="1:20" ht="30" customHeight="1">
      <c r="A125" s="4">
        <v>121</v>
      </c>
      <c r="B125" s="4" t="s">
        <v>49</v>
      </c>
      <c r="C125" s="4" t="s">
        <v>496</v>
      </c>
      <c r="D125" s="4"/>
      <c r="E125" s="4" t="s">
        <v>72</v>
      </c>
      <c r="F125" s="6" t="s">
        <v>504</v>
      </c>
      <c r="G125" s="6" t="s">
        <v>505</v>
      </c>
      <c r="H125" s="7" t="s">
        <v>506</v>
      </c>
      <c r="I125" s="4"/>
      <c r="J125" s="4" t="s">
        <v>18</v>
      </c>
      <c r="K125" s="4" t="s">
        <v>90</v>
      </c>
      <c r="L125" s="7" t="s">
        <v>77</v>
      </c>
      <c r="M125" s="6" t="s">
        <v>428</v>
      </c>
      <c r="N125" s="4" t="s">
        <v>29</v>
      </c>
      <c r="O125" s="4"/>
      <c r="P125" s="6" t="s">
        <v>79</v>
      </c>
      <c r="Q125" s="4"/>
      <c r="R125" s="4"/>
      <c r="S125" s="4"/>
      <c r="T125" s="4"/>
    </row>
    <row r="126" spans="1:20" ht="30" customHeight="1">
      <c r="A126" s="3">
        <v>122</v>
      </c>
      <c r="B126" s="3" t="s">
        <v>49</v>
      </c>
      <c r="C126" s="3" t="s">
        <v>496</v>
      </c>
      <c r="D126" s="3"/>
      <c r="E126" s="3" t="s">
        <v>72</v>
      </c>
      <c r="F126" s="8" t="s">
        <v>507</v>
      </c>
      <c r="G126" s="8" t="s">
        <v>508</v>
      </c>
      <c r="H126" s="7" t="s">
        <v>509</v>
      </c>
      <c r="I126" s="3"/>
      <c r="J126" s="3" t="s">
        <v>18</v>
      </c>
      <c r="K126" s="3" t="s">
        <v>90</v>
      </c>
      <c r="L126" s="7" t="s">
        <v>77</v>
      </c>
      <c r="M126" s="8" t="s">
        <v>428</v>
      </c>
      <c r="N126" s="3" t="s">
        <v>29</v>
      </c>
      <c r="O126" s="3"/>
      <c r="P126" s="8" t="s">
        <v>79</v>
      </c>
      <c r="Q126" s="3"/>
      <c r="R126" s="3"/>
      <c r="S126" s="3"/>
      <c r="T126" s="3"/>
    </row>
    <row r="127" spans="1:20" ht="30" customHeight="1">
      <c r="A127" s="4">
        <v>123</v>
      </c>
      <c r="B127" s="4" t="s">
        <v>49</v>
      </c>
      <c r="C127" s="4" t="s">
        <v>496</v>
      </c>
      <c r="D127" s="4"/>
      <c r="E127" s="4" t="s">
        <v>72</v>
      </c>
      <c r="F127" s="6" t="s">
        <v>510</v>
      </c>
      <c r="G127" s="6" t="s">
        <v>511</v>
      </c>
      <c r="H127" s="7" t="s">
        <v>512</v>
      </c>
      <c r="I127" s="4"/>
      <c r="J127" s="4" t="s">
        <v>18</v>
      </c>
      <c r="K127" s="4" t="s">
        <v>90</v>
      </c>
      <c r="L127" s="7" t="s">
        <v>77</v>
      </c>
      <c r="M127" s="6" t="s">
        <v>513</v>
      </c>
      <c r="N127" s="4" t="s">
        <v>29</v>
      </c>
      <c r="O127" s="4"/>
      <c r="P127" s="6" t="s">
        <v>79</v>
      </c>
      <c r="Q127" s="4"/>
      <c r="R127" s="4"/>
      <c r="S127" s="4"/>
      <c r="T127" s="4"/>
    </row>
    <row r="128" spans="1:20" ht="30" customHeight="1">
      <c r="A128" s="3">
        <v>124</v>
      </c>
      <c r="B128" s="3" t="s">
        <v>49</v>
      </c>
      <c r="C128" s="3" t="s">
        <v>514</v>
      </c>
      <c r="D128" s="3">
        <v>10</v>
      </c>
      <c r="E128" s="3" t="s">
        <v>122</v>
      </c>
      <c r="F128" s="8" t="s">
        <v>515</v>
      </c>
      <c r="G128" s="8" t="s">
        <v>516</v>
      </c>
      <c r="H128" s="7" t="inlineStr">
        <is>
          <t xml:space="preserve">SH-FM-QP023-01</t>
        </is>
      </c>
      <c r="I128" s="3"/>
      <c r="J128" s="3" t="s">
        <v>22</v>
      </c>
      <c r="K128" s="3" t="s">
        <v>373</v>
      </c>
      <c r="L128" s="7" t="inlineStr">
        <is>
          <t xml:space="preserve">기존 절차 연계</t>
        </is>
      </c>
      <c r="M128" s="8" t="inlineStr">
        <is>
          <t xml:space="preserve">SH-QP-023(통계적 공정관리(SPC) 절차서)  [확정 2026-09-22: 기존 추정 SH-WI-008(ratio=0.26) 대비 대안 채택(ratio=0.59) — 품질경영담당 일괄판단, 부서 정식회신 생략]</t>
        </is>
      </c>
      <c r="N128" s="3" t="s">
        <v>28</v>
      </c>
      <c r="O128" s="3"/>
      <c r="P128" s="8" t="inlineStr">
        <is>
          <t xml:space="preserve">※재판정(본문대조) 확정(2026-09-22, 품질경영담당 일괄판단 — 부서 정식회신 없이 처리): 관련 기존 문서란 참고 | FM번호 재부여(2026-09-22, 확정 연계절차 기준): SH-FM-WI008-12 → SH-FM-QP023-01</t>
        </is>
      </c>
      <c r="Q128" s="3" t="inlineStr">
        <is>
          <t xml:space="preserve">대안 채택</t>
        </is>
      </c>
      <c r="R128" s="3" t="inlineStr">
        <is>
          <t xml:space="preserve">SH-QP-023(통계적 공정관리(SPC) 절차서)</t>
        </is>
      </c>
      <c r="S128" s="3" t="inlineStr">
        <is>
          <t xml:space="preserve">박철호(품질경영 담당, 일괄확정)</t>
        </is>
      </c>
      <c r="T128" s="3" t="inlineStr">
        <is>
          <t xml:space="preserve">2026-09-22</t>
        </is>
      </c>
    </row>
    <row r="129" spans="1:20" ht="30" customHeight="1">
      <c r="A129" s="4">
        <v>125</v>
      </c>
      <c r="B129" s="4" t="s">
        <v>49</v>
      </c>
      <c r="C129" s="4" t="s">
        <v>514</v>
      </c>
      <c r="D129" s="4"/>
      <c r="E129" s="4" t="s">
        <v>122</v>
      </c>
      <c r="F129" s="6" t="s">
        <v>519</v>
      </c>
      <c r="G129" s="6" t="s">
        <v>520</v>
      </c>
      <c r="H129" s="7" t="s">
        <v>521</v>
      </c>
      <c r="I129" s="4"/>
      <c r="J129" s="4" t="s">
        <v>22</v>
      </c>
      <c r="K129" s="4" t="s">
        <v>373</v>
      </c>
      <c r="L129" s="7" t="s">
        <v>77</v>
      </c>
      <c r="M129" s="6" t="s">
        <v>522</v>
      </c>
      <c r="N129" s="4" t="s">
        <v>29</v>
      </c>
      <c r="O129" s="4"/>
      <c r="P129" s="6"/>
      <c r="Q129" s="4"/>
      <c r="R129" s="4"/>
      <c r="S129" s="4"/>
      <c r="T129" s="4"/>
    </row>
    <row r="130" spans="1:20" ht="30" customHeight="1">
      <c r="A130" s="3">
        <v>126</v>
      </c>
      <c r="B130" s="3" t="s">
        <v>49</v>
      </c>
      <c r="C130" s="3" t="s">
        <v>523</v>
      </c>
      <c r="D130" s="3">
        <v>10</v>
      </c>
      <c r="E130" s="3" t="s">
        <v>122</v>
      </c>
      <c r="F130" s="8" t="s">
        <v>524</v>
      </c>
      <c r="G130" s="8" t="s">
        <v>525</v>
      </c>
      <c r="H130" s="7" t="s">
        <v>526</v>
      </c>
      <c r="I130" s="3"/>
      <c r="J130" s="3" t="s">
        <v>18</v>
      </c>
      <c r="K130" s="3" t="s">
        <v>90</v>
      </c>
      <c r="L130" s="7" t="s">
        <v>77</v>
      </c>
      <c r="M130" s="8" t="s">
        <v>490</v>
      </c>
      <c r="N130" s="3" t="s">
        <v>30</v>
      </c>
      <c r="O130" s="3"/>
      <c r="P130" s="8" t="s">
        <v>79</v>
      </c>
      <c r="Q130" s="3"/>
      <c r="R130" s="3"/>
      <c r="S130" s="3"/>
      <c r="T130" s="3"/>
    </row>
    <row r="131" spans="1:20" ht="30" customHeight="1">
      <c r="A131" s="4">
        <v>127</v>
      </c>
      <c r="B131" s="4" t="s">
        <v>49</v>
      </c>
      <c r="C131" s="4" t="s">
        <v>523</v>
      </c>
      <c r="D131" s="4"/>
      <c r="E131" s="4" t="s">
        <v>122</v>
      </c>
      <c r="F131" s="6" t="s">
        <v>527</v>
      </c>
      <c r="G131" s="6" t="s">
        <v>528</v>
      </c>
      <c r="H131" s="7" t="inlineStr">
        <is>
          <t xml:space="preserve">SH-FM-WI017-02</t>
        </is>
      </c>
      <c r="I131" s="4"/>
      <c r="J131" s="4" t="s">
        <v>18</v>
      </c>
      <c r="K131" s="4" t="s">
        <v>90</v>
      </c>
      <c r="L131" s="7" t="inlineStr">
        <is>
          <t xml:space="preserve">기존 절차 연계</t>
        </is>
      </c>
      <c r="M131" s="6" t="inlineStr">
        <is>
          <t xml:space="preserve">SH-WI-017(청정도 및 이물관리 작업표준)  [확정 2026-09-22: 기존 추정 SH-QP-018(ratio=0.06) 대비 대안 채택(ratio=0.71) — 품질경영담당 일괄판단, 부서 정식회신 생략]</t>
        </is>
      </c>
      <c r="N131" s="4" t="s">
        <v>30</v>
      </c>
      <c r="O131" s="4"/>
      <c r="P131" s="6" t="inlineStr">
        <is>
          <t xml:space="preserve">※재판정(본문대조) 확정(2026-09-22, 품질경영담당 일괄판단 — 부서 정식회신 없이 처리): 관련 기존 문서란 참고 | FM번호 재부여(2026-09-22, 확정 연계절차 기준): SH-FM-QP018-03 → SH-FM-WI017-02</t>
        </is>
      </c>
      <c r="Q131" s="4" t="inlineStr">
        <is>
          <t xml:space="preserve">대안 채택</t>
        </is>
      </c>
      <c r="R131" s="4" t="inlineStr">
        <is>
          <t xml:space="preserve">SH-WI-017(청정도 및 이물관리 작업표준)</t>
        </is>
      </c>
      <c r="S131" s="4" t="inlineStr">
        <is>
          <t xml:space="preserve">박철호(품질경영 담당, 일괄확정)</t>
        </is>
      </c>
      <c r="T131" s="4" t="inlineStr">
        <is>
          <t xml:space="preserve">2026-09-22</t>
        </is>
      </c>
    </row>
    <row r="132" spans="1:20" ht="30" customHeight="1">
      <c r="A132" s="3">
        <v>128</v>
      </c>
      <c r="B132" s="3" t="s">
        <v>49</v>
      </c>
      <c r="C132" s="3" t="s">
        <v>523</v>
      </c>
      <c r="D132" s="3"/>
      <c r="E132" s="3" t="s">
        <v>122</v>
      </c>
      <c r="F132" s="8" t="s">
        <v>531</v>
      </c>
      <c r="G132" s="8" t="s">
        <v>532</v>
      </c>
      <c r="H132" s="7" t="inlineStr">
        <is>
          <t xml:space="preserve">SH-FM-WI017-03</t>
        </is>
      </c>
      <c r="I132" s="3"/>
      <c r="J132" s="3" t="s">
        <v>18</v>
      </c>
      <c r="K132" s="3" t="s">
        <v>90</v>
      </c>
      <c r="L132" s="7" t="inlineStr">
        <is>
          <t xml:space="preserve">기존 절차 연계</t>
        </is>
      </c>
      <c r="M132" s="8" t="inlineStr">
        <is>
          <t xml:space="preserve">SH-WI-017(청정도 및 이물관리 작업표준)  [확정 2026-09-22: 기존 추정 SH-WI-008(ratio=0.00) 대비 대안 채택(ratio=0.56) — 품질경영담당 일괄판단, 부서 정식회신 생략]</t>
        </is>
      </c>
      <c r="N132" s="3" t="s">
        <v>30</v>
      </c>
      <c r="O132" s="3"/>
      <c r="P132" s="8" t="inlineStr">
        <is>
          <t xml:space="preserve">※재판정(본문대조) 확정(2026-09-22, 품질경영담당 일괄판단 — 부서 정식회신 없이 처리): 관련 기존 문서란 참고 | FM번호 재부여(2026-09-22, 확정 연계절차 기준): SH-FM-WI008-15 → SH-FM-WI017-03</t>
        </is>
      </c>
      <c r="Q132" s="3" t="inlineStr">
        <is>
          <t xml:space="preserve">대안 채택</t>
        </is>
      </c>
      <c r="R132" s="3" t="inlineStr">
        <is>
          <t xml:space="preserve">SH-WI-017(청정도 및 이물관리 작업표준)</t>
        </is>
      </c>
      <c r="S132" s="3" t="inlineStr">
        <is>
          <t xml:space="preserve">박철호(품질경영 담당, 일괄확정)</t>
        </is>
      </c>
      <c r="T132" s="3" t="inlineStr">
        <is>
          <t xml:space="preserve">2026-09-22</t>
        </is>
      </c>
    </row>
    <row r="133" spans="1:20" ht="30" customHeight="1">
      <c r="A133" s="4">
        <v>129</v>
      </c>
      <c r="B133" s="4" t="s">
        <v>49</v>
      </c>
      <c r="C133" s="4" t="s">
        <v>535</v>
      </c>
      <c r="D133" s="4">
        <v>10</v>
      </c>
      <c r="E133" s="4" t="s">
        <v>122</v>
      </c>
      <c r="F133" s="6" t="s">
        <v>536</v>
      </c>
      <c r="G133" s="6" t="s">
        <v>537</v>
      </c>
      <c r="H133" s="7" t="s">
        <v>538</v>
      </c>
      <c r="I133" s="4"/>
      <c r="J133" s="4" t="s">
        <v>18</v>
      </c>
      <c r="K133" s="4" t="s">
        <v>539</v>
      </c>
      <c r="L133" s="7" t="s">
        <v>77</v>
      </c>
      <c r="M133" s="6" t="s">
        <v>428</v>
      </c>
      <c r="N133" s="4" t="s">
        <v>30</v>
      </c>
      <c r="O133" s="4"/>
      <c r="P133" s="6" t="s">
        <v>79</v>
      </c>
      <c r="Q133" s="4"/>
      <c r="R133" s="4"/>
      <c r="S133" s="4"/>
      <c r="T133" s="4"/>
    </row>
    <row r="134" spans="1:20" ht="30" customHeight="1">
      <c r="A134" s="3">
        <v>130</v>
      </c>
      <c r="B134" s="3" t="s">
        <v>49</v>
      </c>
      <c r="C134" s="3" t="s">
        <v>535</v>
      </c>
      <c r="D134" s="3"/>
      <c r="E134" s="3" t="s">
        <v>122</v>
      </c>
      <c r="F134" s="8"/>
      <c r="G134" s="8" t="s">
        <v>540</v>
      </c>
      <c r="H134" s="7" t="s">
        <v>541</v>
      </c>
      <c r="I134" s="3"/>
      <c r="J134" s="3" t="s">
        <v>18</v>
      </c>
      <c r="K134" s="3" t="s">
        <v>539</v>
      </c>
      <c r="L134" s="7" t="s">
        <v>77</v>
      </c>
      <c r="M134" s="8" t="s">
        <v>428</v>
      </c>
      <c r="N134" s="3" t="s">
        <v>30</v>
      </c>
      <c r="O134" s="3"/>
      <c r="P134" s="8" t="s">
        <v>79</v>
      </c>
      <c r="Q134" s="3"/>
      <c r="R134" s="3"/>
      <c r="S134" s="3"/>
      <c r="T134" s="3"/>
    </row>
    <row r="135" spans="1:20" ht="30" customHeight="1">
      <c r="A135" s="4">
        <v>131</v>
      </c>
      <c r="B135" s="4" t="s">
        <v>49</v>
      </c>
      <c r="C135" s="4" t="s">
        <v>535</v>
      </c>
      <c r="D135" s="4"/>
      <c r="E135" s="4" t="s">
        <v>122</v>
      </c>
      <c r="F135" s="6"/>
      <c r="G135" s="6" t="s">
        <v>542</v>
      </c>
      <c r="H135" s="7" t="s">
        <v>543</v>
      </c>
      <c r="I135" s="4"/>
      <c r="J135" s="4" t="s">
        <v>18</v>
      </c>
      <c r="K135" s="4" t="s">
        <v>539</v>
      </c>
      <c r="L135" s="7" t="s">
        <v>77</v>
      </c>
      <c r="M135" s="6" t="s">
        <v>428</v>
      </c>
      <c r="N135" s="4" t="s">
        <v>30</v>
      </c>
      <c r="O135" s="4"/>
      <c r="P135" s="6" t="s">
        <v>79</v>
      </c>
      <c r="Q135" s="4"/>
      <c r="R135" s="4"/>
      <c r="S135" s="4"/>
      <c r="T135" s="4"/>
    </row>
    <row r="136" spans="1:20" ht="30" customHeight="1">
      <c r="A136" s="3">
        <v>132</v>
      </c>
      <c r="B136" s="3" t="s">
        <v>50</v>
      </c>
      <c r="C136" s="3" t="s">
        <v>544</v>
      </c>
      <c r="D136" s="3">
        <v>30</v>
      </c>
      <c r="E136" s="3" t="s">
        <v>72</v>
      </c>
      <c r="F136" s="8" t="s">
        <v>545</v>
      </c>
      <c r="G136" s="8" t="s">
        <v>546</v>
      </c>
      <c r="H136" s="7" t="inlineStr">
        <is>
          <t xml:space="preserve">SH-FM-QP018-10</t>
        </is>
      </c>
      <c r="I136" s="3" t="s">
        <v>548</v>
      </c>
      <c r="J136" s="3" t="s">
        <v>20</v>
      </c>
      <c r="K136" s="3" t="s">
        <v>231</v>
      </c>
      <c r="L136" s="7" t="inlineStr">
        <is>
          <t xml:space="preserve">기존 절차 연계</t>
        </is>
      </c>
      <c r="M136" s="8" t="inlineStr">
        <is>
          <t xml:space="preserve">SH-QP-018(식별 및 추적성 관리 절차서)  [확정 2026-09-22: 기존 추정 SH-WI-009(ratio=0.34) 대비 대안 채택(ratio=0.87) — 품질경영담당 일괄판단, 부서 정식회신 생략]</t>
        </is>
      </c>
      <c r="N136" s="3" t="s">
        <v>29</v>
      </c>
      <c r="O136" s="3"/>
      <c r="P136" s="8" t="inlineStr">
        <is>
          <t xml:space="preserve">※재판정(본문대조) 확정(2026-09-22, 품질경영담당 일괄판단 — 부서 정식회신 없이 처리): 관련 기존 문서란 참고 | FM번호 재부여(2026-09-22, 확정 연계절차 기준): SH-FM-WI009-02 → SH-FM-QP018-10</t>
        </is>
      </c>
      <c r="Q136" s="3" t="inlineStr">
        <is>
          <t xml:space="preserve">대안 채택</t>
        </is>
      </c>
      <c r="R136" s="3" t="inlineStr">
        <is>
          <t xml:space="preserve">SH-QP-018(식별 및 추적성 관리 절차서)</t>
        </is>
      </c>
      <c r="S136" s="3" t="inlineStr">
        <is>
          <t xml:space="preserve">박철호(품질경영 담당, 일괄확정)</t>
        </is>
      </c>
      <c r="T136" s="3" t="inlineStr">
        <is>
          <t xml:space="preserve">2026-09-22</t>
        </is>
      </c>
    </row>
    <row r="137" spans="1:20" ht="30" customHeight="1">
      <c r="A137" s="4">
        <v>133</v>
      </c>
      <c r="B137" s="4" t="s">
        <v>50</v>
      </c>
      <c r="C137" s="4" t="s">
        <v>544</v>
      </c>
      <c r="D137" s="4"/>
      <c r="E137" s="4" t="s">
        <v>72</v>
      </c>
      <c r="F137" s="6" t="s">
        <v>550</v>
      </c>
      <c r="G137" s="6" t="s">
        <v>171</v>
      </c>
      <c r="H137" s="7" t="s">
        <v>551</v>
      </c>
      <c r="I137" s="4" t="s">
        <v>552</v>
      </c>
      <c r="J137" s="4" t="s">
        <v>18</v>
      </c>
      <c r="K137" s="4" t="s">
        <v>90</v>
      </c>
      <c r="L137" s="10" t="s">
        <v>134</v>
      </c>
      <c r="M137" s="6"/>
      <c r="N137" s="4" t="s">
        <v>27</v>
      </c>
      <c r="O137" s="4"/>
      <c r="P137" s="6"/>
      <c r="Q137" s="4"/>
      <c r="R137" s="4"/>
      <c r="S137" s="4"/>
      <c r="T137" s="4"/>
    </row>
    <row r="138" spans="1:20" ht="30" customHeight="1">
      <c r="A138" s="3">
        <v>134</v>
      </c>
      <c r="B138" s="3" t="s">
        <v>50</v>
      </c>
      <c r="C138" s="3" t="s">
        <v>544</v>
      </c>
      <c r="D138" s="3"/>
      <c r="E138" s="3" t="s">
        <v>72</v>
      </c>
      <c r="F138" s="8" t="s">
        <v>553</v>
      </c>
      <c r="G138" s="8" t="s">
        <v>554</v>
      </c>
      <c r="H138" s="7" t="s">
        <v>555</v>
      </c>
      <c r="I138" s="3" t="s">
        <v>556</v>
      </c>
      <c r="J138" s="3" t="s">
        <v>18</v>
      </c>
      <c r="K138" s="3" t="s">
        <v>90</v>
      </c>
      <c r="L138" s="7" t="s">
        <v>77</v>
      </c>
      <c r="M138" s="8" t="s">
        <v>557</v>
      </c>
      <c r="N138" s="3" t="s">
        <v>29</v>
      </c>
      <c r="O138" s="3"/>
      <c r="P138" s="8" t="s">
        <v>79</v>
      </c>
      <c r="Q138" s="3"/>
      <c r="R138" s="3"/>
      <c r="S138" s="3"/>
      <c r="T138" s="3"/>
    </row>
    <row r="139" spans="1:20" ht="30" customHeight="1">
      <c r="A139" s="4">
        <v>135</v>
      </c>
      <c r="B139" s="4" t="s">
        <v>50</v>
      </c>
      <c r="C139" s="4" t="s">
        <v>544</v>
      </c>
      <c r="D139" s="4"/>
      <c r="E139" s="4" t="s">
        <v>72</v>
      </c>
      <c r="F139" s="6" t="s">
        <v>558</v>
      </c>
      <c r="G139" s="6" t="s">
        <v>171</v>
      </c>
      <c r="H139" s="7" t="s">
        <v>559</v>
      </c>
      <c r="I139" s="4" t="s">
        <v>560</v>
      </c>
      <c r="J139" s="4" t="s">
        <v>18</v>
      </c>
      <c r="K139" s="4" t="s">
        <v>90</v>
      </c>
      <c r="L139" s="10" t="s">
        <v>134</v>
      </c>
      <c r="M139" s="6"/>
      <c r="N139" s="4" t="s">
        <v>27</v>
      </c>
      <c r="O139" s="4"/>
      <c r="P139" s="6"/>
      <c r="Q139" s="4"/>
      <c r="R139" s="4"/>
      <c r="S139" s="4"/>
      <c r="T139" s="4"/>
    </row>
    <row r="140" spans="1:20" ht="30" customHeight="1">
      <c r="A140" s="3">
        <v>136</v>
      </c>
      <c r="B140" s="3" t="s">
        <v>50</v>
      </c>
      <c r="C140" s="3" t="s">
        <v>544</v>
      </c>
      <c r="D140" s="3"/>
      <c r="E140" s="3" t="s">
        <v>72</v>
      </c>
      <c r="F140" s="8" t="s">
        <v>561</v>
      </c>
      <c r="G140" s="8" t="s">
        <v>554</v>
      </c>
      <c r="H140" s="7" t="s">
        <v>562</v>
      </c>
      <c r="I140" s="3" t="s">
        <v>556</v>
      </c>
      <c r="J140" s="3" t="s">
        <v>18</v>
      </c>
      <c r="K140" s="3" t="s">
        <v>90</v>
      </c>
      <c r="L140" s="10" t="s">
        <v>134</v>
      </c>
      <c r="M140" s="8"/>
      <c r="N140" s="3" t="s">
        <v>27</v>
      </c>
      <c r="O140" s="3"/>
      <c r="P140" s="8"/>
      <c r="Q140" s="3"/>
      <c r="R140" s="3"/>
      <c r="S140" s="3"/>
      <c r="T140" s="3"/>
    </row>
    <row r="141" spans="1:20" ht="30" customHeight="1">
      <c r="A141" s="4">
        <v>137</v>
      </c>
      <c r="B141" s="4" t="s">
        <v>50</v>
      </c>
      <c r="C141" s="4" t="s">
        <v>544</v>
      </c>
      <c r="D141" s="4"/>
      <c r="E141" s="4" t="s">
        <v>72</v>
      </c>
      <c r="F141" s="6" t="s">
        <v>563</v>
      </c>
      <c r="G141" s="6" t="s">
        <v>564</v>
      </c>
      <c r="H141" s="7" t="s">
        <v>565</v>
      </c>
      <c r="I141" s="4" t="s">
        <v>560</v>
      </c>
      <c r="J141" s="4" t="s">
        <v>20</v>
      </c>
      <c r="K141" s="4" t="s">
        <v>231</v>
      </c>
      <c r="L141" s="10" t="s">
        <v>134</v>
      </c>
      <c r="M141" s="6"/>
      <c r="N141" s="4" t="s">
        <v>28</v>
      </c>
      <c r="O141" s="4"/>
      <c r="P141" s="6"/>
      <c r="Q141" s="4"/>
      <c r="R141" s="4"/>
      <c r="S141" s="4"/>
      <c r="T141" s="4"/>
    </row>
    <row r="142" spans="1:20" ht="30" customHeight="1">
      <c r="A142" s="3">
        <v>138</v>
      </c>
      <c r="B142" s="3" t="s">
        <v>50</v>
      </c>
      <c r="C142" s="3" t="s">
        <v>544</v>
      </c>
      <c r="D142" s="3"/>
      <c r="E142" s="3" t="s">
        <v>72</v>
      </c>
      <c r="F142" s="8" t="s">
        <v>566</v>
      </c>
      <c r="G142" s="8" t="s">
        <v>567</v>
      </c>
      <c r="H142" s="7" t="s">
        <v>568</v>
      </c>
      <c r="I142" s="3" t="s">
        <v>556</v>
      </c>
      <c r="J142" s="3" t="s">
        <v>20</v>
      </c>
      <c r="K142" s="3" t="s">
        <v>231</v>
      </c>
      <c r="L142" s="10" t="s">
        <v>134</v>
      </c>
      <c r="M142" s="8"/>
      <c r="N142" s="3" t="s">
        <v>28</v>
      </c>
      <c r="O142" s="3"/>
      <c r="P142" s="8"/>
      <c r="Q142" s="3"/>
      <c r="R142" s="3"/>
      <c r="S142" s="3"/>
      <c r="T142" s="3"/>
    </row>
    <row r="143" spans="1:20" ht="30" customHeight="1">
      <c r="A143" s="4">
        <v>139</v>
      </c>
      <c r="B143" s="4" t="s">
        <v>50</v>
      </c>
      <c r="C143" s="4" t="s">
        <v>544</v>
      </c>
      <c r="D143" s="4"/>
      <c r="E143" s="4" t="s">
        <v>72</v>
      </c>
      <c r="F143" s="6" t="s">
        <v>569</v>
      </c>
      <c r="G143" s="6" t="s">
        <v>570</v>
      </c>
      <c r="H143" s="7" t="s">
        <v>571</v>
      </c>
      <c r="I143" s="4" t="s">
        <v>572</v>
      </c>
      <c r="J143" s="4" t="s">
        <v>18</v>
      </c>
      <c r="K143" s="4" t="s">
        <v>90</v>
      </c>
      <c r="L143" s="7" t="s">
        <v>77</v>
      </c>
      <c r="M143" s="6" t="s">
        <v>573</v>
      </c>
      <c r="N143" s="4" t="s">
        <v>29</v>
      </c>
      <c r="O143" s="4"/>
      <c r="P143" s="6" t="s">
        <v>79</v>
      </c>
      <c r="Q143" s="4"/>
      <c r="R143" s="4"/>
      <c r="S143" s="4"/>
      <c r="T143" s="4"/>
    </row>
    <row r="144" spans="1:20" ht="30" customHeight="1">
      <c r="A144" s="3">
        <v>140</v>
      </c>
      <c r="B144" s="3" t="s">
        <v>50</v>
      </c>
      <c r="C144" s="3" t="s">
        <v>544</v>
      </c>
      <c r="D144" s="3"/>
      <c r="E144" s="3" t="s">
        <v>72</v>
      </c>
      <c r="F144" s="8"/>
      <c r="G144" s="8" t="s">
        <v>574</v>
      </c>
      <c r="H144" s="7" t="inlineStr">
        <is>
          <t xml:space="preserve">SH-FM-WI001-05</t>
        </is>
      </c>
      <c r="I144" s="3"/>
      <c r="J144" s="3" t="s">
        <v>18</v>
      </c>
      <c r="K144" s="3" t="s">
        <v>90</v>
      </c>
      <c r="L144" s="7" t="inlineStr">
        <is>
          <t xml:space="preserve">기존 절차 연계</t>
        </is>
      </c>
      <c r="M144" s="8" t="inlineStr">
        <is>
          <t xml:space="preserve">SH-WI-001(생산 작업준비 및 초품확인 표준)  [확정 2026-09-22: 기존 추정 SH-QP-018(ratio=0.06) 대비 대안 채택(ratio=0.71) — 품질경영담당 일괄판단, 부서 정식회신 생략]</t>
        </is>
      </c>
      <c r="N144" s="3" t="s">
        <v>29</v>
      </c>
      <c r="O144" s="3"/>
      <c r="P144" s="8" t="inlineStr">
        <is>
          <t xml:space="preserve">※재판정(본문대조) 확정(2026-09-22, 품질경영담당 일괄판단 — 부서 정식회신 없이 처리): 관련 기존 문서란 참고 | FM번호 재부여(2026-09-22, 확정 연계절차 기준): SH-FM-QP018-05 → SH-FM-WI001-05</t>
        </is>
      </c>
      <c r="Q144" s="3" t="inlineStr">
        <is>
          <t xml:space="preserve">대안 채택</t>
        </is>
      </c>
      <c r="R144" s="3" t="inlineStr">
        <is>
          <t xml:space="preserve">SH-WI-001(생산 작업준비 및 초품확인 표준)</t>
        </is>
      </c>
      <c r="S144" s="3" t="inlineStr">
        <is>
          <t xml:space="preserve">박철호(품질경영 담당, 일괄확정)</t>
        </is>
      </c>
      <c r="T144" s="3" t="inlineStr">
        <is>
          <t xml:space="preserve">2026-09-22</t>
        </is>
      </c>
    </row>
    <row r="145" spans="1:20" ht="30" customHeight="1">
      <c r="A145" s="4">
        <v>141</v>
      </c>
      <c r="B145" s="4" t="s">
        <v>50</v>
      </c>
      <c r="C145" s="4" t="s">
        <v>577</v>
      </c>
      <c r="D145" s="4">
        <v>20</v>
      </c>
      <c r="E145" s="4" t="s">
        <v>72</v>
      </c>
      <c r="F145" s="6" t="s">
        <v>578</v>
      </c>
      <c r="G145" s="6" t="s">
        <v>579</v>
      </c>
      <c r="H145" s="7" t="s">
        <v>580</v>
      </c>
      <c r="I145" s="4"/>
      <c r="J145" s="4" t="s">
        <v>20</v>
      </c>
      <c r="K145" s="4" t="s">
        <v>231</v>
      </c>
      <c r="L145" s="7" t="s">
        <v>77</v>
      </c>
      <c r="M145" s="6" t="s">
        <v>581</v>
      </c>
      <c r="N145" s="4" t="s">
        <v>29</v>
      </c>
      <c r="O145" s="4"/>
      <c r="P145" s="6"/>
      <c r="Q145" s="4"/>
      <c r="R145" s="4"/>
      <c r="S145" s="4"/>
      <c r="T145" s="4"/>
    </row>
    <row r="146" spans="1:20" ht="30" customHeight="1">
      <c r="A146" s="3">
        <v>142</v>
      </c>
      <c r="B146" s="3" t="s">
        <v>50</v>
      </c>
      <c r="C146" s="3" t="s">
        <v>577</v>
      </c>
      <c r="D146" s="3"/>
      <c r="E146" s="3" t="s">
        <v>72</v>
      </c>
      <c r="F146" s="8" t="s">
        <v>582</v>
      </c>
      <c r="G146" s="8" t="s">
        <v>583</v>
      </c>
      <c r="H146" s="7" t="s">
        <v>584</v>
      </c>
      <c r="I146" s="3"/>
      <c r="J146" s="3" t="s">
        <v>20</v>
      </c>
      <c r="K146" s="3" t="s">
        <v>231</v>
      </c>
      <c r="L146" s="7" t="s">
        <v>77</v>
      </c>
      <c r="M146" s="8" t="s">
        <v>585</v>
      </c>
      <c r="N146" s="3" t="s">
        <v>29</v>
      </c>
      <c r="O146" s="3"/>
      <c r="P146" s="8" t="s">
        <v>79</v>
      </c>
      <c r="Q146" s="3"/>
      <c r="R146" s="3"/>
      <c r="S146" s="3"/>
      <c r="T146" s="3"/>
    </row>
    <row r="147" spans="1:20" ht="30" customHeight="1">
      <c r="A147" s="4">
        <v>143</v>
      </c>
      <c r="B147" s="4" t="s">
        <v>50</v>
      </c>
      <c r="C147" s="4" t="s">
        <v>577</v>
      </c>
      <c r="D147" s="4"/>
      <c r="E147" s="4" t="s">
        <v>72</v>
      </c>
      <c r="F147" s="6" t="s">
        <v>586</v>
      </c>
      <c r="G147" s="6" t="s">
        <v>587</v>
      </c>
      <c r="H147" s="7" t="s">
        <v>588</v>
      </c>
      <c r="I147" s="4"/>
      <c r="J147" s="4" t="s">
        <v>20</v>
      </c>
      <c r="K147" s="4" t="s">
        <v>231</v>
      </c>
      <c r="L147" s="7" t="s">
        <v>77</v>
      </c>
      <c r="M147" s="6" t="s">
        <v>589</v>
      </c>
      <c r="N147" s="4" t="s">
        <v>29</v>
      </c>
      <c r="O147" s="4"/>
      <c r="P147" s="6" t="s">
        <v>79</v>
      </c>
      <c r="Q147" s="4"/>
      <c r="R147" s="4"/>
      <c r="S147" s="4"/>
      <c r="T147" s="4"/>
    </row>
    <row r="148" spans="1:20" ht="30" customHeight="1">
      <c r="A148" s="3">
        <v>144</v>
      </c>
      <c r="B148" s="3" t="s">
        <v>50</v>
      </c>
      <c r="C148" s="3" t="s">
        <v>577</v>
      </c>
      <c r="D148" s="3"/>
      <c r="E148" s="3" t="s">
        <v>72</v>
      </c>
      <c r="F148" s="8" t="s">
        <v>590</v>
      </c>
      <c r="G148" s="8" t="s">
        <v>591</v>
      </c>
      <c r="H148" s="7" t="s">
        <v>592</v>
      </c>
      <c r="I148" s="3"/>
      <c r="J148" s="3" t="s">
        <v>20</v>
      </c>
      <c r="K148" s="3" t="s">
        <v>231</v>
      </c>
      <c r="L148" s="10" t="s">
        <v>134</v>
      </c>
      <c r="M148" s="8"/>
      <c r="N148" s="3" t="s">
        <v>28</v>
      </c>
      <c r="O148" s="3"/>
      <c r="P148" s="8"/>
      <c r="Q148" s="3"/>
      <c r="R148" s="3"/>
      <c r="S148" s="3"/>
      <c r="T148" s="3"/>
    </row>
    <row r="149" spans="1:20" ht="30" customHeight="1">
      <c r="A149" s="4">
        <v>145</v>
      </c>
      <c r="B149" s="4" t="s">
        <v>50</v>
      </c>
      <c r="C149" s="4" t="s">
        <v>577</v>
      </c>
      <c r="D149" s="4"/>
      <c r="E149" s="4" t="s">
        <v>72</v>
      </c>
      <c r="F149" s="6" t="s">
        <v>593</v>
      </c>
      <c r="G149" s="6" t="s">
        <v>594</v>
      </c>
      <c r="H149" s="7" t="s">
        <v>595</v>
      </c>
      <c r="I149" s="4"/>
      <c r="J149" s="4" t="s">
        <v>20</v>
      </c>
      <c r="K149" s="4" t="s">
        <v>231</v>
      </c>
      <c r="L149" s="10" t="s">
        <v>134</v>
      </c>
      <c r="M149" s="6"/>
      <c r="N149" s="4" t="s">
        <v>28</v>
      </c>
      <c r="O149" s="4"/>
      <c r="P149" s="6"/>
      <c r="Q149" s="4"/>
      <c r="R149" s="4"/>
      <c r="S149" s="4"/>
      <c r="T149" s="4"/>
    </row>
    <row r="150" spans="1:20" ht="30" customHeight="1">
      <c r="A150" s="3">
        <v>146</v>
      </c>
      <c r="B150" s="3" t="s">
        <v>50</v>
      </c>
      <c r="C150" s="3" t="s">
        <v>577</v>
      </c>
      <c r="D150" s="3"/>
      <c r="E150" s="3" t="s">
        <v>72</v>
      </c>
      <c r="F150" s="8" t="s">
        <v>596</v>
      </c>
      <c r="G150" s="8" t="s">
        <v>597</v>
      </c>
      <c r="H150" s="7" t="s">
        <v>598</v>
      </c>
      <c r="I150" s="3"/>
      <c r="J150" s="3" t="s">
        <v>20</v>
      </c>
      <c r="K150" s="3" t="s">
        <v>231</v>
      </c>
      <c r="L150" s="7" t="s">
        <v>77</v>
      </c>
      <c r="M150" s="8" t="s">
        <v>599</v>
      </c>
      <c r="N150" s="3" t="s">
        <v>29</v>
      </c>
      <c r="O150" s="3"/>
      <c r="P150" s="8"/>
      <c r="Q150" s="3"/>
      <c r="R150" s="3"/>
      <c r="S150" s="3"/>
      <c r="T150" s="3"/>
    </row>
    <row r="151" spans="1:20" ht="30" customHeight="1">
      <c r="A151" s="4">
        <v>147</v>
      </c>
      <c r="B151" s="4" t="s">
        <v>50</v>
      </c>
      <c r="C151" s="4" t="s">
        <v>577</v>
      </c>
      <c r="D151" s="4"/>
      <c r="E151" s="4" t="s">
        <v>72</v>
      </c>
      <c r="F151" s="6"/>
      <c r="G151" s="6" t="s">
        <v>600</v>
      </c>
      <c r="H151" s="7" t="s">
        <v>601</v>
      </c>
      <c r="I151" s="4"/>
      <c r="J151" s="4" t="s">
        <v>20</v>
      </c>
      <c r="K151" s="4" t="s">
        <v>231</v>
      </c>
      <c r="L151" s="7" t="s">
        <v>77</v>
      </c>
      <c r="M151" s="6" t="s">
        <v>602</v>
      </c>
      <c r="N151" s="4" t="s">
        <v>29</v>
      </c>
      <c r="O151" s="4"/>
      <c r="P151" s="6"/>
      <c r="Q151" s="4"/>
      <c r="R151" s="4"/>
      <c r="S151" s="4"/>
      <c r="T151" s="4"/>
    </row>
    <row r="152" spans="1:20" ht="30" customHeight="1">
      <c r="A152" s="3">
        <v>148</v>
      </c>
      <c r="B152" s="3" t="s">
        <v>50</v>
      </c>
      <c r="C152" s="3" t="s">
        <v>577</v>
      </c>
      <c r="D152" s="3"/>
      <c r="E152" s="3" t="s">
        <v>72</v>
      </c>
      <c r="F152" s="8"/>
      <c r="G152" s="8" t="s">
        <v>603</v>
      </c>
      <c r="H152" s="7" t="s">
        <v>604</v>
      </c>
      <c r="I152" s="3"/>
      <c r="J152" s="3" t="s">
        <v>20</v>
      </c>
      <c r="K152" s="3" t="s">
        <v>231</v>
      </c>
      <c r="L152" s="7" t="s">
        <v>77</v>
      </c>
      <c r="M152" s="8" t="s">
        <v>605</v>
      </c>
      <c r="N152" s="3" t="s">
        <v>30</v>
      </c>
      <c r="O152" s="3"/>
      <c r="P152" s="8"/>
      <c r="Q152" s="3"/>
      <c r="R152" s="3"/>
      <c r="S152" s="3"/>
      <c r="T152" s="3"/>
    </row>
    <row r="153" spans="1:20" ht="30" customHeight="1">
      <c r="A153" s="4">
        <v>149</v>
      </c>
      <c r="B153" s="4" t="s">
        <v>50</v>
      </c>
      <c r="C153" s="4" t="s">
        <v>577</v>
      </c>
      <c r="D153" s="4"/>
      <c r="E153" s="4" t="s">
        <v>72</v>
      </c>
      <c r="F153" s="6"/>
      <c r="G153" s="6" t="s">
        <v>606</v>
      </c>
      <c r="H153" s="7" t="s">
        <v>607</v>
      </c>
      <c r="I153" s="4"/>
      <c r="J153" s="4" t="s">
        <v>18</v>
      </c>
      <c r="K153" s="4" t="s">
        <v>90</v>
      </c>
      <c r="L153" s="10" t="s">
        <v>134</v>
      </c>
      <c r="M153" s="6"/>
      <c r="N153" s="4" t="s">
        <v>28</v>
      </c>
      <c r="O153" s="4"/>
      <c r="P153" s="6"/>
      <c r="Q153" s="4"/>
      <c r="R153" s="4"/>
      <c r="S153" s="4"/>
      <c r="T153" s="4"/>
    </row>
    <row r="154" spans="1:20" ht="30" customHeight="1">
      <c r="A154" s="3">
        <v>150</v>
      </c>
      <c r="B154" s="3" t="s">
        <v>50</v>
      </c>
      <c r="C154" s="3" t="s">
        <v>577</v>
      </c>
      <c r="D154" s="3"/>
      <c r="E154" s="3" t="s">
        <v>72</v>
      </c>
      <c r="F154" s="8"/>
      <c r="G154" s="8" t="s">
        <v>608</v>
      </c>
      <c r="H154" s="7" t="s">
        <v>609</v>
      </c>
      <c r="I154" s="3"/>
      <c r="J154" s="3" t="s">
        <v>18</v>
      </c>
      <c r="K154" s="3" t="s">
        <v>90</v>
      </c>
      <c r="L154" s="10" t="s">
        <v>134</v>
      </c>
      <c r="M154" s="8"/>
      <c r="N154" s="3" t="s">
        <v>28</v>
      </c>
      <c r="O154" s="3"/>
      <c r="P154" s="8"/>
      <c r="Q154" s="3"/>
      <c r="R154" s="3"/>
      <c r="S154" s="3"/>
      <c r="T154" s="3"/>
    </row>
    <row r="155" spans="1:20" ht="30" customHeight="1">
      <c r="A155" s="4">
        <v>151</v>
      </c>
      <c r="B155" s="4" t="s">
        <v>50</v>
      </c>
      <c r="C155" s="4" t="s">
        <v>577</v>
      </c>
      <c r="D155" s="4"/>
      <c r="E155" s="4" t="s">
        <v>72</v>
      </c>
      <c r="F155" s="6"/>
      <c r="G155" s="6" t="s">
        <v>554</v>
      </c>
      <c r="H155" s="7" t="s">
        <v>610</v>
      </c>
      <c r="I155" s="4"/>
      <c r="J155" s="4" t="s">
        <v>18</v>
      </c>
      <c r="K155" s="4" t="s">
        <v>90</v>
      </c>
      <c r="L155" s="10" t="s">
        <v>134</v>
      </c>
      <c r="M155" s="6"/>
      <c r="N155" s="4" t="s">
        <v>28</v>
      </c>
      <c r="O155" s="4"/>
      <c r="P155" s="6"/>
      <c r="Q155" s="4"/>
      <c r="R155" s="4"/>
      <c r="S155" s="4"/>
      <c r="T155" s="4"/>
    </row>
    <row r="156" spans="1:20" ht="30" customHeight="1">
      <c r="A156" s="3">
        <v>152</v>
      </c>
      <c r="B156" s="3" t="s">
        <v>50</v>
      </c>
      <c r="C156" s="3" t="s">
        <v>577</v>
      </c>
      <c r="D156" s="3"/>
      <c r="E156" s="3" t="s">
        <v>72</v>
      </c>
      <c r="F156" s="8"/>
      <c r="G156" s="8" t="s">
        <v>611</v>
      </c>
      <c r="H156" s="7" t="s">
        <v>612</v>
      </c>
      <c r="I156" s="3"/>
      <c r="J156" s="3" t="s">
        <v>20</v>
      </c>
      <c r="K156" s="3" t="s">
        <v>231</v>
      </c>
      <c r="L156" s="7" t="s">
        <v>77</v>
      </c>
      <c r="M156" s="8" t="s">
        <v>613</v>
      </c>
      <c r="N156" s="3" t="s">
        <v>30</v>
      </c>
      <c r="O156" s="3"/>
      <c r="P156" s="8" t="s">
        <v>79</v>
      </c>
      <c r="Q156" s="3"/>
      <c r="R156" s="3"/>
      <c r="S156" s="3"/>
      <c r="T156" s="3"/>
    </row>
    <row r="157" spans="1:20" ht="30" customHeight="1">
      <c r="A157" s="4">
        <v>153</v>
      </c>
      <c r="B157" s="4" t="s">
        <v>50</v>
      </c>
      <c r="C157" s="4" t="s">
        <v>577</v>
      </c>
      <c r="D157" s="4"/>
      <c r="E157" s="4" t="s">
        <v>72</v>
      </c>
      <c r="F157" s="6"/>
      <c r="G157" s="6" t="s">
        <v>614</v>
      </c>
      <c r="H157" s="7" t="s">
        <v>615</v>
      </c>
      <c r="I157" s="4"/>
      <c r="J157" s="4" t="s">
        <v>20</v>
      </c>
      <c r="K157" s="4" t="s">
        <v>231</v>
      </c>
      <c r="L157" s="10" t="s">
        <v>134</v>
      </c>
      <c r="M157" s="6"/>
      <c r="N157" s="4" t="s">
        <v>28</v>
      </c>
      <c r="O157" s="4"/>
      <c r="P157" s="6"/>
      <c r="Q157" s="4"/>
      <c r="R157" s="4"/>
      <c r="S157" s="4"/>
      <c r="T157" s="4"/>
    </row>
    <row r="158" spans="1:20" ht="30" customHeight="1">
      <c r="A158" s="3">
        <v>154</v>
      </c>
      <c r="B158" s="3" t="s">
        <v>50</v>
      </c>
      <c r="C158" s="3" t="s">
        <v>616</v>
      </c>
      <c r="D158" s="3">
        <v>20</v>
      </c>
      <c r="E158" s="3" t="s">
        <v>72</v>
      </c>
      <c r="F158" s="8" t="s">
        <v>617</v>
      </c>
      <c r="G158" s="8" t="s">
        <v>618</v>
      </c>
      <c r="H158" s="7" t="inlineStr">
        <is>
          <t xml:space="preserve">SH-FM-WI028-04</t>
        </is>
      </c>
      <c r="I158" s="3"/>
      <c r="J158" s="3" t="s">
        <v>20</v>
      </c>
      <c r="K158" s="3" t="s">
        <v>231</v>
      </c>
      <c r="L158" s="7" t="inlineStr">
        <is>
          <t xml:space="preserve">기존 절차 연계</t>
        </is>
      </c>
      <c r="M158" s="8" t="inlineStr">
        <is>
          <t xml:space="preserve">SH-WI-028(장기재고 및 유효기간 관리표준)  [확정 2026-09-22: 신규 발견 연계 채택(ratio=0.65) — 품질경영담당 일괄판단, 부서 정식회신 생략]</t>
        </is>
      </c>
      <c r="N158" s="3" t="s">
        <v>28</v>
      </c>
      <c r="O158" s="3"/>
      <c r="P158" s="8" t="inlineStr">
        <is>
          <t xml:space="preserve">※재판정(본문대조) 확정(2026-09-22, 품질경영담당 일괄판단 — 부서 정식회신 없이 처리): 관련 기존 문서란 참고 | FM번호 재부여(2026-09-22, 확정 연계절차 기준): SH-FM-MAT-N12 → SH-FM-WI028-04</t>
        </is>
      </c>
      <c r="Q158" s="3" t="inlineStr">
        <is>
          <t xml:space="preserve">대안 채택</t>
        </is>
      </c>
      <c r="R158" s="3" t="inlineStr">
        <is>
          <t xml:space="preserve">SH-WI-028(장기재고 및 유효기간 관리표준)</t>
        </is>
      </c>
      <c r="S158" s="3" t="inlineStr">
        <is>
          <t xml:space="preserve">박철호(품질경영 담당, 일괄확정)</t>
        </is>
      </c>
      <c r="T158" s="3" t="inlineStr">
        <is>
          <t xml:space="preserve">2026-09-22</t>
        </is>
      </c>
    </row>
    <row r="159" spans="1:20" ht="30" customHeight="1">
      <c r="A159" s="4">
        <v>155</v>
      </c>
      <c r="B159" s="4" t="s">
        <v>50</v>
      </c>
      <c r="C159" s="4" t="s">
        <v>616</v>
      </c>
      <c r="D159" s="4"/>
      <c r="E159" s="4" t="s">
        <v>72</v>
      </c>
      <c r="F159" s="6" t="s">
        <v>621</v>
      </c>
      <c r="G159" s="6" t="s">
        <v>594</v>
      </c>
      <c r="H159" s="7" t="s">
        <v>622</v>
      </c>
      <c r="I159" s="4"/>
      <c r="J159" s="4" t="s">
        <v>20</v>
      </c>
      <c r="K159" s="4" t="s">
        <v>231</v>
      </c>
      <c r="L159" s="10" t="s">
        <v>134</v>
      </c>
      <c r="M159" s="6"/>
      <c r="N159" s="4" t="s">
        <v>28</v>
      </c>
      <c r="O159" s="4"/>
      <c r="P159" s="6"/>
      <c r="Q159" s="4"/>
      <c r="R159" s="4"/>
      <c r="S159" s="4"/>
      <c r="T159" s="4"/>
    </row>
    <row r="160" spans="1:20" ht="30" customHeight="1">
      <c r="A160" s="3">
        <v>156</v>
      </c>
      <c r="B160" s="3" t="s">
        <v>50</v>
      </c>
      <c r="C160" s="3" t="s">
        <v>616</v>
      </c>
      <c r="D160" s="3"/>
      <c r="E160" s="3" t="s">
        <v>72</v>
      </c>
      <c r="F160" s="8" t="s">
        <v>623</v>
      </c>
      <c r="G160" s="8" t="s">
        <v>597</v>
      </c>
      <c r="H160" s="7" t="s">
        <v>624</v>
      </c>
      <c r="I160" s="3"/>
      <c r="J160" s="3" t="s">
        <v>20</v>
      </c>
      <c r="K160" s="3" t="s">
        <v>231</v>
      </c>
      <c r="L160" s="7" t="s">
        <v>77</v>
      </c>
      <c r="M160" s="8" t="s">
        <v>625</v>
      </c>
      <c r="N160" s="3" t="s">
        <v>30</v>
      </c>
      <c r="O160" s="3"/>
      <c r="P160" s="8" t="s">
        <v>79</v>
      </c>
      <c r="Q160" s="3"/>
      <c r="R160" s="3"/>
      <c r="S160" s="3"/>
      <c r="T160" s="3"/>
    </row>
    <row r="161" spans="1:20" ht="30" customHeight="1">
      <c r="A161" s="4">
        <v>157</v>
      </c>
      <c r="B161" s="4" t="s">
        <v>50</v>
      </c>
      <c r="C161" s="4" t="s">
        <v>616</v>
      </c>
      <c r="D161" s="4"/>
      <c r="E161" s="4" t="s">
        <v>72</v>
      </c>
      <c r="F161" s="6" t="s">
        <v>626</v>
      </c>
      <c r="G161" s="6" t="s">
        <v>603</v>
      </c>
      <c r="H161" s="7" t="s">
        <v>627</v>
      </c>
      <c r="I161" s="4"/>
      <c r="J161" s="4" t="s">
        <v>20</v>
      </c>
      <c r="K161" s="4" t="s">
        <v>231</v>
      </c>
      <c r="L161" s="7" t="s">
        <v>77</v>
      </c>
      <c r="M161" s="6" t="s">
        <v>628</v>
      </c>
      <c r="N161" s="4" t="s">
        <v>30</v>
      </c>
      <c r="O161" s="4"/>
      <c r="P161" s="6"/>
      <c r="Q161" s="4"/>
      <c r="R161" s="4"/>
      <c r="S161" s="4"/>
      <c r="T161" s="4"/>
    </row>
    <row r="162" spans="1:20" ht="30" customHeight="1">
      <c r="A162" s="3">
        <v>158</v>
      </c>
      <c r="B162" s="3" t="s">
        <v>50</v>
      </c>
      <c r="C162" s="3" t="s">
        <v>616</v>
      </c>
      <c r="D162" s="3"/>
      <c r="E162" s="3" t="s">
        <v>72</v>
      </c>
      <c r="F162" s="8"/>
      <c r="G162" s="8" t="s">
        <v>554</v>
      </c>
      <c r="H162" s="7" t="s">
        <v>629</v>
      </c>
      <c r="I162" s="3"/>
      <c r="J162" s="3" t="s">
        <v>18</v>
      </c>
      <c r="K162" s="3" t="s">
        <v>90</v>
      </c>
      <c r="L162" s="10" t="s">
        <v>134</v>
      </c>
      <c r="M162" s="8"/>
      <c r="N162" s="3" t="s">
        <v>28</v>
      </c>
      <c r="O162" s="3"/>
      <c r="P162" s="8"/>
      <c r="Q162" s="3"/>
      <c r="R162" s="3"/>
      <c r="S162" s="3"/>
      <c r="T162" s="3"/>
    </row>
    <row r="163" spans="1:20" ht="30" customHeight="1">
      <c r="A163" s="4">
        <v>159</v>
      </c>
      <c r="B163" s="4" t="s">
        <v>50</v>
      </c>
      <c r="C163" s="4" t="s">
        <v>630</v>
      </c>
      <c r="D163" s="4">
        <v>20</v>
      </c>
      <c r="E163" s="4" t="s">
        <v>72</v>
      </c>
      <c r="F163" s="6" t="s">
        <v>631</v>
      </c>
      <c r="G163" s="6" t="s">
        <v>632</v>
      </c>
      <c r="H163" s="7" t="s">
        <v>633</v>
      </c>
      <c r="I163" s="4" t="s">
        <v>89</v>
      </c>
      <c r="J163" s="4" t="s">
        <v>18</v>
      </c>
      <c r="K163" s="4" t="s">
        <v>90</v>
      </c>
      <c r="L163" s="10" t="s">
        <v>134</v>
      </c>
      <c r="M163" s="6"/>
      <c r="N163" s="4" t="s">
        <v>28</v>
      </c>
      <c r="O163" s="4"/>
      <c r="P163" s="6"/>
      <c r="Q163" s="4"/>
      <c r="R163" s="4"/>
      <c r="S163" s="4"/>
      <c r="T163" s="4"/>
    </row>
    <row r="164" spans="1:20" ht="30" customHeight="1">
      <c r="A164" s="3">
        <v>160</v>
      </c>
      <c r="B164" s="3" t="s">
        <v>50</v>
      </c>
      <c r="C164" s="3" t="s">
        <v>630</v>
      </c>
      <c r="D164" s="3"/>
      <c r="E164" s="3" t="s">
        <v>72</v>
      </c>
      <c r="F164" s="8" t="s">
        <v>634</v>
      </c>
      <c r="G164" s="8" t="s">
        <v>635</v>
      </c>
      <c r="H164" s="7" t="s">
        <v>636</v>
      </c>
      <c r="I164" s="3" t="s">
        <v>637</v>
      </c>
      <c r="J164" s="3" t="s">
        <v>18</v>
      </c>
      <c r="K164" s="3" t="s">
        <v>90</v>
      </c>
      <c r="L164" s="10" t="s">
        <v>134</v>
      </c>
      <c r="M164" s="8"/>
      <c r="N164" s="3" t="s">
        <v>28</v>
      </c>
      <c r="O164" s="3"/>
      <c r="P164" s="8"/>
      <c r="Q164" s="3"/>
      <c r="R164" s="3"/>
      <c r="S164" s="3"/>
      <c r="T164" s="3"/>
    </row>
    <row r="165" spans="1:20" ht="30" customHeight="1">
      <c r="A165" s="4">
        <v>161</v>
      </c>
      <c r="B165" s="4" t="s">
        <v>50</v>
      </c>
      <c r="C165" s="4" t="s">
        <v>630</v>
      </c>
      <c r="D165" s="4"/>
      <c r="E165" s="4" t="s">
        <v>72</v>
      </c>
      <c r="F165" s="6" t="s">
        <v>638</v>
      </c>
      <c r="G165" s="6" t="s">
        <v>639</v>
      </c>
      <c r="H165" s="7" t="s">
        <v>640</v>
      </c>
      <c r="I165" s="4" t="s">
        <v>641</v>
      </c>
      <c r="J165" s="4" t="s">
        <v>20</v>
      </c>
      <c r="K165" s="4" t="s">
        <v>231</v>
      </c>
      <c r="L165" s="7" t="s">
        <v>77</v>
      </c>
      <c r="M165" s="6" t="s">
        <v>642</v>
      </c>
      <c r="N165" s="4" t="s">
        <v>30</v>
      </c>
      <c r="O165" s="4"/>
      <c r="P165" s="6" t="s">
        <v>79</v>
      </c>
      <c r="Q165" s="4"/>
      <c r="R165" s="4"/>
      <c r="S165" s="4"/>
      <c r="T165" s="4"/>
    </row>
    <row r="166" spans="1:20" ht="30" customHeight="1">
      <c r="A166" s="3">
        <v>162</v>
      </c>
      <c r="B166" s="3" t="s">
        <v>50</v>
      </c>
      <c r="C166" s="3" t="s">
        <v>630</v>
      </c>
      <c r="D166" s="3"/>
      <c r="E166" s="3" t="s">
        <v>72</v>
      </c>
      <c r="F166" s="8" t="s">
        <v>643</v>
      </c>
      <c r="G166" s="8" t="s">
        <v>644</v>
      </c>
      <c r="H166" s="7" t="s">
        <v>645</v>
      </c>
      <c r="I166" s="3"/>
      <c r="J166" s="3" t="s">
        <v>20</v>
      </c>
      <c r="K166" s="3" t="s">
        <v>231</v>
      </c>
      <c r="L166" s="7" t="s">
        <v>77</v>
      </c>
      <c r="M166" s="8" t="s">
        <v>646</v>
      </c>
      <c r="N166" s="3" t="s">
        <v>30</v>
      </c>
      <c r="O166" s="3"/>
      <c r="P166" s="8" t="s">
        <v>79</v>
      </c>
      <c r="Q166" s="3"/>
      <c r="R166" s="3"/>
      <c r="S166" s="3"/>
      <c r="T166" s="3"/>
    </row>
    <row r="167" spans="1:20" ht="30" customHeight="1">
      <c r="A167" s="4">
        <v>163</v>
      </c>
      <c r="B167" s="4" t="s">
        <v>50</v>
      </c>
      <c r="C167" s="4" t="s">
        <v>630</v>
      </c>
      <c r="D167" s="4"/>
      <c r="E167" s="4" t="s">
        <v>72</v>
      </c>
      <c r="F167" s="6" t="s">
        <v>647</v>
      </c>
      <c r="G167" s="6" t="s">
        <v>648</v>
      </c>
      <c r="H167" s="7" t="s">
        <v>649</v>
      </c>
      <c r="I167" s="4"/>
      <c r="J167" s="4" t="s">
        <v>20</v>
      </c>
      <c r="K167" s="4" t="s">
        <v>231</v>
      </c>
      <c r="L167" s="7" t="s">
        <v>77</v>
      </c>
      <c r="M167" s="6" t="s">
        <v>650</v>
      </c>
      <c r="N167" s="4" t="s">
        <v>30</v>
      </c>
      <c r="O167" s="4"/>
      <c r="P167" s="6" t="s">
        <v>79</v>
      </c>
      <c r="Q167" s="4"/>
      <c r="R167" s="4"/>
      <c r="S167" s="4"/>
      <c r="T167" s="4"/>
    </row>
    <row r="168" spans="1:20" ht="30" customHeight="1">
      <c r="A168" s="3">
        <v>164</v>
      </c>
      <c r="B168" s="3" t="s">
        <v>50</v>
      </c>
      <c r="C168" s="3" t="s">
        <v>630</v>
      </c>
      <c r="D168" s="3"/>
      <c r="E168" s="3" t="s">
        <v>72</v>
      </c>
      <c r="F168" s="8" t="s">
        <v>651</v>
      </c>
      <c r="G168" s="8" t="s">
        <v>652</v>
      </c>
      <c r="H168" s="7" t="s">
        <v>653</v>
      </c>
      <c r="I168" s="3"/>
      <c r="J168" s="3" t="s">
        <v>20</v>
      </c>
      <c r="K168" s="3" t="s">
        <v>231</v>
      </c>
      <c r="L168" s="7" t="s">
        <v>77</v>
      </c>
      <c r="M168" s="8" t="s">
        <v>654</v>
      </c>
      <c r="N168" s="3" t="s">
        <v>30</v>
      </c>
      <c r="O168" s="3"/>
      <c r="P168" s="8" t="s">
        <v>79</v>
      </c>
      <c r="Q168" s="3"/>
      <c r="R168" s="3"/>
      <c r="S168" s="3"/>
      <c r="T168" s="3"/>
    </row>
    <row r="169" spans="1:20" ht="30" customHeight="1">
      <c r="A169" s="4">
        <v>165</v>
      </c>
      <c r="B169" s="4" t="s">
        <v>51</v>
      </c>
      <c r="C169" s="4" t="s">
        <v>655</v>
      </c>
      <c r="D169" s="4">
        <v>30</v>
      </c>
      <c r="E169" s="4" t="s">
        <v>72</v>
      </c>
      <c r="F169" s="6" t="s">
        <v>656</v>
      </c>
      <c r="G169" s="6" t="s">
        <v>657</v>
      </c>
      <c r="H169" s="7" t="inlineStr">
        <is>
          <t xml:space="preserve">SH-FM-QP004-01</t>
        </is>
      </c>
      <c r="I169" s="4"/>
      <c r="J169" s="4" t="s">
        <v>18</v>
      </c>
      <c r="K169" s="4" t="s">
        <v>90</v>
      </c>
      <c r="L169" s="7" t="inlineStr">
        <is>
          <t xml:space="preserve">기존 절차 연계</t>
        </is>
      </c>
      <c r="M169" s="6" t="inlineStr">
        <is>
          <t xml:space="preserve">SH-QP-004(리스크 및 기회관리 절차서)  [확정 2026-09-22: 신규 발견 연계 채택(ratio=0.59) — 품질경영담당 일괄판단, 부서 정식회신 생략]</t>
        </is>
      </c>
      <c r="N169" s="4" t="s">
        <v>27</v>
      </c>
      <c r="O169" s="4"/>
      <c r="P169" s="6" t="inlineStr">
        <is>
          <t xml:space="preserve">※재판정(본문대조) 확정(2026-09-22, 품질경영담당 일괄판단 — 부서 정식회신 없이 처리): 관련 기존 문서란 참고 | FM번호 재부여(2026-09-22, 확정 연계절차 기준): SH-FM-QMS-N01 → SH-FM-QP004-01</t>
        </is>
      </c>
      <c r="Q169" s="4" t="inlineStr">
        <is>
          <t xml:space="preserve">대안 채택</t>
        </is>
      </c>
      <c r="R169" s="4" t="inlineStr">
        <is>
          <t xml:space="preserve">SH-QP-004(리스크 및 기회관리 절차서)</t>
        </is>
      </c>
      <c r="S169" s="4" t="inlineStr">
        <is>
          <t xml:space="preserve">박철호(품질경영 담당, 일괄확정)</t>
        </is>
      </c>
      <c r="T169" s="4" t="inlineStr">
        <is>
          <t xml:space="preserve">2026-09-22</t>
        </is>
      </c>
    </row>
    <row r="170" spans="1:20" ht="30" customHeight="1">
      <c r="A170" s="3">
        <v>166</v>
      </c>
      <c r="B170" s="3" t="s">
        <v>51</v>
      </c>
      <c r="C170" s="3" t="s">
        <v>655</v>
      </c>
      <c r="D170" s="3"/>
      <c r="E170" s="3" t="s">
        <v>72</v>
      </c>
      <c r="F170" s="8" t="s">
        <v>660</v>
      </c>
      <c r="G170" s="8" t="s">
        <v>661</v>
      </c>
      <c r="H170" s="7" t="s">
        <v>662</v>
      </c>
      <c r="I170" s="3"/>
      <c r="J170" s="3" t="s">
        <v>18</v>
      </c>
      <c r="K170" s="3" t="s">
        <v>90</v>
      </c>
      <c r="L170" s="10" t="s">
        <v>134</v>
      </c>
      <c r="M170" s="8"/>
      <c r="N170" s="3" t="s">
        <v>27</v>
      </c>
      <c r="O170" s="3"/>
      <c r="P170" s="8"/>
      <c r="Q170" s="3"/>
      <c r="R170" s="3"/>
      <c r="S170" s="3"/>
      <c r="T170" s="3"/>
    </row>
    <row r="171" spans="1:20" ht="30" customHeight="1">
      <c r="A171" s="4">
        <v>167</v>
      </c>
      <c r="B171" s="4" t="s">
        <v>51</v>
      </c>
      <c r="C171" s="4" t="s">
        <v>655</v>
      </c>
      <c r="D171" s="4"/>
      <c r="E171" s="4" t="s">
        <v>72</v>
      </c>
      <c r="F171" s="6" t="s">
        <v>663</v>
      </c>
      <c r="G171" s="6" t="s">
        <v>664</v>
      </c>
      <c r="H171" s="7" t="s">
        <v>665</v>
      </c>
      <c r="I171" s="4"/>
      <c r="J171" s="4" t="s">
        <v>18</v>
      </c>
      <c r="K171" s="4" t="s">
        <v>90</v>
      </c>
      <c r="L171" s="10" t="s">
        <v>134</v>
      </c>
      <c r="M171" s="6"/>
      <c r="N171" s="4" t="s">
        <v>27</v>
      </c>
      <c r="O171" s="4"/>
      <c r="P171" s="6"/>
      <c r="Q171" s="4"/>
      <c r="R171" s="4"/>
      <c r="S171" s="4"/>
      <c r="T171" s="4"/>
    </row>
    <row r="172" spans="1:20" ht="30" customHeight="1">
      <c r="A172" s="3">
        <v>168</v>
      </c>
      <c r="B172" s="3" t="s">
        <v>51</v>
      </c>
      <c r="C172" s="3" t="s">
        <v>655</v>
      </c>
      <c r="D172" s="3"/>
      <c r="E172" s="3" t="s">
        <v>72</v>
      </c>
      <c r="F172" s="8" t="s">
        <v>666</v>
      </c>
      <c r="G172" s="8" t="s">
        <v>667</v>
      </c>
      <c r="H172" s="7" t="s">
        <v>668</v>
      </c>
      <c r="I172" s="3"/>
      <c r="J172" s="3" t="s">
        <v>18</v>
      </c>
      <c r="K172" s="3" t="s">
        <v>90</v>
      </c>
      <c r="L172" s="10" t="s">
        <v>134</v>
      </c>
      <c r="M172" s="8"/>
      <c r="N172" s="3" t="s">
        <v>27</v>
      </c>
      <c r="O172" s="3"/>
      <c r="P172" s="8"/>
      <c r="Q172" s="3"/>
      <c r="R172" s="3"/>
      <c r="S172" s="3"/>
      <c r="T172" s="3"/>
    </row>
    <row r="173" spans="1:20" ht="30" customHeight="1">
      <c r="A173" s="4">
        <v>169</v>
      </c>
      <c r="B173" s="4" t="s">
        <v>51</v>
      </c>
      <c r="C173" s="4" t="s">
        <v>655</v>
      </c>
      <c r="D173" s="4"/>
      <c r="E173" s="4" t="s">
        <v>72</v>
      </c>
      <c r="F173" s="6" t="s">
        <v>669</v>
      </c>
      <c r="G173" s="6" t="s">
        <v>670</v>
      </c>
      <c r="H173" s="7" t="s">
        <v>671</v>
      </c>
      <c r="I173" s="4"/>
      <c r="J173" s="4" t="s">
        <v>18</v>
      </c>
      <c r="K173" s="4" t="s">
        <v>90</v>
      </c>
      <c r="L173" s="10" t="s">
        <v>134</v>
      </c>
      <c r="M173" s="6"/>
      <c r="N173" s="4" t="s">
        <v>27</v>
      </c>
      <c r="O173" s="4"/>
      <c r="P173" s="6"/>
      <c r="Q173" s="4"/>
      <c r="R173" s="4"/>
      <c r="S173" s="4"/>
      <c r="T173" s="4"/>
    </row>
    <row r="174" spans="1:20" ht="30" customHeight="1">
      <c r="A174" s="3">
        <v>170</v>
      </c>
      <c r="B174" s="3" t="s">
        <v>51</v>
      </c>
      <c r="C174" s="3" t="s">
        <v>655</v>
      </c>
      <c r="D174" s="3"/>
      <c r="E174" s="3" t="s">
        <v>72</v>
      </c>
      <c r="F174" s="8" t="s">
        <v>672</v>
      </c>
      <c r="G174" s="8" t="s">
        <v>673</v>
      </c>
      <c r="H174" s="7" t="s">
        <v>674</v>
      </c>
      <c r="I174" s="3"/>
      <c r="J174" s="3" t="s">
        <v>18</v>
      </c>
      <c r="K174" s="3" t="s">
        <v>90</v>
      </c>
      <c r="L174" s="10" t="s">
        <v>134</v>
      </c>
      <c r="M174" s="8"/>
      <c r="N174" s="3" t="s">
        <v>28</v>
      </c>
      <c r="O174" s="3"/>
      <c r="P174" s="8"/>
      <c r="Q174" s="3"/>
      <c r="R174" s="3"/>
      <c r="S174" s="3"/>
      <c r="T174" s="3"/>
    </row>
    <row r="175" spans="1:20" ht="30" customHeight="1">
      <c r="A175" s="4">
        <v>171</v>
      </c>
      <c r="B175" s="4" t="s">
        <v>51</v>
      </c>
      <c r="C175" s="4" t="s">
        <v>655</v>
      </c>
      <c r="D175" s="4"/>
      <c r="E175" s="4" t="s">
        <v>72</v>
      </c>
      <c r="F175" s="6" t="s">
        <v>675</v>
      </c>
      <c r="G175" s="6" t="s">
        <v>676</v>
      </c>
      <c r="H175" s="7" t="s">
        <v>677</v>
      </c>
      <c r="I175" s="4"/>
      <c r="J175" s="4" t="s">
        <v>18</v>
      </c>
      <c r="K175" s="4" t="s">
        <v>90</v>
      </c>
      <c r="L175" s="10" t="s">
        <v>134</v>
      </c>
      <c r="M175" s="6"/>
      <c r="N175" s="4" t="s">
        <v>28</v>
      </c>
      <c r="O175" s="4"/>
      <c r="P175" s="6"/>
      <c r="Q175" s="4"/>
      <c r="R175" s="4"/>
      <c r="S175" s="4"/>
      <c r="T175" s="4"/>
    </row>
    <row r="176" spans="1:20" ht="30" customHeight="1">
      <c r="A176" s="3">
        <v>172</v>
      </c>
      <c r="B176" s="3" t="s">
        <v>51</v>
      </c>
      <c r="C176" s="3" t="s">
        <v>655</v>
      </c>
      <c r="D176" s="3"/>
      <c r="E176" s="3" t="s">
        <v>72</v>
      </c>
      <c r="F176" s="8" t="s">
        <v>678</v>
      </c>
      <c r="G176" s="8" t="s">
        <v>679</v>
      </c>
      <c r="H176" s="7" t="s">
        <v>680</v>
      </c>
      <c r="I176" s="3"/>
      <c r="J176" s="3" t="s">
        <v>18</v>
      </c>
      <c r="K176" s="3" t="s">
        <v>90</v>
      </c>
      <c r="L176" s="10" t="s">
        <v>134</v>
      </c>
      <c r="M176" s="8"/>
      <c r="N176" s="3" t="s">
        <v>28</v>
      </c>
      <c r="O176" s="3"/>
      <c r="P176" s="8"/>
      <c r="Q176" s="3"/>
      <c r="R176" s="3"/>
      <c r="S176" s="3"/>
      <c r="T176" s="3"/>
    </row>
    <row r="177" spans="1:20" ht="30" customHeight="1">
      <c r="A177" s="4">
        <v>173</v>
      </c>
      <c r="B177" s="4" t="s">
        <v>51</v>
      </c>
      <c r="C177" s="4" t="s">
        <v>655</v>
      </c>
      <c r="D177" s="4"/>
      <c r="E177" s="4" t="s">
        <v>72</v>
      </c>
      <c r="F177" s="6" t="s">
        <v>681</v>
      </c>
      <c r="G177" s="6" t="s">
        <v>682</v>
      </c>
      <c r="H177" s="7" t="inlineStr">
        <is>
          <t xml:space="preserve">SH-FM-WI016-04</t>
        </is>
      </c>
      <c r="I177" s="4"/>
      <c r="J177" s="4" t="s">
        <v>18</v>
      </c>
      <c r="K177" s="4" t="s">
        <v>90</v>
      </c>
      <c r="L177" s="7" t="inlineStr">
        <is>
          <t xml:space="preserve">기존 절차 연계</t>
        </is>
      </c>
      <c r="M177" s="6" t="inlineStr">
        <is>
          <t xml:space="preserve">SH-WI-016(예방보전 및 설비점검 작업표준)  [확정 2026-09-22: 신규 발견 연계 채택(ratio=0.74) — 품질경영담당 일괄판단, 부서 정식회신 생략]</t>
        </is>
      </c>
      <c r="N177" s="4" t="s">
        <v>28</v>
      </c>
      <c r="O177" s="4"/>
      <c r="P177" s="6" t="inlineStr">
        <is>
          <t xml:space="preserve">※재판정(본문대조) 확정(2026-09-22, 품질경영담당 일괄판단 — 부서 정식회신 없이 처리): 관련 기존 문서란 참고 | FM번호 재부여(2026-09-22, 확정 연계절차 기준): SH-FM-QMS-N09 → SH-FM-WI016-04</t>
        </is>
      </c>
      <c r="Q177" s="4" t="inlineStr">
        <is>
          <t xml:space="preserve">대안 채택</t>
        </is>
      </c>
      <c r="R177" s="4" t="inlineStr">
        <is>
          <t xml:space="preserve">SH-WI-016(예방보전 및 설비점검 작업표준)</t>
        </is>
      </c>
      <c r="S177" s="4" t="inlineStr">
        <is>
          <t xml:space="preserve">박철호(품질경영 담당, 일괄확정)</t>
        </is>
      </c>
      <c r="T177" s="4" t="inlineStr">
        <is>
          <t xml:space="preserve">2026-09-22</t>
        </is>
      </c>
    </row>
    <row r="178" spans="1:20" ht="30" customHeight="1">
      <c r="A178" s="3">
        <v>174</v>
      </c>
      <c r="B178" s="3" t="s">
        <v>51</v>
      </c>
      <c r="C178" s="3" t="s">
        <v>655</v>
      </c>
      <c r="D178" s="3"/>
      <c r="E178" s="3" t="s">
        <v>72</v>
      </c>
      <c r="F178" s="8" t="s">
        <v>685</v>
      </c>
      <c r="G178" s="8" t="s">
        <v>686</v>
      </c>
      <c r="H178" s="7" t="s">
        <v>687</v>
      </c>
      <c r="I178" s="3"/>
      <c r="J178" s="3" t="s">
        <v>18</v>
      </c>
      <c r="K178" s="3" t="s">
        <v>90</v>
      </c>
      <c r="L178" s="10" t="s">
        <v>134</v>
      </c>
      <c r="M178" s="8"/>
      <c r="N178" s="3" t="s">
        <v>28</v>
      </c>
      <c r="O178" s="3"/>
      <c r="P178" s="8"/>
      <c r="Q178" s="3"/>
      <c r="R178" s="3"/>
      <c r="S178" s="3"/>
      <c r="T178" s="3"/>
    </row>
    <row r="179" spans="1:20" ht="30" customHeight="1">
      <c r="A179" s="4">
        <v>175</v>
      </c>
      <c r="B179" s="4" t="s">
        <v>51</v>
      </c>
      <c r="C179" s="4" t="s">
        <v>655</v>
      </c>
      <c r="D179" s="4"/>
      <c r="E179" s="4" t="s">
        <v>72</v>
      </c>
      <c r="F179" s="6" t="s">
        <v>688</v>
      </c>
      <c r="G179" s="6" t="s">
        <v>689</v>
      </c>
      <c r="H179" s="7" t="s">
        <v>690</v>
      </c>
      <c r="I179" s="4" t="s">
        <v>691</v>
      </c>
      <c r="J179" s="4" t="s">
        <v>18</v>
      </c>
      <c r="K179" s="4" t="s">
        <v>90</v>
      </c>
      <c r="L179" s="7" t="s">
        <v>77</v>
      </c>
      <c r="M179" s="6" t="s">
        <v>692</v>
      </c>
      <c r="N179" s="4" t="s">
        <v>30</v>
      </c>
      <c r="O179" s="4"/>
      <c r="P179" s="6" t="s">
        <v>79</v>
      </c>
      <c r="Q179" s="4"/>
      <c r="R179" s="4"/>
      <c r="S179" s="4"/>
      <c r="T179" s="4"/>
    </row>
    <row r="180" spans="1:20" ht="30" customHeight="1">
      <c r="A180" s="3">
        <v>176</v>
      </c>
      <c r="B180" s="3" t="s">
        <v>51</v>
      </c>
      <c r="C180" s="3" t="s">
        <v>655</v>
      </c>
      <c r="D180" s="3"/>
      <c r="E180" s="3" t="s">
        <v>72</v>
      </c>
      <c r="F180" s="8"/>
      <c r="G180" s="8" t="s">
        <v>693</v>
      </c>
      <c r="H180" s="7" t="s">
        <v>694</v>
      </c>
      <c r="I180" s="3"/>
      <c r="J180" s="3" t="s">
        <v>18</v>
      </c>
      <c r="K180" s="3" t="s">
        <v>90</v>
      </c>
      <c r="L180" s="10" t="s">
        <v>134</v>
      </c>
      <c r="M180" s="8"/>
      <c r="N180" s="3" t="s">
        <v>28</v>
      </c>
      <c r="O180" s="3"/>
      <c r="P180" s="8"/>
      <c r="Q180" s="3"/>
      <c r="R180" s="3"/>
      <c r="S180" s="3"/>
      <c r="T180" s="3"/>
    </row>
    <row r="181" spans="1:20" ht="30" customHeight="1">
      <c r="A181" s="4">
        <v>177</v>
      </c>
      <c r="B181" s="4" t="s">
        <v>51</v>
      </c>
      <c r="C181" s="4" t="s">
        <v>695</v>
      </c>
      <c r="D181" s="4">
        <v>20</v>
      </c>
      <c r="E181" s="4" t="s">
        <v>72</v>
      </c>
      <c r="F181" s="6" t="s">
        <v>696</v>
      </c>
      <c r="G181" s="6" t="s">
        <v>697</v>
      </c>
      <c r="H181" s="7" t="s">
        <v>698</v>
      </c>
      <c r="I181" s="4"/>
      <c r="J181" s="4" t="s">
        <v>19</v>
      </c>
      <c r="K181" s="4" t="s">
        <v>76</v>
      </c>
      <c r="L181" s="10" t="s">
        <v>134</v>
      </c>
      <c r="M181" s="6"/>
      <c r="N181" s="4" t="s">
        <v>27</v>
      </c>
      <c r="O181" s="4"/>
      <c r="P181" s="6"/>
      <c r="Q181" s="4"/>
      <c r="R181" s="4"/>
      <c r="S181" s="4"/>
      <c r="T181" s="4"/>
    </row>
    <row r="182" spans="1:20" ht="30" customHeight="1">
      <c r="A182" s="3">
        <v>178</v>
      </c>
      <c r="B182" s="3" t="s">
        <v>51</v>
      </c>
      <c r="C182" s="3" t="s">
        <v>695</v>
      </c>
      <c r="D182" s="3"/>
      <c r="E182" s="3" t="s">
        <v>72</v>
      </c>
      <c r="F182" s="8" t="s">
        <v>699</v>
      </c>
      <c r="G182" s="8" t="s">
        <v>700</v>
      </c>
      <c r="H182" s="7" t="inlineStr">
        <is>
          <t xml:space="preserve">SH-FM-WI020-03</t>
        </is>
      </c>
      <c r="I182" s="3"/>
      <c r="J182" s="3" t="s">
        <v>19</v>
      </c>
      <c r="K182" s="3" t="s">
        <v>76</v>
      </c>
      <c r="L182" s="7" t="inlineStr">
        <is>
          <t xml:space="preserve">기존 절차 연계</t>
        </is>
      </c>
      <c r="M182" s="8" t="inlineStr">
        <is>
          <t xml:space="preserve">SH-WI-020(비상상황 생산복구 작업표준)  [확정 2026-09-22: 기존 추정 SH-QP-010(ratio=0.16) 대비 대안 채택(ratio=0.73) — 품질경영담당 일괄판단, 부서 정식회신 생략]</t>
        </is>
      </c>
      <c r="N182" s="3" t="s">
        <v>30</v>
      </c>
      <c r="O182" s="3"/>
      <c r="P182" s="8" t="inlineStr">
        <is>
          <t xml:space="preserve">※재판정(본문대조) 확정(2026-09-22, 품질경영담당 일괄판단 — 부서 정식회신 없이 처리): 관련 기존 문서란 참고 | FM번호 재부여(2026-09-22, 확정 연계절차 기준): SH-FM-QP010-05 → SH-FM-WI020-03</t>
        </is>
      </c>
      <c r="Q182" s="3" t="inlineStr">
        <is>
          <t xml:space="preserve">대안 채택</t>
        </is>
      </c>
      <c r="R182" s="3" t="inlineStr">
        <is>
          <t xml:space="preserve">SH-WI-020(비상상황 생산복구 작업표준)</t>
        </is>
      </c>
      <c r="S182" s="3" t="inlineStr">
        <is>
          <t xml:space="preserve">박철호(품질경영 담당, 일괄확정)</t>
        </is>
      </c>
      <c r="T182" s="3" t="inlineStr">
        <is>
          <t xml:space="preserve">2026-09-22</t>
        </is>
      </c>
    </row>
    <row r="183" spans="1:20" ht="30" customHeight="1">
      <c r="A183" s="4">
        <v>179</v>
      </c>
      <c r="B183" s="4" t="s">
        <v>51</v>
      </c>
      <c r="C183" s="4" t="s">
        <v>695</v>
      </c>
      <c r="D183" s="4"/>
      <c r="E183" s="4" t="s">
        <v>72</v>
      </c>
      <c r="F183" s="6" t="s">
        <v>703</v>
      </c>
      <c r="G183" s="6" t="s">
        <v>704</v>
      </c>
      <c r="H183" s="7" t="s">
        <v>705</v>
      </c>
      <c r="I183" s="4"/>
      <c r="J183" s="4" t="s">
        <v>19</v>
      </c>
      <c r="K183" s="4" t="s">
        <v>76</v>
      </c>
      <c r="L183" s="7" t="s">
        <v>77</v>
      </c>
      <c r="M183" s="6" t="s">
        <v>706</v>
      </c>
      <c r="N183" s="4" t="s">
        <v>30</v>
      </c>
      <c r="O183" s="4"/>
      <c r="P183" s="6" t="s">
        <v>79</v>
      </c>
      <c r="Q183" s="4"/>
      <c r="R183" s="4"/>
      <c r="S183" s="4"/>
      <c r="T183" s="4"/>
    </row>
    <row r="184" spans="1:20" ht="30" customHeight="1">
      <c r="A184" s="3">
        <v>180</v>
      </c>
      <c r="B184" s="3" t="s">
        <v>51</v>
      </c>
      <c r="C184" s="3" t="s">
        <v>695</v>
      </c>
      <c r="D184" s="3"/>
      <c r="E184" s="3" t="s">
        <v>72</v>
      </c>
      <c r="F184" s="8" t="s">
        <v>707</v>
      </c>
      <c r="G184" s="8" t="s">
        <v>708</v>
      </c>
      <c r="H184" s="7" t="s">
        <v>709</v>
      </c>
      <c r="I184" s="3"/>
      <c r="J184" s="3" t="s">
        <v>19</v>
      </c>
      <c r="K184" s="3" t="s">
        <v>76</v>
      </c>
      <c r="L184" s="7" t="s">
        <v>77</v>
      </c>
      <c r="M184" s="8" t="s">
        <v>710</v>
      </c>
      <c r="N184" s="3" t="s">
        <v>30</v>
      </c>
      <c r="O184" s="3"/>
      <c r="P184" s="8" t="s">
        <v>79</v>
      </c>
      <c r="Q184" s="3"/>
      <c r="R184" s="3"/>
      <c r="S184" s="3"/>
      <c r="T184" s="3"/>
    </row>
    <row r="185" spans="1:20" ht="30" customHeight="1">
      <c r="A185" s="4">
        <v>181</v>
      </c>
      <c r="B185" s="4" t="s">
        <v>51</v>
      </c>
      <c r="C185" s="4" t="s">
        <v>711</v>
      </c>
      <c r="D185" s="4">
        <v>20</v>
      </c>
      <c r="E185" s="4" t="s">
        <v>72</v>
      </c>
      <c r="F185" s="6" t="s">
        <v>712</v>
      </c>
      <c r="G185" s="6" t="s">
        <v>713</v>
      </c>
      <c r="H185" s="7" t="s">
        <v>714</v>
      </c>
      <c r="I185" s="4"/>
      <c r="J185" s="4" t="s">
        <v>19</v>
      </c>
      <c r="K185" s="4" t="s">
        <v>76</v>
      </c>
      <c r="L185" s="10" t="s">
        <v>134</v>
      </c>
      <c r="M185" s="6"/>
      <c r="N185" s="4" t="s">
        <v>27</v>
      </c>
      <c r="O185" s="4"/>
      <c r="P185" s="6"/>
      <c r="Q185" s="4"/>
      <c r="R185" s="4"/>
      <c r="S185" s="4"/>
      <c r="T185" s="4"/>
    </row>
    <row r="186" spans="1:20" ht="30" customHeight="1">
      <c r="A186" s="3">
        <v>182</v>
      </c>
      <c r="B186" s="3" t="s">
        <v>51</v>
      </c>
      <c r="C186" s="3" t="s">
        <v>711</v>
      </c>
      <c r="D186" s="3"/>
      <c r="E186" s="3" t="s">
        <v>72</v>
      </c>
      <c r="F186" s="8" t="s">
        <v>715</v>
      </c>
      <c r="G186" s="8" t="s">
        <v>716</v>
      </c>
      <c r="H186" s="7" t="inlineStr">
        <is>
          <t xml:space="preserve">SH-FM-QP002-01</t>
        </is>
      </c>
      <c r="I186" s="3" t="s">
        <v>718</v>
      </c>
      <c r="J186" s="3" t="s">
        <v>19</v>
      </c>
      <c r="K186" s="3" t="s">
        <v>76</v>
      </c>
      <c r="L186" s="7" t="inlineStr">
        <is>
          <t xml:space="preserve">기존 절차 연계</t>
        </is>
      </c>
      <c r="M186" s="8" t="inlineStr">
        <is>
          <t xml:space="preserve">SH-QP-002(문서화된 정보 관리 절차서)  [확정 2026-09-22: 신규 발견 연계 채택(ratio=0.60) — 품질경영담당 일괄판단, 부서 정식회신 생략]</t>
        </is>
      </c>
      <c r="N186" s="3" t="s">
        <v>27</v>
      </c>
      <c r="O186" s="3"/>
      <c r="P186" s="8" t="inlineStr">
        <is>
          <t xml:space="preserve">※재판정(본문대조) 확정(2026-09-22, 품질경영담당 일괄판단 — 부서 정식회신 없이 처리): 관련 기존 문서란 참고 | FM번호 재부여(2026-09-22, 확정 연계절차 기준): SH-FM-QMS-N14 → SH-FM-QP002-01</t>
        </is>
      </c>
      <c r="Q186" s="3" t="inlineStr">
        <is>
          <t xml:space="preserve">대안 채택</t>
        </is>
      </c>
      <c r="R186" s="3" t="inlineStr">
        <is>
          <t xml:space="preserve">SH-QP-002(문서화된 정보 관리 절차서)</t>
        </is>
      </c>
      <c r="S186" s="3" t="inlineStr">
        <is>
          <t xml:space="preserve">박철호(품질경영 담당, 일괄확정)</t>
        </is>
      </c>
      <c r="T186" s="3" t="inlineStr">
        <is>
          <t xml:space="preserve">2026-09-22</t>
        </is>
      </c>
    </row>
    <row r="187" spans="1:20" ht="30" customHeight="1">
      <c r="A187" s="4">
        <v>183</v>
      </c>
      <c r="B187" s="4" t="s">
        <v>51</v>
      </c>
      <c r="C187" s="4" t="s">
        <v>711</v>
      </c>
      <c r="D187" s="4"/>
      <c r="E187" s="4" t="s">
        <v>72</v>
      </c>
      <c r="F187" s="6" t="s">
        <v>720</v>
      </c>
      <c r="G187" s="6" t="s">
        <v>721</v>
      </c>
      <c r="H187" s="7" t="s">
        <v>722</v>
      </c>
      <c r="I187" s="4"/>
      <c r="J187" s="4" t="s">
        <v>19</v>
      </c>
      <c r="K187" s="4" t="s">
        <v>76</v>
      </c>
      <c r="L187" s="10" t="s">
        <v>134</v>
      </c>
      <c r="M187" s="6"/>
      <c r="N187" s="4" t="s">
        <v>27</v>
      </c>
      <c r="O187" s="4"/>
      <c r="P187" s="6"/>
      <c r="Q187" s="4"/>
      <c r="R187" s="4"/>
      <c r="S187" s="4"/>
      <c r="T187" s="4"/>
    </row>
    <row r="188" spans="1:20" ht="30" customHeight="1">
      <c r="A188" s="3">
        <v>184</v>
      </c>
      <c r="B188" s="3" t="s">
        <v>51</v>
      </c>
      <c r="C188" s="3" t="s">
        <v>711</v>
      </c>
      <c r="D188" s="3"/>
      <c r="E188" s="3" t="s">
        <v>72</v>
      </c>
      <c r="F188" s="8" t="s">
        <v>723</v>
      </c>
      <c r="G188" s="8" t="s">
        <v>724</v>
      </c>
      <c r="H188" s="7" t="s">
        <v>725</v>
      </c>
      <c r="I188" s="3"/>
      <c r="J188" s="3" t="s">
        <v>19</v>
      </c>
      <c r="K188" s="3" t="s">
        <v>76</v>
      </c>
      <c r="L188" s="7" t="s">
        <v>77</v>
      </c>
      <c r="M188" s="8" t="s">
        <v>726</v>
      </c>
      <c r="N188" s="3" t="s">
        <v>30</v>
      </c>
      <c r="O188" s="3"/>
      <c r="P188" s="8" t="s">
        <v>79</v>
      </c>
      <c r="Q188" s="3"/>
      <c r="R188" s="3"/>
      <c r="S188" s="3"/>
      <c r="T188" s="3"/>
    </row>
    <row r="189" spans="1:20" ht="30" customHeight="1">
      <c r="A189" s="4">
        <v>185</v>
      </c>
      <c r="B189" s="4" t="s">
        <v>51</v>
      </c>
      <c r="C189" s="4" t="s">
        <v>711</v>
      </c>
      <c r="D189" s="4"/>
      <c r="E189" s="4" t="s">
        <v>72</v>
      </c>
      <c r="F189" s="6"/>
      <c r="G189" s="6" t="s">
        <v>727</v>
      </c>
      <c r="H189" s="7" t="s">
        <v>728</v>
      </c>
      <c r="I189" s="4"/>
      <c r="J189" s="4" t="s">
        <v>19</v>
      </c>
      <c r="K189" s="4" t="s">
        <v>76</v>
      </c>
      <c r="L189" s="10" t="s">
        <v>134</v>
      </c>
      <c r="M189" s="6"/>
      <c r="N189" s="4" t="s">
        <v>27</v>
      </c>
      <c r="O189" s="4"/>
      <c r="P189" s="6"/>
      <c r="Q189" s="4"/>
      <c r="R189" s="4"/>
      <c r="S189" s="4"/>
      <c r="T189" s="4"/>
    </row>
    <row r="190" spans="1:20" ht="30" customHeight="1">
      <c r="A190" s="3">
        <v>186</v>
      </c>
      <c r="B190" s="3" t="s">
        <v>51</v>
      </c>
      <c r="C190" s="3" t="s">
        <v>729</v>
      </c>
      <c r="D190" s="3">
        <v>10</v>
      </c>
      <c r="E190" s="3" t="s">
        <v>122</v>
      </c>
      <c r="F190" s="8" t="s">
        <v>730</v>
      </c>
      <c r="G190" s="8" t="s">
        <v>731</v>
      </c>
      <c r="H190" s="7" t="inlineStr">
        <is>
          <t xml:space="preserve">SH-FM-QP025-02</t>
        </is>
      </c>
      <c r="I190" s="3"/>
      <c r="J190" s="3" t="s">
        <v>19</v>
      </c>
      <c r="K190" s="3" t="s">
        <v>76</v>
      </c>
      <c r="L190" s="7" t="inlineStr">
        <is>
          <t xml:space="preserve">기존 절차 연계</t>
        </is>
      </c>
      <c r="M190" s="8" t="inlineStr">
        <is>
          <t xml:space="preserve">SH-QP-025(고객별 요구사항(CSR) 관리 절차서)  [확정 2026-09-22: 신규 발견 연계 채택(ratio=0.92) — 품질경영담당 일괄판단, 부서 정식회신 생략]</t>
        </is>
      </c>
      <c r="N190" s="3" t="s">
        <v>28</v>
      </c>
      <c r="O190" s="3"/>
      <c r="P190" s="8" t="inlineStr">
        <is>
          <t xml:space="preserve">※재판정(본문대조) 확정(2026-09-22, 품질경영담당 일괄판단 — 부서 정식회신 없이 처리): 관련 기존 문서란 참고 | FM번호 재부여(2026-09-22, 확정 연계절차 기준): SH-FM-QMS-N17 → SH-FM-QP025-02</t>
        </is>
      </c>
      <c r="Q190" s="3" t="inlineStr">
        <is>
          <t xml:space="preserve">대안 채택</t>
        </is>
      </c>
      <c r="R190" s="3" t="inlineStr">
        <is>
          <t xml:space="preserve">SH-QP-025(고객별 요구사항(CSR) 관리 절차서)</t>
        </is>
      </c>
      <c r="S190" s="3" t="inlineStr">
        <is>
          <t xml:space="preserve">박철호(품질경영 담당, 일괄확정)</t>
        </is>
      </c>
      <c r="T190" s="3" t="inlineStr">
        <is>
          <t xml:space="preserve">2026-09-22</t>
        </is>
      </c>
    </row>
    <row r="191" spans="1:20" ht="30" customHeight="1">
      <c r="A191" s="4">
        <v>187</v>
      </c>
      <c r="B191" s="4" t="s">
        <v>51</v>
      </c>
      <c r="C191" s="4" t="s">
        <v>729</v>
      </c>
      <c r="D191" s="4"/>
      <c r="E191" s="4" t="s">
        <v>122</v>
      </c>
      <c r="F191" s="6" t="s">
        <v>734</v>
      </c>
      <c r="G191" s="6" t="s">
        <v>735</v>
      </c>
      <c r="H191" s="7" t="inlineStr">
        <is>
          <t xml:space="preserve">SH-FM-QP025-03</t>
        </is>
      </c>
      <c r="I191" s="4"/>
      <c r="J191" s="4" t="s">
        <v>19</v>
      </c>
      <c r="K191" s="4" t="s">
        <v>76</v>
      </c>
      <c r="L191" s="7" t="inlineStr">
        <is>
          <t xml:space="preserve">기존 절차 연계</t>
        </is>
      </c>
      <c r="M191" s="6" t="inlineStr">
        <is>
          <t xml:space="preserve">SH-QP-025(고객별 요구사항(CSR) 관리 절차서)  [확정 2026-09-22: 신규 발견 연계 채택(ratio=0.97) — 품질경영담당 일괄판단, 부서 정식회신 생략]</t>
        </is>
      </c>
      <c r="N191" s="4" t="s">
        <v>28</v>
      </c>
      <c r="O191" s="4"/>
      <c r="P191" s="6" t="inlineStr">
        <is>
          <t xml:space="preserve">※재판정(본문대조) 확정(2026-09-22, 품질경영담당 일괄판단 — 부서 정식회신 없이 처리): 관련 기존 문서란 참고 | FM번호 재부여(2026-09-22, 확정 연계절차 기준): SH-FM-QMS-N18 → SH-FM-QP025-03</t>
        </is>
      </c>
      <c r="Q191" s="4" t="inlineStr">
        <is>
          <t xml:space="preserve">대안 채택</t>
        </is>
      </c>
      <c r="R191" s="4" t="inlineStr">
        <is>
          <t xml:space="preserve">SH-QP-025(고객별 요구사항(CSR) 관리 절차서)</t>
        </is>
      </c>
      <c r="S191" s="4" t="inlineStr">
        <is>
          <t xml:space="preserve">박철호(품질경영 담당, 일괄확정)</t>
        </is>
      </c>
      <c r="T191" s="4" t="inlineStr">
        <is>
          <t xml:space="preserve">2026-09-22</t>
        </is>
      </c>
    </row>
    <row r="192" spans="1:20" ht="30" customHeight="1">
      <c r="A192" s="3">
        <v>188</v>
      </c>
      <c r="B192" s="3" t="s">
        <v>51</v>
      </c>
      <c r="C192" s="3" t="s">
        <v>729</v>
      </c>
      <c r="D192" s="3"/>
      <c r="E192" s="3" t="s">
        <v>122</v>
      </c>
      <c r="F192" s="8" t="s">
        <v>738</v>
      </c>
      <c r="G192" s="8" t="s">
        <v>739</v>
      </c>
      <c r="H192" s="7" t="s">
        <v>740</v>
      </c>
      <c r="I192" s="3"/>
      <c r="J192" s="3" t="s">
        <v>19</v>
      </c>
      <c r="K192" s="3" t="s">
        <v>76</v>
      </c>
      <c r="L192" s="7" t="s">
        <v>77</v>
      </c>
      <c r="M192" s="8" t="s">
        <v>741</v>
      </c>
      <c r="N192" s="3" t="s">
        <v>30</v>
      </c>
      <c r="O192" s="3"/>
      <c r="P192" s="8"/>
      <c r="Q192" s="3"/>
      <c r="R192" s="3"/>
      <c r="S192" s="3"/>
      <c r="T192" s="3"/>
    </row>
    <row r="193" spans="1:20" ht="30" customHeight="1">
      <c r="A193" s="4">
        <v>189</v>
      </c>
      <c r="B193" s="4" t="s">
        <v>51</v>
      </c>
      <c r="C193" s="4" t="s">
        <v>729</v>
      </c>
      <c r="D193" s="4"/>
      <c r="E193" s="4" t="s">
        <v>122</v>
      </c>
      <c r="F193" s="6" t="s">
        <v>742</v>
      </c>
      <c r="G193" s="6" t="s">
        <v>743</v>
      </c>
      <c r="H193" s="7" t="s">
        <v>744</v>
      </c>
      <c r="I193" s="4"/>
      <c r="J193" s="4" t="s">
        <v>19</v>
      </c>
      <c r="K193" s="4" t="s">
        <v>76</v>
      </c>
      <c r="L193" s="10" t="s">
        <v>134</v>
      </c>
      <c r="M193" s="6"/>
      <c r="N193" s="4" t="s">
        <v>28</v>
      </c>
      <c r="O193" s="4"/>
      <c r="P193" s="6"/>
      <c r="Q193" s="4"/>
      <c r="R193" s="4"/>
      <c r="S193" s="4"/>
      <c r="T193" s="4"/>
    </row>
    <row r="194" spans="1:20" ht="30" customHeight="1">
      <c r="A194" s="3">
        <v>190</v>
      </c>
      <c r="B194" s="3" t="s">
        <v>51</v>
      </c>
      <c r="C194" s="3" t="s">
        <v>729</v>
      </c>
      <c r="D194" s="3"/>
      <c r="E194" s="3" t="s">
        <v>122</v>
      </c>
      <c r="F194" s="8"/>
      <c r="G194" s="8" t="s">
        <v>745</v>
      </c>
      <c r="H194" s="7" t="s">
        <v>746</v>
      </c>
      <c r="I194" s="3"/>
      <c r="J194" s="3" t="s">
        <v>23</v>
      </c>
      <c r="K194" s="3"/>
      <c r="L194" s="10" t="s">
        <v>134</v>
      </c>
      <c r="M194" s="8"/>
      <c r="N194" s="3" t="s">
        <v>30</v>
      </c>
      <c r="O194" s="3"/>
      <c r="P194" s="8"/>
      <c r="Q194" s="3"/>
      <c r="R194" s="3"/>
      <c r="S194" s="3"/>
      <c r="T194" s="3"/>
    </row>
    <row r="195" spans="1:20" ht="30" customHeight="1">
      <c r="A195" s="4">
        <v>191</v>
      </c>
      <c r="B195" s="4" t="s">
        <v>51</v>
      </c>
      <c r="C195" s="4" t="s">
        <v>747</v>
      </c>
      <c r="D195" s="4">
        <v>20</v>
      </c>
      <c r="E195" s="4" t="s">
        <v>72</v>
      </c>
      <c r="F195" s="6" t="s">
        <v>748</v>
      </c>
      <c r="G195" s="6" t="s">
        <v>749</v>
      </c>
      <c r="H195" s="7" t="s">
        <v>750</v>
      </c>
      <c r="I195" s="4"/>
      <c r="J195" s="4" t="s">
        <v>19</v>
      </c>
      <c r="K195" s="4" t="s">
        <v>76</v>
      </c>
      <c r="L195" s="10" t="s">
        <v>134</v>
      </c>
      <c r="M195" s="6"/>
      <c r="N195" s="4" t="s">
        <v>27</v>
      </c>
      <c r="O195" s="4"/>
      <c r="P195" s="6"/>
      <c r="Q195" s="4"/>
      <c r="R195" s="4"/>
      <c r="S195" s="4"/>
      <c r="T195" s="4"/>
    </row>
    <row r="196" spans="1:20" ht="30" customHeight="1">
      <c r="A196" s="3">
        <v>192</v>
      </c>
      <c r="B196" s="3" t="s">
        <v>51</v>
      </c>
      <c r="C196" s="3" t="s">
        <v>747</v>
      </c>
      <c r="D196" s="3"/>
      <c r="E196" s="3" t="s">
        <v>72</v>
      </c>
      <c r="F196" s="8" t="s">
        <v>751</v>
      </c>
      <c r="G196" s="8" t="s">
        <v>752</v>
      </c>
      <c r="H196" s="7" t="inlineStr">
        <is>
          <t xml:space="preserve">SH-FM-QP006-03</t>
        </is>
      </c>
      <c r="I196" s="3"/>
      <c r="J196" s="3" t="s">
        <v>19</v>
      </c>
      <c r="K196" s="3" t="s">
        <v>76</v>
      </c>
      <c r="L196" s="7" t="inlineStr">
        <is>
          <t xml:space="preserve">기존 절차 연계</t>
        </is>
      </c>
      <c r="M196" s="8" t="inlineStr">
        <is>
          <t xml:space="preserve">SH-QP-006(교육훈련 및 역량관리 절차서)  [확정 2026-09-22: 신규 발견 연계 채택(ratio=1.00) — 품질경영담당 일괄판단, 부서 정식회신 생략]</t>
        </is>
      </c>
      <c r="N196" s="3" t="s">
        <v>28</v>
      </c>
      <c r="O196" s="3"/>
      <c r="P196" s="8" t="inlineStr">
        <is>
          <t xml:space="preserve">※재판정(본문대조) 확정(2026-09-22, 품질경영담당 일괄판단 — 부서 정식회신 없이 처리): 관련 기존 문서란 참고 | FM번호 재부여(2026-09-22, 확정 연계절차 기준): SH-FM-QMS-N22 → SH-FM-QP006-03</t>
        </is>
      </c>
      <c r="Q196" s="3" t="inlineStr">
        <is>
          <t xml:space="preserve">대안 채택</t>
        </is>
      </c>
      <c r="R196" s="3" t="inlineStr">
        <is>
          <t xml:space="preserve">SH-QP-006(교육훈련 및 역량관리 절차서)</t>
        </is>
      </c>
      <c r="S196" s="3" t="inlineStr">
        <is>
          <t xml:space="preserve">박철호(품질경영 담당, 일괄확정)</t>
        </is>
      </c>
      <c r="T196" s="3" t="inlineStr">
        <is>
          <t xml:space="preserve">2026-09-22</t>
        </is>
      </c>
    </row>
    <row r="197" spans="1:20" ht="30" customHeight="1">
      <c r="A197" s="4">
        <v>193</v>
      </c>
      <c r="B197" s="4" t="s">
        <v>51</v>
      </c>
      <c r="C197" s="4" t="s">
        <v>747</v>
      </c>
      <c r="D197" s="4"/>
      <c r="E197" s="4" t="s">
        <v>72</v>
      </c>
      <c r="F197" s="6" t="s">
        <v>755</v>
      </c>
      <c r="G197" s="6" t="s">
        <v>756</v>
      </c>
      <c r="H197" s="7" t="inlineStr">
        <is>
          <t xml:space="preserve">SH-FM-QP006-04</t>
        </is>
      </c>
      <c r="I197" s="4"/>
      <c r="J197" s="4" t="s">
        <v>18</v>
      </c>
      <c r="K197" s="4" t="s">
        <v>90</v>
      </c>
      <c r="L197" s="7" t="inlineStr">
        <is>
          <t xml:space="preserve">기존 절차 연계</t>
        </is>
      </c>
      <c r="M197" s="6" t="inlineStr">
        <is>
          <t xml:space="preserve">SH-QP-006(교육훈련 및 역량관리 절차서)  [확정 2026-09-22: 신규 발견 연계 채택(ratio=0.57) — 품질경영담당 일괄판단, 부서 정식회신 생략]</t>
        </is>
      </c>
      <c r="N197" s="4" t="s">
        <v>28</v>
      </c>
      <c r="O197" s="4"/>
      <c r="P197" s="6" t="inlineStr">
        <is>
          <t xml:space="preserve">※재판정(본문대조) 확정(2026-09-22, 품질경영담당 일괄판단 — 부서 정식회신 없이 처리): 관련 기존 문서란 참고 | FM번호 재부여(2026-09-22, 확정 연계절차 기준): SH-FM-QMS-N23 → SH-FM-QP006-04</t>
        </is>
      </c>
      <c r="Q197" s="4" t="inlineStr">
        <is>
          <t xml:space="preserve">대안 채택</t>
        </is>
      </c>
      <c r="R197" s="4" t="inlineStr">
        <is>
          <t xml:space="preserve">SH-QP-006(교육훈련 및 역량관리 절차서)</t>
        </is>
      </c>
      <c r="S197" s="4" t="inlineStr">
        <is>
          <t xml:space="preserve">박철호(품질경영 담당, 일괄확정)</t>
        </is>
      </c>
      <c r="T197" s="4" t="inlineStr">
        <is>
          <t xml:space="preserve">2026-09-22</t>
        </is>
      </c>
    </row>
    <row r="198" spans="1:20" ht="30" customHeight="1">
      <c r="A198" s="3">
        <v>194</v>
      </c>
      <c r="B198" s="3" t="s">
        <v>51</v>
      </c>
      <c r="C198" s="3" t="s">
        <v>747</v>
      </c>
      <c r="D198" s="3"/>
      <c r="E198" s="3" t="s">
        <v>72</v>
      </c>
      <c r="F198" s="8" t="s">
        <v>759</v>
      </c>
      <c r="G198" s="8" t="s">
        <v>760</v>
      </c>
      <c r="H198" s="7" t="s">
        <v>761</v>
      </c>
      <c r="I198" s="3"/>
      <c r="J198" s="3" t="s">
        <v>19</v>
      </c>
      <c r="K198" s="3" t="s">
        <v>76</v>
      </c>
      <c r="L198" s="10" t="s">
        <v>134</v>
      </c>
      <c r="M198" s="8"/>
      <c r="N198" s="3" t="s">
        <v>28</v>
      </c>
      <c r="O198" s="3"/>
      <c r="P198" s="8"/>
      <c r="Q198" s="3"/>
      <c r="R198" s="3"/>
      <c r="S198" s="3"/>
      <c r="T198" s="3"/>
    </row>
    <row r="199" spans="1:20" ht="30" customHeight="1">
      <c r="A199" s="4">
        <v>195</v>
      </c>
      <c r="B199" s="4" t="s">
        <v>51</v>
      </c>
      <c r="C199" s="4" t="s">
        <v>747</v>
      </c>
      <c r="D199" s="4"/>
      <c r="E199" s="4" t="s">
        <v>72</v>
      </c>
      <c r="F199" s="6" t="s">
        <v>762</v>
      </c>
      <c r="G199" s="6" t="s">
        <v>763</v>
      </c>
      <c r="H199" s="7" t="s">
        <v>764</v>
      </c>
      <c r="I199" s="4"/>
      <c r="J199" s="4" t="s">
        <v>19</v>
      </c>
      <c r="K199" s="4" t="s">
        <v>76</v>
      </c>
      <c r="L199" s="10" t="s">
        <v>134</v>
      </c>
      <c r="M199" s="6"/>
      <c r="N199" s="4" t="s">
        <v>28</v>
      </c>
      <c r="O199" s="4"/>
      <c r="P199" s="6"/>
      <c r="Q199" s="4"/>
      <c r="R199" s="4"/>
      <c r="S199" s="4"/>
      <c r="T199" s="4"/>
    </row>
    <row r="200" spans="1:20" ht="30" customHeight="1">
      <c r="A200" s="3">
        <v>196</v>
      </c>
      <c r="B200" s="3" t="s">
        <v>51</v>
      </c>
      <c r="C200" s="3" t="s">
        <v>747</v>
      </c>
      <c r="D200" s="3"/>
      <c r="E200" s="3" t="s">
        <v>72</v>
      </c>
      <c r="F200" s="8" t="s">
        <v>765</v>
      </c>
      <c r="G200" s="8" t="s">
        <v>766</v>
      </c>
      <c r="H200" s="7" t="s">
        <v>767</v>
      </c>
      <c r="I200" s="3" t="s">
        <v>768</v>
      </c>
      <c r="J200" s="3" t="s">
        <v>19</v>
      </c>
      <c r="K200" s="3" t="s">
        <v>76</v>
      </c>
      <c r="L200" s="7" t="s">
        <v>77</v>
      </c>
      <c r="M200" s="8" t="s">
        <v>769</v>
      </c>
      <c r="N200" s="3" t="s">
        <v>30</v>
      </c>
      <c r="O200" s="3"/>
      <c r="P200" s="8" t="s">
        <v>79</v>
      </c>
      <c r="Q200" s="3"/>
      <c r="R200" s="3"/>
      <c r="S200" s="3"/>
      <c r="T200" s="3"/>
    </row>
    <row r="201" spans="1:20" ht="30" customHeight="1">
      <c r="A201" s="4">
        <v>197</v>
      </c>
      <c r="B201" s="4" t="s">
        <v>51</v>
      </c>
      <c r="C201" s="4" t="s">
        <v>747</v>
      </c>
      <c r="D201" s="4"/>
      <c r="E201" s="4" t="s">
        <v>72</v>
      </c>
      <c r="F201" s="6" t="s">
        <v>770</v>
      </c>
      <c r="G201" s="6" t="s">
        <v>771</v>
      </c>
      <c r="H201" s="7" t="s">
        <v>772</v>
      </c>
      <c r="I201" s="4"/>
      <c r="J201" s="4" t="s">
        <v>18</v>
      </c>
      <c r="K201" s="4" t="s">
        <v>90</v>
      </c>
      <c r="L201" s="10" t="s">
        <v>134</v>
      </c>
      <c r="M201" s="6"/>
      <c r="N201" s="4" t="s">
        <v>28</v>
      </c>
      <c r="O201" s="4"/>
      <c r="P201" s="6"/>
      <c r="Q201" s="4"/>
      <c r="R201" s="4"/>
      <c r="S201" s="4"/>
      <c r="T201" s="4"/>
    </row>
    <row r="202" spans="1:20" ht="30" customHeight="1">
      <c r="A202" s="3">
        <v>198</v>
      </c>
      <c r="B202" s="3" t="s">
        <v>51</v>
      </c>
      <c r="C202" s="3" t="s">
        <v>747</v>
      </c>
      <c r="D202" s="3"/>
      <c r="E202" s="3" t="s">
        <v>72</v>
      </c>
      <c r="F202" s="8" t="s">
        <v>773</v>
      </c>
      <c r="G202" s="8" t="s">
        <v>774</v>
      </c>
      <c r="H202" s="7" t="s">
        <v>775</v>
      </c>
      <c r="I202" s="3"/>
      <c r="J202" s="3" t="s">
        <v>19</v>
      </c>
      <c r="K202" s="3" t="s">
        <v>76</v>
      </c>
      <c r="L202" s="10" t="s">
        <v>134</v>
      </c>
      <c r="M202" s="8"/>
      <c r="N202" s="3" t="s">
        <v>28</v>
      </c>
      <c r="O202" s="3"/>
      <c r="P202" s="8"/>
      <c r="Q202" s="3"/>
      <c r="R202" s="3"/>
      <c r="S202" s="3"/>
      <c r="T202" s="3"/>
    </row>
    <row r="203" spans="1:20" ht="30" customHeight="1">
      <c r="A203" s="4">
        <v>199</v>
      </c>
      <c r="B203" s="4" t="s">
        <v>51</v>
      </c>
      <c r="C203" s="4" t="s">
        <v>747</v>
      </c>
      <c r="D203" s="4"/>
      <c r="E203" s="4" t="s">
        <v>72</v>
      </c>
      <c r="F203" s="6" t="s">
        <v>776</v>
      </c>
      <c r="G203" s="6" t="s">
        <v>777</v>
      </c>
      <c r="H203" s="7" t="s">
        <v>778</v>
      </c>
      <c r="I203" s="4" t="s">
        <v>779</v>
      </c>
      <c r="J203" s="4" t="s">
        <v>19</v>
      </c>
      <c r="K203" s="4" t="s">
        <v>76</v>
      </c>
      <c r="L203" s="10" t="s">
        <v>134</v>
      </c>
      <c r="M203" s="6"/>
      <c r="N203" s="4" t="s">
        <v>28</v>
      </c>
      <c r="O203" s="4"/>
      <c r="P203" s="6"/>
      <c r="Q203" s="4"/>
      <c r="R203" s="4"/>
      <c r="S203" s="4"/>
      <c r="T203" s="4"/>
    </row>
    <row r="204" spans="1:20" ht="30" customHeight="1">
      <c r="A204" s="3">
        <v>200</v>
      </c>
      <c r="B204" s="3" t="s">
        <v>51</v>
      </c>
      <c r="C204" s="3" t="s">
        <v>747</v>
      </c>
      <c r="D204" s="3"/>
      <c r="E204" s="3" t="s">
        <v>72</v>
      </c>
      <c r="F204" s="8" t="s">
        <v>780</v>
      </c>
      <c r="G204" s="8" t="s">
        <v>781</v>
      </c>
      <c r="H204" s="7" t="s">
        <v>782</v>
      </c>
      <c r="I204" s="3" t="s">
        <v>783</v>
      </c>
      <c r="J204" s="3" t="s">
        <v>18</v>
      </c>
      <c r="K204" s="3" t="s">
        <v>90</v>
      </c>
      <c r="L204" s="10" t="s">
        <v>134</v>
      </c>
      <c r="M204" s="8"/>
      <c r="N204" s="3" t="s">
        <v>28</v>
      </c>
      <c r="O204" s="3"/>
      <c r="P204" s="8"/>
      <c r="Q204" s="3"/>
      <c r="R204" s="3"/>
      <c r="S204" s="3"/>
      <c r="T204" s="3"/>
    </row>
    <row r="205" spans="1:20" ht="30" customHeight="1">
      <c r="A205" s="4">
        <v>201</v>
      </c>
      <c r="B205" s="4" t="s">
        <v>51</v>
      </c>
      <c r="C205" s="4" t="s">
        <v>784</v>
      </c>
      <c r="D205" s="4">
        <v>10</v>
      </c>
      <c r="E205" s="4" t="s">
        <v>122</v>
      </c>
      <c r="F205" s="6" t="s">
        <v>785</v>
      </c>
      <c r="G205" s="6" t="s">
        <v>786</v>
      </c>
      <c r="H205" s="7" t="inlineStr">
        <is>
          <t xml:space="preserve">SH-FM-QP006-05</t>
        </is>
      </c>
      <c r="I205" s="4"/>
      <c r="J205" s="4" t="s">
        <v>19</v>
      </c>
      <c r="K205" s="4" t="s">
        <v>226</v>
      </c>
      <c r="L205" s="7" t="inlineStr">
        <is>
          <t xml:space="preserve">기존 절차 연계</t>
        </is>
      </c>
      <c r="M205" s="6" t="inlineStr">
        <is>
          <t xml:space="preserve">SH-QP-006(교육훈련 및 역량관리 절차서)  [확정 2026-09-22: 신규 발견 연계 채택(ratio=0.64) — 품질경영담당 일괄판단, 부서 정식회신 생략]</t>
        </is>
      </c>
      <c r="N205" s="4" t="s">
        <v>29</v>
      </c>
      <c r="O205" s="4"/>
      <c r="P205" s="6" t="inlineStr">
        <is>
          <t xml:space="preserve">※재판정(본문대조) 확정(2026-09-22, 품질경영담당 일괄판단 — 부서 정식회신 없이 처리): 관련 기존 문서란 참고 | FM번호 재부여(2026-09-22, 확정 연계절차 기준): SH-FM-QMS-N30 → SH-FM-QP006-05</t>
        </is>
      </c>
      <c r="Q205" s="4" t="inlineStr">
        <is>
          <t xml:space="preserve">대안 채택</t>
        </is>
      </c>
      <c r="R205" s="4" t="inlineStr">
        <is>
          <t xml:space="preserve">SH-QP-006(교육훈련 및 역량관리 절차서)</t>
        </is>
      </c>
      <c r="S205" s="4" t="inlineStr">
        <is>
          <t xml:space="preserve">박철호(품질경영 담당, 일괄확정)</t>
        </is>
      </c>
      <c r="T205" s="4" t="inlineStr">
        <is>
          <t xml:space="preserve">2026-09-22</t>
        </is>
      </c>
    </row>
    <row r="206" spans="1:20" ht="30" customHeight="1">
      <c r="A206" s="3">
        <v>202</v>
      </c>
      <c r="B206" s="3" t="s">
        <v>51</v>
      </c>
      <c r="C206" s="3" t="s">
        <v>784</v>
      </c>
      <c r="D206" s="3"/>
      <c r="E206" s="3" t="s">
        <v>122</v>
      </c>
      <c r="F206" s="8" t="s">
        <v>789</v>
      </c>
      <c r="G206" s="8" t="s">
        <v>790</v>
      </c>
      <c r="H206" s="7" t="s">
        <v>791</v>
      </c>
      <c r="I206" s="3"/>
      <c r="J206" s="3" t="s">
        <v>19</v>
      </c>
      <c r="K206" s="3" t="s">
        <v>226</v>
      </c>
      <c r="L206" s="7" t="s">
        <v>77</v>
      </c>
      <c r="M206" s="8" t="s">
        <v>792</v>
      </c>
      <c r="N206" s="3" t="s">
        <v>30</v>
      </c>
      <c r="O206" s="3"/>
      <c r="P206" s="8"/>
      <c r="Q206" s="3"/>
      <c r="R206" s="3"/>
      <c r="S206" s="3"/>
      <c r="T206" s="3"/>
    </row>
    <row r="207" spans="1:20" ht="30" customHeight="1">
      <c r="A207" s="4">
        <v>203</v>
      </c>
      <c r="B207" s="4" t="s">
        <v>51</v>
      </c>
      <c r="C207" s="4" t="s">
        <v>784</v>
      </c>
      <c r="D207" s="4"/>
      <c r="E207" s="4" t="s">
        <v>122</v>
      </c>
      <c r="F207" s="6" t="s">
        <v>793</v>
      </c>
      <c r="G207" s="6" t="s">
        <v>794</v>
      </c>
      <c r="H207" s="7" t="s">
        <v>795</v>
      </c>
      <c r="I207" s="4"/>
      <c r="J207" s="4" t="s">
        <v>19</v>
      </c>
      <c r="K207" s="4" t="s">
        <v>226</v>
      </c>
      <c r="L207" s="10" t="s">
        <v>134</v>
      </c>
      <c r="M207" s="6"/>
      <c r="N207" s="4" t="s">
        <v>29</v>
      </c>
      <c r="O207" s="4"/>
      <c r="P207" s="6"/>
      <c r="Q207" s="4"/>
      <c r="R207" s="4"/>
      <c r="S207" s="4"/>
      <c r="T207" s="4"/>
    </row>
    <row r="208" spans="1:20" ht="30" customHeight="1">
      <c r="A208" s="3">
        <v>204</v>
      </c>
      <c r="B208" s="3" t="s">
        <v>51</v>
      </c>
      <c r="C208" s="3" t="s">
        <v>784</v>
      </c>
      <c r="D208" s="3"/>
      <c r="E208" s="3" t="s">
        <v>122</v>
      </c>
      <c r="F208" s="8" t="s">
        <v>796</v>
      </c>
      <c r="G208" s="8" t="s">
        <v>797</v>
      </c>
      <c r="H208" s="7" t="s">
        <v>798</v>
      </c>
      <c r="I208" s="3"/>
      <c r="J208" s="3" t="s">
        <v>19</v>
      </c>
      <c r="K208" s="3" t="s">
        <v>226</v>
      </c>
      <c r="L208" s="10" t="s">
        <v>134</v>
      </c>
      <c r="M208" s="8"/>
      <c r="N208" s="3" t="s">
        <v>29</v>
      </c>
      <c r="O208" s="3"/>
      <c r="P208" s="8"/>
      <c r="Q208" s="3"/>
      <c r="R208" s="3"/>
      <c r="S208" s="3"/>
      <c r="T208" s="3"/>
    </row>
    <row r="209" spans="1:20" ht="30" customHeight="1">
      <c r="A209" s="4">
        <v>205</v>
      </c>
      <c r="B209" s="4" t="s">
        <v>51</v>
      </c>
      <c r="C209" s="4" t="s">
        <v>799</v>
      </c>
      <c r="D209" s="4">
        <v>20</v>
      </c>
      <c r="E209" s="4" t="s">
        <v>72</v>
      </c>
      <c r="F209" s="6" t="s">
        <v>800</v>
      </c>
      <c r="G209" s="6" t="s">
        <v>801</v>
      </c>
      <c r="H209" s="7" t="s">
        <v>802</v>
      </c>
      <c r="I209" s="4"/>
      <c r="J209" s="4" t="s">
        <v>19</v>
      </c>
      <c r="K209" s="4" t="s">
        <v>76</v>
      </c>
      <c r="L209" s="10" t="s">
        <v>134</v>
      </c>
      <c r="M209" s="6"/>
      <c r="N209" s="4" t="s">
        <v>28</v>
      </c>
      <c r="O209" s="4"/>
      <c r="P209" s="6"/>
      <c r="Q209" s="4"/>
      <c r="R209" s="4"/>
      <c r="S209" s="4"/>
      <c r="T209" s="4"/>
    </row>
    <row r="210" spans="1:20" ht="30" customHeight="1">
      <c r="A210" s="3">
        <v>206</v>
      </c>
      <c r="B210" s="3" t="s">
        <v>51</v>
      </c>
      <c r="C210" s="3" t="s">
        <v>799</v>
      </c>
      <c r="D210" s="3"/>
      <c r="E210" s="3" t="s">
        <v>72</v>
      </c>
      <c r="F210" s="8" t="s">
        <v>803</v>
      </c>
      <c r="G210" s="8" t="s">
        <v>804</v>
      </c>
      <c r="H210" s="7" t="s">
        <v>805</v>
      </c>
      <c r="I210" s="3" t="s">
        <v>806</v>
      </c>
      <c r="J210" s="3" t="s">
        <v>19</v>
      </c>
      <c r="K210" s="3" t="s">
        <v>76</v>
      </c>
      <c r="L210" s="10" t="s">
        <v>134</v>
      </c>
      <c r="M210" s="8"/>
      <c r="N210" s="3" t="s">
        <v>28</v>
      </c>
      <c r="O210" s="3"/>
      <c r="P210" s="8"/>
      <c r="Q210" s="3"/>
      <c r="R210" s="3"/>
      <c r="S210" s="3"/>
      <c r="T210" s="3"/>
    </row>
    <row r="211" spans="1:20" ht="30" customHeight="1">
      <c r="A211" s="4">
        <v>207</v>
      </c>
      <c r="B211" s="4" t="s">
        <v>51</v>
      </c>
      <c r="C211" s="4" t="s">
        <v>799</v>
      </c>
      <c r="D211" s="4"/>
      <c r="E211" s="4" t="s">
        <v>72</v>
      </c>
      <c r="F211" s="6" t="s">
        <v>807</v>
      </c>
      <c r="G211" s="6" t="s">
        <v>808</v>
      </c>
      <c r="H211" s="7" t="inlineStr">
        <is>
          <t xml:space="preserve">SH-FM-QP014-02</t>
        </is>
      </c>
      <c r="I211" s="4"/>
      <c r="J211" s="4" t="s">
        <v>19</v>
      </c>
      <c r="K211" s="4" t="s">
        <v>76</v>
      </c>
      <c r="L211" s="7" t="inlineStr">
        <is>
          <t xml:space="preserve">기존 절차 연계</t>
        </is>
      </c>
      <c r="M211" s="6" t="inlineStr">
        <is>
          <t xml:space="preserve">SH-QP-014(부적합품 및 재작업 관리 절차서)  [확정 2026-09-22: 신규 발견 연계 채택(ratio=0.80) — 품질경영담당 일괄판단, 부서 정식회신 생략]</t>
        </is>
      </c>
      <c r="N211" s="4" t="s">
        <v>28</v>
      </c>
      <c r="O211" s="4"/>
      <c r="P211" s="6" t="inlineStr">
        <is>
          <t xml:space="preserve">※재판정(본문대조) 확정(2026-09-22, 품질경영담당 일괄판단 — 부서 정식회신 없이 처리): 관련 기존 문서란 참고 | FM번호 재부여(2026-09-22, 확정 연계절차 기준): SH-FM-QMS-N35 → SH-FM-QP014-02</t>
        </is>
      </c>
      <c r="Q211" s="4" t="inlineStr">
        <is>
          <t xml:space="preserve">대안 채택</t>
        </is>
      </c>
      <c r="R211" s="4" t="inlineStr">
        <is>
          <t xml:space="preserve">SH-QP-014(부적합품 및 재작업 관리 절차서)</t>
        </is>
      </c>
      <c r="S211" s="4" t="inlineStr">
        <is>
          <t xml:space="preserve">박철호(품질경영 담당, 일괄확정)</t>
        </is>
      </c>
      <c r="T211" s="4" t="inlineStr">
        <is>
          <t xml:space="preserve">2026-09-22</t>
        </is>
      </c>
    </row>
    <row r="212" spans="1:20" ht="30" customHeight="1">
      <c r="A212" s="3">
        <v>208</v>
      </c>
      <c r="B212" s="3" t="s">
        <v>51</v>
      </c>
      <c r="C212" s="3" t="s">
        <v>799</v>
      </c>
      <c r="D212" s="3"/>
      <c r="E212" s="3" t="s">
        <v>72</v>
      </c>
      <c r="F212" s="8" t="s">
        <v>811</v>
      </c>
      <c r="G212" s="8" t="s">
        <v>812</v>
      </c>
      <c r="H212" s="7" t="s">
        <v>813</v>
      </c>
      <c r="I212" s="3" t="s">
        <v>814</v>
      </c>
      <c r="J212" s="3" t="s">
        <v>19</v>
      </c>
      <c r="K212" s="3" t="s">
        <v>76</v>
      </c>
      <c r="L212" s="10" t="s">
        <v>134</v>
      </c>
      <c r="M212" s="8"/>
      <c r="N212" s="3" t="s">
        <v>28</v>
      </c>
      <c r="O212" s="3"/>
      <c r="P212" s="8"/>
      <c r="Q212" s="3"/>
      <c r="R212" s="3"/>
      <c r="S212" s="3"/>
      <c r="T212" s="3"/>
    </row>
    <row r="213" spans="1:20" ht="30" customHeight="1">
      <c r="A213" s="4">
        <v>209</v>
      </c>
      <c r="B213" s="4" t="s">
        <v>51</v>
      </c>
      <c r="C213" s="4" t="s">
        <v>799</v>
      </c>
      <c r="D213" s="4"/>
      <c r="E213" s="4" t="s">
        <v>72</v>
      </c>
      <c r="F213" s="6" t="s">
        <v>815</v>
      </c>
      <c r="G213" s="6" t="s">
        <v>816</v>
      </c>
      <c r="H213" s="7" t="inlineStr">
        <is>
          <t xml:space="preserve">SH-FM-QP014-03</t>
        </is>
      </c>
      <c r="I213" s="4"/>
      <c r="J213" s="4" t="s">
        <v>19</v>
      </c>
      <c r="K213" s="4" t="s">
        <v>76</v>
      </c>
      <c r="L213" s="7" t="inlineStr">
        <is>
          <t xml:space="preserve">기존 절차 연계</t>
        </is>
      </c>
      <c r="M213" s="6" t="inlineStr">
        <is>
          <t xml:space="preserve">SH-QP-014(부적합품 및 재작업 관리 절차서)  [확정 2026-09-22: 신규 발견 연계 채택(ratio=0.59) — 품질경영담당 일괄판단, 부서 정식회신 생략]</t>
        </is>
      </c>
      <c r="N213" s="4" t="s">
        <v>28</v>
      </c>
      <c r="O213" s="4"/>
      <c r="P213" s="6" t="inlineStr">
        <is>
          <t xml:space="preserve">※재판정(본문대조) 확정(2026-09-22, 품질경영담당 일괄판단 — 부서 정식회신 없이 처리): 관련 기존 문서란 참고 | FM번호 재부여(2026-09-22, 확정 연계절차 기준): SH-FM-QMS-N37 → SH-FM-QP014-03</t>
        </is>
      </c>
      <c r="Q213" s="4" t="inlineStr">
        <is>
          <t xml:space="preserve">대안 채택</t>
        </is>
      </c>
      <c r="R213" s="4" t="inlineStr">
        <is>
          <t xml:space="preserve">SH-QP-014(부적합품 및 재작업 관리 절차서)</t>
        </is>
      </c>
      <c r="S213" s="4" t="inlineStr">
        <is>
          <t xml:space="preserve">박철호(품질경영 담당, 일괄확정)</t>
        </is>
      </c>
      <c r="T213" s="4" t="inlineStr">
        <is>
          <t xml:space="preserve">2026-09-22</t>
        </is>
      </c>
    </row>
    <row r="214" spans="1:20" ht="30" customHeight="1">
      <c r="A214" s="3">
        <v>210</v>
      </c>
      <c r="B214" s="3" t="s">
        <v>51</v>
      </c>
      <c r="C214" s="3" t="s">
        <v>819</v>
      </c>
      <c r="D214" s="3">
        <v>20</v>
      </c>
      <c r="E214" s="3" t="s">
        <v>72</v>
      </c>
      <c r="F214" s="8" t="s">
        <v>820</v>
      </c>
      <c r="G214" s="8" t="s">
        <v>821</v>
      </c>
      <c r="H214" s="7" t="s">
        <v>822</v>
      </c>
      <c r="I214" s="3" t="s">
        <v>823</v>
      </c>
      <c r="J214" s="3" t="s">
        <v>19</v>
      </c>
      <c r="K214" s="3" t="s">
        <v>824</v>
      </c>
      <c r="L214" s="7" t="s">
        <v>77</v>
      </c>
      <c r="M214" s="8" t="s">
        <v>825</v>
      </c>
      <c r="N214" s="3" t="s">
        <v>30</v>
      </c>
      <c r="O214" s="3"/>
      <c r="P214" s="8"/>
      <c r="Q214" s="3"/>
      <c r="R214" s="3"/>
      <c r="S214" s="3"/>
      <c r="T214" s="3"/>
    </row>
    <row r="215" spans="1:20" ht="30" customHeight="1">
      <c r="A215" s="4">
        <v>211</v>
      </c>
      <c r="B215" s="4" t="s">
        <v>51</v>
      </c>
      <c r="C215" s="4" t="s">
        <v>819</v>
      </c>
      <c r="D215" s="4"/>
      <c r="E215" s="4" t="s">
        <v>72</v>
      </c>
      <c r="F215" s="6" t="s">
        <v>826</v>
      </c>
      <c r="G215" s="6" t="s">
        <v>827</v>
      </c>
      <c r="H215" s="7" t="s">
        <v>828</v>
      </c>
      <c r="I215" s="4"/>
      <c r="J215" s="4" t="s">
        <v>19</v>
      </c>
      <c r="K215" s="4" t="s">
        <v>824</v>
      </c>
      <c r="L215" s="10" t="s">
        <v>134</v>
      </c>
      <c r="M215" s="6"/>
      <c r="N215" s="4" t="s">
        <v>28</v>
      </c>
      <c r="O215" s="4"/>
      <c r="P215" s="6"/>
      <c r="Q215" s="4"/>
      <c r="R215" s="4"/>
      <c r="S215" s="4"/>
      <c r="T215" s="4"/>
    </row>
    <row r="216" spans="1:20" ht="30" customHeight="1">
      <c r="A216" s="3">
        <v>212</v>
      </c>
      <c r="B216" s="3" t="s">
        <v>51</v>
      </c>
      <c r="C216" s="3" t="s">
        <v>819</v>
      </c>
      <c r="D216" s="3"/>
      <c r="E216" s="3" t="s">
        <v>72</v>
      </c>
      <c r="F216" s="8" t="s">
        <v>829</v>
      </c>
      <c r="G216" s="8" t="s">
        <v>830</v>
      </c>
      <c r="H216" s="7" t="s">
        <v>831</v>
      </c>
      <c r="I216" s="3"/>
      <c r="J216" s="3" t="s">
        <v>19</v>
      </c>
      <c r="K216" s="3" t="s">
        <v>824</v>
      </c>
      <c r="L216" s="10" t="s">
        <v>134</v>
      </c>
      <c r="M216" s="8"/>
      <c r="N216" s="3" t="s">
        <v>28</v>
      </c>
      <c r="O216" s="3"/>
      <c r="P216" s="8"/>
      <c r="Q216" s="3"/>
      <c r="R216" s="3"/>
      <c r="S216" s="3"/>
      <c r="T216" s="3"/>
    </row>
    <row r="217" spans="1:20" ht="30" customHeight="1">
      <c r="A217" s="4">
        <v>213</v>
      </c>
      <c r="B217" s="4" t="s">
        <v>51</v>
      </c>
      <c r="C217" s="4" t="s">
        <v>819</v>
      </c>
      <c r="D217" s="4"/>
      <c r="E217" s="4" t="s">
        <v>72</v>
      </c>
      <c r="F217" s="6" t="s">
        <v>832</v>
      </c>
      <c r="G217" s="6" t="s">
        <v>833</v>
      </c>
      <c r="H217" s="7" t="s">
        <v>834</v>
      </c>
      <c r="I217" s="4" t="s">
        <v>835</v>
      </c>
      <c r="J217" s="4" t="s">
        <v>19</v>
      </c>
      <c r="K217" s="4" t="s">
        <v>824</v>
      </c>
      <c r="L217" s="7" t="s">
        <v>77</v>
      </c>
      <c r="M217" s="6" t="s">
        <v>836</v>
      </c>
      <c r="N217" s="4" t="s">
        <v>30</v>
      </c>
      <c r="O217" s="4"/>
      <c r="P217" s="6" t="s">
        <v>79</v>
      </c>
      <c r="Q217" s="4"/>
      <c r="R217" s="4"/>
      <c r="S217" s="4"/>
      <c r="T217" s="4"/>
    </row>
    <row r="218" spans="1:20" ht="30" customHeight="1">
      <c r="A218" s="3">
        <v>214</v>
      </c>
      <c r="B218" s="3" t="s">
        <v>51</v>
      </c>
      <c r="C218" s="3" t="s">
        <v>819</v>
      </c>
      <c r="D218" s="3"/>
      <c r="E218" s="3" t="s">
        <v>72</v>
      </c>
      <c r="F218" s="8"/>
      <c r="G218" s="8" t="s">
        <v>837</v>
      </c>
      <c r="H218" s="7" t="s">
        <v>838</v>
      </c>
      <c r="I218" s="3"/>
      <c r="J218" s="3" t="s">
        <v>19</v>
      </c>
      <c r="K218" s="3" t="s">
        <v>19</v>
      </c>
      <c r="L218" s="10" t="s">
        <v>134</v>
      </c>
      <c r="M218" s="8"/>
      <c r="N218" s="3" t="s">
        <v>28</v>
      </c>
      <c r="O218" s="3"/>
      <c r="P218" s="8"/>
      <c r="Q218" s="3"/>
      <c r="R218" s="3"/>
      <c r="S218" s="3"/>
      <c r="T218" s="3"/>
    </row>
    <row r="219" spans="1:20" ht="30" customHeight="1">
      <c r="A219" s="4">
        <v>215</v>
      </c>
      <c r="B219" s="4" t="s">
        <v>51</v>
      </c>
      <c r="C219" s="4" t="s">
        <v>839</v>
      </c>
      <c r="D219" s="4">
        <v>10</v>
      </c>
      <c r="E219" s="4" t="s">
        <v>122</v>
      </c>
      <c r="F219" s="6" t="s">
        <v>840</v>
      </c>
      <c r="G219" s="6" t="s">
        <v>841</v>
      </c>
      <c r="H219" s="7" t="s">
        <v>842</v>
      </c>
      <c r="I219" s="4"/>
      <c r="J219" s="4" t="s">
        <v>18</v>
      </c>
      <c r="K219" s="4" t="s">
        <v>90</v>
      </c>
      <c r="L219" s="10" t="s">
        <v>134</v>
      </c>
      <c r="M219" s="6"/>
      <c r="N219" s="4" t="s">
        <v>28</v>
      </c>
      <c r="O219" s="4"/>
      <c r="P219" s="6"/>
      <c r="Q219" s="4"/>
      <c r="R219" s="4"/>
      <c r="S219" s="4"/>
      <c r="T219" s="4"/>
    </row>
    <row r="220" spans="1:20" ht="30" customHeight="1">
      <c r="A220" s="3">
        <v>216</v>
      </c>
      <c r="B220" s="3" t="s">
        <v>51</v>
      </c>
      <c r="C220" s="3" t="s">
        <v>839</v>
      </c>
      <c r="D220" s="3"/>
      <c r="E220" s="3" t="s">
        <v>122</v>
      </c>
      <c r="F220" s="8" t="s">
        <v>843</v>
      </c>
      <c r="G220" s="8" t="s">
        <v>844</v>
      </c>
      <c r="H220" s="7" t="s">
        <v>845</v>
      </c>
      <c r="I220" s="3"/>
      <c r="J220" s="3" t="s">
        <v>18</v>
      </c>
      <c r="K220" s="3" t="s">
        <v>90</v>
      </c>
      <c r="L220" s="7" t="s">
        <v>77</v>
      </c>
      <c r="M220" s="8" t="s">
        <v>332</v>
      </c>
      <c r="N220" s="3" t="s">
        <v>30</v>
      </c>
      <c r="O220" s="3"/>
      <c r="P220" s="8" t="s">
        <v>79</v>
      </c>
      <c r="Q220" s="3"/>
      <c r="R220" s="3"/>
      <c r="S220" s="3"/>
      <c r="T220" s="3"/>
    </row>
    <row r="221" spans="1:20" ht="30" customHeight="1">
      <c r="A221" s="4">
        <v>217</v>
      </c>
      <c r="B221" s="4" t="s">
        <v>51</v>
      </c>
      <c r="C221" s="4" t="s">
        <v>839</v>
      </c>
      <c r="D221" s="4"/>
      <c r="E221" s="4" t="s">
        <v>122</v>
      </c>
      <c r="F221" s="6"/>
      <c r="G221" s="6" t="s">
        <v>846</v>
      </c>
      <c r="H221" s="7" t="s">
        <v>847</v>
      </c>
      <c r="I221" s="4" t="s">
        <v>848</v>
      </c>
      <c r="J221" s="4" t="s">
        <v>18</v>
      </c>
      <c r="K221" s="4" t="s">
        <v>90</v>
      </c>
      <c r="L221" s="10" t="s">
        <v>134</v>
      </c>
      <c r="M221" s="6"/>
      <c r="N221" s="4" t="s">
        <v>28</v>
      </c>
      <c r="O221" s="4"/>
      <c r="P221" s="6"/>
      <c r="Q221" s="4"/>
      <c r="R221" s="4"/>
      <c r="S221" s="4"/>
      <c r="T221" s="4"/>
    </row>
    <row r="222" spans="1:20" ht="30" customHeight="1">
      <c r="A222" s="3">
        <v>218</v>
      </c>
      <c r="B222" s="3" t="s">
        <v>51</v>
      </c>
      <c r="C222" s="3" t="s">
        <v>839</v>
      </c>
      <c r="D222" s="3"/>
      <c r="E222" s="3" t="s">
        <v>122</v>
      </c>
      <c r="F222" s="8"/>
      <c r="G222" s="8" t="s">
        <v>849</v>
      </c>
      <c r="H222" s="7" t="s">
        <v>850</v>
      </c>
      <c r="I222" s="3"/>
      <c r="J222" s="3" t="s">
        <v>18</v>
      </c>
      <c r="K222" s="3" t="s">
        <v>90</v>
      </c>
      <c r="L222" s="10" t="s">
        <v>134</v>
      </c>
      <c r="M222" s="8"/>
      <c r="N222" s="3" t="s">
        <v>29</v>
      </c>
      <c r="O222" s="3"/>
      <c r="P222" s="8"/>
      <c r="Q222" s="3"/>
      <c r="R222" s="3"/>
      <c r="S222" s="3"/>
      <c r="T222" s="3"/>
    </row>
    <row r="223" spans="1:20" ht="30" customHeight="1">
      <c r="A223" s="4">
        <v>219</v>
      </c>
      <c r="B223" s="4" t="s">
        <v>51</v>
      </c>
      <c r="C223" s="4" t="s">
        <v>851</v>
      </c>
      <c r="D223" s="4">
        <v>10</v>
      </c>
      <c r="E223" s="4" t="s">
        <v>122</v>
      </c>
      <c r="F223" s="6" t="s">
        <v>852</v>
      </c>
      <c r="G223" s="6" t="s">
        <v>853</v>
      </c>
      <c r="H223" s="7" t="inlineStr">
        <is>
          <t xml:space="preserve">SH-FM-QP001-01</t>
        </is>
      </c>
      <c r="I223" s="4"/>
      <c r="J223" s="4" t="s">
        <v>18</v>
      </c>
      <c r="K223" s="4" t="s">
        <v>90</v>
      </c>
      <c r="L223" s="7" t="inlineStr">
        <is>
          <t xml:space="preserve">기존 절차 연계</t>
        </is>
      </c>
      <c r="M223" s="6" t="inlineStr">
        <is>
          <t xml:space="preserve">SH-QP-001(경영검토 절차서)  [확정 2026-09-22: 신규 발견 연계 채택(ratio=0.69) — 품질경영담당 일괄판단, 부서 정식회신 생략]</t>
        </is>
      </c>
      <c r="N223" s="4" t="s">
        <v>29</v>
      </c>
      <c r="O223" s="4"/>
      <c r="P223" s="6" t="inlineStr">
        <is>
          <t xml:space="preserve">※재판정(본문대조) 확정(2026-09-22, 품질경영담당 일괄판단 — 부서 정식회신 없이 처리): 관련 기존 문서란 참고 ⚠현장 실제 서식과 반드시 대조 확인 필요(철호님 직접 확인 권장) | FM번호 재부여(2026-09-22, 확정 연계절차 기준): SH-FM-QMS-N44 → SH-FM-QP001-01</t>
        </is>
      </c>
      <c r="Q223" s="4" t="inlineStr">
        <is>
          <t xml:space="preserve">대안 채택</t>
        </is>
      </c>
      <c r="R223" s="4" t="inlineStr">
        <is>
          <t xml:space="preserve">SH-QP-001(경영검토 절차서)</t>
        </is>
      </c>
      <c r="S223" s="4" t="inlineStr">
        <is>
          <t xml:space="preserve">박철호(품질경영 담당, 일괄확정)</t>
        </is>
      </c>
      <c r="T223" s="4" t="inlineStr">
        <is>
          <t xml:space="preserve">2026-09-22</t>
        </is>
      </c>
    </row>
    <row r="224" spans="1:20" ht="30" customHeight="1">
      <c r="A224" s="3">
        <v>220</v>
      </c>
      <c r="B224" s="3" t="s">
        <v>51</v>
      </c>
      <c r="C224" s="3" t="s">
        <v>851</v>
      </c>
      <c r="D224" s="3"/>
      <c r="E224" s="3" t="s">
        <v>122</v>
      </c>
      <c r="F224" s="8" t="s">
        <v>856</v>
      </c>
      <c r="G224" s="8" t="s">
        <v>857</v>
      </c>
      <c r="H224" s="7" t="s">
        <v>858</v>
      </c>
      <c r="I224" s="3"/>
      <c r="J224" s="3" t="s">
        <v>18</v>
      </c>
      <c r="K224" s="3" t="s">
        <v>90</v>
      </c>
      <c r="L224" s="7" t="s">
        <v>77</v>
      </c>
      <c r="M224" s="8" t="s">
        <v>859</v>
      </c>
      <c r="N224" s="3" t="s">
        <v>30</v>
      </c>
      <c r="O224" s="3"/>
      <c r="P224" s="8" t="s">
        <v>79</v>
      </c>
      <c r="Q224" s="3"/>
      <c r="R224" s="3"/>
      <c r="S224" s="3"/>
      <c r="T224" s="3"/>
    </row>
    <row r="225" spans="1:20" ht="30" customHeight="1">
      <c r="A225" s="4">
        <v>221</v>
      </c>
      <c r="B225" s="4" t="s">
        <v>51</v>
      </c>
      <c r="C225" s="4" t="s">
        <v>851</v>
      </c>
      <c r="D225" s="4"/>
      <c r="E225" s="4" t="s">
        <v>122</v>
      </c>
      <c r="F225" s="6" t="s">
        <v>860</v>
      </c>
      <c r="G225" s="6" t="s">
        <v>861</v>
      </c>
      <c r="H225" s="7" t="s">
        <v>862</v>
      </c>
      <c r="I225" s="4"/>
      <c r="J225" s="4" t="s">
        <v>18</v>
      </c>
      <c r="K225" s="4" t="s">
        <v>90</v>
      </c>
      <c r="L225" s="10" t="s">
        <v>134</v>
      </c>
      <c r="M225" s="6"/>
      <c r="N225" s="4" t="s">
        <v>29</v>
      </c>
      <c r="O225" s="4"/>
      <c r="P225" s="6"/>
      <c r="Q225" s="4"/>
      <c r="R225" s="4"/>
      <c r="S225" s="4"/>
      <c r="T225" s="4"/>
    </row>
    <row r="226" spans="1:20" ht="30" customHeight="1">
      <c r="A226" s="3">
        <v>222</v>
      </c>
      <c r="B226" s="3" t="s">
        <v>51</v>
      </c>
      <c r="C226" s="3" t="s">
        <v>851</v>
      </c>
      <c r="D226" s="3"/>
      <c r="E226" s="3" t="s">
        <v>122</v>
      </c>
      <c r="F226" s="8"/>
      <c r="G226" s="8" t="s">
        <v>863</v>
      </c>
      <c r="H226" s="7" t="inlineStr">
        <is>
          <t xml:space="preserve">SH-FM-WI001-06</t>
        </is>
      </c>
      <c r="I226" s="3"/>
      <c r="J226" s="3" t="s">
        <v>18</v>
      </c>
      <c r="K226" s="3" t="s">
        <v>90</v>
      </c>
      <c r="L226" s="7" t="inlineStr">
        <is>
          <t xml:space="preserve">기존 절차 연계</t>
        </is>
      </c>
      <c r="M226" s="8" t="inlineStr">
        <is>
          <t xml:space="preserve">SH-WI-001(생산 작업준비 및 초품확인 표준)  [확정 2026-09-22: 신규 발견 연계 채택(ratio=0.57) — 품질경영담당 일괄판단, 부서 정식회신 생략]</t>
        </is>
      </c>
      <c r="N226" s="3" t="s">
        <v>29</v>
      </c>
      <c r="O226" s="3"/>
      <c r="P226" s="8" t="inlineStr">
        <is>
          <t xml:space="preserve">※재판정(본문대조) 확정(2026-09-22, 품질경영담당 일괄판단 — 부서 정식회신 없이 처리): 관련 기존 문서란 참고 | FM번호 재부여(2026-09-22, 확정 연계절차 기준): SH-FM-QMS-N46 → SH-FM-WI001-06</t>
        </is>
      </c>
      <c r="Q226" s="3" t="inlineStr">
        <is>
          <t xml:space="preserve">대안 채택</t>
        </is>
      </c>
      <c r="R226" s="3" t="inlineStr">
        <is>
          <t xml:space="preserve">SH-WI-001(생산 작업준비 및 초품확인 표준)</t>
        </is>
      </c>
      <c r="S226" s="3" t="inlineStr">
        <is>
          <t xml:space="preserve">박철호(품질경영 담당, 일괄확정)</t>
        </is>
      </c>
      <c r="T226" s="3" t="inlineStr">
        <is>
          <t xml:space="preserve">2026-09-22</t>
        </is>
      </c>
    </row>
    <row r="227" spans="1:20" ht="30" customHeight="1">
      <c r="A227" s="4">
        <v>223</v>
      </c>
      <c r="B227" s="4" t="s">
        <v>51</v>
      </c>
      <c r="C227" s="4" t="s">
        <v>851</v>
      </c>
      <c r="D227" s="4"/>
      <c r="E227" s="4" t="s">
        <v>122</v>
      </c>
      <c r="F227" s="6"/>
      <c r="G227" s="6" t="s">
        <v>866</v>
      </c>
      <c r="H227" s="7" t="s">
        <v>867</v>
      </c>
      <c r="I227" s="4"/>
      <c r="J227" s="4" t="s">
        <v>18</v>
      </c>
      <c r="K227" s="4" t="s">
        <v>90</v>
      </c>
      <c r="L227" s="10" t="s">
        <v>134</v>
      </c>
      <c r="M227" s="6"/>
      <c r="N227" s="4" t="s">
        <v>29</v>
      </c>
      <c r="O227" s="4"/>
      <c r="P227" s="6"/>
      <c r="Q227" s="4"/>
      <c r="R227" s="4"/>
      <c r="S227" s="4"/>
      <c r="T227" s="4"/>
    </row>
    <row r="228" spans="1:20" ht="30" customHeight="1">
      <c r="A228" s="3">
        <v>224</v>
      </c>
      <c r="B228" s="3" t="s">
        <v>51</v>
      </c>
      <c r="C228" s="3" t="s">
        <v>868</v>
      </c>
      <c r="D228" s="3">
        <v>10</v>
      </c>
      <c r="E228" s="3" t="s">
        <v>122</v>
      </c>
      <c r="F228" s="8" t="s">
        <v>869</v>
      </c>
      <c r="G228" s="8" t="s">
        <v>870</v>
      </c>
      <c r="H228" s="7" t="s">
        <v>871</v>
      </c>
      <c r="I228" s="3" t="s">
        <v>872</v>
      </c>
      <c r="J228" s="3" t="s">
        <v>19</v>
      </c>
      <c r="K228" s="3" t="s">
        <v>226</v>
      </c>
      <c r="L228" s="10" t="s">
        <v>134</v>
      </c>
      <c r="M228" s="8"/>
      <c r="N228" s="3" t="s">
        <v>29</v>
      </c>
      <c r="O228" s="3"/>
      <c r="P228" s="8"/>
      <c r="Q228" s="3"/>
      <c r="R228" s="3"/>
      <c r="S228" s="3"/>
      <c r="T228" s="3"/>
    </row>
    <row r="229" spans="1:20" ht="30" customHeight="1">
      <c r="A229" s="4">
        <v>225</v>
      </c>
      <c r="B229" s="4" t="s">
        <v>51</v>
      </c>
      <c r="C229" s="4" t="s">
        <v>868</v>
      </c>
      <c r="D229" s="4"/>
      <c r="E229" s="4" t="s">
        <v>122</v>
      </c>
      <c r="F229" s="6" t="s">
        <v>873</v>
      </c>
      <c r="G229" s="6" t="s">
        <v>874</v>
      </c>
      <c r="H229" s="7" t="s">
        <v>875</v>
      </c>
      <c r="I229" s="4"/>
      <c r="J229" s="4" t="s">
        <v>19</v>
      </c>
      <c r="K229" s="4" t="s">
        <v>226</v>
      </c>
      <c r="L229" s="7" t="s">
        <v>77</v>
      </c>
      <c r="M229" s="6" t="s">
        <v>876</v>
      </c>
      <c r="N229" s="4" t="s">
        <v>30</v>
      </c>
      <c r="O229" s="4"/>
      <c r="P229" s="6" t="s">
        <v>79</v>
      </c>
      <c r="Q229" s="4"/>
      <c r="R229" s="4"/>
      <c r="S229" s="4"/>
      <c r="T229" s="4"/>
    </row>
    <row r="230" spans="1:20" ht="30" customHeight="1">
      <c r="A230" s="3">
        <v>226</v>
      </c>
      <c r="B230" s="3" t="s">
        <v>51</v>
      </c>
      <c r="C230" s="3" t="s">
        <v>868</v>
      </c>
      <c r="D230" s="3"/>
      <c r="E230" s="3" t="s">
        <v>122</v>
      </c>
      <c r="F230" s="8" t="s">
        <v>877</v>
      </c>
      <c r="G230" s="8" t="s">
        <v>878</v>
      </c>
      <c r="H230" s="7" t="s">
        <v>879</v>
      </c>
      <c r="I230" s="3"/>
      <c r="J230" s="3" t="s">
        <v>19</v>
      </c>
      <c r="K230" s="3" t="s">
        <v>226</v>
      </c>
      <c r="L230" s="10" t="s">
        <v>134</v>
      </c>
      <c r="M230" s="8"/>
      <c r="N230" s="3" t="s">
        <v>29</v>
      </c>
      <c r="O230" s="3"/>
      <c r="P230" s="8"/>
      <c r="Q230" s="3"/>
      <c r="R230" s="3"/>
      <c r="S230" s="3"/>
      <c r="T230" s="3"/>
    </row>
    <row r="231" spans="1:20" ht="30" customHeight="1">
      <c r="A231" s="4">
        <v>227</v>
      </c>
      <c r="B231" s="4" t="s">
        <v>51</v>
      </c>
      <c r="C231" s="4" t="s">
        <v>880</v>
      </c>
      <c r="D231" s="4">
        <v>10</v>
      </c>
      <c r="E231" s="4" t="s">
        <v>122</v>
      </c>
      <c r="F231" s="6" t="s">
        <v>881</v>
      </c>
      <c r="G231" s="6" t="s">
        <v>882</v>
      </c>
      <c r="H231" s="7" t="s">
        <v>883</v>
      </c>
      <c r="I231" s="4"/>
      <c r="J231" s="4" t="s">
        <v>18</v>
      </c>
      <c r="K231" s="4" t="s">
        <v>90</v>
      </c>
      <c r="L231" s="7" t="s">
        <v>77</v>
      </c>
      <c r="M231" s="6" t="s">
        <v>884</v>
      </c>
      <c r="N231" s="4" t="s">
        <v>30</v>
      </c>
      <c r="O231" s="4"/>
      <c r="P231" s="6" t="s">
        <v>79</v>
      </c>
      <c r="Q231" s="4"/>
      <c r="R231" s="4"/>
      <c r="S231" s="4"/>
      <c r="T231" s="4"/>
    </row>
    <row r="232" spans="1:20" ht="30" customHeight="1">
      <c r="A232" s="3">
        <v>228</v>
      </c>
      <c r="B232" s="3" t="s">
        <v>51</v>
      </c>
      <c r="C232" s="3" t="s">
        <v>880</v>
      </c>
      <c r="D232" s="3"/>
      <c r="E232" s="3" t="s">
        <v>122</v>
      </c>
      <c r="F232" s="8" t="s">
        <v>885</v>
      </c>
      <c r="G232" s="8" t="s">
        <v>886</v>
      </c>
      <c r="H232" s="7" t="s">
        <v>887</v>
      </c>
      <c r="I232" s="3" t="s">
        <v>888</v>
      </c>
      <c r="J232" s="3" t="s">
        <v>18</v>
      </c>
      <c r="K232" s="3" t="s">
        <v>90</v>
      </c>
      <c r="L232" s="7" t="s">
        <v>77</v>
      </c>
      <c r="M232" s="8" t="s">
        <v>889</v>
      </c>
      <c r="N232" s="3" t="s">
        <v>30</v>
      </c>
      <c r="O232" s="3"/>
      <c r="P232" s="8" t="s">
        <v>79</v>
      </c>
      <c r="Q232" s="3"/>
      <c r="R232" s="3"/>
      <c r="S232" s="3"/>
      <c r="T232" s="3"/>
    </row>
    <row r="233" spans="1:20" ht="30" customHeight="1">
      <c r="A233" s="4">
        <v>229</v>
      </c>
      <c r="B233" s="4" t="s">
        <v>51</v>
      </c>
      <c r="C233" s="4" t="s">
        <v>880</v>
      </c>
      <c r="D233" s="4"/>
      <c r="E233" s="4" t="s">
        <v>122</v>
      </c>
      <c r="F233" s="6" t="s">
        <v>890</v>
      </c>
      <c r="G233" s="6" t="s">
        <v>891</v>
      </c>
      <c r="H233" s="7" t="s">
        <v>892</v>
      </c>
      <c r="I233" s="4"/>
      <c r="J233" s="4" t="s">
        <v>18</v>
      </c>
      <c r="K233" s="4" t="s">
        <v>90</v>
      </c>
      <c r="L233" s="7" t="s">
        <v>77</v>
      </c>
      <c r="M233" s="6" t="s">
        <v>893</v>
      </c>
      <c r="N233" s="4" t="s">
        <v>30</v>
      </c>
      <c r="O233" s="4"/>
      <c r="P233" s="6"/>
      <c r="Q233" s="4"/>
      <c r="R233" s="4"/>
      <c r="S233" s="4"/>
      <c r="T233" s="4"/>
    </row>
    <row r="234" spans="1:20" ht="30" customHeight="1">
      <c r="A234" s="3">
        <v>230</v>
      </c>
      <c r="B234" s="3" t="s">
        <v>51</v>
      </c>
      <c r="C234" s="3" t="s">
        <v>880</v>
      </c>
      <c r="D234" s="3"/>
      <c r="E234" s="3" t="s">
        <v>122</v>
      </c>
      <c r="F234" s="8" t="s">
        <v>894</v>
      </c>
      <c r="G234" s="8" t="s">
        <v>895</v>
      </c>
      <c r="H234" s="7" t="s">
        <v>896</v>
      </c>
      <c r="I234" s="3"/>
      <c r="J234" s="3" t="s">
        <v>18</v>
      </c>
      <c r="K234" s="3" t="s">
        <v>90</v>
      </c>
      <c r="L234" s="7" t="s">
        <v>77</v>
      </c>
      <c r="M234" s="8" t="s">
        <v>897</v>
      </c>
      <c r="N234" s="3" t="s">
        <v>30</v>
      </c>
      <c r="O234" s="3"/>
      <c r="P234" s="8" t="s">
        <v>79</v>
      </c>
      <c r="Q234" s="3"/>
      <c r="R234" s="3"/>
      <c r="S234" s="3"/>
      <c r="T234" s="3"/>
    </row>
    <row r="235" spans="1:20" ht="30" customHeight="1">
      <c r="A235" s="4">
        <v>231</v>
      </c>
      <c r="B235" s="4" t="s">
        <v>51</v>
      </c>
      <c r="C235" s="4" t="s">
        <v>880</v>
      </c>
      <c r="D235" s="4"/>
      <c r="E235" s="4" t="s">
        <v>122</v>
      </c>
      <c r="F235" s="6" t="s">
        <v>898</v>
      </c>
      <c r="G235" s="6" t="s">
        <v>899</v>
      </c>
      <c r="H235" s="7" t="s">
        <v>900</v>
      </c>
      <c r="I235" s="4"/>
      <c r="J235" s="4" t="s">
        <v>18</v>
      </c>
      <c r="K235" s="4" t="s">
        <v>90</v>
      </c>
      <c r="L235" s="7" t="s">
        <v>77</v>
      </c>
      <c r="M235" s="6" t="s">
        <v>901</v>
      </c>
      <c r="N235" s="4" t="s">
        <v>30</v>
      </c>
      <c r="O235" s="4"/>
      <c r="P235" s="6"/>
      <c r="Q235" s="4"/>
      <c r="R235" s="4"/>
      <c r="S235" s="4"/>
      <c r="T235" s="4"/>
    </row>
    <row r="236" spans="1:20" ht="30" customHeight="1">
      <c r="A236" s="3">
        <v>232</v>
      </c>
      <c r="B236" s="3" t="s">
        <v>51</v>
      </c>
      <c r="C236" s="3" t="s">
        <v>880</v>
      </c>
      <c r="D236" s="3"/>
      <c r="E236" s="3" t="s">
        <v>122</v>
      </c>
      <c r="F236" s="8" t="s">
        <v>902</v>
      </c>
      <c r="G236" s="8" t="s">
        <v>903</v>
      </c>
      <c r="H236" s="7" t="s">
        <v>904</v>
      </c>
      <c r="I236" s="3"/>
      <c r="J236" s="3" t="s">
        <v>19</v>
      </c>
      <c r="K236" s="3" t="s">
        <v>76</v>
      </c>
      <c r="L236" s="7" t="s">
        <v>77</v>
      </c>
      <c r="M236" s="8" t="s">
        <v>905</v>
      </c>
      <c r="N236" s="3" t="s">
        <v>30</v>
      </c>
      <c r="O236" s="3"/>
      <c r="P236" s="8"/>
      <c r="Q236" s="3"/>
      <c r="R236" s="3"/>
      <c r="S236" s="3"/>
      <c r="T236" s="3"/>
    </row>
    <row r="237" spans="1:20" ht="30" customHeight="1">
      <c r="A237" s="4">
        <v>233</v>
      </c>
      <c r="B237" s="4" t="s">
        <v>51</v>
      </c>
      <c r="C237" s="4" t="s">
        <v>880</v>
      </c>
      <c r="D237" s="4"/>
      <c r="E237" s="4" t="s">
        <v>122</v>
      </c>
      <c r="F237" s="6" t="s">
        <v>906</v>
      </c>
      <c r="G237" s="6" t="s">
        <v>907</v>
      </c>
      <c r="H237" s="7" t="s">
        <v>908</v>
      </c>
      <c r="I237" s="4"/>
      <c r="J237" s="4" t="s">
        <v>18</v>
      </c>
      <c r="K237" s="4" t="s">
        <v>909</v>
      </c>
      <c r="L237" s="7" t="s">
        <v>77</v>
      </c>
      <c r="M237" s="6" t="s">
        <v>910</v>
      </c>
      <c r="N237" s="4" t="s">
        <v>30</v>
      </c>
      <c r="O237" s="4"/>
      <c r="P237" s="6" t="s">
        <v>79</v>
      </c>
      <c r="Q237" s="4"/>
      <c r="R237" s="4"/>
      <c r="S237" s="4"/>
      <c r="T237" s="4"/>
    </row>
    <row r="238" spans="1:20" ht="30" customHeight="1">
      <c r="A238" s="3">
        <v>234</v>
      </c>
      <c r="B238" s="3" t="s">
        <v>51</v>
      </c>
      <c r="C238" s="3" t="s">
        <v>880</v>
      </c>
      <c r="D238" s="3"/>
      <c r="E238" s="3" t="s">
        <v>122</v>
      </c>
      <c r="F238" s="8"/>
      <c r="G238" s="8" t="s">
        <v>911</v>
      </c>
      <c r="H238" s="7" t="inlineStr">
        <is>
          <t xml:space="preserve">SH-FM-QP006-06</t>
        </is>
      </c>
      <c r="I238" s="3"/>
      <c r="J238" s="3" t="s">
        <v>18</v>
      </c>
      <c r="K238" s="3" t="s">
        <v>909</v>
      </c>
      <c r="L238" s="7" t="inlineStr">
        <is>
          <t xml:space="preserve">기존 절차 연계</t>
        </is>
      </c>
      <c r="M238" s="8" t="inlineStr">
        <is>
          <t xml:space="preserve">SH-QP-006(교육훈련 및 역량관리 절차서)  [확정 2026-09-22: 신규 발견 연계 채택(ratio=0.89) — 품질경영담당 일괄판단, 부서 정식회신 생략]</t>
        </is>
      </c>
      <c r="N238" s="3" t="s">
        <v>29</v>
      </c>
      <c r="O238" s="3"/>
      <c r="P238" s="8" t="inlineStr">
        <is>
          <t xml:space="preserve">※재판정(본문대조) 확정(2026-09-22, 품질경영담당 일괄판단 — 부서 정식회신 없이 처리): 관련 기존 문서란 참고 | FM번호 재부여(2026-09-22, 확정 연계절차 기준): SH-FM-QMS-N50 → SH-FM-QP006-06</t>
        </is>
      </c>
      <c r="Q238" s="3" t="inlineStr">
        <is>
          <t xml:space="preserve">대안 채택</t>
        </is>
      </c>
      <c r="R238" s="3" t="inlineStr">
        <is>
          <t xml:space="preserve">SH-QP-006(교육훈련 및 역량관리 절차서)</t>
        </is>
      </c>
      <c r="S238" s="3" t="inlineStr">
        <is>
          <t xml:space="preserve">박철호(품질경영 담당, 일괄확정)</t>
        </is>
      </c>
      <c r="T238" s="3" t="inlineStr">
        <is>
          <t xml:space="preserve">2026-09-22</t>
        </is>
      </c>
    </row>
    <row r="239" spans="1:20" ht="30" customHeight="1">
      <c r="A239" s="4">
        <v>235</v>
      </c>
      <c r="B239" s="4" t="s">
        <v>51</v>
      </c>
      <c r="C239" s="4" t="s">
        <v>914</v>
      </c>
      <c r="D239" s="4">
        <v>20</v>
      </c>
      <c r="E239" s="4" t="s">
        <v>72</v>
      </c>
      <c r="F239" s="6" t="s">
        <v>915</v>
      </c>
      <c r="G239" s="6" t="s">
        <v>916</v>
      </c>
      <c r="H239" s="7" t="s">
        <v>917</v>
      </c>
      <c r="I239" s="4"/>
      <c r="J239" s="4" t="s">
        <v>19</v>
      </c>
      <c r="K239" s="4" t="s">
        <v>226</v>
      </c>
      <c r="L239" s="10" t="s">
        <v>134</v>
      </c>
      <c r="M239" s="6"/>
      <c r="N239" s="4" t="s">
        <v>28</v>
      </c>
      <c r="O239" s="4"/>
      <c r="P239" s="6"/>
      <c r="Q239" s="4"/>
      <c r="R239" s="4"/>
      <c r="S239" s="4"/>
      <c r="T239" s="4"/>
    </row>
    <row r="240" spans="1:20" ht="30" customHeight="1">
      <c r="A240" s="3">
        <v>236</v>
      </c>
      <c r="B240" s="3" t="s">
        <v>51</v>
      </c>
      <c r="C240" s="3" t="s">
        <v>914</v>
      </c>
      <c r="D240" s="3"/>
      <c r="E240" s="3" t="s">
        <v>72</v>
      </c>
      <c r="F240" s="8" t="s">
        <v>918</v>
      </c>
      <c r="G240" s="8" t="s">
        <v>919</v>
      </c>
      <c r="H240" s="7" t="s">
        <v>920</v>
      </c>
      <c r="I240" s="3"/>
      <c r="J240" s="3" t="s">
        <v>19</v>
      </c>
      <c r="K240" s="3" t="s">
        <v>226</v>
      </c>
      <c r="L240" s="10" t="s">
        <v>134</v>
      </c>
      <c r="M240" s="8"/>
      <c r="N240" s="3" t="s">
        <v>28</v>
      </c>
      <c r="O240" s="3"/>
      <c r="P240" s="8"/>
      <c r="Q240" s="3"/>
      <c r="R240" s="3"/>
      <c r="S240" s="3"/>
      <c r="T240" s="3"/>
    </row>
    <row r="241" spans="1:20" ht="30" customHeight="1">
      <c r="A241" s="4">
        <v>237</v>
      </c>
      <c r="B241" s="4" t="s">
        <v>51</v>
      </c>
      <c r="C241" s="4" t="s">
        <v>914</v>
      </c>
      <c r="D241" s="4"/>
      <c r="E241" s="4" t="s">
        <v>72</v>
      </c>
      <c r="F241" s="6" t="s">
        <v>921</v>
      </c>
      <c r="G241" s="6" t="s">
        <v>922</v>
      </c>
      <c r="H241" s="7" t="s">
        <v>923</v>
      </c>
      <c r="I241" s="4"/>
      <c r="J241" s="4" t="s">
        <v>19</v>
      </c>
      <c r="K241" s="4" t="s">
        <v>226</v>
      </c>
      <c r="L241" s="10" t="s">
        <v>134</v>
      </c>
      <c r="M241" s="6"/>
      <c r="N241" s="4" t="s">
        <v>28</v>
      </c>
      <c r="O241" s="4"/>
      <c r="P241" s="6"/>
      <c r="Q241" s="4"/>
      <c r="R241" s="4"/>
      <c r="S241" s="4"/>
      <c r="T241" s="4"/>
    </row>
    <row r="242" spans="1:20" ht="30" customHeight="1">
      <c r="A242" s="3">
        <v>238</v>
      </c>
      <c r="B242" s="3" t="s">
        <v>51</v>
      </c>
      <c r="C242" s="3" t="s">
        <v>914</v>
      </c>
      <c r="D242" s="3"/>
      <c r="E242" s="3" t="s">
        <v>72</v>
      </c>
      <c r="F242" s="8" t="s">
        <v>924</v>
      </c>
      <c r="G242" s="8" t="s">
        <v>925</v>
      </c>
      <c r="H242" s="7" t="s">
        <v>926</v>
      </c>
      <c r="I242" s="3" t="s">
        <v>927</v>
      </c>
      <c r="J242" s="3" t="s">
        <v>19</v>
      </c>
      <c r="K242" s="3" t="s">
        <v>226</v>
      </c>
      <c r="L242" s="10" t="s">
        <v>134</v>
      </c>
      <c r="M242" s="8"/>
      <c r="N242" s="3" t="s">
        <v>28</v>
      </c>
      <c r="O242" s="3"/>
      <c r="P242" s="8"/>
      <c r="Q242" s="3"/>
      <c r="R242" s="3"/>
      <c r="S242" s="3"/>
      <c r="T242" s="3"/>
    </row>
    <row r="243" spans="1:20" ht="30" customHeight="1">
      <c r="A243" s="4">
        <v>239</v>
      </c>
      <c r="B243" s="4" t="s">
        <v>51</v>
      </c>
      <c r="C243" s="4" t="s">
        <v>914</v>
      </c>
      <c r="D243" s="4"/>
      <c r="E243" s="4" t="s">
        <v>72</v>
      </c>
      <c r="F243" s="6" t="s">
        <v>928</v>
      </c>
      <c r="G243" s="6" t="s">
        <v>929</v>
      </c>
      <c r="H243" s="7" t="s">
        <v>930</v>
      </c>
      <c r="I243" s="4" t="s">
        <v>931</v>
      </c>
      <c r="J243" s="4" t="s">
        <v>19</v>
      </c>
      <c r="K243" s="4" t="s">
        <v>226</v>
      </c>
      <c r="L243" s="7" t="s">
        <v>77</v>
      </c>
      <c r="M243" s="6" t="s">
        <v>932</v>
      </c>
      <c r="N243" s="4" t="s">
        <v>30</v>
      </c>
      <c r="O243" s="4"/>
      <c r="P243" s="6"/>
      <c r="Q243" s="4"/>
      <c r="R243" s="4"/>
      <c r="S243" s="4"/>
      <c r="T243" s="4"/>
    </row>
    <row r="244" spans="1:20" ht="30" customHeight="1">
      <c r="A244" s="3">
        <v>240</v>
      </c>
      <c r="B244" s="3" t="s">
        <v>51</v>
      </c>
      <c r="C244" s="3" t="s">
        <v>914</v>
      </c>
      <c r="D244" s="3"/>
      <c r="E244" s="3" t="s">
        <v>72</v>
      </c>
      <c r="F244" s="8" t="s">
        <v>933</v>
      </c>
      <c r="G244" s="8" t="s">
        <v>934</v>
      </c>
      <c r="H244" s="7" t="s">
        <v>935</v>
      </c>
      <c r="I244" s="3"/>
      <c r="J244" s="3" t="s">
        <v>19</v>
      </c>
      <c r="K244" s="3" t="s">
        <v>226</v>
      </c>
      <c r="L244" s="10" t="s">
        <v>134</v>
      </c>
      <c r="M244" s="8"/>
      <c r="N244" s="3" t="s">
        <v>28</v>
      </c>
      <c r="O244" s="3"/>
      <c r="P244" s="8"/>
      <c r="Q244" s="3"/>
      <c r="R244" s="3"/>
      <c r="S244" s="3"/>
      <c r="T244" s="3"/>
    </row>
  </sheetData>
  <autoFilter ref="A4:T244" xr:uid="{00000000-0009-0000-0000-000002000000}"/>
  <mergeCells count="3">
    <mergeCell ref="A1:T1"/>
    <mergeCell ref="A3:T3"/>
    <mergeCell ref="A2:T2"/>
  </mergeCells>
  <phoneticPr fontId="15" type="noConversion"/>
  <dataValidations count="2">
    <dataValidation type="list" allowBlank="1" sqref="O5:O244" xr:uid="{00000000-0002-0000-0200-000000000000}">
      <formula1>"미착수,진행중,완료,해당없음"</formula1>
    </dataValidation>
    <dataValidation type="list" allowBlank="1" sqref="Q6 Q10 Q13 Q18 Q19 Q23 Q28 Q29 Q30 Q37 Q38 Q48 Q52 Q79 Q80 Q88 Q90 Q97 Q98 Q118 Q121 Q128 Q131 Q132 Q136 Q144 Q158 Q169 Q177 Q182 Q186 Q190 Q191 Q196 Q197 Q205 Q211 Q213 Q223 Q226 Q238" xr:uid="{00000000-0002-0000-0200-000000000001}">
      <formula1>"대안 채택,기존 유지,신규 작성 유지,추가확인 필요"</formula1>
    </dataValidation>
  </dataValidations>
  <pageMargins left="0.75" right="0.75" top="1" bottom="1" header="0.5" footer="0.5"/>
  <pageSetup paperSize="8" scale="7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8"/>
  <sheetViews>
    <sheetView showGridLines="0" workbookViewId="0">
      <pane ySplit="4" topLeftCell="A5" activePane="bottomLeft" state="frozen"/>
      <selection pane="bottomLeft" activeCell="F16" sqref="F16"/>
    </sheetView>
  </sheetViews>
  <sheetFormatPr defaultRowHeight="16.5"/>
  <cols>
    <col min="1" max="1" width="5" customWidth="1"/>
    <col min="2" max="2" width="8" customWidth="1"/>
    <col min="3" max="3" width="13" customWidth="1"/>
    <col min="4" max="4" width="7" customWidth="1"/>
    <col min="5" max="5" width="13" customWidth="1"/>
    <col min="6" max="6" width="36" customWidth="1"/>
    <col min="7" max="7" width="28" customWidth="1"/>
    <col min="8" max="8" width="10" customWidth="1"/>
    <col min="9" max="9" width="9" customWidth="1"/>
    <col min="10" max="10" width="13" customWidth="1"/>
    <col min="11" max="11" width="10" customWidth="1"/>
    <col min="12" max="12" width="16" customWidth="1"/>
  </cols>
  <sheetData>
    <row r="1" spans="1:12" ht="26.1" customHeight="1">
      <c r="A1" s="24" t="s">
        <v>936</v>
      </c>
      <c r="B1" s="25"/>
      <c r="C1" s="25"/>
      <c r="D1" s="25"/>
      <c r="E1" s="25"/>
      <c r="F1" s="25"/>
      <c r="G1" s="25"/>
      <c r="H1" s="25"/>
      <c r="I1" s="25"/>
      <c r="J1" s="25"/>
      <c r="K1" s="25"/>
      <c r="L1" s="25"/>
    </row>
    <row r="2" spans="1:12" ht="15.95" customHeight="1">
      <c r="A2" s="27" t="s">
        <v>937</v>
      </c>
      <c r="B2" s="25"/>
      <c r="C2" s="25"/>
      <c r="D2" s="25"/>
      <c r="E2" s="25"/>
      <c r="F2" s="25"/>
      <c r="G2" s="25"/>
      <c r="H2" s="25"/>
      <c r="I2" s="25"/>
      <c r="J2" s="25"/>
      <c r="K2" s="25"/>
      <c r="L2" s="25"/>
    </row>
    <row r="3" spans="1:12" ht="15.95" customHeight="1">
      <c r="A3" s="26" t="s">
        <v>36</v>
      </c>
      <c r="B3" s="25"/>
      <c r="C3" s="25"/>
      <c r="D3" s="25"/>
      <c r="E3" s="25"/>
      <c r="F3" s="25"/>
      <c r="G3" s="25"/>
      <c r="H3" s="25"/>
      <c r="I3" s="25"/>
      <c r="J3" s="25"/>
      <c r="K3" s="25"/>
      <c r="L3" s="25"/>
    </row>
    <row r="4" spans="1:12" ht="30" customHeight="1">
      <c r="A4" s="2" t="s">
        <v>38</v>
      </c>
      <c r="B4" s="2" t="s">
        <v>10</v>
      </c>
      <c r="C4" s="2" t="s">
        <v>39</v>
      </c>
      <c r="D4" s="2" t="s">
        <v>60</v>
      </c>
      <c r="E4" s="2" t="s">
        <v>64</v>
      </c>
      <c r="F4" s="2" t="s">
        <v>62</v>
      </c>
      <c r="G4" s="2" t="s">
        <v>63</v>
      </c>
      <c r="H4" s="2" t="s">
        <v>17</v>
      </c>
      <c r="I4" s="2" t="s">
        <v>66</v>
      </c>
      <c r="J4" s="2" t="s">
        <v>69</v>
      </c>
      <c r="K4" s="2" t="s">
        <v>31</v>
      </c>
      <c r="L4" s="2" t="s">
        <v>70</v>
      </c>
    </row>
    <row r="5" spans="1:12" ht="30" customHeight="1">
      <c r="A5" s="4">
        <v>1</v>
      </c>
      <c r="B5" s="11" t="s">
        <v>166</v>
      </c>
      <c r="C5" s="4" t="s">
        <v>46</v>
      </c>
      <c r="D5" s="4" t="s">
        <v>165</v>
      </c>
      <c r="E5" s="4" t="s">
        <v>172</v>
      </c>
      <c r="F5" s="6"/>
      <c r="G5" s="6" t="s">
        <v>171</v>
      </c>
      <c r="H5" s="4" t="s">
        <v>18</v>
      </c>
      <c r="I5" s="4"/>
      <c r="J5" s="4" t="s">
        <v>27</v>
      </c>
      <c r="K5" s="4"/>
      <c r="L5" s="6"/>
    </row>
    <row r="6" spans="1:12" ht="30" customHeight="1">
      <c r="A6" s="3">
        <v>2</v>
      </c>
      <c r="B6" s="11" t="s">
        <v>166</v>
      </c>
      <c r="C6" s="3" t="s">
        <v>46</v>
      </c>
      <c r="D6" s="3" t="s">
        <v>165</v>
      </c>
      <c r="E6" s="3" t="s">
        <v>184</v>
      </c>
      <c r="F6" s="8"/>
      <c r="G6" s="8" t="s">
        <v>183</v>
      </c>
      <c r="H6" s="3" t="s">
        <v>21</v>
      </c>
      <c r="I6" s="3"/>
      <c r="J6" s="3" t="s">
        <v>27</v>
      </c>
      <c r="K6" s="3"/>
      <c r="L6" s="8"/>
    </row>
    <row r="7" spans="1:12" ht="30" customHeight="1">
      <c r="A7" s="4">
        <v>3</v>
      </c>
      <c r="B7" s="11" t="s">
        <v>166</v>
      </c>
      <c r="C7" s="4" t="s">
        <v>46</v>
      </c>
      <c r="D7" s="4" t="s">
        <v>165</v>
      </c>
      <c r="E7" s="4" t="s">
        <v>186</v>
      </c>
      <c r="F7" s="6"/>
      <c r="G7" s="6" t="s">
        <v>185</v>
      </c>
      <c r="H7" s="4" t="s">
        <v>23</v>
      </c>
      <c r="I7" s="4"/>
      <c r="J7" s="4" t="s">
        <v>27</v>
      </c>
      <c r="K7" s="4"/>
      <c r="L7" s="6"/>
    </row>
    <row r="8" spans="1:12" ht="30" customHeight="1">
      <c r="A8" s="3">
        <v>4</v>
      </c>
      <c r="B8" s="11" t="s">
        <v>166</v>
      </c>
      <c r="C8" s="3" t="s">
        <v>46</v>
      </c>
      <c r="D8" s="3" t="s">
        <v>165</v>
      </c>
      <c r="E8" s="3" t="s">
        <v>188</v>
      </c>
      <c r="F8" s="8"/>
      <c r="G8" s="8" t="s">
        <v>187</v>
      </c>
      <c r="H8" s="3" t="s">
        <v>21</v>
      </c>
      <c r="I8" s="3" t="s">
        <v>178</v>
      </c>
      <c r="J8" s="3" t="s">
        <v>27</v>
      </c>
      <c r="K8" s="3"/>
      <c r="L8" s="8"/>
    </row>
    <row r="9" spans="1:12" ht="30" customHeight="1">
      <c r="A9" s="4">
        <v>5</v>
      </c>
      <c r="B9" s="11" t="s">
        <v>166</v>
      </c>
      <c r="C9" s="4" t="s">
        <v>47</v>
      </c>
      <c r="D9" s="4" t="s">
        <v>189</v>
      </c>
      <c r="E9" s="4" t="s">
        <v>221</v>
      </c>
      <c r="F9" s="6" t="s">
        <v>219</v>
      </c>
      <c r="G9" s="6" t="s">
        <v>220</v>
      </c>
      <c r="H9" s="4" t="s">
        <v>20</v>
      </c>
      <c r="I9" s="4"/>
      <c r="J9" s="4" t="s">
        <v>27</v>
      </c>
      <c r="K9" s="4"/>
      <c r="L9" s="6"/>
    </row>
    <row r="10" spans="1:12" ht="30" customHeight="1">
      <c r="A10" s="3">
        <v>6</v>
      </c>
      <c r="B10" s="11" t="s">
        <v>166</v>
      </c>
      <c r="C10" s="3" t="s">
        <v>47</v>
      </c>
      <c r="D10" s="3" t="s">
        <v>324</v>
      </c>
      <c r="E10" s="3" t="s">
        <v>339</v>
      </c>
      <c r="F10" s="8" t="s">
        <v>337</v>
      </c>
      <c r="G10" s="8" t="s">
        <v>338</v>
      </c>
      <c r="H10" s="3" t="s">
        <v>19</v>
      </c>
      <c r="I10" s="3" t="s">
        <v>76</v>
      </c>
      <c r="J10" s="3" t="s">
        <v>27</v>
      </c>
      <c r="K10" s="3"/>
      <c r="L10" s="8"/>
    </row>
    <row r="11" spans="1:12" ht="30" customHeight="1">
      <c r="A11" s="4">
        <v>7</v>
      </c>
      <c r="B11" s="11" t="s">
        <v>166</v>
      </c>
      <c r="C11" s="4" t="s">
        <v>47</v>
      </c>
      <c r="D11" s="4" t="s">
        <v>350</v>
      </c>
      <c r="E11" s="4" t="s">
        <v>356</v>
      </c>
      <c r="F11" s="6"/>
      <c r="G11" s="6" t="s">
        <v>355</v>
      </c>
      <c r="H11" s="4" t="s">
        <v>19</v>
      </c>
      <c r="I11" s="4" t="s">
        <v>226</v>
      </c>
      <c r="J11" s="4" t="s">
        <v>27</v>
      </c>
      <c r="K11" s="4"/>
      <c r="L11" s="6"/>
    </row>
    <row r="12" spans="1:12" ht="30" customHeight="1">
      <c r="A12" s="3">
        <v>8</v>
      </c>
      <c r="B12" s="11" t="s">
        <v>166</v>
      </c>
      <c r="C12" s="3" t="s">
        <v>47</v>
      </c>
      <c r="D12" s="3" t="s">
        <v>350</v>
      </c>
      <c r="E12" s="3" t="s">
        <v>358</v>
      </c>
      <c r="F12" s="8"/>
      <c r="G12" s="8" t="s">
        <v>357</v>
      </c>
      <c r="H12" s="3" t="s">
        <v>19</v>
      </c>
      <c r="I12" s="3" t="s">
        <v>226</v>
      </c>
      <c r="J12" s="3" t="s">
        <v>27</v>
      </c>
      <c r="K12" s="3"/>
      <c r="L12" s="8"/>
    </row>
    <row r="13" spans="1:12" ht="30" customHeight="1">
      <c r="A13" s="4">
        <v>9</v>
      </c>
      <c r="B13" s="11" t="s">
        <v>166</v>
      </c>
      <c r="C13" s="4" t="s">
        <v>47</v>
      </c>
      <c r="D13" s="4" t="s">
        <v>367</v>
      </c>
      <c r="E13" s="4" t="s">
        <v>370</v>
      </c>
      <c r="F13" s="6" t="s">
        <v>368</v>
      </c>
      <c r="G13" s="6" t="s">
        <v>369</v>
      </c>
      <c r="H13" s="4" t="s">
        <v>19</v>
      </c>
      <c r="I13" s="4" t="s">
        <v>76</v>
      </c>
      <c r="J13" s="4" t="s">
        <v>27</v>
      </c>
      <c r="K13" s="4"/>
      <c r="L13" s="6"/>
    </row>
    <row r="14" spans="1:12" ht="30" customHeight="1">
      <c r="A14" s="3">
        <v>10</v>
      </c>
      <c r="B14" s="11" t="s">
        <v>166</v>
      </c>
      <c r="C14" s="3" t="s">
        <v>47</v>
      </c>
      <c r="D14" s="3" t="s">
        <v>367</v>
      </c>
      <c r="E14" s="3" t="s">
        <v>372</v>
      </c>
      <c r="F14" s="8"/>
      <c r="G14" s="8" t="s">
        <v>371</v>
      </c>
      <c r="H14" s="3" t="s">
        <v>18</v>
      </c>
      <c r="I14" s="3" t="s">
        <v>373</v>
      </c>
      <c r="J14" s="3" t="s">
        <v>27</v>
      </c>
      <c r="K14" s="3"/>
      <c r="L14" s="8"/>
    </row>
    <row r="15" spans="1:12" ht="30" customHeight="1">
      <c r="A15" s="4">
        <v>11</v>
      </c>
      <c r="B15" s="11" t="s">
        <v>166</v>
      </c>
      <c r="C15" s="4" t="s">
        <v>47</v>
      </c>
      <c r="D15" s="4" t="s">
        <v>367</v>
      </c>
      <c r="E15" s="4" t="s">
        <v>374</v>
      </c>
      <c r="F15" s="6"/>
      <c r="G15" s="6" t="s">
        <v>371</v>
      </c>
      <c r="H15" s="4" t="s">
        <v>19</v>
      </c>
      <c r="I15" s="4" t="s">
        <v>76</v>
      </c>
      <c r="J15" s="4" t="s">
        <v>27</v>
      </c>
      <c r="K15" s="4"/>
      <c r="L15" s="6"/>
    </row>
    <row r="16" spans="1:12" ht="30" customHeight="1">
      <c r="A16" s="3">
        <v>12</v>
      </c>
      <c r="B16" s="11" t="s">
        <v>166</v>
      </c>
      <c r="C16" s="3" t="s">
        <v>47</v>
      </c>
      <c r="D16" s="3" t="s">
        <v>367</v>
      </c>
      <c r="E16" s="3" t="s">
        <v>376</v>
      </c>
      <c r="F16" s="8"/>
      <c r="G16" s="8" t="s">
        <v>375</v>
      </c>
      <c r="H16" s="3" t="s">
        <v>18</v>
      </c>
      <c r="I16" s="3" t="s">
        <v>373</v>
      </c>
      <c r="J16" s="3" t="s">
        <v>27</v>
      </c>
      <c r="K16" s="3"/>
      <c r="L16" s="8"/>
    </row>
    <row r="17" spans="1:12" ht="30" customHeight="1">
      <c r="A17" s="4">
        <v>13</v>
      </c>
      <c r="B17" s="11" t="s">
        <v>166</v>
      </c>
      <c r="C17" s="4" t="s">
        <v>47</v>
      </c>
      <c r="D17" s="4" t="s">
        <v>367</v>
      </c>
      <c r="E17" s="4" t="s">
        <v>378</v>
      </c>
      <c r="F17" s="6"/>
      <c r="G17" s="6" t="s">
        <v>377</v>
      </c>
      <c r="H17" s="4" t="s">
        <v>18</v>
      </c>
      <c r="I17" s="4" t="s">
        <v>373</v>
      </c>
      <c r="J17" s="4" t="s">
        <v>27</v>
      </c>
      <c r="K17" s="4"/>
      <c r="L17" s="6"/>
    </row>
    <row r="18" spans="1:12" ht="30" customHeight="1">
      <c r="A18" s="3">
        <v>14</v>
      </c>
      <c r="B18" s="11" t="s">
        <v>166</v>
      </c>
      <c r="C18" s="3" t="s">
        <v>47</v>
      </c>
      <c r="D18" s="3" t="s">
        <v>367</v>
      </c>
      <c r="E18" s="3" t="s">
        <v>380</v>
      </c>
      <c r="F18" s="8"/>
      <c r="G18" s="8" t="s">
        <v>379</v>
      </c>
      <c r="H18" s="3" t="s">
        <v>18</v>
      </c>
      <c r="I18" s="3" t="s">
        <v>373</v>
      </c>
      <c r="J18" s="3" t="s">
        <v>27</v>
      </c>
      <c r="K18" s="3"/>
      <c r="L18" s="8"/>
    </row>
    <row r="19" spans="1:12" ht="30" customHeight="1">
      <c r="A19" s="4">
        <v>15</v>
      </c>
      <c r="B19" s="11" t="s">
        <v>166</v>
      </c>
      <c r="C19" s="4" t="s">
        <v>47</v>
      </c>
      <c r="D19" s="4" t="s">
        <v>350</v>
      </c>
      <c r="E19" s="4" t="s">
        <v>366</v>
      </c>
      <c r="F19" s="6"/>
      <c r="G19" s="6" t="s">
        <v>365</v>
      </c>
      <c r="H19" s="4" t="s">
        <v>23</v>
      </c>
      <c r="I19" s="4"/>
      <c r="J19" s="4" t="s">
        <v>28</v>
      </c>
      <c r="K19" s="4"/>
      <c r="L19" s="6"/>
    </row>
    <row r="20" spans="1:12" ht="30" customHeight="1">
      <c r="A20" s="3">
        <v>16</v>
      </c>
      <c r="B20" s="9" t="s">
        <v>72</v>
      </c>
      <c r="C20" s="3" t="s">
        <v>46</v>
      </c>
      <c r="D20" s="3" t="s">
        <v>142</v>
      </c>
      <c r="E20" s="3" t="s">
        <v>164</v>
      </c>
      <c r="F20" s="8" t="s">
        <v>162</v>
      </c>
      <c r="G20" s="8" t="s">
        <v>163</v>
      </c>
      <c r="H20" s="3" t="s">
        <v>19</v>
      </c>
      <c r="I20" s="3"/>
      <c r="J20" s="3" t="s">
        <v>27</v>
      </c>
      <c r="K20" s="3"/>
      <c r="L20" s="8"/>
    </row>
    <row r="21" spans="1:12" ht="30" customHeight="1">
      <c r="A21" s="4">
        <v>17</v>
      </c>
      <c r="B21" s="9" t="s">
        <v>72</v>
      </c>
      <c r="C21" s="4" t="s">
        <v>47</v>
      </c>
      <c r="D21" s="4" t="s">
        <v>222</v>
      </c>
      <c r="E21" s="4" t="s">
        <v>230</v>
      </c>
      <c r="F21" s="6" t="s">
        <v>228</v>
      </c>
      <c r="G21" s="6" t="s">
        <v>229</v>
      </c>
      <c r="H21" s="4" t="s">
        <v>20</v>
      </c>
      <c r="I21" s="4" t="s">
        <v>231</v>
      </c>
      <c r="J21" s="4" t="s">
        <v>27</v>
      </c>
      <c r="K21" s="4"/>
      <c r="L21" s="6"/>
    </row>
    <row r="22" spans="1:12" ht="30" customHeight="1">
      <c r="A22" s="3">
        <v>18</v>
      </c>
      <c r="B22" s="9" t="s">
        <v>72</v>
      </c>
      <c r="C22" s="3" t="s">
        <v>47</v>
      </c>
      <c r="D22" s="3" t="s">
        <v>222</v>
      </c>
      <c r="E22" s="3" t="s">
        <v>233</v>
      </c>
      <c r="F22" s="8"/>
      <c r="G22" s="8" t="s">
        <v>232</v>
      </c>
      <c r="H22" s="3" t="s">
        <v>19</v>
      </c>
      <c r="I22" s="3" t="s">
        <v>226</v>
      </c>
      <c r="J22" s="3" t="s">
        <v>27</v>
      </c>
      <c r="K22" s="3"/>
      <c r="L22" s="8"/>
    </row>
    <row r="23" spans="1:12" ht="30" customHeight="1">
      <c r="A23" s="4">
        <v>19</v>
      </c>
      <c r="B23" s="9" t="s">
        <v>72</v>
      </c>
      <c r="C23" s="4" t="s">
        <v>47</v>
      </c>
      <c r="D23" s="4" t="s">
        <v>222</v>
      </c>
      <c r="E23" s="4" t="s">
        <v>235</v>
      </c>
      <c r="F23" s="6"/>
      <c r="G23" s="6" t="s">
        <v>234</v>
      </c>
      <c r="H23" s="4" t="s">
        <v>19</v>
      </c>
      <c r="I23" s="4" t="s">
        <v>76</v>
      </c>
      <c r="J23" s="4" t="s">
        <v>27</v>
      </c>
      <c r="K23" s="4"/>
      <c r="L23" s="6"/>
    </row>
    <row r="24" spans="1:12" ht="30" customHeight="1">
      <c r="A24" s="3">
        <v>20</v>
      </c>
      <c r="B24" s="9" t="s">
        <v>72</v>
      </c>
      <c r="C24" s="3" t="s">
        <v>47</v>
      </c>
      <c r="D24" s="3" t="s">
        <v>239</v>
      </c>
      <c r="E24" s="3" t="s">
        <v>242</v>
      </c>
      <c r="F24" s="8" t="s">
        <v>240</v>
      </c>
      <c r="G24" s="8" t="s">
        <v>241</v>
      </c>
      <c r="H24" s="3" t="s">
        <v>19</v>
      </c>
      <c r="I24" s="3" t="s">
        <v>226</v>
      </c>
      <c r="J24" s="3" t="s">
        <v>27</v>
      </c>
      <c r="K24" s="3"/>
      <c r="L24" s="8"/>
    </row>
    <row r="25" spans="1:12" ht="30" customHeight="1">
      <c r="A25" s="4">
        <v>21</v>
      </c>
      <c r="B25" s="9" t="s">
        <v>72</v>
      </c>
      <c r="C25" s="4" t="s">
        <v>47</v>
      </c>
      <c r="D25" s="4" t="s">
        <v>254</v>
      </c>
      <c r="E25" s="4" t="s">
        <v>257</v>
      </c>
      <c r="F25" s="6" t="s">
        <v>255</v>
      </c>
      <c r="G25" s="6" t="s">
        <v>256</v>
      </c>
      <c r="H25" s="4" t="s">
        <v>19</v>
      </c>
      <c r="I25" s="4" t="s">
        <v>76</v>
      </c>
      <c r="J25" s="4" t="s">
        <v>27</v>
      </c>
      <c r="K25" s="4"/>
      <c r="L25" s="6"/>
    </row>
    <row r="26" spans="1:12" ht="30" customHeight="1">
      <c r="A26" s="3">
        <v>22</v>
      </c>
      <c r="B26" s="9" t="s">
        <v>72</v>
      </c>
      <c r="C26" s="3" t="s">
        <v>47</v>
      </c>
      <c r="D26" s="3" t="s">
        <v>254</v>
      </c>
      <c r="E26" s="3" t="s">
        <v>264</v>
      </c>
      <c r="F26" s="8" t="s">
        <v>262</v>
      </c>
      <c r="G26" s="8" t="s">
        <v>263</v>
      </c>
      <c r="H26" s="3" t="s">
        <v>20</v>
      </c>
      <c r="I26" s="3" t="s">
        <v>231</v>
      </c>
      <c r="J26" s="3" t="s">
        <v>27</v>
      </c>
      <c r="K26" s="3"/>
      <c r="L26" s="8"/>
    </row>
    <row r="27" spans="1:12" ht="30" customHeight="1">
      <c r="A27" s="4">
        <v>23</v>
      </c>
      <c r="B27" s="9" t="s">
        <v>72</v>
      </c>
      <c r="C27" s="4" t="s">
        <v>47</v>
      </c>
      <c r="D27" s="4" t="s">
        <v>254</v>
      </c>
      <c r="E27" s="4" t="s">
        <v>267</v>
      </c>
      <c r="F27" s="6" t="s">
        <v>265</v>
      </c>
      <c r="G27" s="6" t="s">
        <v>266</v>
      </c>
      <c r="H27" s="4" t="s">
        <v>20</v>
      </c>
      <c r="I27" s="4" t="s">
        <v>231</v>
      </c>
      <c r="J27" s="4" t="s">
        <v>27</v>
      </c>
      <c r="K27" s="4"/>
      <c r="L27" s="6"/>
    </row>
    <row r="28" spans="1:12" ht="30" customHeight="1">
      <c r="A28" s="3">
        <v>24</v>
      </c>
      <c r="B28" s="9" t="s">
        <v>72</v>
      </c>
      <c r="C28" s="3" t="s">
        <v>48</v>
      </c>
      <c r="D28" s="3" t="s">
        <v>384</v>
      </c>
      <c r="E28" s="3" t="s">
        <v>400</v>
      </c>
      <c r="F28" s="8" t="s">
        <v>398</v>
      </c>
      <c r="G28" s="8" t="s">
        <v>399</v>
      </c>
      <c r="H28" s="3" t="s">
        <v>18</v>
      </c>
      <c r="I28" s="3" t="s">
        <v>373</v>
      </c>
      <c r="J28" s="3" t="s">
        <v>27</v>
      </c>
      <c r="K28" s="3"/>
      <c r="L28" s="8"/>
    </row>
    <row r="29" spans="1:12" ht="30" customHeight="1">
      <c r="A29" s="4">
        <v>25</v>
      </c>
      <c r="B29" s="9" t="s">
        <v>72</v>
      </c>
      <c r="C29" s="4" t="s">
        <v>48</v>
      </c>
      <c r="D29" s="4" t="s">
        <v>442</v>
      </c>
      <c r="E29" s="4" t="s">
        <v>449</v>
      </c>
      <c r="F29" s="6" t="s">
        <v>447</v>
      </c>
      <c r="G29" s="6" t="s">
        <v>448</v>
      </c>
      <c r="H29" s="4" t="s">
        <v>18</v>
      </c>
      <c r="I29" s="4" t="s">
        <v>446</v>
      </c>
      <c r="J29" s="4" t="s">
        <v>27</v>
      </c>
      <c r="K29" s="4"/>
      <c r="L29" s="6"/>
    </row>
    <row r="30" spans="1:12" ht="30" customHeight="1">
      <c r="A30" s="3">
        <v>26</v>
      </c>
      <c r="B30" s="9" t="s">
        <v>72</v>
      </c>
      <c r="C30" s="3" t="s">
        <v>48</v>
      </c>
      <c r="D30" s="3" t="s">
        <v>442</v>
      </c>
      <c r="E30" s="3" t="s">
        <v>452</v>
      </c>
      <c r="F30" s="8" t="s">
        <v>450</v>
      </c>
      <c r="G30" s="8" t="s">
        <v>451</v>
      </c>
      <c r="H30" s="3" t="s">
        <v>18</v>
      </c>
      <c r="I30" s="3" t="s">
        <v>446</v>
      </c>
      <c r="J30" s="3" t="s">
        <v>27</v>
      </c>
      <c r="K30" s="3"/>
      <c r="L30" s="8"/>
    </row>
    <row r="31" spans="1:12" ht="30" customHeight="1">
      <c r="A31" s="4">
        <v>27</v>
      </c>
      <c r="B31" s="9" t="s">
        <v>72</v>
      </c>
      <c r="C31" s="4" t="s">
        <v>48</v>
      </c>
      <c r="D31" s="4" t="s">
        <v>460</v>
      </c>
      <c r="E31" s="4" t="s">
        <v>464</v>
      </c>
      <c r="F31" s="6" t="s">
        <v>463</v>
      </c>
      <c r="G31" s="6" t="s">
        <v>448</v>
      </c>
      <c r="H31" s="4" t="s">
        <v>18</v>
      </c>
      <c r="I31" s="4" t="s">
        <v>178</v>
      </c>
      <c r="J31" s="4" t="s">
        <v>27</v>
      </c>
      <c r="K31" s="4"/>
      <c r="L31" s="6"/>
    </row>
    <row r="32" spans="1:12" ht="30" customHeight="1">
      <c r="A32" s="3">
        <v>28</v>
      </c>
      <c r="B32" s="9" t="s">
        <v>72</v>
      </c>
      <c r="C32" s="3" t="s">
        <v>50</v>
      </c>
      <c r="D32" s="3" t="s">
        <v>544</v>
      </c>
      <c r="E32" s="3" t="s">
        <v>551</v>
      </c>
      <c r="F32" s="8" t="s">
        <v>550</v>
      </c>
      <c r="G32" s="8" t="s">
        <v>171</v>
      </c>
      <c r="H32" s="3" t="s">
        <v>18</v>
      </c>
      <c r="I32" s="3" t="s">
        <v>90</v>
      </c>
      <c r="J32" s="3" t="s">
        <v>27</v>
      </c>
      <c r="K32" s="3"/>
      <c r="L32" s="8"/>
    </row>
    <row r="33" spans="1:12" ht="30" customHeight="1">
      <c r="A33" s="4">
        <v>29</v>
      </c>
      <c r="B33" s="9" t="s">
        <v>72</v>
      </c>
      <c r="C33" s="4" t="s">
        <v>50</v>
      </c>
      <c r="D33" s="4" t="s">
        <v>544</v>
      </c>
      <c r="E33" s="4" t="s">
        <v>559</v>
      </c>
      <c r="F33" s="6" t="s">
        <v>558</v>
      </c>
      <c r="G33" s="6" t="s">
        <v>171</v>
      </c>
      <c r="H33" s="4" t="s">
        <v>18</v>
      </c>
      <c r="I33" s="4" t="s">
        <v>90</v>
      </c>
      <c r="J33" s="4" t="s">
        <v>27</v>
      </c>
      <c r="K33" s="4"/>
      <c r="L33" s="6"/>
    </row>
    <row r="34" spans="1:12" ht="30" customHeight="1">
      <c r="A34" s="3">
        <v>30</v>
      </c>
      <c r="B34" s="9" t="s">
        <v>72</v>
      </c>
      <c r="C34" s="3" t="s">
        <v>50</v>
      </c>
      <c r="D34" s="3" t="s">
        <v>544</v>
      </c>
      <c r="E34" s="3" t="s">
        <v>562</v>
      </c>
      <c r="F34" s="8" t="s">
        <v>561</v>
      </c>
      <c r="G34" s="8" t="s">
        <v>554</v>
      </c>
      <c r="H34" s="3" t="s">
        <v>18</v>
      </c>
      <c r="I34" s="3" t="s">
        <v>90</v>
      </c>
      <c r="J34" s="3" t="s">
        <v>27</v>
      </c>
      <c r="K34" s="3"/>
      <c r="L34" s="8"/>
    </row>
    <row r="35" spans="1:12" ht="30" customHeight="1">
      <c r="A35" s="4">
        <v>31</v>
      </c>
      <c r="B35" s="9" t="s">
        <v>72</v>
      </c>
      <c r="C35" s="4" t="s">
        <v>51</v>
      </c>
      <c r="D35" s="4" t="s">
        <v>655</v>
      </c>
      <c r="E35" s="4" t="s">
        <v>662</v>
      </c>
      <c r="F35" s="6" t="s">
        <v>660</v>
      </c>
      <c r="G35" s="6" t="s">
        <v>661</v>
      </c>
      <c r="H35" s="4" t="s">
        <v>18</v>
      </c>
      <c r="I35" s="4" t="s">
        <v>90</v>
      </c>
      <c r="J35" s="4" t="s">
        <v>27</v>
      </c>
      <c r="K35" s="4"/>
      <c r="L35" s="6"/>
    </row>
    <row r="36" spans="1:12" ht="30" customHeight="1">
      <c r="A36" s="3">
        <v>32</v>
      </c>
      <c r="B36" s="9" t="s">
        <v>72</v>
      </c>
      <c r="C36" s="3" t="s">
        <v>51</v>
      </c>
      <c r="D36" s="3" t="s">
        <v>655</v>
      </c>
      <c r="E36" s="3" t="s">
        <v>665</v>
      </c>
      <c r="F36" s="8" t="s">
        <v>663</v>
      </c>
      <c r="G36" s="8" t="s">
        <v>664</v>
      </c>
      <c r="H36" s="3" t="s">
        <v>18</v>
      </c>
      <c r="I36" s="3" t="s">
        <v>90</v>
      </c>
      <c r="J36" s="3" t="s">
        <v>27</v>
      </c>
      <c r="K36" s="3"/>
      <c r="L36" s="8"/>
    </row>
    <row r="37" spans="1:12" ht="30" customHeight="1">
      <c r="A37" s="4">
        <v>33</v>
      </c>
      <c r="B37" s="9" t="s">
        <v>72</v>
      </c>
      <c r="C37" s="4" t="s">
        <v>51</v>
      </c>
      <c r="D37" s="4" t="s">
        <v>655</v>
      </c>
      <c r="E37" s="4" t="s">
        <v>668</v>
      </c>
      <c r="F37" s="6" t="s">
        <v>666</v>
      </c>
      <c r="G37" s="6" t="s">
        <v>667</v>
      </c>
      <c r="H37" s="4" t="s">
        <v>18</v>
      </c>
      <c r="I37" s="4" t="s">
        <v>90</v>
      </c>
      <c r="J37" s="4" t="s">
        <v>27</v>
      </c>
      <c r="K37" s="4"/>
      <c r="L37" s="6"/>
    </row>
    <row r="38" spans="1:12" ht="30" customHeight="1">
      <c r="A38" s="3">
        <v>34</v>
      </c>
      <c r="B38" s="9" t="s">
        <v>72</v>
      </c>
      <c r="C38" s="3" t="s">
        <v>51</v>
      </c>
      <c r="D38" s="3" t="s">
        <v>655</v>
      </c>
      <c r="E38" s="3" t="s">
        <v>671</v>
      </c>
      <c r="F38" s="8" t="s">
        <v>669</v>
      </c>
      <c r="G38" s="8" t="s">
        <v>670</v>
      </c>
      <c r="H38" s="3" t="s">
        <v>18</v>
      </c>
      <c r="I38" s="3" t="s">
        <v>90</v>
      </c>
      <c r="J38" s="3" t="s">
        <v>27</v>
      </c>
      <c r="K38" s="3"/>
      <c r="L38" s="8"/>
    </row>
    <row r="39" spans="1:12" ht="30" customHeight="1">
      <c r="A39" s="4">
        <v>35</v>
      </c>
      <c r="B39" s="9" t="s">
        <v>72</v>
      </c>
      <c r="C39" s="4" t="s">
        <v>51</v>
      </c>
      <c r="D39" s="4" t="s">
        <v>695</v>
      </c>
      <c r="E39" s="4" t="s">
        <v>698</v>
      </c>
      <c r="F39" s="6" t="s">
        <v>696</v>
      </c>
      <c r="G39" s="6" t="s">
        <v>697</v>
      </c>
      <c r="H39" s="4" t="s">
        <v>19</v>
      </c>
      <c r="I39" s="4" t="s">
        <v>76</v>
      </c>
      <c r="J39" s="4" t="s">
        <v>27</v>
      </c>
      <c r="K39" s="4"/>
      <c r="L39" s="6"/>
    </row>
    <row r="40" spans="1:12" ht="30" customHeight="1">
      <c r="A40" s="3">
        <v>36</v>
      </c>
      <c r="B40" s="9" t="s">
        <v>72</v>
      </c>
      <c r="C40" s="3" t="s">
        <v>51</v>
      </c>
      <c r="D40" s="3" t="s">
        <v>711</v>
      </c>
      <c r="E40" s="3" t="s">
        <v>714</v>
      </c>
      <c r="F40" s="8" t="s">
        <v>712</v>
      </c>
      <c r="G40" s="8" t="s">
        <v>713</v>
      </c>
      <c r="H40" s="3" t="s">
        <v>19</v>
      </c>
      <c r="I40" s="3" t="s">
        <v>76</v>
      </c>
      <c r="J40" s="3" t="s">
        <v>27</v>
      </c>
      <c r="K40" s="3"/>
      <c r="L40" s="8"/>
    </row>
    <row r="41" spans="1:12" ht="30" customHeight="1">
      <c r="A41" s="4">
        <v>37</v>
      </c>
      <c r="B41" s="9" t="s">
        <v>72</v>
      </c>
      <c r="C41" s="4" t="s">
        <v>51</v>
      </c>
      <c r="D41" s="4" t="s">
        <v>711</v>
      </c>
      <c r="E41" s="4" t="s">
        <v>722</v>
      </c>
      <c r="F41" s="6" t="s">
        <v>720</v>
      </c>
      <c r="G41" s="6" t="s">
        <v>721</v>
      </c>
      <c r="H41" s="4" t="s">
        <v>19</v>
      </c>
      <c r="I41" s="4" t="s">
        <v>76</v>
      </c>
      <c r="J41" s="4" t="s">
        <v>27</v>
      </c>
      <c r="K41" s="4"/>
      <c r="L41" s="6"/>
    </row>
    <row r="42" spans="1:12" ht="30" customHeight="1">
      <c r="A42" s="3">
        <v>38</v>
      </c>
      <c r="B42" s="9" t="s">
        <v>72</v>
      </c>
      <c r="C42" s="3" t="s">
        <v>51</v>
      </c>
      <c r="D42" s="3" t="s">
        <v>711</v>
      </c>
      <c r="E42" s="3" t="s">
        <v>728</v>
      </c>
      <c r="F42" s="8"/>
      <c r="G42" s="8" t="s">
        <v>727</v>
      </c>
      <c r="H42" s="3" t="s">
        <v>19</v>
      </c>
      <c r="I42" s="3" t="s">
        <v>76</v>
      </c>
      <c r="J42" s="3" t="s">
        <v>27</v>
      </c>
      <c r="K42" s="3"/>
      <c r="L42" s="8"/>
    </row>
    <row r="43" spans="1:12" ht="30" customHeight="1">
      <c r="A43" s="4">
        <v>39</v>
      </c>
      <c r="B43" s="9" t="s">
        <v>72</v>
      </c>
      <c r="C43" s="4" t="s">
        <v>51</v>
      </c>
      <c r="D43" s="4" t="s">
        <v>747</v>
      </c>
      <c r="E43" s="4" t="s">
        <v>750</v>
      </c>
      <c r="F43" s="6" t="s">
        <v>748</v>
      </c>
      <c r="G43" s="6" t="s">
        <v>749</v>
      </c>
      <c r="H43" s="4" t="s">
        <v>19</v>
      </c>
      <c r="I43" s="4" t="s">
        <v>76</v>
      </c>
      <c r="J43" s="4" t="s">
        <v>27</v>
      </c>
      <c r="K43" s="4"/>
      <c r="L43" s="6"/>
    </row>
    <row r="44" spans="1:12" ht="30" customHeight="1">
      <c r="A44" s="3">
        <v>40</v>
      </c>
      <c r="B44" s="9" t="s">
        <v>72</v>
      </c>
      <c r="C44" s="3" t="s">
        <v>46</v>
      </c>
      <c r="D44" s="3" t="s">
        <v>142</v>
      </c>
      <c r="E44" s="3" t="s">
        <v>145</v>
      </c>
      <c r="F44" s="8" t="s">
        <v>143</v>
      </c>
      <c r="G44" s="8" t="s">
        <v>144</v>
      </c>
      <c r="H44" s="3" t="s">
        <v>18</v>
      </c>
      <c r="I44" s="3" t="s">
        <v>90</v>
      </c>
      <c r="J44" s="3" t="s">
        <v>28</v>
      </c>
      <c r="K44" s="3"/>
      <c r="L44" s="8"/>
    </row>
    <row r="45" spans="1:12" ht="30" customHeight="1">
      <c r="A45" s="4">
        <v>41</v>
      </c>
      <c r="B45" s="9" t="s">
        <v>72</v>
      </c>
      <c r="C45" s="4" t="s">
        <v>47</v>
      </c>
      <c r="D45" s="4" t="s">
        <v>239</v>
      </c>
      <c r="E45" s="4" t="s">
        <v>249</v>
      </c>
      <c r="F45" s="6" t="s">
        <v>247</v>
      </c>
      <c r="G45" s="6" t="s">
        <v>248</v>
      </c>
      <c r="H45" s="4" t="s">
        <v>18</v>
      </c>
      <c r="I45" s="4" t="s">
        <v>90</v>
      </c>
      <c r="J45" s="4" t="s">
        <v>28</v>
      </c>
      <c r="K45" s="4"/>
      <c r="L45" s="6"/>
    </row>
    <row r="46" spans="1:12" ht="30" customHeight="1">
      <c r="A46" s="3">
        <v>42</v>
      </c>
      <c r="B46" s="9" t="s">
        <v>72</v>
      </c>
      <c r="C46" s="3" t="s">
        <v>48</v>
      </c>
      <c r="D46" s="3" t="s">
        <v>401</v>
      </c>
      <c r="E46" s="3" t="s">
        <v>404</v>
      </c>
      <c r="F46" s="8" t="s">
        <v>402</v>
      </c>
      <c r="G46" s="8" t="s">
        <v>403</v>
      </c>
      <c r="H46" s="3" t="s">
        <v>21</v>
      </c>
      <c r="I46" s="3" t="s">
        <v>178</v>
      </c>
      <c r="J46" s="3" t="s">
        <v>28</v>
      </c>
      <c r="K46" s="3"/>
      <c r="L46" s="8" t="s">
        <v>405</v>
      </c>
    </row>
    <row r="47" spans="1:12" ht="30" customHeight="1">
      <c r="A47" s="4">
        <v>43</v>
      </c>
      <c r="B47" s="9" t="s">
        <v>72</v>
      </c>
      <c r="C47" s="4" t="s">
        <v>48</v>
      </c>
      <c r="D47" s="4" t="s">
        <v>401</v>
      </c>
      <c r="E47" s="4" t="s">
        <v>408</v>
      </c>
      <c r="F47" s="6" t="s">
        <v>406</v>
      </c>
      <c r="G47" s="6" t="s">
        <v>407</v>
      </c>
      <c r="H47" s="4" t="s">
        <v>21</v>
      </c>
      <c r="I47" s="4" t="s">
        <v>178</v>
      </c>
      <c r="J47" s="4" t="s">
        <v>28</v>
      </c>
      <c r="K47" s="4"/>
      <c r="L47" s="6"/>
    </row>
    <row r="48" spans="1:12" ht="30" customHeight="1">
      <c r="A48" s="3">
        <v>44</v>
      </c>
      <c r="B48" s="9" t="s">
        <v>72</v>
      </c>
      <c r="C48" s="3" t="s">
        <v>48</v>
      </c>
      <c r="D48" s="3" t="s">
        <v>401</v>
      </c>
      <c r="E48" s="3" t="s">
        <v>411</v>
      </c>
      <c r="F48" s="8" t="s">
        <v>409</v>
      </c>
      <c r="G48" s="8" t="s">
        <v>410</v>
      </c>
      <c r="H48" s="3" t="s">
        <v>21</v>
      </c>
      <c r="I48" s="3" t="s">
        <v>178</v>
      </c>
      <c r="J48" s="3" t="s">
        <v>28</v>
      </c>
      <c r="K48" s="3"/>
      <c r="L48" s="8"/>
    </row>
    <row r="49" spans="1:12" ht="30" customHeight="1">
      <c r="A49" s="4">
        <v>45</v>
      </c>
      <c r="B49" s="9" t="s">
        <v>72</v>
      </c>
      <c r="C49" s="4" t="s">
        <v>48</v>
      </c>
      <c r="D49" s="4" t="s">
        <v>401</v>
      </c>
      <c r="E49" s="4" t="s">
        <v>414</v>
      </c>
      <c r="F49" s="6" t="s">
        <v>412</v>
      </c>
      <c r="G49" s="6" t="s">
        <v>413</v>
      </c>
      <c r="H49" s="4" t="s">
        <v>21</v>
      </c>
      <c r="I49" s="4" t="s">
        <v>178</v>
      </c>
      <c r="J49" s="4" t="s">
        <v>28</v>
      </c>
      <c r="K49" s="4"/>
      <c r="L49" s="6"/>
    </row>
    <row r="50" spans="1:12" ht="30" customHeight="1">
      <c r="A50" s="3">
        <v>46</v>
      </c>
      <c r="B50" s="9" t="s">
        <v>72</v>
      </c>
      <c r="C50" s="3" t="s">
        <v>48</v>
      </c>
      <c r="D50" s="3" t="s">
        <v>442</v>
      </c>
      <c r="E50" s="3" t="s">
        <v>445</v>
      </c>
      <c r="F50" s="8" t="s">
        <v>443</v>
      </c>
      <c r="G50" s="8" t="s">
        <v>444</v>
      </c>
      <c r="H50" s="3" t="s">
        <v>23</v>
      </c>
      <c r="I50" s="3" t="s">
        <v>446</v>
      </c>
      <c r="J50" s="3" t="s">
        <v>28</v>
      </c>
      <c r="K50" s="3"/>
      <c r="L50" s="8"/>
    </row>
    <row r="51" spans="1:12" ht="30" customHeight="1">
      <c r="A51" s="4">
        <v>47</v>
      </c>
      <c r="B51" s="9" t="s">
        <v>72</v>
      </c>
      <c r="C51" s="4" t="s">
        <v>48</v>
      </c>
      <c r="D51" s="4" t="s">
        <v>468</v>
      </c>
      <c r="E51" s="4" t="s">
        <v>471</v>
      </c>
      <c r="F51" s="6" t="s">
        <v>469</v>
      </c>
      <c r="G51" s="6" t="s">
        <v>470</v>
      </c>
      <c r="H51" s="4" t="s">
        <v>18</v>
      </c>
      <c r="I51" s="4" t="s">
        <v>90</v>
      </c>
      <c r="J51" s="4" t="s">
        <v>28</v>
      </c>
      <c r="K51" s="4"/>
      <c r="L51" s="6"/>
    </row>
    <row r="52" spans="1:12" ht="30" customHeight="1">
      <c r="A52" s="3">
        <v>48</v>
      </c>
      <c r="B52" s="9" t="s">
        <v>72</v>
      </c>
      <c r="C52" s="3" t="s">
        <v>48</v>
      </c>
      <c r="D52" s="3" t="s">
        <v>468</v>
      </c>
      <c r="E52" s="3" t="s">
        <v>473</v>
      </c>
      <c r="F52" s="8"/>
      <c r="G52" s="8" t="s">
        <v>472</v>
      </c>
      <c r="H52" s="3" t="s">
        <v>18</v>
      </c>
      <c r="I52" s="3" t="s">
        <v>90</v>
      </c>
      <c r="J52" s="3" t="s">
        <v>28</v>
      </c>
      <c r="K52" s="3"/>
      <c r="L52" s="8"/>
    </row>
    <row r="53" spans="1:12" ht="30" customHeight="1">
      <c r="A53" s="4">
        <v>49</v>
      </c>
      <c r="B53" s="9" t="s">
        <v>72</v>
      </c>
      <c r="C53" s="4" t="s">
        <v>48</v>
      </c>
      <c r="D53" s="4" t="s">
        <v>468</v>
      </c>
      <c r="E53" s="4" t="s">
        <v>475</v>
      </c>
      <c r="F53" s="6"/>
      <c r="G53" s="6" t="s">
        <v>474</v>
      </c>
      <c r="H53" s="4" t="s">
        <v>18</v>
      </c>
      <c r="I53" s="4" t="s">
        <v>90</v>
      </c>
      <c r="J53" s="4" t="s">
        <v>28</v>
      </c>
      <c r="K53" s="4"/>
      <c r="L53" s="6"/>
    </row>
    <row r="54" spans="1:12" ht="30" customHeight="1">
      <c r="A54" s="3">
        <v>50</v>
      </c>
      <c r="B54" s="9" t="s">
        <v>72</v>
      </c>
      <c r="C54" s="3" t="s">
        <v>48</v>
      </c>
      <c r="D54" s="3" t="s">
        <v>468</v>
      </c>
      <c r="E54" s="3" t="s">
        <v>477</v>
      </c>
      <c r="F54" s="8"/>
      <c r="G54" s="8" t="s">
        <v>476</v>
      </c>
      <c r="H54" s="3" t="s">
        <v>18</v>
      </c>
      <c r="I54" s="3" t="s">
        <v>90</v>
      </c>
      <c r="J54" s="3" t="s">
        <v>28</v>
      </c>
      <c r="K54" s="3"/>
      <c r="L54" s="8"/>
    </row>
    <row r="55" spans="1:12" ht="30" customHeight="1">
      <c r="A55" s="4">
        <v>51</v>
      </c>
      <c r="B55" s="9" t="s">
        <v>72</v>
      </c>
      <c r="C55" s="4" t="s">
        <v>50</v>
      </c>
      <c r="D55" s="4" t="s">
        <v>544</v>
      </c>
      <c r="E55" s="4" t="s">
        <v>565</v>
      </c>
      <c r="F55" s="6" t="s">
        <v>563</v>
      </c>
      <c r="G55" s="6" t="s">
        <v>564</v>
      </c>
      <c r="H55" s="4" t="s">
        <v>20</v>
      </c>
      <c r="I55" s="4" t="s">
        <v>231</v>
      </c>
      <c r="J55" s="4" t="s">
        <v>28</v>
      </c>
      <c r="K55" s="4"/>
      <c r="L55" s="6"/>
    </row>
    <row r="56" spans="1:12" ht="30" customHeight="1">
      <c r="A56" s="3">
        <v>52</v>
      </c>
      <c r="B56" s="9" t="s">
        <v>72</v>
      </c>
      <c r="C56" s="3" t="s">
        <v>50</v>
      </c>
      <c r="D56" s="3" t="s">
        <v>544</v>
      </c>
      <c r="E56" s="3" t="s">
        <v>568</v>
      </c>
      <c r="F56" s="8" t="s">
        <v>566</v>
      </c>
      <c r="G56" s="8" t="s">
        <v>567</v>
      </c>
      <c r="H56" s="3" t="s">
        <v>20</v>
      </c>
      <c r="I56" s="3" t="s">
        <v>231</v>
      </c>
      <c r="J56" s="3" t="s">
        <v>28</v>
      </c>
      <c r="K56" s="3"/>
      <c r="L56" s="8"/>
    </row>
    <row r="57" spans="1:12" ht="30" customHeight="1">
      <c r="A57" s="4">
        <v>53</v>
      </c>
      <c r="B57" s="9" t="s">
        <v>72</v>
      </c>
      <c r="C57" s="4" t="s">
        <v>50</v>
      </c>
      <c r="D57" s="4" t="s">
        <v>577</v>
      </c>
      <c r="E57" s="4" t="s">
        <v>592</v>
      </c>
      <c r="F57" s="6" t="s">
        <v>590</v>
      </c>
      <c r="G57" s="6" t="s">
        <v>591</v>
      </c>
      <c r="H57" s="4" t="s">
        <v>20</v>
      </c>
      <c r="I57" s="4" t="s">
        <v>231</v>
      </c>
      <c r="J57" s="4" t="s">
        <v>28</v>
      </c>
      <c r="K57" s="4"/>
      <c r="L57" s="6"/>
    </row>
    <row r="58" spans="1:12" ht="30" customHeight="1">
      <c r="A58" s="3">
        <v>54</v>
      </c>
      <c r="B58" s="9" t="s">
        <v>72</v>
      </c>
      <c r="C58" s="3" t="s">
        <v>50</v>
      </c>
      <c r="D58" s="3" t="s">
        <v>577</v>
      </c>
      <c r="E58" s="3" t="s">
        <v>595</v>
      </c>
      <c r="F58" s="8" t="s">
        <v>593</v>
      </c>
      <c r="G58" s="8" t="s">
        <v>594</v>
      </c>
      <c r="H58" s="3" t="s">
        <v>20</v>
      </c>
      <c r="I58" s="3" t="s">
        <v>231</v>
      </c>
      <c r="J58" s="3" t="s">
        <v>28</v>
      </c>
      <c r="K58" s="3"/>
      <c r="L58" s="8"/>
    </row>
    <row r="59" spans="1:12" ht="30" customHeight="1">
      <c r="A59" s="4">
        <v>55</v>
      </c>
      <c r="B59" s="9" t="s">
        <v>72</v>
      </c>
      <c r="C59" s="4" t="s">
        <v>50</v>
      </c>
      <c r="D59" s="4" t="s">
        <v>577</v>
      </c>
      <c r="E59" s="4" t="s">
        <v>607</v>
      </c>
      <c r="F59" s="6"/>
      <c r="G59" s="6" t="s">
        <v>606</v>
      </c>
      <c r="H59" s="4" t="s">
        <v>18</v>
      </c>
      <c r="I59" s="4" t="s">
        <v>90</v>
      </c>
      <c r="J59" s="4" t="s">
        <v>28</v>
      </c>
      <c r="K59" s="4"/>
      <c r="L59" s="6"/>
    </row>
    <row r="60" spans="1:12" ht="30" customHeight="1">
      <c r="A60" s="3">
        <v>56</v>
      </c>
      <c r="B60" s="9" t="s">
        <v>72</v>
      </c>
      <c r="C60" s="3" t="s">
        <v>50</v>
      </c>
      <c r="D60" s="3" t="s">
        <v>577</v>
      </c>
      <c r="E60" s="3" t="s">
        <v>609</v>
      </c>
      <c r="F60" s="8"/>
      <c r="G60" s="8" t="s">
        <v>608</v>
      </c>
      <c r="H60" s="3" t="s">
        <v>18</v>
      </c>
      <c r="I60" s="3" t="s">
        <v>90</v>
      </c>
      <c r="J60" s="3" t="s">
        <v>28</v>
      </c>
      <c r="K60" s="3"/>
      <c r="L60" s="8"/>
    </row>
    <row r="61" spans="1:12" ht="30" customHeight="1">
      <c r="A61" s="4">
        <v>57</v>
      </c>
      <c r="B61" s="9" t="s">
        <v>72</v>
      </c>
      <c r="C61" s="4" t="s">
        <v>50</v>
      </c>
      <c r="D61" s="4" t="s">
        <v>577</v>
      </c>
      <c r="E61" s="4" t="s">
        <v>610</v>
      </c>
      <c r="F61" s="6"/>
      <c r="G61" s="6" t="s">
        <v>554</v>
      </c>
      <c r="H61" s="4" t="s">
        <v>18</v>
      </c>
      <c r="I61" s="4" t="s">
        <v>90</v>
      </c>
      <c r="J61" s="4" t="s">
        <v>28</v>
      </c>
      <c r="K61" s="4"/>
      <c r="L61" s="6"/>
    </row>
    <row r="62" spans="1:12" ht="30" customHeight="1">
      <c r="A62" s="3">
        <v>58</v>
      </c>
      <c r="B62" s="9" t="s">
        <v>72</v>
      </c>
      <c r="C62" s="3" t="s">
        <v>50</v>
      </c>
      <c r="D62" s="3" t="s">
        <v>577</v>
      </c>
      <c r="E62" s="3" t="s">
        <v>615</v>
      </c>
      <c r="F62" s="8"/>
      <c r="G62" s="8" t="s">
        <v>614</v>
      </c>
      <c r="H62" s="3" t="s">
        <v>20</v>
      </c>
      <c r="I62" s="3" t="s">
        <v>231</v>
      </c>
      <c r="J62" s="3" t="s">
        <v>28</v>
      </c>
      <c r="K62" s="3"/>
      <c r="L62" s="8"/>
    </row>
    <row r="63" spans="1:12" ht="30" customHeight="1">
      <c r="A63" s="4">
        <v>59</v>
      </c>
      <c r="B63" s="9" t="s">
        <v>72</v>
      </c>
      <c r="C63" s="4" t="s">
        <v>50</v>
      </c>
      <c r="D63" s="4" t="s">
        <v>616</v>
      </c>
      <c r="E63" s="4" t="s">
        <v>622</v>
      </c>
      <c r="F63" s="6" t="s">
        <v>621</v>
      </c>
      <c r="G63" s="6" t="s">
        <v>594</v>
      </c>
      <c r="H63" s="4" t="s">
        <v>20</v>
      </c>
      <c r="I63" s="4" t="s">
        <v>231</v>
      </c>
      <c r="J63" s="4" t="s">
        <v>28</v>
      </c>
      <c r="K63" s="4"/>
      <c r="L63" s="6"/>
    </row>
    <row r="64" spans="1:12" ht="30" customHeight="1">
      <c r="A64" s="3">
        <v>60</v>
      </c>
      <c r="B64" s="9" t="s">
        <v>72</v>
      </c>
      <c r="C64" s="3" t="s">
        <v>50</v>
      </c>
      <c r="D64" s="3" t="s">
        <v>616</v>
      </c>
      <c r="E64" s="3" t="s">
        <v>629</v>
      </c>
      <c r="F64" s="8"/>
      <c r="G64" s="8" t="s">
        <v>554</v>
      </c>
      <c r="H64" s="3" t="s">
        <v>18</v>
      </c>
      <c r="I64" s="3" t="s">
        <v>90</v>
      </c>
      <c r="J64" s="3" t="s">
        <v>28</v>
      </c>
      <c r="K64" s="3"/>
      <c r="L64" s="8"/>
    </row>
    <row r="65" spans="1:12" ht="30" customHeight="1">
      <c r="A65" s="4">
        <v>61</v>
      </c>
      <c r="B65" s="9" t="s">
        <v>72</v>
      </c>
      <c r="C65" s="4" t="s">
        <v>50</v>
      </c>
      <c r="D65" s="4" t="s">
        <v>630</v>
      </c>
      <c r="E65" s="4" t="s">
        <v>633</v>
      </c>
      <c r="F65" s="6" t="s">
        <v>631</v>
      </c>
      <c r="G65" s="6" t="s">
        <v>632</v>
      </c>
      <c r="H65" s="4" t="s">
        <v>18</v>
      </c>
      <c r="I65" s="4" t="s">
        <v>90</v>
      </c>
      <c r="J65" s="4" t="s">
        <v>28</v>
      </c>
      <c r="K65" s="4"/>
      <c r="L65" s="6"/>
    </row>
    <row r="66" spans="1:12" ht="30" customHeight="1">
      <c r="A66" s="3">
        <v>62</v>
      </c>
      <c r="B66" s="9" t="s">
        <v>72</v>
      </c>
      <c r="C66" s="3" t="s">
        <v>50</v>
      </c>
      <c r="D66" s="3" t="s">
        <v>630</v>
      </c>
      <c r="E66" s="3" t="s">
        <v>636</v>
      </c>
      <c r="F66" s="8" t="s">
        <v>634</v>
      </c>
      <c r="G66" s="8" t="s">
        <v>635</v>
      </c>
      <c r="H66" s="3" t="s">
        <v>18</v>
      </c>
      <c r="I66" s="3" t="s">
        <v>90</v>
      </c>
      <c r="J66" s="3" t="s">
        <v>28</v>
      </c>
      <c r="K66" s="3"/>
      <c r="L66" s="8"/>
    </row>
    <row r="67" spans="1:12" ht="30" customHeight="1">
      <c r="A67" s="4">
        <v>63</v>
      </c>
      <c r="B67" s="9" t="s">
        <v>72</v>
      </c>
      <c r="C67" s="4" t="s">
        <v>51</v>
      </c>
      <c r="D67" s="4" t="s">
        <v>655</v>
      </c>
      <c r="E67" s="4" t="s">
        <v>674</v>
      </c>
      <c r="F67" s="6" t="s">
        <v>672</v>
      </c>
      <c r="G67" s="6" t="s">
        <v>673</v>
      </c>
      <c r="H67" s="4" t="s">
        <v>18</v>
      </c>
      <c r="I67" s="4" t="s">
        <v>90</v>
      </c>
      <c r="J67" s="4" t="s">
        <v>28</v>
      </c>
      <c r="K67" s="4"/>
      <c r="L67" s="6"/>
    </row>
    <row r="68" spans="1:12" ht="30" customHeight="1">
      <c r="A68" s="3">
        <v>64</v>
      </c>
      <c r="B68" s="9" t="s">
        <v>72</v>
      </c>
      <c r="C68" s="3" t="s">
        <v>51</v>
      </c>
      <c r="D68" s="3" t="s">
        <v>655</v>
      </c>
      <c r="E68" s="3" t="s">
        <v>677</v>
      </c>
      <c r="F68" s="8" t="s">
        <v>675</v>
      </c>
      <c r="G68" s="8" t="s">
        <v>676</v>
      </c>
      <c r="H68" s="3" t="s">
        <v>18</v>
      </c>
      <c r="I68" s="3" t="s">
        <v>90</v>
      </c>
      <c r="J68" s="3" t="s">
        <v>28</v>
      </c>
      <c r="K68" s="3"/>
      <c r="L68" s="8"/>
    </row>
    <row r="69" spans="1:12" ht="30" customHeight="1">
      <c r="A69" s="4">
        <v>65</v>
      </c>
      <c r="B69" s="9" t="s">
        <v>72</v>
      </c>
      <c r="C69" s="4" t="s">
        <v>51</v>
      </c>
      <c r="D69" s="4" t="s">
        <v>655</v>
      </c>
      <c r="E69" s="4" t="s">
        <v>680</v>
      </c>
      <c r="F69" s="6" t="s">
        <v>678</v>
      </c>
      <c r="G69" s="6" t="s">
        <v>679</v>
      </c>
      <c r="H69" s="4" t="s">
        <v>18</v>
      </c>
      <c r="I69" s="4" t="s">
        <v>90</v>
      </c>
      <c r="J69" s="4" t="s">
        <v>28</v>
      </c>
      <c r="K69" s="4"/>
      <c r="L69" s="6"/>
    </row>
    <row r="70" spans="1:12" ht="30" customHeight="1">
      <c r="A70" s="3">
        <v>66</v>
      </c>
      <c r="B70" s="9" t="s">
        <v>72</v>
      </c>
      <c r="C70" s="3" t="s">
        <v>51</v>
      </c>
      <c r="D70" s="3" t="s">
        <v>655</v>
      </c>
      <c r="E70" s="3" t="s">
        <v>687</v>
      </c>
      <c r="F70" s="8" t="s">
        <v>685</v>
      </c>
      <c r="G70" s="8" t="s">
        <v>686</v>
      </c>
      <c r="H70" s="3" t="s">
        <v>18</v>
      </c>
      <c r="I70" s="3" t="s">
        <v>90</v>
      </c>
      <c r="J70" s="3" t="s">
        <v>28</v>
      </c>
      <c r="K70" s="3"/>
      <c r="L70" s="8"/>
    </row>
    <row r="71" spans="1:12" ht="30" customHeight="1">
      <c r="A71" s="4">
        <v>67</v>
      </c>
      <c r="B71" s="9" t="s">
        <v>72</v>
      </c>
      <c r="C71" s="4" t="s">
        <v>51</v>
      </c>
      <c r="D71" s="4" t="s">
        <v>655</v>
      </c>
      <c r="E71" s="4" t="s">
        <v>694</v>
      </c>
      <c r="F71" s="6"/>
      <c r="G71" s="6" t="s">
        <v>693</v>
      </c>
      <c r="H71" s="4" t="s">
        <v>18</v>
      </c>
      <c r="I71" s="4" t="s">
        <v>90</v>
      </c>
      <c r="J71" s="4" t="s">
        <v>28</v>
      </c>
      <c r="K71" s="4"/>
      <c r="L71" s="6"/>
    </row>
    <row r="72" spans="1:12" ht="30" customHeight="1">
      <c r="A72" s="3">
        <v>68</v>
      </c>
      <c r="B72" s="9" t="s">
        <v>72</v>
      </c>
      <c r="C72" s="3" t="s">
        <v>51</v>
      </c>
      <c r="D72" s="3" t="s">
        <v>747</v>
      </c>
      <c r="E72" s="3" t="s">
        <v>761</v>
      </c>
      <c r="F72" s="8" t="s">
        <v>759</v>
      </c>
      <c r="G72" s="8" t="s">
        <v>760</v>
      </c>
      <c r="H72" s="3" t="s">
        <v>19</v>
      </c>
      <c r="I72" s="3" t="s">
        <v>76</v>
      </c>
      <c r="J72" s="3" t="s">
        <v>28</v>
      </c>
      <c r="K72" s="3"/>
      <c r="L72" s="8"/>
    </row>
    <row r="73" spans="1:12" ht="30" customHeight="1">
      <c r="A73" s="4">
        <v>69</v>
      </c>
      <c r="B73" s="9" t="s">
        <v>72</v>
      </c>
      <c r="C73" s="4" t="s">
        <v>51</v>
      </c>
      <c r="D73" s="4" t="s">
        <v>747</v>
      </c>
      <c r="E73" s="4" t="s">
        <v>764</v>
      </c>
      <c r="F73" s="6" t="s">
        <v>762</v>
      </c>
      <c r="G73" s="6" t="s">
        <v>763</v>
      </c>
      <c r="H73" s="4" t="s">
        <v>19</v>
      </c>
      <c r="I73" s="4" t="s">
        <v>76</v>
      </c>
      <c r="J73" s="4" t="s">
        <v>28</v>
      </c>
      <c r="K73" s="4"/>
      <c r="L73" s="6"/>
    </row>
    <row r="74" spans="1:12" ht="30" customHeight="1">
      <c r="A74" s="3">
        <v>70</v>
      </c>
      <c r="B74" s="9" t="s">
        <v>72</v>
      </c>
      <c r="C74" s="3" t="s">
        <v>51</v>
      </c>
      <c r="D74" s="3" t="s">
        <v>747</v>
      </c>
      <c r="E74" s="3" t="s">
        <v>772</v>
      </c>
      <c r="F74" s="8" t="s">
        <v>770</v>
      </c>
      <c r="G74" s="8" t="s">
        <v>771</v>
      </c>
      <c r="H74" s="3" t="s">
        <v>18</v>
      </c>
      <c r="I74" s="3" t="s">
        <v>90</v>
      </c>
      <c r="J74" s="3" t="s">
        <v>28</v>
      </c>
      <c r="K74" s="3"/>
      <c r="L74" s="8"/>
    </row>
    <row r="75" spans="1:12" ht="30" customHeight="1">
      <c r="A75" s="4">
        <v>71</v>
      </c>
      <c r="B75" s="9" t="s">
        <v>72</v>
      </c>
      <c r="C75" s="4" t="s">
        <v>51</v>
      </c>
      <c r="D75" s="4" t="s">
        <v>747</v>
      </c>
      <c r="E75" s="4" t="s">
        <v>775</v>
      </c>
      <c r="F75" s="6" t="s">
        <v>773</v>
      </c>
      <c r="G75" s="6" t="s">
        <v>774</v>
      </c>
      <c r="H75" s="4" t="s">
        <v>19</v>
      </c>
      <c r="I75" s="4" t="s">
        <v>76</v>
      </c>
      <c r="J75" s="4" t="s">
        <v>28</v>
      </c>
      <c r="K75" s="4"/>
      <c r="L75" s="6"/>
    </row>
    <row r="76" spans="1:12" ht="30" customHeight="1">
      <c r="A76" s="3">
        <v>72</v>
      </c>
      <c r="B76" s="9" t="s">
        <v>72</v>
      </c>
      <c r="C76" s="3" t="s">
        <v>51</v>
      </c>
      <c r="D76" s="3" t="s">
        <v>747</v>
      </c>
      <c r="E76" s="3" t="s">
        <v>778</v>
      </c>
      <c r="F76" s="8" t="s">
        <v>776</v>
      </c>
      <c r="G76" s="8" t="s">
        <v>777</v>
      </c>
      <c r="H76" s="3" t="s">
        <v>19</v>
      </c>
      <c r="I76" s="3" t="s">
        <v>76</v>
      </c>
      <c r="J76" s="3" t="s">
        <v>28</v>
      </c>
      <c r="K76" s="3"/>
      <c r="L76" s="8"/>
    </row>
    <row r="77" spans="1:12" ht="30" customHeight="1">
      <c r="A77" s="4">
        <v>73</v>
      </c>
      <c r="B77" s="9" t="s">
        <v>72</v>
      </c>
      <c r="C77" s="4" t="s">
        <v>51</v>
      </c>
      <c r="D77" s="4" t="s">
        <v>747</v>
      </c>
      <c r="E77" s="4" t="s">
        <v>782</v>
      </c>
      <c r="F77" s="6" t="s">
        <v>780</v>
      </c>
      <c r="G77" s="6" t="s">
        <v>781</v>
      </c>
      <c r="H77" s="4" t="s">
        <v>18</v>
      </c>
      <c r="I77" s="4" t="s">
        <v>90</v>
      </c>
      <c r="J77" s="4" t="s">
        <v>28</v>
      </c>
      <c r="K77" s="4"/>
      <c r="L77" s="6"/>
    </row>
    <row r="78" spans="1:12" ht="30" customHeight="1">
      <c r="A78" s="3">
        <v>74</v>
      </c>
      <c r="B78" s="9" t="s">
        <v>72</v>
      </c>
      <c r="C78" s="3" t="s">
        <v>51</v>
      </c>
      <c r="D78" s="3" t="s">
        <v>799</v>
      </c>
      <c r="E78" s="3" t="s">
        <v>802</v>
      </c>
      <c r="F78" s="8" t="s">
        <v>800</v>
      </c>
      <c r="G78" s="8" t="s">
        <v>801</v>
      </c>
      <c r="H78" s="3" t="s">
        <v>19</v>
      </c>
      <c r="I78" s="3" t="s">
        <v>76</v>
      </c>
      <c r="J78" s="3" t="s">
        <v>28</v>
      </c>
      <c r="K78" s="3"/>
      <c r="L78" s="8"/>
    </row>
    <row r="79" spans="1:12" ht="30" customHeight="1">
      <c r="A79" s="4">
        <v>75</v>
      </c>
      <c r="B79" s="9" t="s">
        <v>72</v>
      </c>
      <c r="C79" s="4" t="s">
        <v>51</v>
      </c>
      <c r="D79" s="4" t="s">
        <v>799</v>
      </c>
      <c r="E79" s="4" t="s">
        <v>805</v>
      </c>
      <c r="F79" s="6" t="s">
        <v>803</v>
      </c>
      <c r="G79" s="6" t="s">
        <v>804</v>
      </c>
      <c r="H79" s="4" t="s">
        <v>19</v>
      </c>
      <c r="I79" s="4" t="s">
        <v>76</v>
      </c>
      <c r="J79" s="4" t="s">
        <v>28</v>
      </c>
      <c r="K79" s="4"/>
      <c r="L79" s="6"/>
    </row>
    <row r="80" spans="1:12" ht="30" customHeight="1">
      <c r="A80" s="3">
        <v>76</v>
      </c>
      <c r="B80" s="9" t="s">
        <v>72</v>
      </c>
      <c r="C80" s="3" t="s">
        <v>51</v>
      </c>
      <c r="D80" s="3" t="s">
        <v>799</v>
      </c>
      <c r="E80" s="3" t="s">
        <v>813</v>
      </c>
      <c r="F80" s="8" t="s">
        <v>811</v>
      </c>
      <c r="G80" s="8" t="s">
        <v>812</v>
      </c>
      <c r="H80" s="3" t="s">
        <v>19</v>
      </c>
      <c r="I80" s="3" t="s">
        <v>76</v>
      </c>
      <c r="J80" s="3" t="s">
        <v>28</v>
      </c>
      <c r="K80" s="3"/>
      <c r="L80" s="8"/>
    </row>
    <row r="81" spans="1:12" ht="30" customHeight="1">
      <c r="A81" s="4">
        <v>77</v>
      </c>
      <c r="B81" s="9" t="s">
        <v>72</v>
      </c>
      <c r="C81" s="4" t="s">
        <v>51</v>
      </c>
      <c r="D81" s="4" t="s">
        <v>819</v>
      </c>
      <c r="E81" s="4" t="s">
        <v>828</v>
      </c>
      <c r="F81" s="6" t="s">
        <v>826</v>
      </c>
      <c r="G81" s="6" t="s">
        <v>827</v>
      </c>
      <c r="H81" s="4" t="s">
        <v>19</v>
      </c>
      <c r="I81" s="4" t="s">
        <v>824</v>
      </c>
      <c r="J81" s="4" t="s">
        <v>28</v>
      </c>
      <c r="K81" s="4"/>
      <c r="L81" s="6"/>
    </row>
    <row r="82" spans="1:12" ht="30" customHeight="1">
      <c r="A82" s="3">
        <v>78</v>
      </c>
      <c r="B82" s="9" t="s">
        <v>72</v>
      </c>
      <c r="C82" s="3" t="s">
        <v>51</v>
      </c>
      <c r="D82" s="3" t="s">
        <v>819</v>
      </c>
      <c r="E82" s="3" t="s">
        <v>831</v>
      </c>
      <c r="F82" s="8" t="s">
        <v>829</v>
      </c>
      <c r="G82" s="8" t="s">
        <v>830</v>
      </c>
      <c r="H82" s="3" t="s">
        <v>19</v>
      </c>
      <c r="I82" s="3" t="s">
        <v>824</v>
      </c>
      <c r="J82" s="3" t="s">
        <v>28</v>
      </c>
      <c r="K82" s="3"/>
      <c r="L82" s="8"/>
    </row>
    <row r="83" spans="1:12" ht="30" customHeight="1">
      <c r="A83" s="4">
        <v>79</v>
      </c>
      <c r="B83" s="9" t="s">
        <v>72</v>
      </c>
      <c r="C83" s="4" t="s">
        <v>51</v>
      </c>
      <c r="D83" s="4" t="s">
        <v>819</v>
      </c>
      <c r="E83" s="4" t="s">
        <v>838</v>
      </c>
      <c r="F83" s="6"/>
      <c r="G83" s="6" t="s">
        <v>837</v>
      </c>
      <c r="H83" s="4" t="s">
        <v>19</v>
      </c>
      <c r="I83" s="4" t="s">
        <v>19</v>
      </c>
      <c r="J83" s="4" t="s">
        <v>28</v>
      </c>
      <c r="K83" s="4"/>
      <c r="L83" s="6"/>
    </row>
    <row r="84" spans="1:12" ht="30" customHeight="1">
      <c r="A84" s="3">
        <v>80</v>
      </c>
      <c r="B84" s="9" t="s">
        <v>72</v>
      </c>
      <c r="C84" s="3" t="s">
        <v>51</v>
      </c>
      <c r="D84" s="3" t="s">
        <v>914</v>
      </c>
      <c r="E84" s="3" t="s">
        <v>917</v>
      </c>
      <c r="F84" s="8" t="s">
        <v>915</v>
      </c>
      <c r="G84" s="8" t="s">
        <v>916</v>
      </c>
      <c r="H84" s="3" t="s">
        <v>19</v>
      </c>
      <c r="I84" s="3" t="s">
        <v>226</v>
      </c>
      <c r="J84" s="3" t="s">
        <v>28</v>
      </c>
      <c r="K84" s="3"/>
      <c r="L84" s="8"/>
    </row>
    <row r="85" spans="1:12" ht="30" customHeight="1">
      <c r="A85" s="4">
        <v>81</v>
      </c>
      <c r="B85" s="9" t="s">
        <v>72</v>
      </c>
      <c r="C85" s="4" t="s">
        <v>51</v>
      </c>
      <c r="D85" s="4" t="s">
        <v>914</v>
      </c>
      <c r="E85" s="4" t="s">
        <v>920</v>
      </c>
      <c r="F85" s="6" t="s">
        <v>918</v>
      </c>
      <c r="G85" s="6" t="s">
        <v>919</v>
      </c>
      <c r="H85" s="4" t="s">
        <v>19</v>
      </c>
      <c r="I85" s="4" t="s">
        <v>226</v>
      </c>
      <c r="J85" s="4" t="s">
        <v>28</v>
      </c>
      <c r="K85" s="4"/>
      <c r="L85" s="6"/>
    </row>
    <row r="86" spans="1:12" ht="30" customHeight="1">
      <c r="A86" s="3">
        <v>82</v>
      </c>
      <c r="B86" s="9" t="s">
        <v>72</v>
      </c>
      <c r="C86" s="3" t="s">
        <v>51</v>
      </c>
      <c r="D86" s="3" t="s">
        <v>914</v>
      </c>
      <c r="E86" s="3" t="s">
        <v>923</v>
      </c>
      <c r="F86" s="8" t="s">
        <v>921</v>
      </c>
      <c r="G86" s="8" t="s">
        <v>922</v>
      </c>
      <c r="H86" s="3" t="s">
        <v>19</v>
      </c>
      <c r="I86" s="3" t="s">
        <v>226</v>
      </c>
      <c r="J86" s="3" t="s">
        <v>28</v>
      </c>
      <c r="K86" s="3"/>
      <c r="L86" s="8"/>
    </row>
    <row r="87" spans="1:12" ht="30" customHeight="1">
      <c r="A87" s="4">
        <v>83</v>
      </c>
      <c r="B87" s="9" t="s">
        <v>72</v>
      </c>
      <c r="C87" s="4" t="s">
        <v>51</v>
      </c>
      <c r="D87" s="4" t="s">
        <v>914</v>
      </c>
      <c r="E87" s="4" t="s">
        <v>926</v>
      </c>
      <c r="F87" s="6" t="s">
        <v>924</v>
      </c>
      <c r="G87" s="6" t="s">
        <v>925</v>
      </c>
      <c r="H87" s="4" t="s">
        <v>19</v>
      </c>
      <c r="I87" s="4" t="s">
        <v>226</v>
      </c>
      <c r="J87" s="4" t="s">
        <v>28</v>
      </c>
      <c r="K87" s="4"/>
      <c r="L87" s="6"/>
    </row>
    <row r="88" spans="1:12" ht="30" customHeight="1">
      <c r="A88" s="3">
        <v>84</v>
      </c>
      <c r="B88" s="9" t="s">
        <v>72</v>
      </c>
      <c r="C88" s="3" t="s">
        <v>51</v>
      </c>
      <c r="D88" s="3" t="s">
        <v>914</v>
      </c>
      <c r="E88" s="3" t="s">
        <v>935</v>
      </c>
      <c r="F88" s="8" t="s">
        <v>933</v>
      </c>
      <c r="G88" s="8" t="s">
        <v>934</v>
      </c>
      <c r="H88" s="3" t="s">
        <v>19</v>
      </c>
      <c r="I88" s="3" t="s">
        <v>226</v>
      </c>
      <c r="J88" s="3" t="s">
        <v>28</v>
      </c>
      <c r="K88" s="3"/>
      <c r="L88" s="8"/>
    </row>
    <row r="89" spans="1:12" ht="30" customHeight="1">
      <c r="A89" s="4">
        <v>85</v>
      </c>
      <c r="B89" s="9" t="s">
        <v>72</v>
      </c>
      <c r="C89" s="4" t="s">
        <v>48</v>
      </c>
      <c r="D89" s="4" t="s">
        <v>401</v>
      </c>
      <c r="E89" s="4" t="s">
        <v>435</v>
      </c>
      <c r="F89" s="6" t="s">
        <v>433</v>
      </c>
      <c r="G89" s="6" t="s">
        <v>434</v>
      </c>
      <c r="H89" s="4" t="s">
        <v>21</v>
      </c>
      <c r="I89" s="4" t="s">
        <v>178</v>
      </c>
      <c r="J89" s="4" t="s">
        <v>29</v>
      </c>
      <c r="K89" s="4"/>
      <c r="L89" s="6"/>
    </row>
    <row r="90" spans="1:12" ht="30" customHeight="1">
      <c r="A90" s="3">
        <v>86</v>
      </c>
      <c r="B90" s="9" t="s">
        <v>72</v>
      </c>
      <c r="C90" s="3" t="s">
        <v>48</v>
      </c>
      <c r="D90" s="3" t="s">
        <v>401</v>
      </c>
      <c r="E90" s="3" t="s">
        <v>438</v>
      </c>
      <c r="F90" s="8" t="s">
        <v>436</v>
      </c>
      <c r="G90" s="8" t="s">
        <v>437</v>
      </c>
      <c r="H90" s="3" t="s">
        <v>21</v>
      </c>
      <c r="I90" s="3" t="s">
        <v>178</v>
      </c>
      <c r="J90" s="3" t="s">
        <v>29</v>
      </c>
      <c r="K90" s="3"/>
      <c r="L90" s="8"/>
    </row>
    <row r="91" spans="1:12" ht="30" customHeight="1">
      <c r="A91" s="4">
        <v>87</v>
      </c>
      <c r="B91" s="9" t="s">
        <v>72</v>
      </c>
      <c r="C91" s="4" t="s">
        <v>48</v>
      </c>
      <c r="D91" s="4" t="s">
        <v>401</v>
      </c>
      <c r="E91" s="4" t="s">
        <v>441</v>
      </c>
      <c r="F91" s="6" t="s">
        <v>439</v>
      </c>
      <c r="G91" s="6" t="s">
        <v>440</v>
      </c>
      <c r="H91" s="4" t="s">
        <v>21</v>
      </c>
      <c r="I91" s="4" t="s">
        <v>178</v>
      </c>
      <c r="J91" s="4" t="s">
        <v>29</v>
      </c>
      <c r="K91" s="4"/>
      <c r="L91" s="6"/>
    </row>
    <row r="92" spans="1:12" ht="30" customHeight="1">
      <c r="A92" s="3">
        <v>88</v>
      </c>
      <c r="B92" s="9" t="s">
        <v>72</v>
      </c>
      <c r="C92" s="3" t="s">
        <v>48</v>
      </c>
      <c r="D92" s="3" t="s">
        <v>453</v>
      </c>
      <c r="E92" s="3" t="s">
        <v>456</v>
      </c>
      <c r="F92" s="8" t="s">
        <v>454</v>
      </c>
      <c r="G92" s="8" t="s">
        <v>455</v>
      </c>
      <c r="H92" s="3" t="s">
        <v>21</v>
      </c>
      <c r="I92" s="3" t="s">
        <v>178</v>
      </c>
      <c r="J92" s="3" t="s">
        <v>29</v>
      </c>
      <c r="K92" s="3"/>
      <c r="L92" s="8"/>
    </row>
    <row r="93" spans="1:12" ht="30" customHeight="1">
      <c r="A93" s="4">
        <v>89</v>
      </c>
      <c r="B93" s="9" t="s">
        <v>72</v>
      </c>
      <c r="C93" s="4" t="s">
        <v>48</v>
      </c>
      <c r="D93" s="4" t="s">
        <v>453</v>
      </c>
      <c r="E93" s="4" t="s">
        <v>458</v>
      </c>
      <c r="F93" s="6"/>
      <c r="G93" s="6" t="s">
        <v>457</v>
      </c>
      <c r="H93" s="4" t="s">
        <v>21</v>
      </c>
      <c r="I93" s="4" t="s">
        <v>178</v>
      </c>
      <c r="J93" s="4" t="s">
        <v>29</v>
      </c>
      <c r="K93" s="4"/>
      <c r="L93" s="6"/>
    </row>
    <row r="94" spans="1:12" ht="30" customHeight="1">
      <c r="A94" s="3">
        <v>90</v>
      </c>
      <c r="B94" s="9" t="s">
        <v>72</v>
      </c>
      <c r="C94" s="3" t="s">
        <v>48</v>
      </c>
      <c r="D94" s="3" t="s">
        <v>460</v>
      </c>
      <c r="E94" s="3" t="s">
        <v>462</v>
      </c>
      <c r="F94" s="8" t="s">
        <v>461</v>
      </c>
      <c r="G94" s="8" t="s">
        <v>444</v>
      </c>
      <c r="H94" s="3" t="s">
        <v>23</v>
      </c>
      <c r="I94" s="3" t="s">
        <v>178</v>
      </c>
      <c r="J94" s="3" t="s">
        <v>29</v>
      </c>
      <c r="K94" s="3"/>
      <c r="L94" s="8"/>
    </row>
    <row r="95" spans="1:12" ht="30" customHeight="1">
      <c r="A95" s="4">
        <v>91</v>
      </c>
      <c r="B95" s="9" t="s">
        <v>72</v>
      </c>
      <c r="C95" s="4" t="s">
        <v>48</v>
      </c>
      <c r="D95" s="4" t="s">
        <v>460</v>
      </c>
      <c r="E95" s="4" t="s">
        <v>467</v>
      </c>
      <c r="F95" s="6" t="s">
        <v>465</v>
      </c>
      <c r="G95" s="6" t="s">
        <v>466</v>
      </c>
      <c r="H95" s="4" t="s">
        <v>23</v>
      </c>
      <c r="I95" s="4" t="s">
        <v>178</v>
      </c>
      <c r="J95" s="4" t="s">
        <v>29</v>
      </c>
      <c r="K95" s="4"/>
      <c r="L95" s="6"/>
    </row>
    <row r="96" spans="1:12" ht="30" customHeight="1">
      <c r="A96" s="3">
        <v>92</v>
      </c>
      <c r="B96" s="9" t="s">
        <v>72</v>
      </c>
      <c r="C96" s="3" t="s">
        <v>48</v>
      </c>
      <c r="D96" s="3" t="s">
        <v>453</v>
      </c>
      <c r="E96" s="3" t="s">
        <v>459</v>
      </c>
      <c r="F96" s="8"/>
      <c r="G96" s="8" t="s">
        <v>407</v>
      </c>
      <c r="H96" s="3" t="s">
        <v>21</v>
      </c>
      <c r="I96" s="3" t="s">
        <v>178</v>
      </c>
      <c r="J96" s="3" t="s">
        <v>30</v>
      </c>
      <c r="K96" s="3"/>
      <c r="L96" s="8"/>
    </row>
    <row r="97" spans="1:12" ht="30" customHeight="1">
      <c r="A97" s="4">
        <v>93</v>
      </c>
      <c r="B97" s="12" t="s">
        <v>122</v>
      </c>
      <c r="C97" s="4" t="s">
        <v>46</v>
      </c>
      <c r="D97" s="4" t="s">
        <v>121</v>
      </c>
      <c r="E97" s="4" t="s">
        <v>133</v>
      </c>
      <c r="F97" s="6" t="s">
        <v>131</v>
      </c>
      <c r="G97" s="6" t="s">
        <v>132</v>
      </c>
      <c r="H97" s="4" t="s">
        <v>18</v>
      </c>
      <c r="I97" s="4"/>
      <c r="J97" s="4" t="s">
        <v>28</v>
      </c>
      <c r="K97" s="4"/>
      <c r="L97" s="6"/>
    </row>
    <row r="98" spans="1:12" ht="30" customHeight="1">
      <c r="A98" s="3">
        <v>94</v>
      </c>
      <c r="B98" s="12" t="s">
        <v>122</v>
      </c>
      <c r="C98" s="3" t="s">
        <v>51</v>
      </c>
      <c r="D98" s="3" t="s">
        <v>729</v>
      </c>
      <c r="E98" s="3" t="s">
        <v>744</v>
      </c>
      <c r="F98" s="8" t="s">
        <v>742</v>
      </c>
      <c r="G98" s="8" t="s">
        <v>743</v>
      </c>
      <c r="H98" s="3" t="s">
        <v>19</v>
      </c>
      <c r="I98" s="3" t="s">
        <v>76</v>
      </c>
      <c r="J98" s="3" t="s">
        <v>28</v>
      </c>
      <c r="K98" s="3"/>
      <c r="L98" s="8"/>
    </row>
    <row r="99" spans="1:12" ht="30" customHeight="1">
      <c r="A99" s="4">
        <v>95</v>
      </c>
      <c r="B99" s="12" t="s">
        <v>122</v>
      </c>
      <c r="C99" s="4" t="s">
        <v>51</v>
      </c>
      <c r="D99" s="4" t="s">
        <v>839</v>
      </c>
      <c r="E99" s="4" t="s">
        <v>842</v>
      </c>
      <c r="F99" s="6" t="s">
        <v>840</v>
      </c>
      <c r="G99" s="6" t="s">
        <v>841</v>
      </c>
      <c r="H99" s="4" t="s">
        <v>18</v>
      </c>
      <c r="I99" s="4" t="s">
        <v>90</v>
      </c>
      <c r="J99" s="4" t="s">
        <v>28</v>
      </c>
      <c r="K99" s="4"/>
      <c r="L99" s="6"/>
    </row>
    <row r="100" spans="1:12" ht="30" customHeight="1">
      <c r="A100" s="3">
        <v>96</v>
      </c>
      <c r="B100" s="12" t="s">
        <v>122</v>
      </c>
      <c r="C100" s="3" t="s">
        <v>51</v>
      </c>
      <c r="D100" s="3" t="s">
        <v>839</v>
      </c>
      <c r="E100" s="3" t="s">
        <v>847</v>
      </c>
      <c r="F100" s="8"/>
      <c r="G100" s="8" t="s">
        <v>846</v>
      </c>
      <c r="H100" s="3" t="s">
        <v>18</v>
      </c>
      <c r="I100" s="3" t="s">
        <v>90</v>
      </c>
      <c r="J100" s="3" t="s">
        <v>28</v>
      </c>
      <c r="K100" s="3"/>
      <c r="L100" s="8"/>
    </row>
    <row r="101" spans="1:12" ht="30" customHeight="1">
      <c r="A101" s="4">
        <v>97</v>
      </c>
      <c r="B101" s="12" t="s">
        <v>122</v>
      </c>
      <c r="C101" s="4" t="s">
        <v>51</v>
      </c>
      <c r="D101" s="4" t="s">
        <v>784</v>
      </c>
      <c r="E101" s="4" t="s">
        <v>795</v>
      </c>
      <c r="F101" s="6" t="s">
        <v>793</v>
      </c>
      <c r="G101" s="6" t="s">
        <v>794</v>
      </c>
      <c r="H101" s="4" t="s">
        <v>19</v>
      </c>
      <c r="I101" s="4" t="s">
        <v>226</v>
      </c>
      <c r="J101" s="4" t="s">
        <v>29</v>
      </c>
      <c r="K101" s="4"/>
      <c r="L101" s="6"/>
    </row>
    <row r="102" spans="1:12" ht="30" customHeight="1">
      <c r="A102" s="3">
        <v>98</v>
      </c>
      <c r="B102" s="12" t="s">
        <v>122</v>
      </c>
      <c r="C102" s="3" t="s">
        <v>51</v>
      </c>
      <c r="D102" s="3" t="s">
        <v>784</v>
      </c>
      <c r="E102" s="3" t="s">
        <v>798</v>
      </c>
      <c r="F102" s="8" t="s">
        <v>796</v>
      </c>
      <c r="G102" s="8" t="s">
        <v>797</v>
      </c>
      <c r="H102" s="3" t="s">
        <v>19</v>
      </c>
      <c r="I102" s="3" t="s">
        <v>226</v>
      </c>
      <c r="J102" s="3" t="s">
        <v>29</v>
      </c>
      <c r="K102" s="3"/>
      <c r="L102" s="8"/>
    </row>
    <row r="103" spans="1:12" ht="30" customHeight="1">
      <c r="A103" s="4">
        <v>99</v>
      </c>
      <c r="B103" s="12" t="s">
        <v>122</v>
      </c>
      <c r="C103" s="4" t="s">
        <v>51</v>
      </c>
      <c r="D103" s="4" t="s">
        <v>839</v>
      </c>
      <c r="E103" s="4" t="s">
        <v>850</v>
      </c>
      <c r="F103" s="6"/>
      <c r="G103" s="6" t="s">
        <v>849</v>
      </c>
      <c r="H103" s="4" t="s">
        <v>18</v>
      </c>
      <c r="I103" s="4" t="s">
        <v>90</v>
      </c>
      <c r="J103" s="4" t="s">
        <v>29</v>
      </c>
      <c r="K103" s="4"/>
      <c r="L103" s="6"/>
    </row>
    <row r="104" spans="1:12" ht="30" customHeight="1">
      <c r="A104" s="3">
        <v>100</v>
      </c>
      <c r="B104" s="12" t="s">
        <v>122</v>
      </c>
      <c r="C104" s="3" t="s">
        <v>51</v>
      </c>
      <c r="D104" s="3" t="s">
        <v>851</v>
      </c>
      <c r="E104" s="3" t="s">
        <v>862</v>
      </c>
      <c r="F104" s="8" t="s">
        <v>860</v>
      </c>
      <c r="G104" s="8" t="s">
        <v>861</v>
      </c>
      <c r="H104" s="3" t="s">
        <v>18</v>
      </c>
      <c r="I104" s="3" t="s">
        <v>90</v>
      </c>
      <c r="J104" s="3" t="s">
        <v>29</v>
      </c>
      <c r="K104" s="3"/>
      <c r="L104" s="8"/>
    </row>
    <row r="105" spans="1:12" ht="30" customHeight="1">
      <c r="A105" s="4">
        <v>101</v>
      </c>
      <c r="B105" s="12" t="s">
        <v>122</v>
      </c>
      <c r="C105" s="4" t="s">
        <v>51</v>
      </c>
      <c r="D105" s="4" t="s">
        <v>851</v>
      </c>
      <c r="E105" s="4" t="s">
        <v>867</v>
      </c>
      <c r="F105" s="6"/>
      <c r="G105" s="6" t="s">
        <v>866</v>
      </c>
      <c r="H105" s="4" t="s">
        <v>18</v>
      </c>
      <c r="I105" s="4" t="s">
        <v>90</v>
      </c>
      <c r="J105" s="4" t="s">
        <v>29</v>
      </c>
      <c r="K105" s="4"/>
      <c r="L105" s="6"/>
    </row>
    <row r="106" spans="1:12" ht="30" customHeight="1">
      <c r="A106" s="3">
        <v>102</v>
      </c>
      <c r="B106" s="12" t="s">
        <v>122</v>
      </c>
      <c r="C106" s="3" t="s">
        <v>51</v>
      </c>
      <c r="D106" s="3" t="s">
        <v>868</v>
      </c>
      <c r="E106" s="3" t="s">
        <v>871</v>
      </c>
      <c r="F106" s="8" t="s">
        <v>869</v>
      </c>
      <c r="G106" s="8" t="s">
        <v>870</v>
      </c>
      <c r="H106" s="3" t="s">
        <v>19</v>
      </c>
      <c r="I106" s="3" t="s">
        <v>226</v>
      </c>
      <c r="J106" s="3" t="s">
        <v>29</v>
      </c>
      <c r="K106" s="3"/>
      <c r="L106" s="8"/>
    </row>
    <row r="107" spans="1:12" ht="30" customHeight="1">
      <c r="A107" s="4">
        <v>103</v>
      </c>
      <c r="B107" s="12" t="s">
        <v>122</v>
      </c>
      <c r="C107" s="4" t="s">
        <v>51</v>
      </c>
      <c r="D107" s="4" t="s">
        <v>868</v>
      </c>
      <c r="E107" s="4" t="s">
        <v>879</v>
      </c>
      <c r="F107" s="6" t="s">
        <v>877</v>
      </c>
      <c r="G107" s="6" t="s">
        <v>878</v>
      </c>
      <c r="H107" s="4" t="s">
        <v>19</v>
      </c>
      <c r="I107" s="4" t="s">
        <v>226</v>
      </c>
      <c r="J107" s="4" t="s">
        <v>29</v>
      </c>
      <c r="K107" s="4"/>
      <c r="L107" s="6"/>
    </row>
    <row r="108" spans="1:12" ht="30" customHeight="1">
      <c r="A108" s="3">
        <v>104</v>
      </c>
      <c r="B108" s="12" t="s">
        <v>122</v>
      </c>
      <c r="C108" s="3" t="s">
        <v>51</v>
      </c>
      <c r="D108" s="3" t="s">
        <v>729</v>
      </c>
      <c r="E108" s="3" t="s">
        <v>746</v>
      </c>
      <c r="F108" s="8"/>
      <c r="G108" s="8" t="s">
        <v>745</v>
      </c>
      <c r="H108" s="3" t="s">
        <v>23</v>
      </c>
      <c r="I108" s="3"/>
      <c r="J108" s="3" t="s">
        <v>30</v>
      </c>
      <c r="K108" s="3"/>
      <c r="L108" s="8"/>
    </row>
  </sheetData>
  <autoFilter ref="A4:L108" xr:uid="{00000000-0009-0000-0000-000003000000}"/>
  <mergeCells count="3">
    <mergeCell ref="A3:L3"/>
    <mergeCell ref="A2:L2"/>
    <mergeCell ref="A1:L1"/>
  </mergeCells>
  <phoneticPr fontId="15" type="noConversion"/>
  <dataValidations count="1">
    <dataValidation type="list" allowBlank="1" sqref="K5:K108" xr:uid="{00000000-0002-0000-0300-000000000000}">
      <formula1>"미착수,진행중,완료,해당없음"</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44"/>
  <sheetViews>
    <sheetView showGridLines="0" workbookViewId="0">
      <pane ySplit="4" topLeftCell="A5" activePane="bottomLeft" state="frozen"/>
      <selection pane="bottomLeft" activeCell="E5" sqref="E5"/>
    </sheetView>
  </sheetViews>
  <sheetFormatPr defaultRowHeight="16.5"/>
  <cols>
    <col min="1" max="1" width="5" customWidth="1"/>
    <col min="2" max="2" width="10" customWidth="1"/>
    <col min="3" max="3" width="16" customWidth="1"/>
    <col min="4" max="4" width="30" customWidth="1"/>
    <col min="5" max="5" width="28" customWidth="1"/>
    <col min="6" max="6" width="13" customWidth="1"/>
    <col min="7" max="7" width="11" customWidth="1"/>
    <col min="8" max="8" width="12" customWidth="1"/>
    <col min="9" max="9" width="16" customWidth="1"/>
    <col min="10" max="10" width="18" customWidth="1"/>
  </cols>
  <sheetData>
    <row r="1" spans="1:10" ht="26.1" customHeight="1">
      <c r="A1" s="24" t="s">
        <v>938</v>
      </c>
      <c r="B1" s="25"/>
      <c r="C1" s="25"/>
      <c r="D1" s="25"/>
      <c r="E1" s="25"/>
      <c r="F1" s="25"/>
      <c r="G1" s="25"/>
      <c r="H1" s="25"/>
      <c r="I1" s="25"/>
      <c r="J1" s="25"/>
    </row>
    <row r="2" spans="1:10" ht="15.95" customHeight="1">
      <c r="A2" s="27" t="s">
        <v>939</v>
      </c>
      <c r="B2" s="25"/>
      <c r="C2" s="25"/>
      <c r="D2" s="25"/>
      <c r="E2" s="25"/>
      <c r="F2" s="25"/>
      <c r="G2" s="25"/>
      <c r="H2" s="25"/>
      <c r="I2" s="25"/>
      <c r="J2" s="25"/>
    </row>
    <row r="3" spans="1:10" ht="15.95" customHeight="1">
      <c r="A3" s="26" t="s">
        <v>36</v>
      </c>
      <c r="B3" s="25"/>
      <c r="C3" s="25"/>
      <c r="D3" s="25"/>
      <c r="E3" s="25"/>
      <c r="F3" s="25"/>
      <c r="G3" s="25"/>
      <c r="H3" s="25"/>
      <c r="I3" s="25"/>
      <c r="J3" s="25"/>
    </row>
    <row r="4" spans="1:10" ht="30" customHeight="1">
      <c r="A4" s="2" t="s">
        <v>38</v>
      </c>
      <c r="B4" s="2" t="s">
        <v>940</v>
      </c>
      <c r="C4" s="2" t="s">
        <v>941</v>
      </c>
      <c r="D4" s="2" t="s">
        <v>942</v>
      </c>
      <c r="E4" s="2" t="s">
        <v>943</v>
      </c>
      <c r="F4" s="2" t="s">
        <v>944</v>
      </c>
      <c r="G4" s="2" t="s">
        <v>945</v>
      </c>
      <c r="H4" s="2" t="s">
        <v>946</v>
      </c>
      <c r="I4" s="2" t="s">
        <v>947</v>
      </c>
      <c r="J4" s="2" t="s">
        <v>70</v>
      </c>
    </row>
    <row r="5" spans="1:10" ht="27.95" customHeight="1">
      <c r="A5" s="4">
        <v>1</v>
      </c>
      <c r="B5" s="4" t="s">
        <v>948</v>
      </c>
      <c r="C5" s="4" t="s">
        <v>400</v>
      </c>
      <c r="D5" s="6" t="s">
        <v>399</v>
      </c>
      <c r="E5" s="13" t="s">
        <v>949</v>
      </c>
      <c r="F5" s="4" t="s">
        <v>48</v>
      </c>
      <c r="G5" s="4" t="s">
        <v>18</v>
      </c>
      <c r="H5" s="4" t="s">
        <v>27</v>
      </c>
      <c r="I5" s="4" t="s">
        <v>950</v>
      </c>
      <c r="J5" s="6"/>
    </row>
    <row r="6" spans="1:10" ht="27.95" customHeight="1">
      <c r="A6" s="3">
        <v>2</v>
      </c>
      <c r="B6" s="3" t="s">
        <v>948</v>
      </c>
      <c r="C6" s="3" t="s">
        <v>404</v>
      </c>
      <c r="D6" s="8" t="s">
        <v>403</v>
      </c>
      <c r="E6" s="13" t="s">
        <v>949</v>
      </c>
      <c r="F6" s="3" t="s">
        <v>48</v>
      </c>
      <c r="G6" s="3" t="s">
        <v>21</v>
      </c>
      <c r="H6" s="3" t="s">
        <v>28</v>
      </c>
      <c r="I6" s="3" t="s">
        <v>950</v>
      </c>
      <c r="J6" s="8" t="s">
        <v>405</v>
      </c>
    </row>
    <row r="7" spans="1:10" ht="27.95" customHeight="1">
      <c r="A7" s="4">
        <v>3</v>
      </c>
      <c r="B7" s="4" t="s">
        <v>948</v>
      </c>
      <c r="C7" s="4" t="s">
        <v>408</v>
      </c>
      <c r="D7" s="6" t="s">
        <v>407</v>
      </c>
      <c r="E7" s="13" t="s">
        <v>949</v>
      </c>
      <c r="F7" s="4" t="s">
        <v>48</v>
      </c>
      <c r="G7" s="4" t="s">
        <v>21</v>
      </c>
      <c r="H7" s="4" t="s">
        <v>28</v>
      </c>
      <c r="I7" s="4" t="s">
        <v>950</v>
      </c>
      <c r="J7" s="6"/>
    </row>
    <row r="8" spans="1:10" ht="27.95" customHeight="1">
      <c r="A8" s="3">
        <v>4</v>
      </c>
      <c r="B8" s="3" t="s">
        <v>948</v>
      </c>
      <c r="C8" s="3" t="s">
        <v>411</v>
      </c>
      <c r="D8" s="8" t="s">
        <v>410</v>
      </c>
      <c r="E8" s="13" t="s">
        <v>949</v>
      </c>
      <c r="F8" s="3" t="s">
        <v>48</v>
      </c>
      <c r="G8" s="3" t="s">
        <v>21</v>
      </c>
      <c r="H8" s="3" t="s">
        <v>28</v>
      </c>
      <c r="I8" s="3" t="s">
        <v>950</v>
      </c>
      <c r="J8" s="8"/>
    </row>
    <row r="9" spans="1:10" ht="27.95" customHeight="1">
      <c r="A9" s="4">
        <v>5</v>
      </c>
      <c r="B9" s="4" t="s">
        <v>948</v>
      </c>
      <c r="C9" s="4" t="s">
        <v>414</v>
      </c>
      <c r="D9" s="6" t="s">
        <v>413</v>
      </c>
      <c r="E9" s="13" t="s">
        <v>949</v>
      </c>
      <c r="F9" s="4" t="s">
        <v>48</v>
      </c>
      <c r="G9" s="4" t="s">
        <v>21</v>
      </c>
      <c r="H9" s="4" t="s">
        <v>28</v>
      </c>
      <c r="I9" s="4" t="s">
        <v>950</v>
      </c>
      <c r="J9" s="6"/>
    </row>
    <row r="10" spans="1:10" ht="27.95" customHeight="1">
      <c r="A10" s="3">
        <v>6</v>
      </c>
      <c r="B10" s="3" t="s">
        <v>948</v>
      </c>
      <c r="C10" s="3" t="inlineStr">
        <is>
          <t xml:space="preserve">SH-FM-QP015-01</t>
        </is>
      </c>
      <c r="D10" s="8" t="s">
        <v>421</v>
      </c>
      <c r="E10" s="13" t="inlineStr">
        <is>
          <t xml:space="preserve">SH-QP-015</t>
        </is>
      </c>
      <c r="F10" s="3" t="s">
        <v>48</v>
      </c>
      <c r="G10" s="3" t="s">
        <v>21</v>
      </c>
      <c r="H10" s="3" t="s">
        <v>28</v>
      </c>
      <c r="I10" s="3" t="s">
        <v>950</v>
      </c>
      <c r="J10" s="8" t="s">
        <v>138</v>
      </c>
    </row>
    <row r="11" spans="1:10" ht="27.95" customHeight="1">
      <c r="A11" s="4">
        <v>7</v>
      </c>
      <c r="B11" s="4" t="s">
        <v>948</v>
      </c>
      <c r="C11" s="4" t="s">
        <v>435</v>
      </c>
      <c r="D11" s="6" t="s">
        <v>434</v>
      </c>
      <c r="E11" s="13" t="s">
        <v>949</v>
      </c>
      <c r="F11" s="4" t="s">
        <v>48</v>
      </c>
      <c r="G11" s="4" t="s">
        <v>21</v>
      </c>
      <c r="H11" s="4" t="s">
        <v>29</v>
      </c>
      <c r="I11" s="4" t="s">
        <v>950</v>
      </c>
      <c r="J11" s="6"/>
    </row>
    <row r="12" spans="1:10" ht="27.95" customHeight="1">
      <c r="A12" s="3">
        <v>8</v>
      </c>
      <c r="B12" s="3" t="s">
        <v>948</v>
      </c>
      <c r="C12" s="3" t="s">
        <v>438</v>
      </c>
      <c r="D12" s="8" t="s">
        <v>437</v>
      </c>
      <c r="E12" s="13" t="s">
        <v>949</v>
      </c>
      <c r="F12" s="3" t="s">
        <v>48</v>
      </c>
      <c r="G12" s="3" t="s">
        <v>21</v>
      </c>
      <c r="H12" s="3" t="s">
        <v>29</v>
      </c>
      <c r="I12" s="3" t="s">
        <v>950</v>
      </c>
      <c r="J12" s="8"/>
    </row>
    <row r="13" spans="1:10" ht="27.95" customHeight="1">
      <c r="A13" s="4">
        <v>9</v>
      </c>
      <c r="B13" s="4" t="s">
        <v>948</v>
      </c>
      <c r="C13" s="4" t="s">
        <v>441</v>
      </c>
      <c r="D13" s="6" t="s">
        <v>440</v>
      </c>
      <c r="E13" s="13" t="s">
        <v>949</v>
      </c>
      <c r="F13" s="4" t="s">
        <v>48</v>
      </c>
      <c r="G13" s="4" t="s">
        <v>21</v>
      </c>
      <c r="H13" s="4" t="s">
        <v>29</v>
      </c>
      <c r="I13" s="4" t="s">
        <v>950</v>
      </c>
      <c r="J13" s="6"/>
    </row>
    <row r="14" spans="1:10" ht="27.95" customHeight="1">
      <c r="A14" s="3">
        <v>10</v>
      </c>
      <c r="B14" s="3" t="s">
        <v>948</v>
      </c>
      <c r="C14" s="3" t="s">
        <v>445</v>
      </c>
      <c r="D14" s="8" t="s">
        <v>444</v>
      </c>
      <c r="E14" s="13" t="s">
        <v>949</v>
      </c>
      <c r="F14" s="3" t="s">
        <v>48</v>
      </c>
      <c r="G14" s="3" t="s">
        <v>23</v>
      </c>
      <c r="H14" s="3" t="s">
        <v>28</v>
      </c>
      <c r="I14" s="3" t="s">
        <v>950</v>
      </c>
      <c r="J14" s="8"/>
    </row>
    <row r="15" spans="1:10" ht="27.95" customHeight="1">
      <c r="A15" s="4">
        <v>11</v>
      </c>
      <c r="B15" s="4" t="s">
        <v>948</v>
      </c>
      <c r="C15" s="4" t="s">
        <v>449</v>
      </c>
      <c r="D15" s="6" t="s">
        <v>448</v>
      </c>
      <c r="E15" s="13" t="s">
        <v>949</v>
      </c>
      <c r="F15" s="4" t="s">
        <v>48</v>
      </c>
      <c r="G15" s="4" t="s">
        <v>18</v>
      </c>
      <c r="H15" s="4" t="s">
        <v>27</v>
      </c>
      <c r="I15" s="4" t="s">
        <v>950</v>
      </c>
      <c r="J15" s="6"/>
    </row>
    <row r="16" spans="1:10" ht="27.95" customHeight="1">
      <c r="A16" s="3">
        <v>12</v>
      </c>
      <c r="B16" s="3" t="s">
        <v>948</v>
      </c>
      <c r="C16" s="3" t="s">
        <v>452</v>
      </c>
      <c r="D16" s="8" t="s">
        <v>451</v>
      </c>
      <c r="E16" s="13" t="s">
        <v>949</v>
      </c>
      <c r="F16" s="3" t="s">
        <v>48</v>
      </c>
      <c r="G16" s="3" t="s">
        <v>18</v>
      </c>
      <c r="H16" s="3" t="s">
        <v>27</v>
      </c>
      <c r="I16" s="3" t="s">
        <v>950</v>
      </c>
      <c r="J16" s="8"/>
    </row>
    <row r="17" spans="1:10" ht="27.95" customHeight="1">
      <c r="A17" s="4">
        <v>13</v>
      </c>
      <c r="B17" s="4" t="s">
        <v>948</v>
      </c>
      <c r="C17" s="4" t="s">
        <v>456</v>
      </c>
      <c r="D17" s="6" t="s">
        <v>455</v>
      </c>
      <c r="E17" s="13" t="s">
        <v>949</v>
      </c>
      <c r="F17" s="4" t="s">
        <v>48</v>
      </c>
      <c r="G17" s="4" t="s">
        <v>21</v>
      </c>
      <c r="H17" s="4" t="s">
        <v>29</v>
      </c>
      <c r="I17" s="4" t="s">
        <v>950</v>
      </c>
      <c r="J17" s="6"/>
    </row>
    <row r="18" spans="1:10" ht="27.95" customHeight="1">
      <c r="A18" s="3">
        <v>14</v>
      </c>
      <c r="B18" s="3" t="s">
        <v>948</v>
      </c>
      <c r="C18" s="3" t="s">
        <v>458</v>
      </c>
      <c r="D18" s="8" t="s">
        <v>457</v>
      </c>
      <c r="E18" s="13" t="s">
        <v>949</v>
      </c>
      <c r="F18" s="3" t="s">
        <v>48</v>
      </c>
      <c r="G18" s="3" t="s">
        <v>21</v>
      </c>
      <c r="H18" s="3" t="s">
        <v>29</v>
      </c>
      <c r="I18" s="3" t="s">
        <v>950</v>
      </c>
      <c r="J18" s="8"/>
    </row>
    <row r="19" spans="1:10" ht="27.95" customHeight="1">
      <c r="A19" s="4">
        <v>15</v>
      </c>
      <c r="B19" s="4" t="s">
        <v>948</v>
      </c>
      <c r="C19" s="4" t="s">
        <v>459</v>
      </c>
      <c r="D19" s="6" t="s">
        <v>407</v>
      </c>
      <c r="E19" s="13" t="s">
        <v>949</v>
      </c>
      <c r="F19" s="4" t="s">
        <v>48</v>
      </c>
      <c r="G19" s="4" t="s">
        <v>21</v>
      </c>
      <c r="H19" s="4" t="s">
        <v>30</v>
      </c>
      <c r="I19" s="4" t="s">
        <v>950</v>
      </c>
      <c r="J19" s="6"/>
    </row>
    <row r="20" spans="1:10" ht="27.95" customHeight="1">
      <c r="A20" s="3">
        <v>16</v>
      </c>
      <c r="B20" s="3" t="s">
        <v>948</v>
      </c>
      <c r="C20" s="3" t="s">
        <v>462</v>
      </c>
      <c r="D20" s="8" t="s">
        <v>444</v>
      </c>
      <c r="E20" s="13" t="s">
        <v>949</v>
      </c>
      <c r="F20" s="3" t="s">
        <v>48</v>
      </c>
      <c r="G20" s="3" t="s">
        <v>23</v>
      </c>
      <c r="H20" s="3" t="s">
        <v>29</v>
      </c>
      <c r="I20" s="3" t="s">
        <v>950</v>
      </c>
      <c r="J20" s="8"/>
    </row>
    <row r="21" spans="1:10" ht="27.95" customHeight="1">
      <c r="A21" s="4">
        <v>17</v>
      </c>
      <c r="B21" s="4" t="s">
        <v>948</v>
      </c>
      <c r="C21" s="4" t="s">
        <v>464</v>
      </c>
      <c r="D21" s="6" t="s">
        <v>448</v>
      </c>
      <c r="E21" s="13" t="s">
        <v>949</v>
      </c>
      <c r="F21" s="4" t="s">
        <v>48</v>
      </c>
      <c r="G21" s="4" t="s">
        <v>18</v>
      </c>
      <c r="H21" s="4" t="s">
        <v>27</v>
      </c>
      <c r="I21" s="4" t="s">
        <v>950</v>
      </c>
      <c r="J21" s="6"/>
    </row>
    <row r="22" spans="1:10" ht="27.95" customHeight="1">
      <c r="A22" s="3">
        <v>18</v>
      </c>
      <c r="B22" s="3" t="s">
        <v>948</v>
      </c>
      <c r="C22" s="3" t="s">
        <v>467</v>
      </c>
      <c r="D22" s="8" t="s">
        <v>466</v>
      </c>
      <c r="E22" s="13" t="s">
        <v>949</v>
      </c>
      <c r="F22" s="3" t="s">
        <v>48</v>
      </c>
      <c r="G22" s="3" t="s">
        <v>23</v>
      </c>
      <c r="H22" s="3" t="s">
        <v>29</v>
      </c>
      <c r="I22" s="3" t="s">
        <v>950</v>
      </c>
      <c r="J22" s="8"/>
    </row>
    <row r="23" spans="1:10" ht="27.95" customHeight="1">
      <c r="A23" s="4">
        <v>19</v>
      </c>
      <c r="B23" s="4" t="s">
        <v>948</v>
      </c>
      <c r="C23" s="4" t="s">
        <v>471</v>
      </c>
      <c r="D23" s="6" t="s">
        <v>470</v>
      </c>
      <c r="E23" s="13" t="s">
        <v>949</v>
      </c>
      <c r="F23" s="4" t="s">
        <v>48</v>
      </c>
      <c r="G23" s="4" t="s">
        <v>18</v>
      </c>
      <c r="H23" s="4" t="s">
        <v>28</v>
      </c>
      <c r="I23" s="4" t="s">
        <v>950</v>
      </c>
      <c r="J23" s="6"/>
    </row>
    <row r="24" spans="1:10" ht="27.95" customHeight="1">
      <c r="A24" s="3">
        <v>20</v>
      </c>
      <c r="B24" s="3" t="s">
        <v>948</v>
      </c>
      <c r="C24" s="3" t="s">
        <v>473</v>
      </c>
      <c r="D24" s="8" t="s">
        <v>472</v>
      </c>
      <c r="E24" s="13" t="s">
        <v>949</v>
      </c>
      <c r="F24" s="3" t="s">
        <v>48</v>
      </c>
      <c r="G24" s="3" t="s">
        <v>18</v>
      </c>
      <c r="H24" s="3" t="s">
        <v>28</v>
      </c>
      <c r="I24" s="3" t="s">
        <v>950</v>
      </c>
      <c r="J24" s="8"/>
    </row>
    <row r="25" spans="1:10" ht="27.95" customHeight="1">
      <c r="A25" s="4">
        <v>21</v>
      </c>
      <c r="B25" s="4" t="s">
        <v>948</v>
      </c>
      <c r="C25" s="4" t="s">
        <v>475</v>
      </c>
      <c r="D25" s="6" t="s">
        <v>474</v>
      </c>
      <c r="E25" s="13" t="s">
        <v>949</v>
      </c>
      <c r="F25" s="4" t="s">
        <v>48</v>
      </c>
      <c r="G25" s="4" t="s">
        <v>18</v>
      </c>
      <c r="H25" s="4" t="s">
        <v>28</v>
      </c>
      <c r="I25" s="4" t="s">
        <v>950</v>
      </c>
      <c r="J25" s="6"/>
    </row>
    <row r="26" spans="1:10" ht="27.95" customHeight="1">
      <c r="A26" s="3">
        <v>22</v>
      </c>
      <c r="B26" s="3" t="s">
        <v>948</v>
      </c>
      <c r="C26" s="3" t="s">
        <v>477</v>
      </c>
      <c r="D26" s="8" t="s">
        <v>476</v>
      </c>
      <c r="E26" s="13" t="s">
        <v>949</v>
      </c>
      <c r="F26" s="3" t="s">
        <v>48</v>
      </c>
      <c r="G26" s="3" t="s">
        <v>18</v>
      </c>
      <c r="H26" s="3" t="s">
        <v>28</v>
      </c>
      <c r="I26" s="3" t="s">
        <v>950</v>
      </c>
      <c r="J26" s="8"/>
    </row>
    <row r="27" spans="1:10" ht="27.95" customHeight="1">
      <c r="A27" s="4">
        <v>23</v>
      </c>
      <c r="B27" s="4" t="s">
        <v>948</v>
      </c>
      <c r="C27" s="4" t="inlineStr">
        <is>
          <t xml:space="preserve">SH-FM-QP013-10</t>
        </is>
      </c>
      <c r="D27" s="6" t="s">
        <v>204</v>
      </c>
      <c r="E27" s="13" t="inlineStr">
        <is>
          <t xml:space="preserve">SH-QP-013</t>
        </is>
      </c>
      <c r="F27" s="4" t="s">
        <v>47</v>
      </c>
      <c r="G27" s="4" t="s">
        <v>20</v>
      </c>
      <c r="H27" s="4" t="s">
        <v>27</v>
      </c>
      <c r="I27" s="4" t="s">
        <v>950</v>
      </c>
      <c r="J27" s="6" t="s">
        <v>138</v>
      </c>
    </row>
    <row r="28" spans="1:10" ht="27.95" customHeight="1">
      <c r="A28" s="3">
        <v>24</v>
      </c>
      <c r="B28" s="3" t="s">
        <v>948</v>
      </c>
      <c r="C28" s="3" t="inlineStr">
        <is>
          <t xml:space="preserve">SH-FM-WI029-02</t>
        </is>
      </c>
      <c r="D28" s="8" t="s">
        <v>208</v>
      </c>
      <c r="E28" s="13" t="inlineStr">
        <is>
          <t xml:space="preserve">SH-WI-029</t>
        </is>
      </c>
      <c r="F28" s="3" t="s">
        <v>47</v>
      </c>
      <c r="G28" s="3" t="s">
        <v>20</v>
      </c>
      <c r="H28" s="3" t="s">
        <v>27</v>
      </c>
      <c r="I28" s="3" t="s">
        <v>950</v>
      </c>
      <c r="J28" s="8" t="s">
        <v>138</v>
      </c>
    </row>
    <row r="29" spans="1:10" ht="27.95" customHeight="1">
      <c r="A29" s="4">
        <v>25</v>
      </c>
      <c r="B29" s="4" t="s">
        <v>948</v>
      </c>
      <c r="C29" s="4" t="s">
        <v>221</v>
      </c>
      <c r="D29" s="6" t="s">
        <v>220</v>
      </c>
      <c r="E29" s="13" t="s">
        <v>949</v>
      </c>
      <c r="F29" s="4" t="s">
        <v>47</v>
      </c>
      <c r="G29" s="4" t="s">
        <v>20</v>
      </c>
      <c r="H29" s="4" t="s">
        <v>27</v>
      </c>
      <c r="I29" s="4" t="s">
        <v>950</v>
      </c>
      <c r="J29" s="6"/>
    </row>
    <row r="30" spans="1:10" ht="27.95" customHeight="1">
      <c r="A30" s="3">
        <v>26</v>
      </c>
      <c r="B30" s="3" t="s">
        <v>948</v>
      </c>
      <c r="C30" s="3" t="s">
        <v>230</v>
      </c>
      <c r="D30" s="8" t="s">
        <v>229</v>
      </c>
      <c r="E30" s="13" t="s">
        <v>949</v>
      </c>
      <c r="F30" s="3" t="s">
        <v>47</v>
      </c>
      <c r="G30" s="3" t="s">
        <v>20</v>
      </c>
      <c r="H30" s="3" t="s">
        <v>27</v>
      </c>
      <c r="I30" s="3" t="s">
        <v>950</v>
      </c>
      <c r="J30" s="8"/>
    </row>
    <row r="31" spans="1:10" ht="27.95" customHeight="1">
      <c r="A31" s="4">
        <v>27</v>
      </c>
      <c r="B31" s="4" t="s">
        <v>948</v>
      </c>
      <c r="C31" s="4" t="s">
        <v>233</v>
      </c>
      <c r="D31" s="6" t="s">
        <v>232</v>
      </c>
      <c r="E31" s="13" t="s">
        <v>949</v>
      </c>
      <c r="F31" s="4" t="s">
        <v>47</v>
      </c>
      <c r="G31" s="4" t="s">
        <v>19</v>
      </c>
      <c r="H31" s="4" t="s">
        <v>27</v>
      </c>
      <c r="I31" s="4" t="s">
        <v>950</v>
      </c>
      <c r="J31" s="6"/>
    </row>
    <row r="32" spans="1:10" ht="27.95" customHeight="1">
      <c r="A32" s="3">
        <v>28</v>
      </c>
      <c r="B32" s="3" t="s">
        <v>948</v>
      </c>
      <c r="C32" s="3" t="s">
        <v>235</v>
      </c>
      <c r="D32" s="8" t="s">
        <v>234</v>
      </c>
      <c r="E32" s="13" t="s">
        <v>949</v>
      </c>
      <c r="F32" s="3" t="s">
        <v>47</v>
      </c>
      <c r="G32" s="3" t="s">
        <v>19</v>
      </c>
      <c r="H32" s="3" t="s">
        <v>27</v>
      </c>
      <c r="I32" s="3" t="s">
        <v>950</v>
      </c>
      <c r="J32" s="8"/>
    </row>
    <row r="33" spans="1:10" ht="27.95" customHeight="1">
      <c r="A33" s="4">
        <v>29</v>
      </c>
      <c r="B33" s="4" t="s">
        <v>948</v>
      </c>
      <c r="C33" s="4" t="s">
        <v>242</v>
      </c>
      <c r="D33" s="6" t="s">
        <v>241</v>
      </c>
      <c r="E33" s="13" t="s">
        <v>949</v>
      </c>
      <c r="F33" s="4" t="s">
        <v>47</v>
      </c>
      <c r="G33" s="4" t="s">
        <v>19</v>
      </c>
      <c r="H33" s="4" t="s">
        <v>27</v>
      </c>
      <c r="I33" s="4" t="s">
        <v>950</v>
      </c>
      <c r="J33" s="6"/>
    </row>
    <row r="34" spans="1:10" ht="27.95" customHeight="1">
      <c r="A34" s="3">
        <v>30</v>
      </c>
      <c r="B34" s="3" t="s">
        <v>948</v>
      </c>
      <c r="C34" s="3" t="s">
        <v>249</v>
      </c>
      <c r="D34" s="8" t="s">
        <v>248</v>
      </c>
      <c r="E34" s="13" t="s">
        <v>949</v>
      </c>
      <c r="F34" s="3" t="s">
        <v>47</v>
      </c>
      <c r="G34" s="3" t="s">
        <v>18</v>
      </c>
      <c r="H34" s="3" t="s">
        <v>28</v>
      </c>
      <c r="I34" s="3" t="s">
        <v>950</v>
      </c>
      <c r="J34" s="8"/>
    </row>
    <row r="35" spans="1:10" ht="27.95" customHeight="1">
      <c r="A35" s="4">
        <v>31</v>
      </c>
      <c r="B35" s="4" t="s">
        <v>948</v>
      </c>
      <c r="C35" s="4" t="s">
        <v>257</v>
      </c>
      <c r="D35" s="6" t="s">
        <v>256</v>
      </c>
      <c r="E35" s="13" t="s">
        <v>949</v>
      </c>
      <c r="F35" s="4" t="s">
        <v>47</v>
      </c>
      <c r="G35" s="4" t="s">
        <v>19</v>
      </c>
      <c r="H35" s="4" t="s">
        <v>27</v>
      </c>
      <c r="I35" s="4" t="s">
        <v>950</v>
      </c>
      <c r="J35" s="6"/>
    </row>
    <row r="36" spans="1:10" ht="27.95" customHeight="1">
      <c r="A36" s="3">
        <v>32</v>
      </c>
      <c r="B36" s="3" t="s">
        <v>948</v>
      </c>
      <c r="C36" s="3" t="s">
        <v>264</v>
      </c>
      <c r="D36" s="8" t="s">
        <v>263</v>
      </c>
      <c r="E36" s="13" t="s">
        <v>949</v>
      </c>
      <c r="F36" s="3" t="s">
        <v>47</v>
      </c>
      <c r="G36" s="3" t="s">
        <v>20</v>
      </c>
      <c r="H36" s="3" t="s">
        <v>27</v>
      </c>
      <c r="I36" s="3" t="s">
        <v>950</v>
      </c>
      <c r="J36" s="8"/>
    </row>
    <row r="37" spans="1:10" ht="27.95" customHeight="1">
      <c r="A37" s="4">
        <v>33</v>
      </c>
      <c r="B37" s="4" t="s">
        <v>948</v>
      </c>
      <c r="C37" s="4" t="s">
        <v>267</v>
      </c>
      <c r="D37" s="6" t="s">
        <v>266</v>
      </c>
      <c r="E37" s="13" t="s">
        <v>949</v>
      </c>
      <c r="F37" s="4" t="s">
        <v>47</v>
      </c>
      <c r="G37" s="4" t="s">
        <v>20</v>
      </c>
      <c r="H37" s="4" t="s">
        <v>27</v>
      </c>
      <c r="I37" s="4" t="s">
        <v>950</v>
      </c>
      <c r="J37" s="6"/>
    </row>
    <row r="38" spans="1:10" ht="27.95" customHeight="1">
      <c r="A38" s="3">
        <v>34</v>
      </c>
      <c r="B38" s="3" t="s">
        <v>948</v>
      </c>
      <c r="C38" s="3" t="s">
        <v>339</v>
      </c>
      <c r="D38" s="8" t="s">
        <v>338</v>
      </c>
      <c r="E38" s="13" t="s">
        <v>949</v>
      </c>
      <c r="F38" s="3" t="s">
        <v>47</v>
      </c>
      <c r="G38" s="3" t="s">
        <v>19</v>
      </c>
      <c r="H38" s="3" t="s">
        <v>27</v>
      </c>
      <c r="I38" s="3" t="s">
        <v>950</v>
      </c>
      <c r="J38" s="8"/>
    </row>
    <row r="39" spans="1:10" ht="27.95" customHeight="1">
      <c r="A39" s="4">
        <v>35</v>
      </c>
      <c r="B39" s="4" t="s">
        <v>948</v>
      </c>
      <c r="C39" s="4" t="s">
        <v>356</v>
      </c>
      <c r="D39" s="6" t="s">
        <v>355</v>
      </c>
      <c r="E39" s="13" t="s">
        <v>949</v>
      </c>
      <c r="F39" s="4" t="s">
        <v>47</v>
      </c>
      <c r="G39" s="4" t="s">
        <v>19</v>
      </c>
      <c r="H39" s="4" t="s">
        <v>27</v>
      </c>
      <c r="I39" s="4" t="s">
        <v>950</v>
      </c>
      <c r="J39" s="6"/>
    </row>
    <row r="40" spans="1:10" ht="27.95" customHeight="1">
      <c r="A40" s="3">
        <v>36</v>
      </c>
      <c r="B40" s="3" t="s">
        <v>948</v>
      </c>
      <c r="C40" s="3" t="s">
        <v>358</v>
      </c>
      <c r="D40" s="8" t="s">
        <v>357</v>
      </c>
      <c r="E40" s="13" t="s">
        <v>949</v>
      </c>
      <c r="F40" s="3" t="s">
        <v>47</v>
      </c>
      <c r="G40" s="3" t="s">
        <v>19</v>
      </c>
      <c r="H40" s="3" t="s">
        <v>27</v>
      </c>
      <c r="I40" s="3" t="s">
        <v>950</v>
      </c>
      <c r="J40" s="8"/>
    </row>
    <row r="41" spans="1:10" ht="27.95" customHeight="1">
      <c r="A41" s="4">
        <v>37</v>
      </c>
      <c r="B41" s="4" t="s">
        <v>948</v>
      </c>
      <c r="C41" s="4" t="inlineStr">
        <is>
          <t xml:space="preserve">SH-FM-WI006-10</t>
        </is>
      </c>
      <c r="D41" s="6" t="s">
        <v>359</v>
      </c>
      <c r="E41" s="13" t="inlineStr">
        <is>
          <t xml:space="preserve">SH-WI-006</t>
        </is>
      </c>
      <c r="F41" s="4" t="s">
        <v>47</v>
      </c>
      <c r="G41" s="4" t="s">
        <v>19</v>
      </c>
      <c r="H41" s="4" t="s">
        <v>27</v>
      </c>
      <c r="I41" s="4" t="s">
        <v>950</v>
      </c>
      <c r="J41" s="6" t="s">
        <v>138</v>
      </c>
    </row>
    <row r="42" spans="1:10" ht="27.95" customHeight="1">
      <c r="A42" s="3">
        <v>38</v>
      </c>
      <c r="B42" s="3" t="s">
        <v>948</v>
      </c>
      <c r="C42" s="3" t="inlineStr">
        <is>
          <t xml:space="preserve">SH-FM-QP012-01</t>
        </is>
      </c>
      <c r="D42" s="8" t="s">
        <v>362</v>
      </c>
      <c r="E42" s="13" t="inlineStr">
        <is>
          <t xml:space="preserve">SH-QP-012</t>
        </is>
      </c>
      <c r="F42" s="3" t="s">
        <v>47</v>
      </c>
      <c r="G42" s="3" t="s">
        <v>19</v>
      </c>
      <c r="H42" s="3" t="s">
        <v>27</v>
      </c>
      <c r="I42" s="3" t="s">
        <v>950</v>
      </c>
      <c r="J42" s="8" t="s">
        <v>138</v>
      </c>
    </row>
    <row r="43" spans="1:10" ht="27.95" customHeight="1">
      <c r="A43" s="4">
        <v>39</v>
      </c>
      <c r="B43" s="4" t="s">
        <v>948</v>
      </c>
      <c r="C43" s="4" t="s">
        <v>366</v>
      </c>
      <c r="D43" s="6" t="s">
        <v>365</v>
      </c>
      <c r="E43" s="13" t="s">
        <v>949</v>
      </c>
      <c r="F43" s="4" t="s">
        <v>47</v>
      </c>
      <c r="G43" s="4" t="s">
        <v>23</v>
      </c>
      <c r="H43" s="4" t="s">
        <v>28</v>
      </c>
      <c r="I43" s="4" t="s">
        <v>950</v>
      </c>
      <c r="J43" s="6"/>
    </row>
    <row r="44" spans="1:10" ht="27.95" customHeight="1">
      <c r="A44" s="3">
        <v>40</v>
      </c>
      <c r="B44" s="3" t="s">
        <v>948</v>
      </c>
      <c r="C44" s="3" t="s">
        <v>370</v>
      </c>
      <c r="D44" s="8" t="s">
        <v>369</v>
      </c>
      <c r="E44" s="13" t="s">
        <v>949</v>
      </c>
      <c r="F44" s="3" t="s">
        <v>47</v>
      </c>
      <c r="G44" s="3" t="s">
        <v>19</v>
      </c>
      <c r="H44" s="3" t="s">
        <v>27</v>
      </c>
      <c r="I44" s="3" t="s">
        <v>950</v>
      </c>
      <c r="J44" s="8"/>
    </row>
    <row r="45" spans="1:10" ht="27.95" customHeight="1">
      <c r="A45" s="4">
        <v>41</v>
      </c>
      <c r="B45" s="4" t="s">
        <v>948</v>
      </c>
      <c r="C45" s="4" t="s">
        <v>372</v>
      </c>
      <c r="D45" s="6" t="s">
        <v>371</v>
      </c>
      <c r="E45" s="13" t="s">
        <v>949</v>
      </c>
      <c r="F45" s="4" t="s">
        <v>47</v>
      </c>
      <c r="G45" s="4" t="s">
        <v>18</v>
      </c>
      <c r="H45" s="4" t="s">
        <v>27</v>
      </c>
      <c r="I45" s="4" t="s">
        <v>950</v>
      </c>
      <c r="J45" s="6"/>
    </row>
    <row r="46" spans="1:10" ht="27.95" customHeight="1">
      <c r="A46" s="3">
        <v>42</v>
      </c>
      <c r="B46" s="3" t="s">
        <v>948</v>
      </c>
      <c r="C46" s="3" t="s">
        <v>374</v>
      </c>
      <c r="D46" s="8" t="s">
        <v>371</v>
      </c>
      <c r="E46" s="13" t="s">
        <v>949</v>
      </c>
      <c r="F46" s="3" t="s">
        <v>47</v>
      </c>
      <c r="G46" s="3" t="s">
        <v>19</v>
      </c>
      <c r="H46" s="3" t="s">
        <v>27</v>
      </c>
      <c r="I46" s="3" t="s">
        <v>950</v>
      </c>
      <c r="J46" s="8"/>
    </row>
    <row r="47" spans="1:10" ht="27.95" customHeight="1">
      <c r="A47" s="4">
        <v>43</v>
      </c>
      <c r="B47" s="4" t="s">
        <v>948</v>
      </c>
      <c r="C47" s="4" t="s">
        <v>376</v>
      </c>
      <c r="D47" s="6" t="s">
        <v>375</v>
      </c>
      <c r="E47" s="13" t="s">
        <v>949</v>
      </c>
      <c r="F47" s="4" t="s">
        <v>47</v>
      </c>
      <c r="G47" s="4" t="s">
        <v>18</v>
      </c>
      <c r="H47" s="4" t="s">
        <v>27</v>
      </c>
      <c r="I47" s="4" t="s">
        <v>950</v>
      </c>
      <c r="J47" s="6"/>
    </row>
    <row r="48" spans="1:10" ht="27.95" customHeight="1">
      <c r="A48" s="3">
        <v>44</v>
      </c>
      <c r="B48" s="3" t="s">
        <v>948</v>
      </c>
      <c r="C48" s="3" t="s">
        <v>378</v>
      </c>
      <c r="D48" s="8" t="s">
        <v>377</v>
      </c>
      <c r="E48" s="13" t="s">
        <v>949</v>
      </c>
      <c r="F48" s="3" t="s">
        <v>47</v>
      </c>
      <c r="G48" s="3" t="s">
        <v>18</v>
      </c>
      <c r="H48" s="3" t="s">
        <v>27</v>
      </c>
      <c r="I48" s="3" t="s">
        <v>950</v>
      </c>
      <c r="J48" s="8"/>
    </row>
    <row r="49" spans="1:10" ht="27.95" customHeight="1">
      <c r="A49" s="4">
        <v>45</v>
      </c>
      <c r="B49" s="4" t="s">
        <v>948</v>
      </c>
      <c r="C49" s="4" t="s">
        <v>380</v>
      </c>
      <c r="D49" s="6" t="s">
        <v>379</v>
      </c>
      <c r="E49" s="13" t="s">
        <v>949</v>
      </c>
      <c r="F49" s="4" t="s">
        <v>47</v>
      </c>
      <c r="G49" s="4" t="s">
        <v>18</v>
      </c>
      <c r="H49" s="4" t="s">
        <v>27</v>
      </c>
      <c r="I49" s="4" t="s">
        <v>950</v>
      </c>
      <c r="J49" s="6"/>
    </row>
    <row r="50" spans="1:10" ht="27.95" customHeight="1">
      <c r="A50" s="3">
        <v>46</v>
      </c>
      <c r="B50" s="3" t="s">
        <v>948</v>
      </c>
      <c r="C50" s="3" t="inlineStr">
        <is>
          <t xml:space="preserve">SH-FM-WI001-03</t>
        </is>
      </c>
      <c r="D50" s="8" t="s">
        <v>381</v>
      </c>
      <c r="E50" s="13" t="inlineStr">
        <is>
          <t xml:space="preserve">SH-WI-001</t>
        </is>
      </c>
      <c r="F50" s="3" t="s">
        <v>47</v>
      </c>
      <c r="G50" s="3" t="s">
        <v>18</v>
      </c>
      <c r="H50" s="3" t="s">
        <v>27</v>
      </c>
      <c r="I50" s="3" t="s">
        <v>950</v>
      </c>
      <c r="J50" s="8" t="s">
        <v>138</v>
      </c>
    </row>
    <row r="51" spans="1:10" ht="27.95" customHeight="1">
      <c r="A51" s="4">
        <v>47</v>
      </c>
      <c r="B51" s="4" t="s">
        <v>948</v>
      </c>
      <c r="C51" s="4" t="s">
        <v>551</v>
      </c>
      <c r="D51" s="6" t="s">
        <v>171</v>
      </c>
      <c r="E51" s="13" t="s">
        <v>949</v>
      </c>
      <c r="F51" s="4" t="s">
        <v>50</v>
      </c>
      <c r="G51" s="4" t="s">
        <v>18</v>
      </c>
      <c r="H51" s="4" t="s">
        <v>27</v>
      </c>
      <c r="I51" s="4" t="s">
        <v>950</v>
      </c>
      <c r="J51" s="6"/>
    </row>
    <row r="52" spans="1:10" ht="27.95" customHeight="1">
      <c r="A52" s="3">
        <v>48</v>
      </c>
      <c r="B52" s="3" t="s">
        <v>948</v>
      </c>
      <c r="C52" s="3" t="s">
        <v>559</v>
      </c>
      <c r="D52" s="8" t="s">
        <v>171</v>
      </c>
      <c r="E52" s="13" t="s">
        <v>949</v>
      </c>
      <c r="F52" s="3" t="s">
        <v>50</v>
      </c>
      <c r="G52" s="3" t="s">
        <v>18</v>
      </c>
      <c r="H52" s="3" t="s">
        <v>27</v>
      </c>
      <c r="I52" s="3" t="s">
        <v>950</v>
      </c>
      <c r="J52" s="8"/>
    </row>
    <row r="53" spans="1:10" ht="27.95" customHeight="1">
      <c r="A53" s="4">
        <v>49</v>
      </c>
      <c r="B53" s="4" t="s">
        <v>948</v>
      </c>
      <c r="C53" s="4" t="s">
        <v>562</v>
      </c>
      <c r="D53" s="6" t="s">
        <v>554</v>
      </c>
      <c r="E53" s="13" t="s">
        <v>949</v>
      </c>
      <c r="F53" s="4" t="s">
        <v>50</v>
      </c>
      <c r="G53" s="4" t="s">
        <v>18</v>
      </c>
      <c r="H53" s="4" t="s">
        <v>27</v>
      </c>
      <c r="I53" s="4" t="s">
        <v>950</v>
      </c>
      <c r="J53" s="6"/>
    </row>
    <row r="54" spans="1:10" ht="27.95" customHeight="1">
      <c r="A54" s="3">
        <v>50</v>
      </c>
      <c r="B54" s="3" t="s">
        <v>948</v>
      </c>
      <c r="C54" s="3" t="s">
        <v>565</v>
      </c>
      <c r="D54" s="8" t="s">
        <v>564</v>
      </c>
      <c r="E54" s="13" t="s">
        <v>949</v>
      </c>
      <c r="F54" s="3" t="s">
        <v>50</v>
      </c>
      <c r="G54" s="3" t="s">
        <v>20</v>
      </c>
      <c r="H54" s="3" t="s">
        <v>28</v>
      </c>
      <c r="I54" s="3" t="s">
        <v>950</v>
      </c>
      <c r="J54" s="8"/>
    </row>
    <row r="55" spans="1:10" ht="27.95" customHeight="1">
      <c r="A55" s="4">
        <v>51</v>
      </c>
      <c r="B55" s="4" t="s">
        <v>948</v>
      </c>
      <c r="C55" s="4" t="s">
        <v>568</v>
      </c>
      <c r="D55" s="6" t="s">
        <v>567</v>
      </c>
      <c r="E55" s="13" t="s">
        <v>949</v>
      </c>
      <c r="F55" s="4" t="s">
        <v>50</v>
      </c>
      <c r="G55" s="4" t="s">
        <v>20</v>
      </c>
      <c r="H55" s="4" t="s">
        <v>28</v>
      </c>
      <c r="I55" s="4" t="s">
        <v>950</v>
      </c>
      <c r="J55" s="6"/>
    </row>
    <row r="56" spans="1:10" ht="27.95" customHeight="1">
      <c r="A56" s="3">
        <v>52</v>
      </c>
      <c r="B56" s="3" t="s">
        <v>948</v>
      </c>
      <c r="C56" s="3" t="s">
        <v>592</v>
      </c>
      <c r="D56" s="8" t="s">
        <v>591</v>
      </c>
      <c r="E56" s="13" t="s">
        <v>949</v>
      </c>
      <c r="F56" s="3" t="s">
        <v>50</v>
      </c>
      <c r="G56" s="3" t="s">
        <v>20</v>
      </c>
      <c r="H56" s="3" t="s">
        <v>28</v>
      </c>
      <c r="I56" s="3" t="s">
        <v>950</v>
      </c>
      <c r="J56" s="8"/>
    </row>
    <row r="57" spans="1:10" ht="27.95" customHeight="1">
      <c r="A57" s="4">
        <v>53</v>
      </c>
      <c r="B57" s="4" t="s">
        <v>948</v>
      </c>
      <c r="C57" s="4" t="s">
        <v>595</v>
      </c>
      <c r="D57" s="6" t="s">
        <v>594</v>
      </c>
      <c r="E57" s="13" t="s">
        <v>949</v>
      </c>
      <c r="F57" s="4" t="s">
        <v>50</v>
      </c>
      <c r="G57" s="4" t="s">
        <v>20</v>
      </c>
      <c r="H57" s="4" t="s">
        <v>28</v>
      </c>
      <c r="I57" s="4" t="s">
        <v>950</v>
      </c>
      <c r="J57" s="6"/>
    </row>
    <row r="58" spans="1:10" ht="27.95" customHeight="1">
      <c r="A58" s="3">
        <v>54</v>
      </c>
      <c r="B58" s="3" t="s">
        <v>948</v>
      </c>
      <c r="C58" s="3" t="s">
        <v>607</v>
      </c>
      <c r="D58" s="8" t="s">
        <v>606</v>
      </c>
      <c r="E58" s="13" t="s">
        <v>949</v>
      </c>
      <c r="F58" s="3" t="s">
        <v>50</v>
      </c>
      <c r="G58" s="3" t="s">
        <v>18</v>
      </c>
      <c r="H58" s="3" t="s">
        <v>28</v>
      </c>
      <c r="I58" s="3" t="s">
        <v>950</v>
      </c>
      <c r="J58" s="8"/>
    </row>
    <row r="59" spans="1:10" ht="27.95" customHeight="1">
      <c r="A59" s="4">
        <v>55</v>
      </c>
      <c r="B59" s="4" t="s">
        <v>948</v>
      </c>
      <c r="C59" s="4" t="s">
        <v>609</v>
      </c>
      <c r="D59" s="6" t="s">
        <v>608</v>
      </c>
      <c r="E59" s="13" t="s">
        <v>949</v>
      </c>
      <c r="F59" s="4" t="s">
        <v>50</v>
      </c>
      <c r="G59" s="4" t="s">
        <v>18</v>
      </c>
      <c r="H59" s="4" t="s">
        <v>28</v>
      </c>
      <c r="I59" s="4" t="s">
        <v>950</v>
      </c>
      <c r="J59" s="6"/>
    </row>
    <row r="60" spans="1:10" ht="27.95" customHeight="1">
      <c r="A60" s="3">
        <v>56</v>
      </c>
      <c r="B60" s="3" t="s">
        <v>948</v>
      </c>
      <c r="C60" s="3" t="s">
        <v>610</v>
      </c>
      <c r="D60" s="8" t="s">
        <v>554</v>
      </c>
      <c r="E60" s="13" t="s">
        <v>949</v>
      </c>
      <c r="F60" s="3" t="s">
        <v>50</v>
      </c>
      <c r="G60" s="3" t="s">
        <v>18</v>
      </c>
      <c r="H60" s="3" t="s">
        <v>28</v>
      </c>
      <c r="I60" s="3" t="s">
        <v>950</v>
      </c>
      <c r="J60" s="8"/>
    </row>
    <row r="61" spans="1:10" ht="27.95" customHeight="1">
      <c r="A61" s="4">
        <v>57</v>
      </c>
      <c r="B61" s="4" t="s">
        <v>948</v>
      </c>
      <c r="C61" s="4" t="s">
        <v>615</v>
      </c>
      <c r="D61" s="6" t="s">
        <v>614</v>
      </c>
      <c r="E61" s="13" t="s">
        <v>949</v>
      </c>
      <c r="F61" s="4" t="s">
        <v>50</v>
      </c>
      <c r="G61" s="4" t="s">
        <v>20</v>
      </c>
      <c r="H61" s="4" t="s">
        <v>28</v>
      </c>
      <c r="I61" s="4" t="s">
        <v>950</v>
      </c>
      <c r="J61" s="6"/>
    </row>
    <row r="62" spans="1:10" ht="27.95" customHeight="1">
      <c r="A62" s="3">
        <v>58</v>
      </c>
      <c r="B62" s="3" t="s">
        <v>948</v>
      </c>
      <c r="C62" s="3" t="inlineStr">
        <is>
          <t xml:space="preserve">SH-FM-WI028-04</t>
        </is>
      </c>
      <c r="D62" s="8" t="s">
        <v>618</v>
      </c>
      <c r="E62" s="13" t="inlineStr">
        <is>
          <t xml:space="preserve">SH-WI-028</t>
        </is>
      </c>
      <c r="F62" s="3" t="s">
        <v>50</v>
      </c>
      <c r="G62" s="3" t="s">
        <v>20</v>
      </c>
      <c r="H62" s="3" t="s">
        <v>28</v>
      </c>
      <c r="I62" s="3" t="s">
        <v>950</v>
      </c>
      <c r="J62" s="8" t="s">
        <v>138</v>
      </c>
    </row>
    <row r="63" spans="1:10" ht="27.95" customHeight="1">
      <c r="A63" s="4">
        <v>59</v>
      </c>
      <c r="B63" s="4" t="s">
        <v>948</v>
      </c>
      <c r="C63" s="4" t="s">
        <v>622</v>
      </c>
      <c r="D63" s="6" t="s">
        <v>594</v>
      </c>
      <c r="E63" s="13" t="s">
        <v>949</v>
      </c>
      <c r="F63" s="4" t="s">
        <v>50</v>
      </c>
      <c r="G63" s="4" t="s">
        <v>20</v>
      </c>
      <c r="H63" s="4" t="s">
        <v>28</v>
      </c>
      <c r="I63" s="4" t="s">
        <v>950</v>
      </c>
      <c r="J63" s="6"/>
    </row>
    <row r="64" spans="1:10" ht="27.95" customHeight="1">
      <c r="A64" s="3">
        <v>60</v>
      </c>
      <c r="B64" s="3" t="s">
        <v>948</v>
      </c>
      <c r="C64" s="3" t="s">
        <v>629</v>
      </c>
      <c r="D64" s="8" t="s">
        <v>554</v>
      </c>
      <c r="E64" s="13" t="s">
        <v>949</v>
      </c>
      <c r="F64" s="3" t="s">
        <v>50</v>
      </c>
      <c r="G64" s="3" t="s">
        <v>18</v>
      </c>
      <c r="H64" s="3" t="s">
        <v>28</v>
      </c>
      <c r="I64" s="3" t="s">
        <v>950</v>
      </c>
      <c r="J64" s="8"/>
    </row>
    <row r="65" spans="1:10" ht="27.95" customHeight="1">
      <c r="A65" s="4">
        <v>61</v>
      </c>
      <c r="B65" s="4" t="s">
        <v>948</v>
      </c>
      <c r="C65" s="4" t="s">
        <v>633</v>
      </c>
      <c r="D65" s="6" t="s">
        <v>632</v>
      </c>
      <c r="E65" s="13" t="s">
        <v>949</v>
      </c>
      <c r="F65" s="4" t="s">
        <v>50</v>
      </c>
      <c r="G65" s="4" t="s">
        <v>18</v>
      </c>
      <c r="H65" s="4" t="s">
        <v>28</v>
      </c>
      <c r="I65" s="4" t="s">
        <v>950</v>
      </c>
      <c r="J65" s="6"/>
    </row>
    <row r="66" spans="1:10" ht="27.95" customHeight="1">
      <c r="A66" s="3">
        <v>62</v>
      </c>
      <c r="B66" s="3" t="s">
        <v>948</v>
      </c>
      <c r="C66" s="3" t="s">
        <v>636</v>
      </c>
      <c r="D66" s="8" t="s">
        <v>635</v>
      </c>
      <c r="E66" s="13" t="s">
        <v>949</v>
      </c>
      <c r="F66" s="3" t="s">
        <v>50</v>
      </c>
      <c r="G66" s="3" t="s">
        <v>18</v>
      </c>
      <c r="H66" s="3" t="s">
        <v>28</v>
      </c>
      <c r="I66" s="3" t="s">
        <v>950</v>
      </c>
      <c r="J66" s="8"/>
    </row>
    <row r="67" spans="1:10" ht="27.95" customHeight="1">
      <c r="A67" s="4">
        <v>63</v>
      </c>
      <c r="B67" s="4" t="s">
        <v>948</v>
      </c>
      <c r="C67" s="4" t="s">
        <v>133</v>
      </c>
      <c r="D67" s="6" t="s">
        <v>132</v>
      </c>
      <c r="E67" s="13" t="s">
        <v>949</v>
      </c>
      <c r="F67" s="4" t="s">
        <v>46</v>
      </c>
      <c r="G67" s="4" t="s">
        <v>18</v>
      </c>
      <c r="H67" s="4" t="s">
        <v>28</v>
      </c>
      <c r="I67" s="4" t="s">
        <v>950</v>
      </c>
      <c r="J67" s="6"/>
    </row>
    <row r="68" spans="1:10" ht="27.95" customHeight="1">
      <c r="A68" s="3">
        <v>64</v>
      </c>
      <c r="B68" s="3" t="s">
        <v>948</v>
      </c>
      <c r="C68" s="3" t="inlineStr">
        <is>
          <t xml:space="preserve">SH-FM-QP014-01</t>
        </is>
      </c>
      <c r="D68" s="8" t="s">
        <v>135</v>
      </c>
      <c r="E68" s="13" t="inlineStr">
        <is>
          <t xml:space="preserve">SH-QP-014</t>
        </is>
      </c>
      <c r="F68" s="3" t="s">
        <v>46</v>
      </c>
      <c r="G68" s="3" t="s">
        <v>19</v>
      </c>
      <c r="H68" s="3" t="s">
        <v>28</v>
      </c>
      <c r="I68" s="3" t="s">
        <v>950</v>
      </c>
      <c r="J68" s="8" t="s">
        <v>138</v>
      </c>
    </row>
    <row r="69" spans="1:10" ht="27.95" customHeight="1">
      <c r="A69" s="4">
        <v>65</v>
      </c>
      <c r="B69" s="4" t="s">
        <v>948</v>
      </c>
      <c r="C69" s="4" t="inlineStr">
        <is>
          <t xml:space="preserve">SH-FM-WI030-01</t>
        </is>
      </c>
      <c r="D69" s="6" t="s">
        <v>139</v>
      </c>
      <c r="E69" s="13" t="inlineStr">
        <is>
          <t xml:space="preserve">SH-WI-030</t>
        </is>
      </c>
      <c r="F69" s="4" t="s">
        <v>46</v>
      </c>
      <c r="G69" s="4" t="s">
        <v>19</v>
      </c>
      <c r="H69" s="4" t="s">
        <v>28</v>
      </c>
      <c r="I69" s="4" t="s">
        <v>950</v>
      </c>
      <c r="J69" s="6" t="s">
        <v>138</v>
      </c>
    </row>
    <row r="70" spans="1:10" ht="27.95" customHeight="1">
      <c r="A70" s="3">
        <v>66</v>
      </c>
      <c r="B70" s="3" t="s">
        <v>948</v>
      </c>
      <c r="C70" s="3" t="s">
        <v>145</v>
      </c>
      <c r="D70" s="8" t="s">
        <v>144</v>
      </c>
      <c r="E70" s="13" t="s">
        <v>949</v>
      </c>
      <c r="F70" s="3" t="s">
        <v>46</v>
      </c>
      <c r="G70" s="3" t="s">
        <v>18</v>
      </c>
      <c r="H70" s="3" t="s">
        <v>28</v>
      </c>
      <c r="I70" s="3" t="s">
        <v>950</v>
      </c>
      <c r="J70" s="8"/>
    </row>
    <row r="71" spans="1:10" ht="27.95" customHeight="1">
      <c r="A71" s="4">
        <v>67</v>
      </c>
      <c r="B71" s="4" t="s">
        <v>948</v>
      </c>
      <c r="C71" s="4" t="s">
        <v>164</v>
      </c>
      <c r="D71" s="6" t="s">
        <v>163</v>
      </c>
      <c r="E71" s="13" t="s">
        <v>949</v>
      </c>
      <c r="F71" s="4" t="s">
        <v>46</v>
      </c>
      <c r="G71" s="4" t="s">
        <v>19</v>
      </c>
      <c r="H71" s="4" t="s">
        <v>27</v>
      </c>
      <c r="I71" s="4" t="s">
        <v>950</v>
      </c>
      <c r="J71" s="6"/>
    </row>
    <row r="72" spans="1:10" ht="27.95" customHeight="1">
      <c r="A72" s="3">
        <v>68</v>
      </c>
      <c r="B72" s="3" t="s">
        <v>948</v>
      </c>
      <c r="C72" s="3" t="s">
        <v>172</v>
      </c>
      <c r="D72" s="8" t="s">
        <v>171</v>
      </c>
      <c r="E72" s="13" t="s">
        <v>949</v>
      </c>
      <c r="F72" s="3" t="s">
        <v>46</v>
      </c>
      <c r="G72" s="3" t="s">
        <v>18</v>
      </c>
      <c r="H72" s="3" t="s">
        <v>27</v>
      </c>
      <c r="I72" s="3" t="s">
        <v>950</v>
      </c>
      <c r="J72" s="8"/>
    </row>
    <row r="73" spans="1:10" ht="27.95" customHeight="1">
      <c r="A73" s="4">
        <v>69</v>
      </c>
      <c r="B73" s="4" t="s">
        <v>948</v>
      </c>
      <c r="C73" s="4" t="inlineStr">
        <is>
          <t xml:space="preserve">SH-FM-WI001-01</t>
        </is>
      </c>
      <c r="D73" s="6" t="s">
        <v>173</v>
      </c>
      <c r="E73" s="13" t="inlineStr">
        <is>
          <t xml:space="preserve">SH-WI-001</t>
        </is>
      </c>
      <c r="F73" s="4" t="s">
        <v>46</v>
      </c>
      <c r="G73" s="4" t="s">
        <v>23</v>
      </c>
      <c r="H73" s="4" t="s">
        <v>27</v>
      </c>
      <c r="I73" s="4" t="s">
        <v>950</v>
      </c>
      <c r="J73" s="6" t="s">
        <v>138</v>
      </c>
    </row>
    <row r="74" spans="1:10" ht="27.95" customHeight="1">
      <c r="A74" s="3">
        <v>70</v>
      </c>
      <c r="B74" s="3" t="s">
        <v>948</v>
      </c>
      <c r="C74" s="3" t="inlineStr">
        <is>
          <t xml:space="preserve">SH-FM-QP003-05</t>
        </is>
      </c>
      <c r="D74" s="8" t="s">
        <v>176</v>
      </c>
      <c r="E74" s="13" t="inlineStr">
        <is>
          <t xml:space="preserve">SH-QP-003</t>
        </is>
      </c>
      <c r="F74" s="3" t="s">
        <v>46</v>
      </c>
      <c r="G74" s="3" t="s">
        <v>21</v>
      </c>
      <c r="H74" s="3" t="s">
        <v>27</v>
      </c>
      <c r="I74" s="3" t="s">
        <v>950</v>
      </c>
      <c r="J74" s="8" t="s">
        <v>138</v>
      </c>
    </row>
    <row r="75" spans="1:10" ht="27.95" customHeight="1">
      <c r="A75" s="4">
        <v>71</v>
      </c>
      <c r="B75" s="4" t="s">
        <v>948</v>
      </c>
      <c r="C75" s="4" t="inlineStr">
        <is>
          <t xml:space="preserve">SH-FM-QP003-06</t>
        </is>
      </c>
      <c r="D75" s="6" t="s">
        <v>180</v>
      </c>
      <c r="E75" s="13" t="inlineStr">
        <is>
          <t xml:space="preserve">SH-QP-003</t>
        </is>
      </c>
      <c r="F75" s="4" t="s">
        <v>46</v>
      </c>
      <c r="G75" s="4" t="s">
        <v>21</v>
      </c>
      <c r="H75" s="4" t="s">
        <v>27</v>
      </c>
      <c r="I75" s="4" t="s">
        <v>950</v>
      </c>
      <c r="J75" s="6" t="s">
        <v>138</v>
      </c>
    </row>
    <row r="76" spans="1:10" ht="27.95" customHeight="1">
      <c r="A76" s="3">
        <v>72</v>
      </c>
      <c r="B76" s="3" t="s">
        <v>948</v>
      </c>
      <c r="C76" s="3" t="s">
        <v>184</v>
      </c>
      <c r="D76" s="8" t="s">
        <v>183</v>
      </c>
      <c r="E76" s="13" t="s">
        <v>949</v>
      </c>
      <c r="F76" s="3" t="s">
        <v>46</v>
      </c>
      <c r="G76" s="3" t="s">
        <v>21</v>
      </c>
      <c r="H76" s="3" t="s">
        <v>27</v>
      </c>
      <c r="I76" s="3" t="s">
        <v>950</v>
      </c>
      <c r="J76" s="8"/>
    </row>
    <row r="77" spans="1:10" ht="27.95" customHeight="1">
      <c r="A77" s="4">
        <v>73</v>
      </c>
      <c r="B77" s="4" t="s">
        <v>948</v>
      </c>
      <c r="C77" s="4" t="s">
        <v>186</v>
      </c>
      <c r="D77" s="6" t="s">
        <v>185</v>
      </c>
      <c r="E77" s="13" t="s">
        <v>949</v>
      </c>
      <c r="F77" s="4" t="s">
        <v>46</v>
      </c>
      <c r="G77" s="4" t="s">
        <v>23</v>
      </c>
      <c r="H77" s="4" t="s">
        <v>27</v>
      </c>
      <c r="I77" s="4" t="s">
        <v>950</v>
      </c>
      <c r="J77" s="6"/>
    </row>
    <row r="78" spans="1:10" ht="27.95" customHeight="1">
      <c r="A78" s="3">
        <v>74</v>
      </c>
      <c r="B78" s="3" t="s">
        <v>948</v>
      </c>
      <c r="C78" s="3" t="s">
        <v>188</v>
      </c>
      <c r="D78" s="8" t="s">
        <v>187</v>
      </c>
      <c r="E78" s="13" t="s">
        <v>949</v>
      </c>
      <c r="F78" s="3" t="s">
        <v>46</v>
      </c>
      <c r="G78" s="3" t="s">
        <v>21</v>
      </c>
      <c r="H78" s="3" t="s">
        <v>27</v>
      </c>
      <c r="I78" s="3" t="s">
        <v>950</v>
      </c>
      <c r="J78" s="8"/>
    </row>
    <row r="79" spans="1:10" ht="27.95" customHeight="1">
      <c r="A79" s="4">
        <v>75</v>
      </c>
      <c r="B79" s="4" t="s">
        <v>948</v>
      </c>
      <c r="C79" s="4" t="inlineStr">
        <is>
          <t xml:space="preserve">SH-FM-QP004-01</t>
        </is>
      </c>
      <c r="D79" s="6" t="s">
        <v>657</v>
      </c>
      <c r="E79" s="13" t="inlineStr">
        <is>
          <t xml:space="preserve">SH-QP-004</t>
        </is>
      </c>
      <c r="F79" s="4" t="s">
        <v>51</v>
      </c>
      <c r="G79" s="4" t="s">
        <v>18</v>
      </c>
      <c r="H79" s="4" t="s">
        <v>27</v>
      </c>
      <c r="I79" s="4" t="s">
        <v>950</v>
      </c>
      <c r="J79" s="6" t="s">
        <v>138</v>
      </c>
    </row>
    <row r="80" spans="1:10" ht="27.95" customHeight="1">
      <c r="A80" s="3">
        <v>76</v>
      </c>
      <c r="B80" s="3" t="s">
        <v>948</v>
      </c>
      <c r="C80" s="3" t="s">
        <v>662</v>
      </c>
      <c r="D80" s="8" t="s">
        <v>661</v>
      </c>
      <c r="E80" s="13" t="s">
        <v>949</v>
      </c>
      <c r="F80" s="3" t="s">
        <v>51</v>
      </c>
      <c r="G80" s="3" t="s">
        <v>18</v>
      </c>
      <c r="H80" s="3" t="s">
        <v>27</v>
      </c>
      <c r="I80" s="3" t="s">
        <v>950</v>
      </c>
      <c r="J80" s="8"/>
    </row>
    <row r="81" spans="1:10" ht="27.95" customHeight="1">
      <c r="A81" s="4">
        <v>77</v>
      </c>
      <c r="B81" s="4" t="s">
        <v>948</v>
      </c>
      <c r="C81" s="4" t="s">
        <v>665</v>
      </c>
      <c r="D81" s="6" t="s">
        <v>664</v>
      </c>
      <c r="E81" s="13" t="s">
        <v>949</v>
      </c>
      <c r="F81" s="4" t="s">
        <v>51</v>
      </c>
      <c r="G81" s="4" t="s">
        <v>18</v>
      </c>
      <c r="H81" s="4" t="s">
        <v>27</v>
      </c>
      <c r="I81" s="4" t="s">
        <v>950</v>
      </c>
      <c r="J81" s="6"/>
    </row>
    <row r="82" spans="1:10" ht="27.95" customHeight="1">
      <c r="A82" s="3">
        <v>78</v>
      </c>
      <c r="B82" s="3" t="s">
        <v>948</v>
      </c>
      <c r="C82" s="3" t="s">
        <v>668</v>
      </c>
      <c r="D82" s="8" t="s">
        <v>667</v>
      </c>
      <c r="E82" s="13" t="s">
        <v>949</v>
      </c>
      <c r="F82" s="3" t="s">
        <v>51</v>
      </c>
      <c r="G82" s="3" t="s">
        <v>18</v>
      </c>
      <c r="H82" s="3" t="s">
        <v>27</v>
      </c>
      <c r="I82" s="3" t="s">
        <v>950</v>
      </c>
      <c r="J82" s="8"/>
    </row>
    <row r="83" spans="1:10" ht="27.95" customHeight="1">
      <c r="A83" s="4">
        <v>79</v>
      </c>
      <c r="B83" s="4" t="s">
        <v>948</v>
      </c>
      <c r="C83" s="4" t="s">
        <v>671</v>
      </c>
      <c r="D83" s="6" t="s">
        <v>670</v>
      </c>
      <c r="E83" s="13" t="s">
        <v>949</v>
      </c>
      <c r="F83" s="4" t="s">
        <v>51</v>
      </c>
      <c r="G83" s="4" t="s">
        <v>18</v>
      </c>
      <c r="H83" s="4" t="s">
        <v>27</v>
      </c>
      <c r="I83" s="4" t="s">
        <v>950</v>
      </c>
      <c r="J83" s="6"/>
    </row>
    <row r="84" spans="1:10" ht="27.95" customHeight="1">
      <c r="A84" s="3">
        <v>80</v>
      </c>
      <c r="B84" s="3" t="s">
        <v>948</v>
      </c>
      <c r="C84" s="3" t="s">
        <v>674</v>
      </c>
      <c r="D84" s="8" t="s">
        <v>673</v>
      </c>
      <c r="E84" s="13" t="s">
        <v>949</v>
      </c>
      <c r="F84" s="3" t="s">
        <v>51</v>
      </c>
      <c r="G84" s="3" t="s">
        <v>18</v>
      </c>
      <c r="H84" s="3" t="s">
        <v>28</v>
      </c>
      <c r="I84" s="3" t="s">
        <v>950</v>
      </c>
      <c r="J84" s="8"/>
    </row>
    <row r="85" spans="1:10" ht="27.95" customHeight="1">
      <c r="A85" s="4">
        <v>81</v>
      </c>
      <c r="B85" s="4" t="s">
        <v>948</v>
      </c>
      <c r="C85" s="4" t="s">
        <v>677</v>
      </c>
      <c r="D85" s="6" t="s">
        <v>676</v>
      </c>
      <c r="E85" s="13" t="s">
        <v>949</v>
      </c>
      <c r="F85" s="4" t="s">
        <v>51</v>
      </c>
      <c r="G85" s="4" t="s">
        <v>18</v>
      </c>
      <c r="H85" s="4" t="s">
        <v>28</v>
      </c>
      <c r="I85" s="4" t="s">
        <v>950</v>
      </c>
      <c r="J85" s="6"/>
    </row>
    <row r="86" spans="1:10" ht="27.95" customHeight="1">
      <c r="A86" s="3">
        <v>82</v>
      </c>
      <c r="B86" s="3" t="s">
        <v>948</v>
      </c>
      <c r="C86" s="3" t="s">
        <v>680</v>
      </c>
      <c r="D86" s="8" t="s">
        <v>679</v>
      </c>
      <c r="E86" s="13" t="s">
        <v>949</v>
      </c>
      <c r="F86" s="3" t="s">
        <v>51</v>
      </c>
      <c r="G86" s="3" t="s">
        <v>18</v>
      </c>
      <c r="H86" s="3" t="s">
        <v>28</v>
      </c>
      <c r="I86" s="3" t="s">
        <v>950</v>
      </c>
      <c r="J86" s="8"/>
    </row>
    <row r="87" spans="1:10" ht="27.95" customHeight="1">
      <c r="A87" s="4">
        <v>83</v>
      </c>
      <c r="B87" s="4" t="s">
        <v>948</v>
      </c>
      <c r="C87" s="4" t="inlineStr">
        <is>
          <t xml:space="preserve">SH-FM-WI016-04</t>
        </is>
      </c>
      <c r="D87" s="6" t="s">
        <v>682</v>
      </c>
      <c r="E87" s="13" t="inlineStr">
        <is>
          <t xml:space="preserve">SH-WI-016</t>
        </is>
      </c>
      <c r="F87" s="4" t="s">
        <v>51</v>
      </c>
      <c r="G87" s="4" t="s">
        <v>18</v>
      </c>
      <c r="H87" s="4" t="s">
        <v>28</v>
      </c>
      <c r="I87" s="4" t="s">
        <v>950</v>
      </c>
      <c r="J87" s="6" t="s">
        <v>138</v>
      </c>
    </row>
    <row r="88" spans="1:10" ht="27.95" customHeight="1">
      <c r="A88" s="3">
        <v>84</v>
      </c>
      <c r="B88" s="3" t="s">
        <v>948</v>
      </c>
      <c r="C88" s="3" t="s">
        <v>687</v>
      </c>
      <c r="D88" s="8" t="s">
        <v>686</v>
      </c>
      <c r="E88" s="13" t="s">
        <v>949</v>
      </c>
      <c r="F88" s="3" t="s">
        <v>51</v>
      </c>
      <c r="G88" s="3" t="s">
        <v>18</v>
      </c>
      <c r="H88" s="3" t="s">
        <v>28</v>
      </c>
      <c r="I88" s="3" t="s">
        <v>950</v>
      </c>
      <c r="J88" s="8"/>
    </row>
    <row r="89" spans="1:10" ht="27.95" customHeight="1">
      <c r="A89" s="4">
        <v>85</v>
      </c>
      <c r="B89" s="4" t="s">
        <v>948</v>
      </c>
      <c r="C89" s="4" t="s">
        <v>694</v>
      </c>
      <c r="D89" s="6" t="s">
        <v>693</v>
      </c>
      <c r="E89" s="13" t="s">
        <v>949</v>
      </c>
      <c r="F89" s="4" t="s">
        <v>51</v>
      </c>
      <c r="G89" s="4" t="s">
        <v>18</v>
      </c>
      <c r="H89" s="4" t="s">
        <v>28</v>
      </c>
      <c r="I89" s="4" t="s">
        <v>950</v>
      </c>
      <c r="J89" s="6"/>
    </row>
    <row r="90" spans="1:10" ht="27.95" customHeight="1">
      <c r="A90" s="3">
        <v>86</v>
      </c>
      <c r="B90" s="3" t="s">
        <v>948</v>
      </c>
      <c r="C90" s="3" t="s">
        <v>698</v>
      </c>
      <c r="D90" s="8" t="s">
        <v>697</v>
      </c>
      <c r="E90" s="13" t="s">
        <v>949</v>
      </c>
      <c r="F90" s="3" t="s">
        <v>51</v>
      </c>
      <c r="G90" s="3" t="s">
        <v>19</v>
      </c>
      <c r="H90" s="3" t="s">
        <v>27</v>
      </c>
      <c r="I90" s="3" t="s">
        <v>950</v>
      </c>
      <c r="J90" s="8"/>
    </row>
    <row r="91" spans="1:10" ht="27.95" customHeight="1">
      <c r="A91" s="4">
        <v>87</v>
      </c>
      <c r="B91" s="4" t="s">
        <v>948</v>
      </c>
      <c r="C91" s="4" t="s">
        <v>714</v>
      </c>
      <c r="D91" s="6" t="s">
        <v>713</v>
      </c>
      <c r="E91" s="13" t="s">
        <v>949</v>
      </c>
      <c r="F91" s="4" t="s">
        <v>51</v>
      </c>
      <c r="G91" s="4" t="s">
        <v>19</v>
      </c>
      <c r="H91" s="4" t="s">
        <v>27</v>
      </c>
      <c r="I91" s="4" t="s">
        <v>950</v>
      </c>
      <c r="J91" s="6"/>
    </row>
    <row r="92" spans="1:10" ht="27.95" customHeight="1">
      <c r="A92" s="3">
        <v>88</v>
      </c>
      <c r="B92" s="3" t="s">
        <v>948</v>
      </c>
      <c r="C92" s="3" t="inlineStr">
        <is>
          <t xml:space="preserve">SH-FM-QP002-01</t>
        </is>
      </c>
      <c r="D92" s="8" t="s">
        <v>716</v>
      </c>
      <c r="E92" s="13" t="inlineStr">
        <is>
          <t xml:space="preserve">SH-QP-002</t>
        </is>
      </c>
      <c r="F92" s="3" t="s">
        <v>51</v>
      </c>
      <c r="G92" s="3" t="s">
        <v>19</v>
      </c>
      <c r="H92" s="3" t="s">
        <v>27</v>
      </c>
      <c r="I92" s="3" t="s">
        <v>950</v>
      </c>
      <c r="J92" s="8" t="s">
        <v>138</v>
      </c>
    </row>
    <row r="93" spans="1:10" ht="27.95" customHeight="1">
      <c r="A93" s="4">
        <v>89</v>
      </c>
      <c r="B93" s="4" t="s">
        <v>948</v>
      </c>
      <c r="C93" s="4" t="s">
        <v>722</v>
      </c>
      <c r="D93" s="6" t="s">
        <v>721</v>
      </c>
      <c r="E93" s="13" t="s">
        <v>949</v>
      </c>
      <c r="F93" s="4" t="s">
        <v>51</v>
      </c>
      <c r="G93" s="4" t="s">
        <v>19</v>
      </c>
      <c r="H93" s="4" t="s">
        <v>27</v>
      </c>
      <c r="I93" s="4" t="s">
        <v>950</v>
      </c>
      <c r="J93" s="6"/>
    </row>
    <row r="94" spans="1:10" ht="27.95" customHeight="1">
      <c r="A94" s="3">
        <v>90</v>
      </c>
      <c r="B94" s="3" t="s">
        <v>948</v>
      </c>
      <c r="C94" s="3" t="s">
        <v>728</v>
      </c>
      <c r="D94" s="8" t="s">
        <v>727</v>
      </c>
      <c r="E94" s="13" t="s">
        <v>949</v>
      </c>
      <c r="F94" s="3" t="s">
        <v>51</v>
      </c>
      <c r="G94" s="3" t="s">
        <v>19</v>
      </c>
      <c r="H94" s="3" t="s">
        <v>27</v>
      </c>
      <c r="I94" s="3" t="s">
        <v>950</v>
      </c>
      <c r="J94" s="8"/>
    </row>
    <row r="95" spans="1:10" ht="27.95" customHeight="1">
      <c r="A95" s="4">
        <v>91</v>
      </c>
      <c r="B95" s="4" t="s">
        <v>948</v>
      </c>
      <c r="C95" s="4" t="inlineStr">
        <is>
          <t xml:space="preserve">SH-FM-QP025-02</t>
        </is>
      </c>
      <c r="D95" s="6" t="s">
        <v>731</v>
      </c>
      <c r="E95" s="13" t="inlineStr">
        <is>
          <t xml:space="preserve">SH-QP-025</t>
        </is>
      </c>
      <c r="F95" s="4" t="s">
        <v>51</v>
      </c>
      <c r="G95" s="4" t="s">
        <v>19</v>
      </c>
      <c r="H95" s="4" t="s">
        <v>28</v>
      </c>
      <c r="I95" s="4" t="s">
        <v>950</v>
      </c>
      <c r="J95" s="6" t="s">
        <v>138</v>
      </c>
    </row>
    <row r="96" spans="1:10" ht="27.95" customHeight="1">
      <c r="A96" s="3">
        <v>92</v>
      </c>
      <c r="B96" s="3" t="s">
        <v>948</v>
      </c>
      <c r="C96" s="3" t="inlineStr">
        <is>
          <t xml:space="preserve">SH-FM-QP025-03</t>
        </is>
      </c>
      <c r="D96" s="8" t="s">
        <v>735</v>
      </c>
      <c r="E96" s="13" t="inlineStr">
        <is>
          <t xml:space="preserve">SH-QP-025</t>
        </is>
      </c>
      <c r="F96" s="3" t="s">
        <v>51</v>
      </c>
      <c r="G96" s="3" t="s">
        <v>19</v>
      </c>
      <c r="H96" s="3" t="s">
        <v>28</v>
      </c>
      <c r="I96" s="3" t="s">
        <v>950</v>
      </c>
      <c r="J96" s="8" t="s">
        <v>138</v>
      </c>
    </row>
    <row r="97" spans="1:10" ht="27.95" customHeight="1">
      <c r="A97" s="4">
        <v>93</v>
      </c>
      <c r="B97" s="4" t="s">
        <v>948</v>
      </c>
      <c r="C97" s="4" t="s">
        <v>744</v>
      </c>
      <c r="D97" s="6" t="s">
        <v>743</v>
      </c>
      <c r="E97" s="13" t="s">
        <v>949</v>
      </c>
      <c r="F97" s="4" t="s">
        <v>51</v>
      </c>
      <c r="G97" s="4" t="s">
        <v>19</v>
      </c>
      <c r="H97" s="4" t="s">
        <v>28</v>
      </c>
      <c r="I97" s="4" t="s">
        <v>950</v>
      </c>
      <c r="J97" s="6"/>
    </row>
    <row r="98" spans="1:10" ht="27.95" customHeight="1">
      <c r="A98" s="3">
        <v>94</v>
      </c>
      <c r="B98" s="3" t="s">
        <v>948</v>
      </c>
      <c r="C98" s="3" t="s">
        <v>746</v>
      </c>
      <c r="D98" s="8" t="s">
        <v>745</v>
      </c>
      <c r="E98" s="13" t="s">
        <v>949</v>
      </c>
      <c r="F98" s="3" t="s">
        <v>51</v>
      </c>
      <c r="G98" s="3" t="s">
        <v>23</v>
      </c>
      <c r="H98" s="3" t="s">
        <v>30</v>
      </c>
      <c r="I98" s="3" t="s">
        <v>950</v>
      </c>
      <c r="J98" s="8"/>
    </row>
    <row r="99" spans="1:10" ht="27.95" customHeight="1">
      <c r="A99" s="4">
        <v>95</v>
      </c>
      <c r="B99" s="4" t="s">
        <v>948</v>
      </c>
      <c r="C99" s="4" t="s">
        <v>750</v>
      </c>
      <c r="D99" s="6" t="s">
        <v>749</v>
      </c>
      <c r="E99" s="13" t="s">
        <v>949</v>
      </c>
      <c r="F99" s="4" t="s">
        <v>51</v>
      </c>
      <c r="G99" s="4" t="s">
        <v>19</v>
      </c>
      <c r="H99" s="4" t="s">
        <v>27</v>
      </c>
      <c r="I99" s="4" t="s">
        <v>950</v>
      </c>
      <c r="J99" s="6"/>
    </row>
    <row r="100" spans="1:10" ht="27.95" customHeight="1">
      <c r="A100" s="3">
        <v>96</v>
      </c>
      <c r="B100" s="3" t="s">
        <v>948</v>
      </c>
      <c r="C100" s="3" t="inlineStr">
        <is>
          <t xml:space="preserve">SH-FM-QP006-03</t>
        </is>
      </c>
      <c r="D100" s="8" t="s">
        <v>752</v>
      </c>
      <c r="E100" s="13" t="inlineStr">
        <is>
          <t xml:space="preserve">SH-QP-006</t>
        </is>
      </c>
      <c r="F100" s="3" t="s">
        <v>51</v>
      </c>
      <c r="G100" s="3" t="s">
        <v>19</v>
      </c>
      <c r="H100" s="3" t="s">
        <v>28</v>
      </c>
      <c r="I100" s="3" t="s">
        <v>950</v>
      </c>
      <c r="J100" s="8" t="s">
        <v>138</v>
      </c>
    </row>
    <row r="101" spans="1:10" ht="27.95" customHeight="1">
      <c r="A101" s="4">
        <v>97</v>
      </c>
      <c r="B101" s="4" t="s">
        <v>948</v>
      </c>
      <c r="C101" s="4" t="inlineStr">
        <is>
          <t xml:space="preserve">SH-FM-QP006-04</t>
        </is>
      </c>
      <c r="D101" s="6" t="s">
        <v>756</v>
      </c>
      <c r="E101" s="13" t="inlineStr">
        <is>
          <t xml:space="preserve">SH-QP-006</t>
        </is>
      </c>
      <c r="F101" s="4" t="s">
        <v>51</v>
      </c>
      <c r="G101" s="4" t="s">
        <v>18</v>
      </c>
      <c r="H101" s="4" t="s">
        <v>28</v>
      </c>
      <c r="I101" s="4" t="s">
        <v>950</v>
      </c>
      <c r="J101" s="6" t="s">
        <v>138</v>
      </c>
    </row>
    <row r="102" spans="1:10" ht="27.95" customHeight="1">
      <c r="A102" s="3">
        <v>98</v>
      </c>
      <c r="B102" s="3" t="s">
        <v>948</v>
      </c>
      <c r="C102" s="3" t="s">
        <v>761</v>
      </c>
      <c r="D102" s="8" t="s">
        <v>760</v>
      </c>
      <c r="E102" s="13" t="s">
        <v>949</v>
      </c>
      <c r="F102" s="3" t="s">
        <v>51</v>
      </c>
      <c r="G102" s="3" t="s">
        <v>19</v>
      </c>
      <c r="H102" s="3" t="s">
        <v>28</v>
      </c>
      <c r="I102" s="3" t="s">
        <v>950</v>
      </c>
      <c r="J102" s="8"/>
    </row>
    <row r="103" spans="1:10" ht="27.95" customHeight="1">
      <c r="A103" s="4">
        <v>99</v>
      </c>
      <c r="B103" s="4" t="s">
        <v>948</v>
      </c>
      <c r="C103" s="4" t="s">
        <v>764</v>
      </c>
      <c r="D103" s="6" t="s">
        <v>763</v>
      </c>
      <c r="E103" s="13" t="s">
        <v>949</v>
      </c>
      <c r="F103" s="4" t="s">
        <v>51</v>
      </c>
      <c r="G103" s="4" t="s">
        <v>19</v>
      </c>
      <c r="H103" s="4" t="s">
        <v>28</v>
      </c>
      <c r="I103" s="4" t="s">
        <v>950</v>
      </c>
      <c r="J103" s="6"/>
    </row>
    <row r="104" spans="1:10" ht="27.95" customHeight="1">
      <c r="A104" s="3">
        <v>100</v>
      </c>
      <c r="B104" s="3" t="s">
        <v>948</v>
      </c>
      <c r="C104" s="3" t="s">
        <v>772</v>
      </c>
      <c r="D104" s="8" t="s">
        <v>771</v>
      </c>
      <c r="E104" s="13" t="s">
        <v>949</v>
      </c>
      <c r="F104" s="3" t="s">
        <v>51</v>
      </c>
      <c r="G104" s="3" t="s">
        <v>18</v>
      </c>
      <c r="H104" s="3" t="s">
        <v>28</v>
      </c>
      <c r="I104" s="3" t="s">
        <v>950</v>
      </c>
      <c r="J104" s="8"/>
    </row>
    <row r="105" spans="1:10" ht="27.95" customHeight="1">
      <c r="A105" s="4">
        <v>101</v>
      </c>
      <c r="B105" s="4" t="s">
        <v>948</v>
      </c>
      <c r="C105" s="4" t="s">
        <v>775</v>
      </c>
      <c r="D105" s="6" t="s">
        <v>774</v>
      </c>
      <c r="E105" s="13" t="s">
        <v>949</v>
      </c>
      <c r="F105" s="4" t="s">
        <v>51</v>
      </c>
      <c r="G105" s="4" t="s">
        <v>19</v>
      </c>
      <c r="H105" s="4" t="s">
        <v>28</v>
      </c>
      <c r="I105" s="4" t="s">
        <v>950</v>
      </c>
      <c r="J105" s="6"/>
    </row>
    <row r="106" spans="1:10" ht="27.95" customHeight="1">
      <c r="A106" s="3">
        <v>102</v>
      </c>
      <c r="B106" s="3" t="s">
        <v>948</v>
      </c>
      <c r="C106" s="3" t="s">
        <v>778</v>
      </c>
      <c r="D106" s="8" t="s">
        <v>777</v>
      </c>
      <c r="E106" s="13" t="s">
        <v>949</v>
      </c>
      <c r="F106" s="3" t="s">
        <v>51</v>
      </c>
      <c r="G106" s="3" t="s">
        <v>19</v>
      </c>
      <c r="H106" s="3" t="s">
        <v>28</v>
      </c>
      <c r="I106" s="3" t="s">
        <v>950</v>
      </c>
      <c r="J106" s="8"/>
    </row>
    <row r="107" spans="1:10" ht="27.95" customHeight="1">
      <c r="A107" s="4">
        <v>103</v>
      </c>
      <c r="B107" s="4" t="s">
        <v>948</v>
      </c>
      <c r="C107" s="4" t="s">
        <v>782</v>
      </c>
      <c r="D107" s="6" t="s">
        <v>781</v>
      </c>
      <c r="E107" s="13" t="s">
        <v>949</v>
      </c>
      <c r="F107" s="4" t="s">
        <v>51</v>
      </c>
      <c r="G107" s="4" t="s">
        <v>18</v>
      </c>
      <c r="H107" s="4" t="s">
        <v>28</v>
      </c>
      <c r="I107" s="4" t="s">
        <v>950</v>
      </c>
      <c r="J107" s="6"/>
    </row>
    <row r="108" spans="1:10" ht="27.95" customHeight="1">
      <c r="A108" s="3">
        <v>104</v>
      </c>
      <c r="B108" s="3" t="s">
        <v>948</v>
      </c>
      <c r="C108" s="3" t="inlineStr">
        <is>
          <t xml:space="preserve">SH-FM-QP006-05</t>
        </is>
      </c>
      <c r="D108" s="8" t="s">
        <v>786</v>
      </c>
      <c r="E108" s="13" t="inlineStr">
        <is>
          <t xml:space="preserve">SH-QP-006</t>
        </is>
      </c>
      <c r="F108" s="3" t="s">
        <v>51</v>
      </c>
      <c r="G108" s="3" t="s">
        <v>19</v>
      </c>
      <c r="H108" s="3" t="s">
        <v>29</v>
      </c>
      <c r="I108" s="3" t="s">
        <v>950</v>
      </c>
      <c r="J108" s="8" t="s">
        <v>138</v>
      </c>
    </row>
    <row r="109" spans="1:10" ht="27.95" customHeight="1">
      <c r="A109" s="4">
        <v>105</v>
      </c>
      <c r="B109" s="4" t="s">
        <v>948</v>
      </c>
      <c r="C109" s="4" t="s">
        <v>795</v>
      </c>
      <c r="D109" s="6" t="s">
        <v>794</v>
      </c>
      <c r="E109" s="13" t="s">
        <v>949</v>
      </c>
      <c r="F109" s="4" t="s">
        <v>51</v>
      </c>
      <c r="G109" s="4" t="s">
        <v>19</v>
      </c>
      <c r="H109" s="4" t="s">
        <v>29</v>
      </c>
      <c r="I109" s="4" t="s">
        <v>950</v>
      </c>
      <c r="J109" s="6"/>
    </row>
    <row r="110" spans="1:10" ht="27.95" customHeight="1">
      <c r="A110" s="3">
        <v>106</v>
      </c>
      <c r="B110" s="3" t="s">
        <v>948</v>
      </c>
      <c r="C110" s="3" t="s">
        <v>798</v>
      </c>
      <c r="D110" s="8" t="s">
        <v>797</v>
      </c>
      <c r="E110" s="13" t="s">
        <v>949</v>
      </c>
      <c r="F110" s="3" t="s">
        <v>51</v>
      </c>
      <c r="G110" s="3" t="s">
        <v>19</v>
      </c>
      <c r="H110" s="3" t="s">
        <v>29</v>
      </c>
      <c r="I110" s="3" t="s">
        <v>950</v>
      </c>
      <c r="J110" s="8"/>
    </row>
    <row r="111" spans="1:10" ht="27.95" customHeight="1">
      <c r="A111" s="4">
        <v>107</v>
      </c>
      <c r="B111" s="4" t="s">
        <v>948</v>
      </c>
      <c r="C111" s="4" t="s">
        <v>802</v>
      </c>
      <c r="D111" s="6" t="s">
        <v>801</v>
      </c>
      <c r="E111" s="13" t="s">
        <v>949</v>
      </c>
      <c r="F111" s="4" t="s">
        <v>51</v>
      </c>
      <c r="G111" s="4" t="s">
        <v>19</v>
      </c>
      <c r="H111" s="4" t="s">
        <v>28</v>
      </c>
      <c r="I111" s="4" t="s">
        <v>950</v>
      </c>
      <c r="J111" s="6"/>
    </row>
    <row r="112" spans="1:10" ht="27.95" customHeight="1">
      <c r="A112" s="3">
        <v>108</v>
      </c>
      <c r="B112" s="3" t="s">
        <v>948</v>
      </c>
      <c r="C112" s="3" t="s">
        <v>805</v>
      </c>
      <c r="D112" s="8" t="s">
        <v>804</v>
      </c>
      <c r="E112" s="13" t="s">
        <v>949</v>
      </c>
      <c r="F112" s="3" t="s">
        <v>51</v>
      </c>
      <c r="G112" s="3" t="s">
        <v>19</v>
      </c>
      <c r="H112" s="3" t="s">
        <v>28</v>
      </c>
      <c r="I112" s="3" t="s">
        <v>950</v>
      </c>
      <c r="J112" s="8"/>
    </row>
    <row r="113" spans="1:10" ht="27.95" customHeight="1">
      <c r="A113" s="4">
        <v>109</v>
      </c>
      <c r="B113" s="4" t="s">
        <v>948</v>
      </c>
      <c r="C113" s="4" t="inlineStr">
        <is>
          <t xml:space="preserve">SH-FM-QP014-02</t>
        </is>
      </c>
      <c r="D113" s="6" t="s">
        <v>808</v>
      </c>
      <c r="E113" s="13" t="inlineStr">
        <is>
          <t xml:space="preserve">SH-QP-014</t>
        </is>
      </c>
      <c r="F113" s="4" t="s">
        <v>51</v>
      </c>
      <c r="G113" s="4" t="s">
        <v>19</v>
      </c>
      <c r="H113" s="4" t="s">
        <v>28</v>
      </c>
      <c r="I113" s="4" t="s">
        <v>950</v>
      </c>
      <c r="J113" s="6" t="s">
        <v>138</v>
      </c>
    </row>
    <row r="114" spans="1:10" ht="27.95" customHeight="1">
      <c r="A114" s="3">
        <v>110</v>
      </c>
      <c r="B114" s="3" t="s">
        <v>948</v>
      </c>
      <c r="C114" s="3" t="s">
        <v>813</v>
      </c>
      <c r="D114" s="8" t="s">
        <v>812</v>
      </c>
      <c r="E114" s="13" t="s">
        <v>949</v>
      </c>
      <c r="F114" s="3" t="s">
        <v>51</v>
      </c>
      <c r="G114" s="3" t="s">
        <v>19</v>
      </c>
      <c r="H114" s="3" t="s">
        <v>28</v>
      </c>
      <c r="I114" s="3" t="s">
        <v>950</v>
      </c>
      <c r="J114" s="8"/>
    </row>
    <row r="115" spans="1:10" ht="27.95" customHeight="1">
      <c r="A115" s="4">
        <v>111</v>
      </c>
      <c r="B115" s="4" t="s">
        <v>948</v>
      </c>
      <c r="C115" s="4" t="inlineStr">
        <is>
          <t xml:space="preserve">SH-FM-QP014-03</t>
        </is>
      </c>
      <c r="D115" s="6" t="s">
        <v>816</v>
      </c>
      <c r="E115" s="13" t="inlineStr">
        <is>
          <t xml:space="preserve">SH-QP-014</t>
        </is>
      </c>
      <c r="F115" s="4" t="s">
        <v>51</v>
      </c>
      <c r="G115" s="4" t="s">
        <v>19</v>
      </c>
      <c r="H115" s="4" t="s">
        <v>28</v>
      </c>
      <c r="I115" s="4" t="s">
        <v>950</v>
      </c>
      <c r="J115" s="6" t="s">
        <v>138</v>
      </c>
    </row>
    <row r="116" spans="1:10" ht="27.95" customHeight="1">
      <c r="A116" s="3">
        <v>112</v>
      </c>
      <c r="B116" s="3" t="s">
        <v>948</v>
      </c>
      <c r="C116" s="3" t="s">
        <v>828</v>
      </c>
      <c r="D116" s="8" t="s">
        <v>827</v>
      </c>
      <c r="E116" s="13" t="s">
        <v>949</v>
      </c>
      <c r="F116" s="3" t="s">
        <v>51</v>
      </c>
      <c r="G116" s="3" t="s">
        <v>19</v>
      </c>
      <c r="H116" s="3" t="s">
        <v>28</v>
      </c>
      <c r="I116" s="3" t="s">
        <v>950</v>
      </c>
      <c r="J116" s="8"/>
    </row>
    <row r="117" spans="1:10" ht="27.95" customHeight="1">
      <c r="A117" s="4">
        <v>113</v>
      </c>
      <c r="B117" s="4" t="s">
        <v>948</v>
      </c>
      <c r="C117" s="4" t="s">
        <v>831</v>
      </c>
      <c r="D117" s="6" t="s">
        <v>830</v>
      </c>
      <c r="E117" s="13" t="s">
        <v>949</v>
      </c>
      <c r="F117" s="4" t="s">
        <v>51</v>
      </c>
      <c r="G117" s="4" t="s">
        <v>19</v>
      </c>
      <c r="H117" s="4" t="s">
        <v>28</v>
      </c>
      <c r="I117" s="4" t="s">
        <v>950</v>
      </c>
      <c r="J117" s="6"/>
    </row>
    <row r="118" spans="1:10" ht="27.95" customHeight="1">
      <c r="A118" s="3">
        <v>114</v>
      </c>
      <c r="B118" s="3" t="s">
        <v>948</v>
      </c>
      <c r="C118" s="3" t="s">
        <v>838</v>
      </c>
      <c r="D118" s="8" t="s">
        <v>837</v>
      </c>
      <c r="E118" s="13" t="s">
        <v>949</v>
      </c>
      <c r="F118" s="3" t="s">
        <v>51</v>
      </c>
      <c r="G118" s="3" t="s">
        <v>19</v>
      </c>
      <c r="H118" s="3" t="s">
        <v>28</v>
      </c>
      <c r="I118" s="3" t="s">
        <v>950</v>
      </c>
      <c r="J118" s="8"/>
    </row>
    <row r="119" spans="1:10" ht="27.95" customHeight="1">
      <c r="A119" s="4">
        <v>115</v>
      </c>
      <c r="B119" s="4" t="s">
        <v>948</v>
      </c>
      <c r="C119" s="4" t="s">
        <v>842</v>
      </c>
      <c r="D119" s="6" t="s">
        <v>841</v>
      </c>
      <c r="E119" s="13" t="s">
        <v>949</v>
      </c>
      <c r="F119" s="4" t="s">
        <v>51</v>
      </c>
      <c r="G119" s="4" t="s">
        <v>18</v>
      </c>
      <c r="H119" s="4" t="s">
        <v>28</v>
      </c>
      <c r="I119" s="4" t="s">
        <v>950</v>
      </c>
      <c r="J119" s="6"/>
    </row>
    <row r="120" spans="1:10" ht="27.95" customHeight="1">
      <c r="A120" s="3">
        <v>116</v>
      </c>
      <c r="B120" s="3" t="s">
        <v>948</v>
      </c>
      <c r="C120" s="3" t="s">
        <v>847</v>
      </c>
      <c r="D120" s="8" t="s">
        <v>846</v>
      </c>
      <c r="E120" s="13" t="s">
        <v>949</v>
      </c>
      <c r="F120" s="3" t="s">
        <v>51</v>
      </c>
      <c r="G120" s="3" t="s">
        <v>18</v>
      </c>
      <c r="H120" s="3" t="s">
        <v>28</v>
      </c>
      <c r="I120" s="3" t="s">
        <v>950</v>
      </c>
      <c r="J120" s="8"/>
    </row>
    <row r="121" spans="1:10" ht="27.95" customHeight="1">
      <c r="A121" s="4">
        <v>117</v>
      </c>
      <c r="B121" s="4" t="s">
        <v>948</v>
      </c>
      <c r="C121" s="4" t="s">
        <v>850</v>
      </c>
      <c r="D121" s="6" t="s">
        <v>849</v>
      </c>
      <c r="E121" s="13" t="s">
        <v>949</v>
      </c>
      <c r="F121" s="4" t="s">
        <v>51</v>
      </c>
      <c r="G121" s="4" t="s">
        <v>18</v>
      </c>
      <c r="H121" s="4" t="s">
        <v>29</v>
      </c>
      <c r="I121" s="4" t="s">
        <v>950</v>
      </c>
      <c r="J121" s="6"/>
    </row>
    <row r="122" spans="1:10" ht="27.95" customHeight="1">
      <c r="A122" s="3">
        <v>118</v>
      </c>
      <c r="B122" s="3" t="s">
        <v>948</v>
      </c>
      <c r="C122" s="3" t="inlineStr">
        <is>
          <t xml:space="preserve">SH-FM-QP001-01</t>
        </is>
      </c>
      <c r="D122" s="8" t="s">
        <v>853</v>
      </c>
      <c r="E122" s="13" t="inlineStr">
        <is>
          <t xml:space="preserve">SH-QP-001</t>
        </is>
      </c>
      <c r="F122" s="3" t="s">
        <v>51</v>
      </c>
      <c r="G122" s="3" t="s">
        <v>18</v>
      </c>
      <c r="H122" s="3" t="s">
        <v>29</v>
      </c>
      <c r="I122" s="3" t="s">
        <v>950</v>
      </c>
      <c r="J122" s="8" t="s">
        <v>138</v>
      </c>
    </row>
    <row r="123" spans="1:10" ht="27.95" customHeight="1">
      <c r="A123" s="4">
        <v>119</v>
      </c>
      <c r="B123" s="4" t="s">
        <v>948</v>
      </c>
      <c r="C123" s="4" t="s">
        <v>862</v>
      </c>
      <c r="D123" s="6" t="s">
        <v>861</v>
      </c>
      <c r="E123" s="13" t="s">
        <v>949</v>
      </c>
      <c r="F123" s="4" t="s">
        <v>51</v>
      </c>
      <c r="G123" s="4" t="s">
        <v>18</v>
      </c>
      <c r="H123" s="4" t="s">
        <v>29</v>
      </c>
      <c r="I123" s="4" t="s">
        <v>950</v>
      </c>
      <c r="J123" s="6"/>
    </row>
    <row r="124" spans="1:10" ht="27.95" customHeight="1">
      <c r="A124" s="3">
        <v>120</v>
      </c>
      <c r="B124" s="3" t="s">
        <v>948</v>
      </c>
      <c r="C124" s="3" t="inlineStr">
        <is>
          <t xml:space="preserve">SH-FM-WI001-06</t>
        </is>
      </c>
      <c r="D124" s="8" t="s">
        <v>863</v>
      </c>
      <c r="E124" s="13" t="inlineStr">
        <is>
          <t xml:space="preserve">SH-WI-001</t>
        </is>
      </c>
      <c r="F124" s="3" t="s">
        <v>51</v>
      </c>
      <c r="G124" s="3" t="s">
        <v>18</v>
      </c>
      <c r="H124" s="3" t="s">
        <v>29</v>
      </c>
      <c r="I124" s="3" t="s">
        <v>950</v>
      </c>
      <c r="J124" s="8" t="s">
        <v>138</v>
      </c>
    </row>
    <row r="125" spans="1:10" ht="27.95" customHeight="1">
      <c r="A125" s="4">
        <v>121</v>
      </c>
      <c r="B125" s="4" t="s">
        <v>948</v>
      </c>
      <c r="C125" s="4" t="s">
        <v>867</v>
      </c>
      <c r="D125" s="6" t="s">
        <v>866</v>
      </c>
      <c r="E125" s="13" t="s">
        <v>949</v>
      </c>
      <c r="F125" s="4" t="s">
        <v>51</v>
      </c>
      <c r="G125" s="4" t="s">
        <v>18</v>
      </c>
      <c r="H125" s="4" t="s">
        <v>29</v>
      </c>
      <c r="I125" s="4" t="s">
        <v>950</v>
      </c>
      <c r="J125" s="6"/>
    </row>
    <row r="126" spans="1:10" ht="27.95" customHeight="1">
      <c r="A126" s="3">
        <v>122</v>
      </c>
      <c r="B126" s="3" t="s">
        <v>948</v>
      </c>
      <c r="C126" s="3" t="s">
        <v>871</v>
      </c>
      <c r="D126" s="8" t="s">
        <v>870</v>
      </c>
      <c r="E126" s="13" t="s">
        <v>949</v>
      </c>
      <c r="F126" s="3" t="s">
        <v>51</v>
      </c>
      <c r="G126" s="3" t="s">
        <v>19</v>
      </c>
      <c r="H126" s="3" t="s">
        <v>29</v>
      </c>
      <c r="I126" s="3" t="s">
        <v>950</v>
      </c>
      <c r="J126" s="8"/>
    </row>
    <row r="127" spans="1:10" ht="27.95" customHeight="1">
      <c r="A127" s="4">
        <v>123</v>
      </c>
      <c r="B127" s="4" t="s">
        <v>948</v>
      </c>
      <c r="C127" s="4" t="s">
        <v>879</v>
      </c>
      <c r="D127" s="6" t="s">
        <v>878</v>
      </c>
      <c r="E127" s="13" t="s">
        <v>949</v>
      </c>
      <c r="F127" s="4" t="s">
        <v>51</v>
      </c>
      <c r="G127" s="4" t="s">
        <v>19</v>
      </c>
      <c r="H127" s="4" t="s">
        <v>29</v>
      </c>
      <c r="I127" s="4" t="s">
        <v>950</v>
      </c>
      <c r="J127" s="6"/>
    </row>
    <row r="128" spans="1:10" ht="27.95" customHeight="1">
      <c r="A128" s="3">
        <v>124</v>
      </c>
      <c r="B128" s="3" t="s">
        <v>948</v>
      </c>
      <c r="C128" s="3" t="inlineStr">
        <is>
          <t xml:space="preserve">SH-FM-QP006-06</t>
        </is>
      </c>
      <c r="D128" s="8" t="s">
        <v>911</v>
      </c>
      <c r="E128" s="13" t="inlineStr">
        <is>
          <t xml:space="preserve">SH-QP-006</t>
        </is>
      </c>
      <c r="F128" s="3" t="s">
        <v>51</v>
      </c>
      <c r="G128" s="3" t="s">
        <v>18</v>
      </c>
      <c r="H128" s="3" t="s">
        <v>29</v>
      </c>
      <c r="I128" s="3" t="s">
        <v>950</v>
      </c>
      <c r="J128" s="8" t="s">
        <v>138</v>
      </c>
    </row>
    <row r="129" spans="1:10" ht="27.95" customHeight="1">
      <c r="A129" s="4">
        <v>125</v>
      </c>
      <c r="B129" s="4" t="s">
        <v>948</v>
      </c>
      <c r="C129" s="4" t="s">
        <v>917</v>
      </c>
      <c r="D129" s="6" t="s">
        <v>916</v>
      </c>
      <c r="E129" s="13" t="s">
        <v>949</v>
      </c>
      <c r="F129" s="4" t="s">
        <v>51</v>
      </c>
      <c r="G129" s="4" t="s">
        <v>19</v>
      </c>
      <c r="H129" s="4" t="s">
        <v>28</v>
      </c>
      <c r="I129" s="4" t="s">
        <v>950</v>
      </c>
      <c r="J129" s="6"/>
    </row>
    <row r="130" spans="1:10" ht="27.95" customHeight="1">
      <c r="A130" s="3">
        <v>126</v>
      </c>
      <c r="B130" s="3" t="s">
        <v>948</v>
      </c>
      <c r="C130" s="3" t="s">
        <v>920</v>
      </c>
      <c r="D130" s="8" t="s">
        <v>919</v>
      </c>
      <c r="E130" s="13" t="s">
        <v>949</v>
      </c>
      <c r="F130" s="3" t="s">
        <v>51</v>
      </c>
      <c r="G130" s="3" t="s">
        <v>19</v>
      </c>
      <c r="H130" s="3" t="s">
        <v>28</v>
      </c>
      <c r="I130" s="3" t="s">
        <v>950</v>
      </c>
      <c r="J130" s="8"/>
    </row>
    <row r="131" spans="1:10" ht="27.95" customHeight="1">
      <c r="A131" s="4">
        <v>127</v>
      </c>
      <c r="B131" s="4" t="s">
        <v>948</v>
      </c>
      <c r="C131" s="4" t="s">
        <v>923</v>
      </c>
      <c r="D131" s="6" t="s">
        <v>922</v>
      </c>
      <c r="E131" s="13" t="s">
        <v>949</v>
      </c>
      <c r="F131" s="4" t="s">
        <v>51</v>
      </c>
      <c r="G131" s="4" t="s">
        <v>19</v>
      </c>
      <c r="H131" s="4" t="s">
        <v>28</v>
      </c>
      <c r="I131" s="4" t="s">
        <v>950</v>
      </c>
      <c r="J131" s="6"/>
    </row>
    <row r="132" spans="1:10" ht="27.95" customHeight="1">
      <c r="A132" s="3">
        <v>128</v>
      </c>
      <c r="B132" s="3" t="s">
        <v>948</v>
      </c>
      <c r="C132" s="3" t="s">
        <v>926</v>
      </c>
      <c r="D132" s="8" t="s">
        <v>925</v>
      </c>
      <c r="E132" s="13" t="s">
        <v>949</v>
      </c>
      <c r="F132" s="3" t="s">
        <v>51</v>
      </c>
      <c r="G132" s="3" t="s">
        <v>19</v>
      </c>
      <c r="H132" s="3" t="s">
        <v>28</v>
      </c>
      <c r="I132" s="3" t="s">
        <v>950</v>
      </c>
      <c r="J132" s="8"/>
    </row>
    <row r="133" spans="1:10" ht="27.95" customHeight="1">
      <c r="A133" s="4">
        <v>129</v>
      </c>
      <c r="B133" s="4" t="s">
        <v>948</v>
      </c>
      <c r="C133" s="4" t="s">
        <v>935</v>
      </c>
      <c r="D133" s="6" t="s">
        <v>934</v>
      </c>
      <c r="E133" s="13" t="s">
        <v>949</v>
      </c>
      <c r="F133" s="4" t="s">
        <v>51</v>
      </c>
      <c r="G133" s="4" t="s">
        <v>19</v>
      </c>
      <c r="H133" s="4" t="s">
        <v>28</v>
      </c>
      <c r="I133" s="4" t="s">
        <v>950</v>
      </c>
      <c r="J133" s="6"/>
    </row>
    <row r="134" spans="1:10" ht="27.95" customHeight="1">
      <c r="A134" s="3">
        <v>130</v>
      </c>
      <c r="B134" s="3" t="s">
        <v>948</v>
      </c>
      <c r="C134" s="3" t="inlineStr">
        <is>
          <t xml:space="preserve">SH-FM-WI020-02</t>
        </is>
      </c>
      <c r="D134" s="8" t="s">
        <v>114</v>
      </c>
      <c r="E134" s="14" t="inlineStr">
        <is>
          <t xml:space="preserve">SH-WI-020</t>
        </is>
      </c>
      <c r="F134" s="3" t="s">
        <v>46</v>
      </c>
      <c r="G134" s="3" t="s">
        <v>19</v>
      </c>
      <c r="H134" s="3" t="s">
        <v>29</v>
      </c>
      <c r="I134" s="3" t="s">
        <v>950</v>
      </c>
      <c r="J134" s="8" t="s">
        <v>85</v>
      </c>
    </row>
    <row r="135" spans="1:10" ht="27.95" customHeight="1">
      <c r="A135" s="4">
        <v>131</v>
      </c>
      <c r="B135" s="4" t="s">
        <v>948</v>
      </c>
      <c r="C135" s="4" t="s">
        <v>169</v>
      </c>
      <c r="D135" s="6" t="s">
        <v>168</v>
      </c>
      <c r="E135" s="14" t="s">
        <v>951</v>
      </c>
      <c r="F135" s="4" t="s">
        <v>46</v>
      </c>
      <c r="G135" s="4" t="s">
        <v>18</v>
      </c>
      <c r="H135" s="4" t="s">
        <v>29</v>
      </c>
      <c r="I135" s="4" t="s">
        <v>950</v>
      </c>
      <c r="J135" s="6" t="s">
        <v>79</v>
      </c>
    </row>
    <row r="136" spans="1:10" ht="27.95" customHeight="1">
      <c r="A136" s="3">
        <v>132</v>
      </c>
      <c r="B136" s="3" t="s">
        <v>948</v>
      </c>
      <c r="C136" s="3" t="inlineStr">
        <is>
          <t xml:space="preserve">SH-FM-WI004-07</t>
        </is>
      </c>
      <c r="D136" s="8" t="s">
        <v>390</v>
      </c>
      <c r="E136" s="14" t="inlineStr">
        <is>
          <t xml:space="preserve">SH-WI-004</t>
        </is>
      </c>
      <c r="F136" s="3" t="s">
        <v>48</v>
      </c>
      <c r="G136" s="3" t="s">
        <v>18</v>
      </c>
      <c r="H136" s="3" t="s">
        <v>29</v>
      </c>
      <c r="I136" s="3" t="s">
        <v>950</v>
      </c>
      <c r="J136" s="8" t="s">
        <v>85</v>
      </c>
    </row>
    <row r="137" spans="1:10" ht="27.95" customHeight="1">
      <c r="A137" s="4">
        <v>133</v>
      </c>
      <c r="B137" s="4" t="s">
        <v>948</v>
      </c>
      <c r="C137" s="4" t="s">
        <v>502</v>
      </c>
      <c r="D137" s="6" t="s">
        <v>501</v>
      </c>
      <c r="E137" s="14" t="s">
        <v>951</v>
      </c>
      <c r="F137" s="4" t="s">
        <v>49</v>
      </c>
      <c r="G137" s="4" t="s">
        <v>18</v>
      </c>
      <c r="H137" s="4" t="s">
        <v>29</v>
      </c>
      <c r="I137" s="4" t="s">
        <v>950</v>
      </c>
      <c r="J137" s="6" t="s">
        <v>79</v>
      </c>
    </row>
    <row r="138" spans="1:10" ht="27.95" customHeight="1">
      <c r="A138" s="3">
        <v>134</v>
      </c>
      <c r="B138" s="3" t="s">
        <v>948</v>
      </c>
      <c r="C138" s="3" t="s">
        <v>740</v>
      </c>
      <c r="D138" s="8" t="s">
        <v>739</v>
      </c>
      <c r="E138" s="14" t="s">
        <v>952</v>
      </c>
      <c r="F138" s="3" t="s">
        <v>51</v>
      </c>
      <c r="G138" s="3" t="s">
        <v>19</v>
      </c>
      <c r="H138" s="3" t="s">
        <v>30</v>
      </c>
      <c r="I138" s="3" t="s">
        <v>950</v>
      </c>
      <c r="J138" s="8"/>
    </row>
    <row r="139" spans="1:10" ht="27.95" customHeight="1">
      <c r="A139" s="4">
        <v>135</v>
      </c>
      <c r="B139" s="4" t="s">
        <v>948</v>
      </c>
      <c r="C139" s="4" t="s">
        <v>791</v>
      </c>
      <c r="D139" s="6" t="s">
        <v>790</v>
      </c>
      <c r="E139" s="14" t="s">
        <v>953</v>
      </c>
      <c r="F139" s="4" t="s">
        <v>51</v>
      </c>
      <c r="G139" s="4" t="s">
        <v>19</v>
      </c>
      <c r="H139" s="4" t="s">
        <v>30</v>
      </c>
      <c r="I139" s="4" t="s">
        <v>950</v>
      </c>
      <c r="J139" s="6"/>
    </row>
    <row r="140" spans="1:10" ht="27.95" customHeight="1">
      <c r="A140" s="3">
        <v>136</v>
      </c>
      <c r="B140" s="3" t="s">
        <v>948</v>
      </c>
      <c r="C140" s="3" t="s">
        <v>908</v>
      </c>
      <c r="D140" s="8" t="s">
        <v>907</v>
      </c>
      <c r="E140" s="14" t="s">
        <v>953</v>
      </c>
      <c r="F140" s="3" t="s">
        <v>51</v>
      </c>
      <c r="G140" s="3" t="s">
        <v>18</v>
      </c>
      <c r="H140" s="3" t="s">
        <v>30</v>
      </c>
      <c r="I140" s="3" t="s">
        <v>950</v>
      </c>
      <c r="J140" s="8" t="s">
        <v>79</v>
      </c>
    </row>
    <row r="141" spans="1:10" ht="27.95" customHeight="1">
      <c r="A141" s="4">
        <v>137</v>
      </c>
      <c r="B141" s="4" t="s">
        <v>948</v>
      </c>
      <c r="C141" s="4" t="s">
        <v>271</v>
      </c>
      <c r="D141" s="6" t="s">
        <v>270</v>
      </c>
      <c r="E141" s="14" t="s">
        <v>954</v>
      </c>
      <c r="F141" s="4" t="s">
        <v>47</v>
      </c>
      <c r="G141" s="4" t="s">
        <v>19</v>
      </c>
      <c r="H141" s="4" t="s">
        <v>29</v>
      </c>
      <c r="I141" s="4" t="s">
        <v>950</v>
      </c>
      <c r="J141" s="6"/>
    </row>
    <row r="142" spans="1:10" ht="27.95" customHeight="1">
      <c r="A142" s="3">
        <v>138</v>
      </c>
      <c r="B142" s="3" t="s">
        <v>948</v>
      </c>
      <c r="C142" s="3" t="s">
        <v>75</v>
      </c>
      <c r="D142" s="8" t="s">
        <v>74</v>
      </c>
      <c r="E142" s="14" t="s">
        <v>955</v>
      </c>
      <c r="F142" s="3" t="s">
        <v>46</v>
      </c>
      <c r="G142" s="3" t="s">
        <v>19</v>
      </c>
      <c r="H142" s="3" t="s">
        <v>29</v>
      </c>
      <c r="I142" s="3" t="s">
        <v>950</v>
      </c>
      <c r="J142" s="8" t="s">
        <v>79</v>
      </c>
    </row>
    <row r="143" spans="1:10" ht="27.95" customHeight="1">
      <c r="A143" s="4">
        <v>139</v>
      </c>
      <c r="B143" s="4" t="s">
        <v>948</v>
      </c>
      <c r="C143" s="4" t="inlineStr">
        <is>
          <t xml:space="preserve">SH-FM-WI022-01</t>
        </is>
      </c>
      <c r="D143" s="6" t="s">
        <v>81</v>
      </c>
      <c r="E143" s="14" t="inlineStr">
        <is>
          <t xml:space="preserve">SH-WI-022</t>
        </is>
      </c>
      <c r="F143" s="4" t="s">
        <v>46</v>
      </c>
      <c r="G143" s="4" t="s">
        <v>19</v>
      </c>
      <c r="H143" s="4" t="s">
        <v>29</v>
      </c>
      <c r="I143" s="4" t="s">
        <v>950</v>
      </c>
      <c r="J143" s="6" t="s">
        <v>85</v>
      </c>
    </row>
    <row r="144" spans="1:10" ht="27.95" customHeight="1">
      <c r="A144" s="3">
        <v>140</v>
      </c>
      <c r="B144" s="3" t="s">
        <v>948</v>
      </c>
      <c r="C144" s="3" t="s">
        <v>88</v>
      </c>
      <c r="D144" s="8" t="s">
        <v>87</v>
      </c>
      <c r="E144" s="14" t="s">
        <v>955</v>
      </c>
      <c r="F144" s="3" t="s">
        <v>46</v>
      </c>
      <c r="G144" s="3" t="s">
        <v>18</v>
      </c>
      <c r="H144" s="3" t="s">
        <v>30</v>
      </c>
      <c r="I144" s="3" t="s">
        <v>950</v>
      </c>
      <c r="J144" s="8" t="s">
        <v>79</v>
      </c>
    </row>
    <row r="145" spans="1:10" ht="27.95" customHeight="1">
      <c r="A145" s="4">
        <v>141</v>
      </c>
      <c r="B145" s="4" t="s">
        <v>948</v>
      </c>
      <c r="C145" s="4" t="s">
        <v>98</v>
      </c>
      <c r="D145" s="6" t="s">
        <v>97</v>
      </c>
      <c r="E145" s="14" t="s">
        <v>955</v>
      </c>
      <c r="F145" s="4" t="s">
        <v>46</v>
      </c>
      <c r="G145" s="4" t="s">
        <v>19</v>
      </c>
      <c r="H145" s="4" t="s">
        <v>29</v>
      </c>
      <c r="I145" s="4" t="s">
        <v>950</v>
      </c>
      <c r="J145" s="6" t="s">
        <v>79</v>
      </c>
    </row>
    <row r="146" spans="1:10" ht="27.95" customHeight="1">
      <c r="A146" s="3">
        <v>142</v>
      </c>
      <c r="B146" s="3" t="s">
        <v>948</v>
      </c>
      <c r="C146" s="3" t="inlineStr">
        <is>
          <t xml:space="preserve">SH-FM-WI020-03</t>
        </is>
      </c>
      <c r="D146" s="8" t="s">
        <v>700</v>
      </c>
      <c r="E146" s="14" t="inlineStr">
        <is>
          <t xml:space="preserve">SH-WI-020</t>
        </is>
      </c>
      <c r="F146" s="3" t="s">
        <v>51</v>
      </c>
      <c r="G146" s="3" t="s">
        <v>19</v>
      </c>
      <c r="H146" s="3" t="s">
        <v>30</v>
      </c>
      <c r="I146" s="3" t="s">
        <v>950</v>
      </c>
      <c r="J146" s="8" t="s">
        <v>85</v>
      </c>
    </row>
    <row r="147" spans="1:10" ht="27.95" customHeight="1">
      <c r="A147" s="4">
        <v>143</v>
      </c>
      <c r="B147" s="4" t="s">
        <v>948</v>
      </c>
      <c r="C147" s="4" t="s">
        <v>709</v>
      </c>
      <c r="D147" s="6" t="s">
        <v>708</v>
      </c>
      <c r="E147" s="14" t="s">
        <v>955</v>
      </c>
      <c r="F147" s="4" t="s">
        <v>51</v>
      </c>
      <c r="G147" s="4" t="s">
        <v>19</v>
      </c>
      <c r="H147" s="4" t="s">
        <v>30</v>
      </c>
      <c r="I147" s="4" t="s">
        <v>950</v>
      </c>
      <c r="J147" s="6" t="s">
        <v>79</v>
      </c>
    </row>
    <row r="148" spans="1:10" ht="27.95" customHeight="1">
      <c r="A148" s="3">
        <v>144</v>
      </c>
      <c r="B148" s="3" t="s">
        <v>948</v>
      </c>
      <c r="C148" s="3" t="s">
        <v>192</v>
      </c>
      <c r="D148" s="8" t="s">
        <v>191</v>
      </c>
      <c r="E148" s="14" t="s">
        <v>956</v>
      </c>
      <c r="F148" s="3" t="s">
        <v>47</v>
      </c>
      <c r="G148" s="3" t="s">
        <v>20</v>
      </c>
      <c r="H148" s="3" t="s">
        <v>28</v>
      </c>
      <c r="I148" s="3" t="s">
        <v>950</v>
      </c>
      <c r="J148" s="8"/>
    </row>
    <row r="149" spans="1:10" ht="27.95" customHeight="1">
      <c r="A149" s="4">
        <v>145</v>
      </c>
      <c r="B149" s="4" t="s">
        <v>948</v>
      </c>
      <c r="C149" s="4" t="s">
        <v>201</v>
      </c>
      <c r="D149" s="6" t="s">
        <v>200</v>
      </c>
      <c r="E149" s="14" t="s">
        <v>956</v>
      </c>
      <c r="F149" s="4" t="s">
        <v>47</v>
      </c>
      <c r="G149" s="4" t="s">
        <v>20</v>
      </c>
      <c r="H149" s="4" t="s">
        <v>29</v>
      </c>
      <c r="I149" s="4" t="s">
        <v>950</v>
      </c>
      <c r="J149" s="6"/>
    </row>
    <row r="150" spans="1:10" ht="27.95" customHeight="1">
      <c r="A150" s="3">
        <v>146</v>
      </c>
      <c r="B150" s="3" t="s">
        <v>948</v>
      </c>
      <c r="C150" s="3" t="s">
        <v>225</v>
      </c>
      <c r="D150" s="8" t="s">
        <v>224</v>
      </c>
      <c r="E150" s="14" t="s">
        <v>956</v>
      </c>
      <c r="F150" s="3" t="s">
        <v>47</v>
      </c>
      <c r="G150" s="3" t="s">
        <v>19</v>
      </c>
      <c r="H150" s="3" t="s">
        <v>29</v>
      </c>
      <c r="I150" s="3" t="s">
        <v>950</v>
      </c>
      <c r="J150" s="8"/>
    </row>
    <row r="151" spans="1:10" ht="27.95" customHeight="1">
      <c r="A151" s="4">
        <v>147</v>
      </c>
      <c r="B151" s="4" t="s">
        <v>948</v>
      </c>
      <c r="C151" s="4" t="s">
        <v>237</v>
      </c>
      <c r="D151" s="6" t="s">
        <v>236</v>
      </c>
      <c r="E151" s="14" t="s">
        <v>956</v>
      </c>
      <c r="F151" s="4" t="s">
        <v>47</v>
      </c>
      <c r="G151" s="4" t="s">
        <v>19</v>
      </c>
      <c r="H151" s="4" t="s">
        <v>29</v>
      </c>
      <c r="I151" s="4" t="s">
        <v>950</v>
      </c>
      <c r="J151" s="6"/>
    </row>
    <row r="152" spans="1:10" ht="27.95" customHeight="1">
      <c r="A152" s="3">
        <v>148</v>
      </c>
      <c r="B152" s="3" t="s">
        <v>948</v>
      </c>
      <c r="C152" s="3" t="inlineStr">
        <is>
          <t xml:space="preserve">SH-FM-WI001-02</t>
        </is>
      </c>
      <c r="D152" s="8" t="s">
        <v>244</v>
      </c>
      <c r="E152" s="14" t="inlineStr">
        <is>
          <t xml:space="preserve">SH-WI-001</t>
        </is>
      </c>
      <c r="F152" s="3" t="s">
        <v>47</v>
      </c>
      <c r="G152" s="3" t="s">
        <v>19</v>
      </c>
      <c r="H152" s="3" t="s">
        <v>29</v>
      </c>
      <c r="I152" s="3" t="s">
        <v>950</v>
      </c>
      <c r="J152" s="8" t="s">
        <v>85</v>
      </c>
    </row>
    <row r="153" spans="1:10" ht="27.95" customHeight="1">
      <c r="A153" s="4">
        <v>149</v>
      </c>
      <c r="B153" s="4" t="s">
        <v>948</v>
      </c>
      <c r="C153" s="4" t="s">
        <v>252</v>
      </c>
      <c r="D153" s="6" t="s">
        <v>251</v>
      </c>
      <c r="E153" s="14" t="s">
        <v>956</v>
      </c>
      <c r="F153" s="4" t="s">
        <v>47</v>
      </c>
      <c r="G153" s="4" t="s">
        <v>19</v>
      </c>
      <c r="H153" s="4" t="s">
        <v>29</v>
      </c>
      <c r="I153" s="4" t="s">
        <v>950</v>
      </c>
      <c r="J153" s="6" t="s">
        <v>79</v>
      </c>
    </row>
    <row r="154" spans="1:10" ht="27.95" customHeight="1">
      <c r="A154" s="3">
        <v>150</v>
      </c>
      <c r="B154" s="3" t="s">
        <v>948</v>
      </c>
      <c r="C154" s="3" t="s">
        <v>327</v>
      </c>
      <c r="D154" s="8" t="s">
        <v>326</v>
      </c>
      <c r="E154" s="14" t="s">
        <v>956</v>
      </c>
      <c r="F154" s="3" t="s">
        <v>47</v>
      </c>
      <c r="G154" s="3" t="s">
        <v>19</v>
      </c>
      <c r="H154" s="3" t="s">
        <v>29</v>
      </c>
      <c r="I154" s="3" t="s">
        <v>950</v>
      </c>
      <c r="J154" s="8" t="s">
        <v>79</v>
      </c>
    </row>
    <row r="155" spans="1:10" ht="27.95" customHeight="1">
      <c r="A155" s="4">
        <v>151</v>
      </c>
      <c r="B155" s="4" t="s">
        <v>948</v>
      </c>
      <c r="C155" s="4" t="s">
        <v>353</v>
      </c>
      <c r="D155" s="6" t="s">
        <v>352</v>
      </c>
      <c r="E155" s="14" t="s">
        <v>956</v>
      </c>
      <c r="F155" s="4" t="s">
        <v>47</v>
      </c>
      <c r="G155" s="4" t="s">
        <v>19</v>
      </c>
      <c r="H155" s="4" t="s">
        <v>29</v>
      </c>
      <c r="I155" s="4" t="s">
        <v>950</v>
      </c>
      <c r="J155" s="6"/>
    </row>
    <row r="156" spans="1:10" ht="27.95" customHeight="1">
      <c r="A156" s="3">
        <v>152</v>
      </c>
      <c r="B156" s="3" t="s">
        <v>948</v>
      </c>
      <c r="C156" s="3" t="s">
        <v>725</v>
      </c>
      <c r="D156" s="8" t="s">
        <v>724</v>
      </c>
      <c r="E156" s="14" t="s">
        <v>956</v>
      </c>
      <c r="F156" s="3" t="s">
        <v>51</v>
      </c>
      <c r="G156" s="3" t="s">
        <v>19</v>
      </c>
      <c r="H156" s="3" t="s">
        <v>30</v>
      </c>
      <c r="I156" s="3" t="s">
        <v>950</v>
      </c>
      <c r="J156" s="8" t="s">
        <v>79</v>
      </c>
    </row>
    <row r="157" spans="1:10" ht="27.95" customHeight="1">
      <c r="A157" s="4">
        <v>153</v>
      </c>
      <c r="B157" s="4" t="s">
        <v>948</v>
      </c>
      <c r="C157" s="4" t="s">
        <v>335</v>
      </c>
      <c r="D157" s="6" t="s">
        <v>334</v>
      </c>
      <c r="E157" s="14" t="s">
        <v>957</v>
      </c>
      <c r="F157" s="4" t="s">
        <v>47</v>
      </c>
      <c r="G157" s="4" t="s">
        <v>19</v>
      </c>
      <c r="H157" s="4" t="s">
        <v>29</v>
      </c>
      <c r="I157" s="4" t="s">
        <v>950</v>
      </c>
      <c r="J157" s="6" t="s">
        <v>79</v>
      </c>
    </row>
    <row r="158" spans="1:10" ht="27.95" customHeight="1">
      <c r="A158" s="3">
        <v>154</v>
      </c>
      <c r="B158" s="3" t="s">
        <v>948</v>
      </c>
      <c r="C158" s="3" t="s">
        <v>834</v>
      </c>
      <c r="D158" s="8" t="s">
        <v>833</v>
      </c>
      <c r="E158" s="14" t="s">
        <v>957</v>
      </c>
      <c r="F158" s="3" t="s">
        <v>51</v>
      </c>
      <c r="G158" s="3" t="s">
        <v>19</v>
      </c>
      <c r="H158" s="3" t="s">
        <v>30</v>
      </c>
      <c r="I158" s="3" t="s">
        <v>950</v>
      </c>
      <c r="J158" s="8" t="s">
        <v>79</v>
      </c>
    </row>
    <row r="159" spans="1:10" ht="27.95" customHeight="1">
      <c r="A159" s="4">
        <v>155</v>
      </c>
      <c r="B159" s="4" t="s">
        <v>948</v>
      </c>
      <c r="C159" s="4" t="s">
        <v>858</v>
      </c>
      <c r="D159" s="6" t="s">
        <v>857</v>
      </c>
      <c r="E159" s="14" t="s">
        <v>957</v>
      </c>
      <c r="F159" s="4" t="s">
        <v>51</v>
      </c>
      <c r="G159" s="4" t="s">
        <v>18</v>
      </c>
      <c r="H159" s="4" t="s">
        <v>30</v>
      </c>
      <c r="I159" s="4" t="s">
        <v>950</v>
      </c>
      <c r="J159" s="6" t="s">
        <v>79</v>
      </c>
    </row>
    <row r="160" spans="1:10" ht="27.95" customHeight="1">
      <c r="A160" s="3">
        <v>156</v>
      </c>
      <c r="B160" s="3" t="s">
        <v>948</v>
      </c>
      <c r="C160" s="3" t="s">
        <v>930</v>
      </c>
      <c r="D160" s="8" t="s">
        <v>929</v>
      </c>
      <c r="E160" s="14" t="s">
        <v>957</v>
      </c>
      <c r="F160" s="3" t="s">
        <v>51</v>
      </c>
      <c r="G160" s="3" t="s">
        <v>19</v>
      </c>
      <c r="H160" s="3" t="s">
        <v>30</v>
      </c>
      <c r="I160" s="3" t="s">
        <v>950</v>
      </c>
      <c r="J160" s="8"/>
    </row>
    <row r="161" spans="1:10" ht="27.95" customHeight="1">
      <c r="A161" s="4">
        <v>157</v>
      </c>
      <c r="B161" s="4" t="s">
        <v>948</v>
      </c>
      <c r="C161" s="4" t="s">
        <v>875</v>
      </c>
      <c r="D161" s="6" t="s">
        <v>874</v>
      </c>
      <c r="E161" s="14" t="s">
        <v>958</v>
      </c>
      <c r="F161" s="4" t="s">
        <v>51</v>
      </c>
      <c r="G161" s="4" t="s">
        <v>19</v>
      </c>
      <c r="H161" s="4" t="s">
        <v>30</v>
      </c>
      <c r="I161" s="4" t="s">
        <v>950</v>
      </c>
      <c r="J161" s="6" t="s">
        <v>79</v>
      </c>
    </row>
    <row r="162" spans="1:10" ht="27.95" customHeight="1">
      <c r="A162" s="3">
        <v>158</v>
      </c>
      <c r="B162" s="3" t="s">
        <v>948</v>
      </c>
      <c r="C162" s="3" t="s">
        <v>119</v>
      </c>
      <c r="D162" s="8" t="s">
        <v>118</v>
      </c>
      <c r="E162" s="14" t="s">
        <v>959</v>
      </c>
      <c r="F162" s="3" t="s">
        <v>46</v>
      </c>
      <c r="G162" s="3" t="s">
        <v>18</v>
      </c>
      <c r="H162" s="3" t="s">
        <v>30</v>
      </c>
      <c r="I162" s="3" t="s">
        <v>950</v>
      </c>
      <c r="J162" s="8" t="s">
        <v>79</v>
      </c>
    </row>
    <row r="163" spans="1:10" ht="27.95" customHeight="1">
      <c r="A163" s="4">
        <v>159</v>
      </c>
      <c r="B163" s="4" t="s">
        <v>948</v>
      </c>
      <c r="C163" s="4" t="s">
        <v>396</v>
      </c>
      <c r="D163" s="6" t="s">
        <v>395</v>
      </c>
      <c r="E163" s="14" t="s">
        <v>959</v>
      </c>
      <c r="F163" s="4" t="s">
        <v>48</v>
      </c>
      <c r="G163" s="4" t="s">
        <v>21</v>
      </c>
      <c r="H163" s="4" t="s">
        <v>30</v>
      </c>
      <c r="I163" s="4" t="s">
        <v>950</v>
      </c>
      <c r="J163" s="6" t="s">
        <v>79</v>
      </c>
    </row>
    <row r="164" spans="1:10" ht="27.95" customHeight="1">
      <c r="A164" s="3">
        <v>160</v>
      </c>
      <c r="B164" s="3" t="s">
        <v>948</v>
      </c>
      <c r="C164" s="3" t="inlineStr">
        <is>
          <t xml:space="preserve">SH-FM-WI017-02</t>
        </is>
      </c>
      <c r="D164" s="8" t="s">
        <v>528</v>
      </c>
      <c r="E164" s="14" t="inlineStr">
        <is>
          <t xml:space="preserve">SH-WI-017</t>
        </is>
      </c>
      <c r="F164" s="3" t="s">
        <v>49</v>
      </c>
      <c r="G164" s="3" t="s">
        <v>18</v>
      </c>
      <c r="H164" s="3" t="s">
        <v>30</v>
      </c>
      <c r="I164" s="3" t="s">
        <v>950</v>
      </c>
      <c r="J164" s="8" t="s">
        <v>85</v>
      </c>
    </row>
    <row r="165" spans="1:10" ht="27.95" customHeight="1">
      <c r="A165" s="4">
        <v>161</v>
      </c>
      <c r="B165" s="4" t="s">
        <v>948</v>
      </c>
      <c r="C165" s="4" t="s">
        <v>571</v>
      </c>
      <c r="D165" s="6" t="s">
        <v>570</v>
      </c>
      <c r="E165" s="14" t="s">
        <v>959</v>
      </c>
      <c r="F165" s="4" t="s">
        <v>50</v>
      </c>
      <c r="G165" s="4" t="s">
        <v>18</v>
      </c>
      <c r="H165" s="4" t="s">
        <v>29</v>
      </c>
      <c r="I165" s="4" t="s">
        <v>950</v>
      </c>
      <c r="J165" s="6" t="s">
        <v>79</v>
      </c>
    </row>
    <row r="166" spans="1:10" ht="27.95" customHeight="1">
      <c r="A166" s="3">
        <v>162</v>
      </c>
      <c r="B166" s="3" t="s">
        <v>948</v>
      </c>
      <c r="C166" s="3" t="inlineStr">
        <is>
          <t xml:space="preserve">SH-FM-WI001-05</t>
        </is>
      </c>
      <c r="D166" s="8" t="s">
        <v>574</v>
      </c>
      <c r="E166" s="14" t="inlineStr">
        <is>
          <t xml:space="preserve">SH-WI-001</t>
        </is>
      </c>
      <c r="F166" s="3" t="s">
        <v>50</v>
      </c>
      <c r="G166" s="3" t="s">
        <v>18</v>
      </c>
      <c r="H166" s="3" t="s">
        <v>29</v>
      </c>
      <c r="I166" s="3" t="s">
        <v>950</v>
      </c>
      <c r="J166" s="8" t="s">
        <v>85</v>
      </c>
    </row>
    <row r="167" spans="1:10" ht="27.95" customHeight="1">
      <c r="A167" s="4">
        <v>163</v>
      </c>
      <c r="B167" s="4" t="s">
        <v>948</v>
      </c>
      <c r="C167" s="4" t="s">
        <v>624</v>
      </c>
      <c r="D167" s="6" t="s">
        <v>597</v>
      </c>
      <c r="E167" s="14" t="s">
        <v>959</v>
      </c>
      <c r="F167" s="4" t="s">
        <v>50</v>
      </c>
      <c r="G167" s="4" t="s">
        <v>20</v>
      </c>
      <c r="H167" s="4" t="s">
        <v>30</v>
      </c>
      <c r="I167" s="4" t="s">
        <v>950</v>
      </c>
      <c r="J167" s="6" t="s">
        <v>79</v>
      </c>
    </row>
    <row r="168" spans="1:10" ht="27.95" customHeight="1">
      <c r="A168" s="3">
        <v>164</v>
      </c>
      <c r="B168" s="3" t="s">
        <v>948</v>
      </c>
      <c r="C168" s="3" t="s">
        <v>640</v>
      </c>
      <c r="D168" s="8" t="s">
        <v>639</v>
      </c>
      <c r="E168" s="14" t="s">
        <v>959</v>
      </c>
      <c r="F168" s="3" t="s">
        <v>50</v>
      </c>
      <c r="G168" s="3" t="s">
        <v>20</v>
      </c>
      <c r="H168" s="3" t="s">
        <v>30</v>
      </c>
      <c r="I168" s="3" t="s">
        <v>950</v>
      </c>
      <c r="J168" s="8" t="s">
        <v>79</v>
      </c>
    </row>
    <row r="169" spans="1:10" ht="27.95" customHeight="1">
      <c r="A169" s="4">
        <v>165</v>
      </c>
      <c r="B169" s="4" t="s">
        <v>948</v>
      </c>
      <c r="C169" s="4" t="s">
        <v>887</v>
      </c>
      <c r="D169" s="6" t="s">
        <v>886</v>
      </c>
      <c r="E169" s="14" t="s">
        <v>959</v>
      </c>
      <c r="F169" s="4" t="s">
        <v>51</v>
      </c>
      <c r="G169" s="4" t="s">
        <v>18</v>
      </c>
      <c r="H169" s="4" t="s">
        <v>30</v>
      </c>
      <c r="I169" s="4" t="s">
        <v>950</v>
      </c>
      <c r="J169" s="6" t="s">
        <v>79</v>
      </c>
    </row>
    <row r="170" spans="1:10" ht="27.95" customHeight="1">
      <c r="A170" s="3">
        <v>166</v>
      </c>
      <c r="B170" s="3" t="s">
        <v>948</v>
      </c>
      <c r="C170" s="3" t="s">
        <v>896</v>
      </c>
      <c r="D170" s="8" t="s">
        <v>895</v>
      </c>
      <c r="E170" s="14" t="s">
        <v>959</v>
      </c>
      <c r="F170" s="3" t="s">
        <v>51</v>
      </c>
      <c r="G170" s="3" t="s">
        <v>18</v>
      </c>
      <c r="H170" s="3" t="s">
        <v>30</v>
      </c>
      <c r="I170" s="3" t="s">
        <v>950</v>
      </c>
      <c r="J170" s="8" t="s">
        <v>79</v>
      </c>
    </row>
    <row r="171" spans="1:10" ht="27.95" customHeight="1">
      <c r="A171" s="4">
        <v>167</v>
      </c>
      <c r="B171" s="4" t="s">
        <v>948</v>
      </c>
      <c r="C171" s="4" t="s">
        <v>555</v>
      </c>
      <c r="D171" s="6" t="s">
        <v>554</v>
      </c>
      <c r="E171" s="14" t="s">
        <v>960</v>
      </c>
      <c r="F171" s="4" t="s">
        <v>50</v>
      </c>
      <c r="G171" s="4" t="s">
        <v>18</v>
      </c>
      <c r="H171" s="4" t="s">
        <v>29</v>
      </c>
      <c r="I171" s="4" t="s">
        <v>950</v>
      </c>
      <c r="J171" s="6" t="s">
        <v>79</v>
      </c>
    </row>
    <row r="172" spans="1:10" ht="27.95" customHeight="1">
      <c r="A172" s="3">
        <v>168</v>
      </c>
      <c r="B172" s="3" t="s">
        <v>948</v>
      </c>
      <c r="C172" s="3" t="s">
        <v>580</v>
      </c>
      <c r="D172" s="8" t="s">
        <v>579</v>
      </c>
      <c r="E172" s="14" t="s">
        <v>960</v>
      </c>
      <c r="F172" s="3" t="s">
        <v>50</v>
      </c>
      <c r="G172" s="3" t="s">
        <v>20</v>
      </c>
      <c r="H172" s="3" t="s">
        <v>29</v>
      </c>
      <c r="I172" s="3" t="s">
        <v>950</v>
      </c>
      <c r="J172" s="8"/>
    </row>
    <row r="173" spans="1:10" ht="27.95" customHeight="1">
      <c r="A173" s="4">
        <v>169</v>
      </c>
      <c r="B173" s="4" t="s">
        <v>948</v>
      </c>
      <c r="C173" s="4" t="s">
        <v>588</v>
      </c>
      <c r="D173" s="6" t="s">
        <v>587</v>
      </c>
      <c r="E173" s="14" t="s">
        <v>960</v>
      </c>
      <c r="F173" s="4" t="s">
        <v>50</v>
      </c>
      <c r="G173" s="4" t="s">
        <v>20</v>
      </c>
      <c r="H173" s="4" t="s">
        <v>29</v>
      </c>
      <c r="I173" s="4" t="s">
        <v>950</v>
      </c>
      <c r="J173" s="6" t="s">
        <v>79</v>
      </c>
    </row>
    <row r="174" spans="1:10" ht="27.95" customHeight="1">
      <c r="A174" s="3">
        <v>170</v>
      </c>
      <c r="B174" s="3" t="s">
        <v>948</v>
      </c>
      <c r="C174" s="3" t="s">
        <v>598</v>
      </c>
      <c r="D174" s="8" t="s">
        <v>597</v>
      </c>
      <c r="E174" s="14" t="s">
        <v>960</v>
      </c>
      <c r="F174" s="3" t="s">
        <v>50</v>
      </c>
      <c r="G174" s="3" t="s">
        <v>20</v>
      </c>
      <c r="H174" s="3" t="s">
        <v>29</v>
      </c>
      <c r="I174" s="3" t="s">
        <v>950</v>
      </c>
      <c r="J174" s="8"/>
    </row>
    <row r="175" spans="1:10" ht="27.95" customHeight="1">
      <c r="A175" s="4">
        <v>171</v>
      </c>
      <c r="B175" s="4" t="s">
        <v>948</v>
      </c>
      <c r="C175" s="4" t="s">
        <v>653</v>
      </c>
      <c r="D175" s="6" t="s">
        <v>652</v>
      </c>
      <c r="E175" s="14" t="s">
        <v>960</v>
      </c>
      <c r="F175" s="4" t="s">
        <v>50</v>
      </c>
      <c r="G175" s="4" t="s">
        <v>20</v>
      </c>
      <c r="H175" s="4" t="s">
        <v>30</v>
      </c>
      <c r="I175" s="4" t="s">
        <v>950</v>
      </c>
      <c r="J175" s="6" t="s">
        <v>79</v>
      </c>
    </row>
    <row r="176" spans="1:10" ht="27.95" customHeight="1">
      <c r="A176" s="3">
        <v>172</v>
      </c>
      <c r="B176" s="3" t="s">
        <v>948</v>
      </c>
      <c r="C176" s="3" t="s">
        <v>148</v>
      </c>
      <c r="D176" s="8" t="s">
        <v>147</v>
      </c>
      <c r="E176" s="14" t="s">
        <v>961</v>
      </c>
      <c r="F176" s="3" t="s">
        <v>46</v>
      </c>
      <c r="G176" s="3" t="s">
        <v>18</v>
      </c>
      <c r="H176" s="3" t="s">
        <v>30</v>
      </c>
      <c r="I176" s="3" t="s">
        <v>950</v>
      </c>
      <c r="J176" s="8"/>
    </row>
    <row r="177" spans="1:10" ht="27.95" customHeight="1">
      <c r="A177" s="4">
        <v>173</v>
      </c>
      <c r="B177" s="4" t="s">
        <v>948</v>
      </c>
      <c r="C177" s="4" t="s">
        <v>822</v>
      </c>
      <c r="D177" s="6" t="s">
        <v>821</v>
      </c>
      <c r="E177" s="14" t="s">
        <v>962</v>
      </c>
      <c r="F177" s="4" t="s">
        <v>51</v>
      </c>
      <c r="G177" s="4" t="s">
        <v>19</v>
      </c>
      <c r="H177" s="4" t="s">
        <v>30</v>
      </c>
      <c r="I177" s="4" t="s">
        <v>950</v>
      </c>
      <c r="J177" s="6"/>
    </row>
    <row r="178" spans="1:10" ht="27.95" customHeight="1">
      <c r="A178" s="3">
        <v>174</v>
      </c>
      <c r="B178" s="3" t="s">
        <v>948</v>
      </c>
      <c r="C178" s="3" t="inlineStr">
        <is>
          <t xml:space="preserve">SH-FM-WI004-06</t>
        </is>
      </c>
      <c r="D178" s="8" t="s">
        <v>155</v>
      </c>
      <c r="E178" s="14" t="inlineStr">
        <is>
          <t xml:space="preserve">SH-WI-004</t>
        </is>
      </c>
      <c r="F178" s="3" t="s">
        <v>46</v>
      </c>
      <c r="G178" s="3" t="s">
        <v>18</v>
      </c>
      <c r="H178" s="3" t="s">
        <v>30</v>
      </c>
      <c r="I178" s="3" t="s">
        <v>950</v>
      </c>
      <c r="J178" s="8" t="s">
        <v>85</v>
      </c>
    </row>
    <row r="179" spans="1:10" ht="27.95" customHeight="1">
      <c r="A179" s="4">
        <v>175</v>
      </c>
      <c r="B179" s="4" t="s">
        <v>948</v>
      </c>
      <c r="C179" s="4" t="s">
        <v>293</v>
      </c>
      <c r="D179" s="6" t="s">
        <v>292</v>
      </c>
      <c r="E179" s="14" t="s">
        <v>964</v>
      </c>
      <c r="F179" s="4" t="s">
        <v>47</v>
      </c>
      <c r="G179" s="4" t="s">
        <v>19</v>
      </c>
      <c r="H179" s="4" t="s">
        <v>30</v>
      </c>
      <c r="I179" s="4" t="s">
        <v>950</v>
      </c>
      <c r="J179" s="6" t="s">
        <v>79</v>
      </c>
    </row>
    <row r="180" spans="1:10" ht="27.95" customHeight="1">
      <c r="A180" s="3">
        <v>176</v>
      </c>
      <c r="B180" s="3" t="s">
        <v>948</v>
      </c>
      <c r="C180" s="3" t="s">
        <v>331</v>
      </c>
      <c r="D180" s="8" t="s">
        <v>330</v>
      </c>
      <c r="E180" s="14" t="s">
        <v>964</v>
      </c>
      <c r="F180" s="3" t="s">
        <v>47</v>
      </c>
      <c r="G180" s="3" t="s">
        <v>19</v>
      </c>
      <c r="H180" s="3" t="s">
        <v>29</v>
      </c>
      <c r="I180" s="3" t="s">
        <v>950</v>
      </c>
      <c r="J180" s="8" t="s">
        <v>79</v>
      </c>
    </row>
    <row r="181" spans="1:10" ht="27.95" customHeight="1">
      <c r="A181" s="4">
        <v>177</v>
      </c>
      <c r="B181" s="4" t="s">
        <v>948</v>
      </c>
      <c r="C181" s="4" t="s">
        <v>341</v>
      </c>
      <c r="D181" s="6" t="s">
        <v>330</v>
      </c>
      <c r="E181" s="14" t="s">
        <v>964</v>
      </c>
      <c r="F181" s="4" t="s">
        <v>47</v>
      </c>
      <c r="G181" s="4" t="s">
        <v>19</v>
      </c>
      <c r="H181" s="4" t="s">
        <v>29</v>
      </c>
      <c r="I181" s="4" t="s">
        <v>950</v>
      </c>
      <c r="J181" s="6" t="s">
        <v>79</v>
      </c>
    </row>
    <row r="182" spans="1:10" ht="27.95" customHeight="1">
      <c r="A182" s="3">
        <v>178</v>
      </c>
      <c r="B182" s="3" t="s">
        <v>948</v>
      </c>
      <c r="C182" s="3" t="s">
        <v>345</v>
      </c>
      <c r="D182" s="8" t="s">
        <v>344</v>
      </c>
      <c r="E182" s="14" t="s">
        <v>964</v>
      </c>
      <c r="F182" s="3" t="s">
        <v>47</v>
      </c>
      <c r="G182" s="3" t="s">
        <v>19</v>
      </c>
      <c r="H182" s="3" t="s">
        <v>29</v>
      </c>
      <c r="I182" s="3" t="s">
        <v>950</v>
      </c>
      <c r="J182" s="8" t="s">
        <v>79</v>
      </c>
    </row>
    <row r="183" spans="1:10" ht="27.95" customHeight="1">
      <c r="A183" s="4">
        <v>179</v>
      </c>
      <c r="B183" s="4" t="s">
        <v>948</v>
      </c>
      <c r="C183" s="4" t="s">
        <v>349</v>
      </c>
      <c r="D183" s="6" t="s">
        <v>348</v>
      </c>
      <c r="E183" s="14" t="s">
        <v>964</v>
      </c>
      <c r="F183" s="4" t="s">
        <v>47</v>
      </c>
      <c r="G183" s="4" t="s">
        <v>18</v>
      </c>
      <c r="H183" s="4" t="s">
        <v>29</v>
      </c>
      <c r="I183" s="4" t="s">
        <v>950</v>
      </c>
      <c r="J183" s="6" t="s">
        <v>79</v>
      </c>
    </row>
    <row r="184" spans="1:10" ht="27.95" customHeight="1">
      <c r="A184" s="3">
        <v>180</v>
      </c>
      <c r="B184" s="3" t="s">
        <v>948</v>
      </c>
      <c r="C184" s="3" t="s">
        <v>845</v>
      </c>
      <c r="D184" s="8" t="s">
        <v>844</v>
      </c>
      <c r="E184" s="14" t="s">
        <v>964</v>
      </c>
      <c r="F184" s="3" t="s">
        <v>51</v>
      </c>
      <c r="G184" s="3" t="s">
        <v>18</v>
      </c>
      <c r="H184" s="3" t="s">
        <v>30</v>
      </c>
      <c r="I184" s="3" t="s">
        <v>950</v>
      </c>
      <c r="J184" s="8" t="s">
        <v>79</v>
      </c>
    </row>
    <row r="185" spans="1:10" ht="27.95" customHeight="1">
      <c r="A185" s="4">
        <v>181</v>
      </c>
      <c r="B185" s="4" t="s">
        <v>948</v>
      </c>
      <c r="C185" s="4" t="s">
        <v>160</v>
      </c>
      <c r="D185" s="6" t="s">
        <v>159</v>
      </c>
      <c r="E185" s="14" t="s">
        <v>965</v>
      </c>
      <c r="F185" s="4" t="s">
        <v>46</v>
      </c>
      <c r="G185" s="4" t="s">
        <v>19</v>
      </c>
      <c r="H185" s="4" t="s">
        <v>29</v>
      </c>
      <c r="I185" s="4" t="s">
        <v>950</v>
      </c>
      <c r="J185" s="6" t="s">
        <v>79</v>
      </c>
    </row>
    <row r="186" spans="1:10" ht="27.95" customHeight="1">
      <c r="A186" s="3">
        <v>182</v>
      </c>
      <c r="B186" s="3" t="s">
        <v>948</v>
      </c>
      <c r="C186" s="3" t="s">
        <v>94</v>
      </c>
      <c r="D186" s="8" t="s">
        <v>93</v>
      </c>
      <c r="E186" s="14" t="s">
        <v>966</v>
      </c>
      <c r="F186" s="3" t="s">
        <v>46</v>
      </c>
      <c r="G186" s="3" t="s">
        <v>18</v>
      </c>
      <c r="H186" s="3" t="s">
        <v>30</v>
      </c>
      <c r="I186" s="3" t="s">
        <v>950</v>
      </c>
      <c r="J186" s="8"/>
    </row>
    <row r="187" spans="1:10" ht="27.95" customHeight="1">
      <c r="A187" s="4">
        <v>183</v>
      </c>
      <c r="B187" s="4" t="s">
        <v>948</v>
      </c>
      <c r="C187" s="4" t="s">
        <v>125</v>
      </c>
      <c r="D187" s="6" t="s">
        <v>124</v>
      </c>
      <c r="E187" s="14" t="s">
        <v>966</v>
      </c>
      <c r="F187" s="4" t="s">
        <v>46</v>
      </c>
      <c r="G187" s="4" t="s">
        <v>18</v>
      </c>
      <c r="H187" s="4" t="s">
        <v>30</v>
      </c>
      <c r="I187" s="4" t="s">
        <v>950</v>
      </c>
      <c r="J187" s="6"/>
    </row>
    <row r="188" spans="1:10" ht="27.95" customHeight="1">
      <c r="A188" s="3">
        <v>184</v>
      </c>
      <c r="B188" s="3" t="s">
        <v>948</v>
      </c>
      <c r="C188" s="3" t="s">
        <v>129</v>
      </c>
      <c r="D188" s="8" t="s">
        <v>128</v>
      </c>
      <c r="E188" s="14" t="s">
        <v>966</v>
      </c>
      <c r="F188" s="3" t="s">
        <v>46</v>
      </c>
      <c r="G188" s="3" t="s">
        <v>18</v>
      </c>
      <c r="H188" s="3" t="s">
        <v>30</v>
      </c>
      <c r="I188" s="3" t="s">
        <v>950</v>
      </c>
      <c r="J188" s="8"/>
    </row>
    <row r="189" spans="1:10" ht="27.95" customHeight="1">
      <c r="A189" s="4">
        <v>185</v>
      </c>
      <c r="B189" s="4" t="s">
        <v>948</v>
      </c>
      <c r="C189" s="4" t="s">
        <v>387</v>
      </c>
      <c r="D189" s="6" t="s">
        <v>386</v>
      </c>
      <c r="E189" s="14" t="s">
        <v>966</v>
      </c>
      <c r="F189" s="4" t="s">
        <v>48</v>
      </c>
      <c r="G189" s="4" t="s">
        <v>18</v>
      </c>
      <c r="H189" s="4" t="s">
        <v>29</v>
      </c>
      <c r="I189" s="4" t="s">
        <v>950</v>
      </c>
      <c r="J189" s="6"/>
    </row>
    <row r="190" spans="1:10" ht="27.95" customHeight="1">
      <c r="A190" s="3">
        <v>186</v>
      </c>
      <c r="B190" s="3" t="s">
        <v>948</v>
      </c>
      <c r="C190" s="3" t="s">
        <v>431</v>
      </c>
      <c r="D190" s="8" t="s">
        <v>430</v>
      </c>
      <c r="E190" s="14" t="s">
        <v>966</v>
      </c>
      <c r="F190" s="3" t="s">
        <v>48</v>
      </c>
      <c r="G190" s="3" t="s">
        <v>21</v>
      </c>
      <c r="H190" s="3" t="s">
        <v>30</v>
      </c>
      <c r="I190" s="3" t="s">
        <v>950</v>
      </c>
      <c r="J190" s="8" t="s">
        <v>79</v>
      </c>
    </row>
    <row r="191" spans="1:10" ht="27.95" customHeight="1">
      <c r="A191" s="4">
        <v>187</v>
      </c>
      <c r="B191" s="4" t="s">
        <v>948</v>
      </c>
      <c r="C191" s="4" t="inlineStr">
        <is>
          <t xml:space="preserve">SH-FM-WI027-03</t>
        </is>
      </c>
      <c r="D191" s="6" t="s">
        <v>259</v>
      </c>
      <c r="E191" s="14" t="inlineStr">
        <is>
          <t xml:space="preserve">SH-WI-027</t>
        </is>
      </c>
      <c r="F191" s="4" t="s">
        <v>47</v>
      </c>
      <c r="G191" s="4" t="s">
        <v>19</v>
      </c>
      <c r="H191" s="4" t="s">
        <v>29</v>
      </c>
      <c r="I191" s="4" t="s">
        <v>950</v>
      </c>
      <c r="J191" s="6" t="s">
        <v>85</v>
      </c>
    </row>
    <row r="192" spans="1:10" ht="27.95" customHeight="1">
      <c r="A192" s="3">
        <v>188</v>
      </c>
      <c r="B192" s="3" t="s">
        <v>948</v>
      </c>
      <c r="C192" s="3" t="s">
        <v>275</v>
      </c>
      <c r="D192" s="8" t="s">
        <v>274</v>
      </c>
      <c r="E192" s="14" t="s">
        <v>967</v>
      </c>
      <c r="F192" s="3" t="s">
        <v>47</v>
      </c>
      <c r="G192" s="3" t="s">
        <v>19</v>
      </c>
      <c r="H192" s="3" t="s">
        <v>29</v>
      </c>
      <c r="I192" s="3" t="s">
        <v>950</v>
      </c>
      <c r="J192" s="8" t="s">
        <v>79</v>
      </c>
    </row>
    <row r="193" spans="1:10" ht="27.95" customHeight="1">
      <c r="A193" s="4">
        <v>189</v>
      </c>
      <c r="B193" s="4" t="s">
        <v>948</v>
      </c>
      <c r="C193" s="4" t="s">
        <v>279</v>
      </c>
      <c r="D193" s="6" t="s">
        <v>278</v>
      </c>
      <c r="E193" s="14" t="s">
        <v>967</v>
      </c>
      <c r="F193" s="4" t="s">
        <v>47</v>
      </c>
      <c r="G193" s="4" t="s">
        <v>19</v>
      </c>
      <c r="H193" s="4" t="s">
        <v>30</v>
      </c>
      <c r="I193" s="4" t="s">
        <v>950</v>
      </c>
      <c r="J193" s="6" t="s">
        <v>79</v>
      </c>
    </row>
    <row r="194" spans="1:10" ht="27.95" customHeight="1">
      <c r="A194" s="3">
        <v>190</v>
      </c>
      <c r="B194" s="3" t="s">
        <v>948</v>
      </c>
      <c r="C194" s="3" t="s">
        <v>282</v>
      </c>
      <c r="D194" s="8" t="s">
        <v>281</v>
      </c>
      <c r="E194" s="14" t="s">
        <v>967</v>
      </c>
      <c r="F194" s="3" t="s">
        <v>47</v>
      </c>
      <c r="G194" s="3" t="s">
        <v>19</v>
      </c>
      <c r="H194" s="3" t="s">
        <v>30</v>
      </c>
      <c r="I194" s="3" t="s">
        <v>950</v>
      </c>
      <c r="J194" s="8" t="s">
        <v>79</v>
      </c>
    </row>
    <row r="195" spans="1:10" ht="27.95" customHeight="1">
      <c r="A195" s="4">
        <v>191</v>
      </c>
      <c r="B195" s="4" t="s">
        <v>948</v>
      </c>
      <c r="C195" s="4" t="s">
        <v>285</v>
      </c>
      <c r="D195" s="6" t="s">
        <v>284</v>
      </c>
      <c r="E195" s="14" t="s">
        <v>967</v>
      </c>
      <c r="F195" s="4" t="s">
        <v>47</v>
      </c>
      <c r="G195" s="4" t="s">
        <v>19</v>
      </c>
      <c r="H195" s="4" t="s">
        <v>30</v>
      </c>
      <c r="I195" s="4" t="s">
        <v>950</v>
      </c>
      <c r="J195" s="6" t="s">
        <v>79</v>
      </c>
    </row>
    <row r="196" spans="1:10" ht="27.95" customHeight="1">
      <c r="A196" s="3">
        <v>192</v>
      </c>
      <c r="B196" s="3" t="s">
        <v>948</v>
      </c>
      <c r="C196" s="3" t="s">
        <v>314</v>
      </c>
      <c r="D196" s="8" t="s">
        <v>313</v>
      </c>
      <c r="E196" s="14" t="s">
        <v>967</v>
      </c>
      <c r="F196" s="3" t="s">
        <v>47</v>
      </c>
      <c r="G196" s="3" t="s">
        <v>19</v>
      </c>
      <c r="H196" s="3" t="s">
        <v>30</v>
      </c>
      <c r="I196" s="3" t="s">
        <v>950</v>
      </c>
      <c r="J196" s="8" t="s">
        <v>79</v>
      </c>
    </row>
    <row r="197" spans="1:10" ht="27.95" customHeight="1">
      <c r="A197" s="4">
        <v>193</v>
      </c>
      <c r="B197" s="4" t="s">
        <v>948</v>
      </c>
      <c r="C197" s="4" t="s">
        <v>318</v>
      </c>
      <c r="D197" s="6" t="s">
        <v>317</v>
      </c>
      <c r="E197" s="14" t="s">
        <v>967</v>
      </c>
      <c r="F197" s="4" t="s">
        <v>47</v>
      </c>
      <c r="G197" s="4" t="s">
        <v>19</v>
      </c>
      <c r="H197" s="4" t="s">
        <v>30</v>
      </c>
      <c r="I197" s="4" t="s">
        <v>950</v>
      </c>
      <c r="J197" s="6"/>
    </row>
    <row r="198" spans="1:10" ht="27.95" customHeight="1">
      <c r="A198" s="3">
        <v>194</v>
      </c>
      <c r="B198" s="3" t="s">
        <v>948</v>
      </c>
      <c r="C198" s="3" t="s">
        <v>322</v>
      </c>
      <c r="D198" s="8" t="s">
        <v>321</v>
      </c>
      <c r="E198" s="14" t="s">
        <v>967</v>
      </c>
      <c r="F198" s="3" t="s">
        <v>47</v>
      </c>
      <c r="G198" s="3" t="s">
        <v>19</v>
      </c>
      <c r="H198" s="3" t="s">
        <v>30</v>
      </c>
      <c r="I198" s="3" t="s">
        <v>950</v>
      </c>
      <c r="J198" s="8"/>
    </row>
    <row r="199" spans="1:10" ht="27.95" customHeight="1">
      <c r="A199" s="4">
        <v>195</v>
      </c>
      <c r="B199" s="4" t="s">
        <v>948</v>
      </c>
      <c r="C199" s="4" t="s">
        <v>767</v>
      </c>
      <c r="D199" s="6" t="s">
        <v>766</v>
      </c>
      <c r="E199" s="14" t="s">
        <v>967</v>
      </c>
      <c r="F199" s="4" t="s">
        <v>51</v>
      </c>
      <c r="G199" s="4" t="s">
        <v>19</v>
      </c>
      <c r="H199" s="4" t="s">
        <v>30</v>
      </c>
      <c r="I199" s="4" t="s">
        <v>950</v>
      </c>
      <c r="J199" s="6" t="s">
        <v>79</v>
      </c>
    </row>
    <row r="200" spans="1:10" ht="27.95" customHeight="1">
      <c r="A200" s="3">
        <v>196</v>
      </c>
      <c r="B200" s="3" t="s">
        <v>948</v>
      </c>
      <c r="C200" s="3" t="s">
        <v>288</v>
      </c>
      <c r="D200" s="8" t="s">
        <v>287</v>
      </c>
      <c r="E200" s="14" t="s">
        <v>968</v>
      </c>
      <c r="F200" s="3" t="s">
        <v>47</v>
      </c>
      <c r="G200" s="3" t="s">
        <v>19</v>
      </c>
      <c r="H200" s="3" t="s">
        <v>30</v>
      </c>
      <c r="I200" s="3" t="s">
        <v>950</v>
      </c>
      <c r="J200" s="8" t="s">
        <v>79</v>
      </c>
    </row>
    <row r="201" spans="1:10" ht="27.95" customHeight="1">
      <c r="A201" s="4">
        <v>197</v>
      </c>
      <c r="B201" s="4" t="s">
        <v>948</v>
      </c>
      <c r="C201" s="4" t="s">
        <v>297</v>
      </c>
      <c r="D201" s="6" t="s">
        <v>296</v>
      </c>
      <c r="E201" s="14" t="s">
        <v>968</v>
      </c>
      <c r="F201" s="4" t="s">
        <v>47</v>
      </c>
      <c r="G201" s="4" t="s">
        <v>19</v>
      </c>
      <c r="H201" s="4" t="s">
        <v>30</v>
      </c>
      <c r="I201" s="4" t="s">
        <v>950</v>
      </c>
      <c r="J201" s="6" t="s">
        <v>79</v>
      </c>
    </row>
    <row r="202" spans="1:10" ht="27.95" customHeight="1">
      <c r="A202" s="3">
        <v>198</v>
      </c>
      <c r="B202" s="3" t="s">
        <v>948</v>
      </c>
      <c r="C202" s="3" t="s">
        <v>301</v>
      </c>
      <c r="D202" s="8" t="s">
        <v>300</v>
      </c>
      <c r="E202" s="14" t="s">
        <v>968</v>
      </c>
      <c r="F202" s="3" t="s">
        <v>47</v>
      </c>
      <c r="G202" s="3" t="s">
        <v>19</v>
      </c>
      <c r="H202" s="3" t="s">
        <v>30</v>
      </c>
      <c r="I202" s="3" t="s">
        <v>950</v>
      </c>
      <c r="J202" s="8"/>
    </row>
    <row r="203" spans="1:10" ht="27.95" customHeight="1">
      <c r="A203" s="4">
        <v>199</v>
      </c>
      <c r="B203" s="4" t="s">
        <v>948</v>
      </c>
      <c r="C203" s="4" t="s">
        <v>305</v>
      </c>
      <c r="D203" s="6" t="s">
        <v>304</v>
      </c>
      <c r="E203" s="14" t="s">
        <v>968</v>
      </c>
      <c r="F203" s="4" t="s">
        <v>47</v>
      </c>
      <c r="G203" s="4" t="s">
        <v>19</v>
      </c>
      <c r="H203" s="4" t="s">
        <v>30</v>
      </c>
      <c r="I203" s="4" t="s">
        <v>950</v>
      </c>
      <c r="J203" s="6" t="s">
        <v>79</v>
      </c>
    </row>
    <row r="204" spans="1:10" ht="27.95" customHeight="1">
      <c r="A204" s="3">
        <v>200</v>
      </c>
      <c r="B204" s="3" t="s">
        <v>948</v>
      </c>
      <c r="C204" s="3" t="s">
        <v>309</v>
      </c>
      <c r="D204" s="8" t="s">
        <v>308</v>
      </c>
      <c r="E204" s="14" t="s">
        <v>968</v>
      </c>
      <c r="F204" s="3" t="s">
        <v>47</v>
      </c>
      <c r="G204" s="3" t="s">
        <v>19</v>
      </c>
      <c r="H204" s="3" t="s">
        <v>30</v>
      </c>
      <c r="I204" s="3" t="s">
        <v>950</v>
      </c>
      <c r="J204" s="8"/>
    </row>
    <row r="205" spans="1:10" ht="27.95" customHeight="1">
      <c r="A205" s="4">
        <v>201</v>
      </c>
      <c r="B205" s="4" t="s">
        <v>948</v>
      </c>
      <c r="C205" s="4" t="s">
        <v>426</v>
      </c>
      <c r="D205" s="6" t="s">
        <v>425</v>
      </c>
      <c r="E205" s="14" t="s">
        <v>969</v>
      </c>
      <c r="F205" s="4" t="s">
        <v>48</v>
      </c>
      <c r="G205" s="4" t="s">
        <v>21</v>
      </c>
      <c r="H205" s="4" t="s">
        <v>30</v>
      </c>
      <c r="I205" s="4" t="s">
        <v>950</v>
      </c>
      <c r="J205" s="6" t="s">
        <v>79</v>
      </c>
    </row>
    <row r="206" spans="1:10" ht="27.95" customHeight="1">
      <c r="A206" s="3">
        <v>202</v>
      </c>
      <c r="B206" s="3" t="s">
        <v>948</v>
      </c>
      <c r="C206" s="3" t="s">
        <v>481</v>
      </c>
      <c r="D206" s="8" t="s">
        <v>480</v>
      </c>
      <c r="E206" s="14" t="s">
        <v>969</v>
      </c>
      <c r="F206" s="3" t="s">
        <v>49</v>
      </c>
      <c r="G206" s="3" t="s">
        <v>18</v>
      </c>
      <c r="H206" s="3" t="s">
        <v>29</v>
      </c>
      <c r="I206" s="3" t="s">
        <v>950</v>
      </c>
      <c r="J206" s="8" t="s">
        <v>79</v>
      </c>
    </row>
    <row r="207" spans="1:10" ht="27.95" customHeight="1">
      <c r="A207" s="4">
        <v>203</v>
      </c>
      <c r="B207" s="4" t="s">
        <v>948</v>
      </c>
      <c r="C207" s="4" t="inlineStr">
        <is>
          <t xml:space="preserve">SH-FM-QP021-02</t>
        </is>
      </c>
      <c r="D207" s="6" t="s">
        <v>483</v>
      </c>
      <c r="E207" s="14" t="inlineStr">
        <is>
          <t xml:space="preserve">SH-QP-021</t>
        </is>
      </c>
      <c r="F207" s="4" t="s">
        <v>49</v>
      </c>
      <c r="G207" s="4" t="s">
        <v>18</v>
      </c>
      <c r="H207" s="4" t="s">
        <v>29</v>
      </c>
      <c r="I207" s="4" t="s">
        <v>950</v>
      </c>
      <c r="J207" s="6" t="s">
        <v>85</v>
      </c>
    </row>
    <row r="208" spans="1:10" ht="27.95" customHeight="1">
      <c r="A208" s="3">
        <v>204</v>
      </c>
      <c r="B208" s="3" t="s">
        <v>948</v>
      </c>
      <c r="C208" s="3" t="s">
        <v>487</v>
      </c>
      <c r="D208" s="8" t="s">
        <v>486</v>
      </c>
      <c r="E208" s="14" t="s">
        <v>969</v>
      </c>
      <c r="F208" s="3" t="s">
        <v>49</v>
      </c>
      <c r="G208" s="3" t="s">
        <v>18</v>
      </c>
      <c r="H208" s="3" t="s">
        <v>29</v>
      </c>
      <c r="I208" s="3" t="s">
        <v>950</v>
      </c>
      <c r="J208" s="8" t="s">
        <v>79</v>
      </c>
    </row>
    <row r="209" spans="1:10" ht="27.95" customHeight="1">
      <c r="A209" s="4">
        <v>205</v>
      </c>
      <c r="B209" s="4" t="s">
        <v>948</v>
      </c>
      <c r="C209" s="4" t="s">
        <v>489</v>
      </c>
      <c r="D209" s="6" t="s">
        <v>488</v>
      </c>
      <c r="E209" s="14" t="s">
        <v>969</v>
      </c>
      <c r="F209" s="4" t="s">
        <v>49</v>
      </c>
      <c r="G209" s="4" t="s">
        <v>18</v>
      </c>
      <c r="H209" s="4" t="s">
        <v>29</v>
      </c>
      <c r="I209" s="4" t="s">
        <v>950</v>
      </c>
      <c r="J209" s="6" t="s">
        <v>79</v>
      </c>
    </row>
    <row r="210" spans="1:10" ht="27.95" customHeight="1">
      <c r="A210" s="3">
        <v>206</v>
      </c>
      <c r="B210" s="3" t="s">
        <v>948</v>
      </c>
      <c r="C210" s="3" t="inlineStr">
        <is>
          <t xml:space="preserve">SH-FM-WI001-04</t>
        </is>
      </c>
      <c r="D210" s="8" t="s">
        <v>491</v>
      </c>
      <c r="E210" s="14" t="inlineStr">
        <is>
          <t xml:space="preserve">SH-WI-001</t>
        </is>
      </c>
      <c r="F210" s="3" t="s">
        <v>49</v>
      </c>
      <c r="G210" s="3" t="s">
        <v>18</v>
      </c>
      <c r="H210" s="3" t="s">
        <v>29</v>
      </c>
      <c r="I210" s="3" t="s">
        <v>950</v>
      </c>
      <c r="J210" s="8" t="s">
        <v>85</v>
      </c>
    </row>
    <row r="211" spans="1:10" ht="27.95" customHeight="1">
      <c r="A211" s="4">
        <v>207</v>
      </c>
      <c r="B211" s="4" t="s">
        <v>948</v>
      </c>
      <c r="C211" s="4" t="s">
        <v>495</v>
      </c>
      <c r="D211" s="6" t="s">
        <v>494</v>
      </c>
      <c r="E211" s="14" t="s">
        <v>969</v>
      </c>
      <c r="F211" s="4" t="s">
        <v>49</v>
      </c>
      <c r="G211" s="4" t="s">
        <v>18</v>
      </c>
      <c r="H211" s="4" t="s">
        <v>29</v>
      </c>
      <c r="I211" s="4" t="s">
        <v>950</v>
      </c>
      <c r="J211" s="6" t="s">
        <v>79</v>
      </c>
    </row>
    <row r="212" spans="1:10" ht="27.95" customHeight="1">
      <c r="A212" s="3">
        <v>208</v>
      </c>
      <c r="B212" s="3" t="s">
        <v>948</v>
      </c>
      <c r="C212" s="3" t="s">
        <v>499</v>
      </c>
      <c r="D212" s="8" t="s">
        <v>498</v>
      </c>
      <c r="E212" s="14" t="s">
        <v>969</v>
      </c>
      <c r="F212" s="3" t="s">
        <v>49</v>
      </c>
      <c r="G212" s="3" t="s">
        <v>18</v>
      </c>
      <c r="H212" s="3" t="s">
        <v>29</v>
      </c>
      <c r="I212" s="3" t="s">
        <v>950</v>
      </c>
      <c r="J212" s="8" t="s">
        <v>79</v>
      </c>
    </row>
    <row r="213" spans="1:10" ht="27.95" customHeight="1">
      <c r="A213" s="4">
        <v>209</v>
      </c>
      <c r="B213" s="4" t="s">
        <v>948</v>
      </c>
      <c r="C213" s="4" t="s">
        <v>506</v>
      </c>
      <c r="D213" s="6" t="s">
        <v>505</v>
      </c>
      <c r="E213" s="14" t="s">
        <v>969</v>
      </c>
      <c r="F213" s="4" t="s">
        <v>49</v>
      </c>
      <c r="G213" s="4" t="s">
        <v>18</v>
      </c>
      <c r="H213" s="4" t="s">
        <v>29</v>
      </c>
      <c r="I213" s="4" t="s">
        <v>950</v>
      </c>
      <c r="J213" s="6" t="s">
        <v>79</v>
      </c>
    </row>
    <row r="214" spans="1:10" ht="27.95" customHeight="1">
      <c r="A214" s="3">
        <v>210</v>
      </c>
      <c r="B214" s="3" t="s">
        <v>948</v>
      </c>
      <c r="C214" s="3" t="s">
        <v>509</v>
      </c>
      <c r="D214" s="8" t="s">
        <v>508</v>
      </c>
      <c r="E214" s="14" t="s">
        <v>969</v>
      </c>
      <c r="F214" s="3" t="s">
        <v>49</v>
      </c>
      <c r="G214" s="3" t="s">
        <v>18</v>
      </c>
      <c r="H214" s="3" t="s">
        <v>29</v>
      </c>
      <c r="I214" s="3" t="s">
        <v>950</v>
      </c>
      <c r="J214" s="8" t="s">
        <v>79</v>
      </c>
    </row>
    <row r="215" spans="1:10" ht="27.95" customHeight="1">
      <c r="A215" s="4">
        <v>211</v>
      </c>
      <c r="B215" s="4" t="s">
        <v>948</v>
      </c>
      <c r="C215" s="4" t="s">
        <v>512</v>
      </c>
      <c r="D215" s="6" t="s">
        <v>511</v>
      </c>
      <c r="E215" s="14" t="s">
        <v>969</v>
      </c>
      <c r="F215" s="4" t="s">
        <v>49</v>
      </c>
      <c r="G215" s="4" t="s">
        <v>18</v>
      </c>
      <c r="H215" s="4" t="s">
        <v>29</v>
      </c>
      <c r="I215" s="4" t="s">
        <v>950</v>
      </c>
      <c r="J215" s="6" t="s">
        <v>79</v>
      </c>
    </row>
    <row r="216" spans="1:10" ht="27.95" customHeight="1">
      <c r="A216" s="3">
        <v>212</v>
      </c>
      <c r="B216" s="3" t="s">
        <v>948</v>
      </c>
      <c r="C216" s="3" t="inlineStr">
        <is>
          <t xml:space="preserve">SH-FM-QP023-01</t>
        </is>
      </c>
      <c r="D216" s="8" t="s">
        <v>516</v>
      </c>
      <c r="E216" s="14" t="inlineStr">
        <is>
          <t xml:space="preserve">SH-QP-023</t>
        </is>
      </c>
      <c r="F216" s="3" t="s">
        <v>49</v>
      </c>
      <c r="G216" s="3" t="s">
        <v>22</v>
      </c>
      <c r="H216" s="3" t="s">
        <v>28</v>
      </c>
      <c r="I216" s="3" t="s">
        <v>950</v>
      </c>
      <c r="J216" s="8" t="s">
        <v>85</v>
      </c>
    </row>
    <row r="217" spans="1:10" ht="27.95" customHeight="1">
      <c r="A217" s="4">
        <v>213</v>
      </c>
      <c r="B217" s="4" t="s">
        <v>948</v>
      </c>
      <c r="C217" s="4" t="s">
        <v>521</v>
      </c>
      <c r="D217" s="6" t="s">
        <v>520</v>
      </c>
      <c r="E217" s="14" t="s">
        <v>969</v>
      </c>
      <c r="F217" s="4" t="s">
        <v>49</v>
      </c>
      <c r="G217" s="4" t="s">
        <v>22</v>
      </c>
      <c r="H217" s="4" t="s">
        <v>29</v>
      </c>
      <c r="I217" s="4" t="s">
        <v>950</v>
      </c>
      <c r="J217" s="6"/>
    </row>
    <row r="218" spans="1:10" ht="27.95" customHeight="1">
      <c r="A218" s="3">
        <v>214</v>
      </c>
      <c r="B218" s="3" t="s">
        <v>948</v>
      </c>
      <c r="C218" s="3" t="s">
        <v>526</v>
      </c>
      <c r="D218" s="8" t="s">
        <v>525</v>
      </c>
      <c r="E218" s="14" t="s">
        <v>969</v>
      </c>
      <c r="F218" s="3" t="s">
        <v>49</v>
      </c>
      <c r="G218" s="3" t="s">
        <v>18</v>
      </c>
      <c r="H218" s="3" t="s">
        <v>30</v>
      </c>
      <c r="I218" s="3" t="s">
        <v>950</v>
      </c>
      <c r="J218" s="8" t="s">
        <v>79</v>
      </c>
    </row>
    <row r="219" spans="1:10" ht="27.95" customHeight="1">
      <c r="A219" s="4">
        <v>215</v>
      </c>
      <c r="B219" s="4" t="s">
        <v>948</v>
      </c>
      <c r="C219" s="4" t="inlineStr">
        <is>
          <t xml:space="preserve">SH-FM-WI017-03</t>
        </is>
      </c>
      <c r="D219" s="6" t="s">
        <v>532</v>
      </c>
      <c r="E219" s="14" t="inlineStr">
        <is>
          <t xml:space="preserve">SH-WI-017</t>
        </is>
      </c>
      <c r="F219" s="4" t="s">
        <v>49</v>
      </c>
      <c r="G219" s="4" t="s">
        <v>18</v>
      </c>
      <c r="H219" s="4" t="s">
        <v>30</v>
      </c>
      <c r="I219" s="4" t="s">
        <v>950</v>
      </c>
      <c r="J219" s="6" t="s">
        <v>85</v>
      </c>
    </row>
    <row r="220" spans="1:10" ht="27.95" customHeight="1">
      <c r="A220" s="3">
        <v>216</v>
      </c>
      <c r="B220" s="3" t="s">
        <v>948</v>
      </c>
      <c r="C220" s="3" t="s">
        <v>538</v>
      </c>
      <c r="D220" s="8" t="s">
        <v>537</v>
      </c>
      <c r="E220" s="14" t="s">
        <v>969</v>
      </c>
      <c r="F220" s="3" t="s">
        <v>49</v>
      </c>
      <c r="G220" s="3" t="s">
        <v>18</v>
      </c>
      <c r="H220" s="3" t="s">
        <v>30</v>
      </c>
      <c r="I220" s="3" t="s">
        <v>950</v>
      </c>
      <c r="J220" s="8" t="s">
        <v>79</v>
      </c>
    </row>
    <row r="221" spans="1:10" ht="27.95" customHeight="1">
      <c r="A221" s="4">
        <v>217</v>
      </c>
      <c r="B221" s="4" t="s">
        <v>948</v>
      </c>
      <c r="C221" s="4" t="s">
        <v>541</v>
      </c>
      <c r="D221" s="6" t="s">
        <v>540</v>
      </c>
      <c r="E221" s="14" t="s">
        <v>969</v>
      </c>
      <c r="F221" s="4" t="s">
        <v>49</v>
      </c>
      <c r="G221" s="4" t="s">
        <v>18</v>
      </c>
      <c r="H221" s="4" t="s">
        <v>30</v>
      </c>
      <c r="I221" s="4" t="s">
        <v>950</v>
      </c>
      <c r="J221" s="6" t="s">
        <v>79</v>
      </c>
    </row>
    <row r="222" spans="1:10" ht="27.95" customHeight="1">
      <c r="A222" s="3">
        <v>218</v>
      </c>
      <c r="B222" s="3" t="s">
        <v>948</v>
      </c>
      <c r="C222" s="3" t="s">
        <v>543</v>
      </c>
      <c r="D222" s="8" t="s">
        <v>542</v>
      </c>
      <c r="E222" s="14" t="s">
        <v>969</v>
      </c>
      <c r="F222" s="3" t="s">
        <v>49</v>
      </c>
      <c r="G222" s="3" t="s">
        <v>18</v>
      </c>
      <c r="H222" s="3" t="s">
        <v>30</v>
      </c>
      <c r="I222" s="3" t="s">
        <v>950</v>
      </c>
      <c r="J222" s="8" t="s">
        <v>79</v>
      </c>
    </row>
    <row r="223" spans="1:10" ht="27.95" customHeight="1">
      <c r="A223" s="4">
        <v>219</v>
      </c>
      <c r="B223" s="4" t="s">
        <v>948</v>
      </c>
      <c r="C223" s="4" t="s">
        <v>197</v>
      </c>
      <c r="D223" s="6" t="s">
        <v>196</v>
      </c>
      <c r="E223" s="14" t="s">
        <v>970</v>
      </c>
      <c r="F223" s="4" t="s">
        <v>47</v>
      </c>
      <c r="G223" s="4" t="s">
        <v>20</v>
      </c>
      <c r="H223" s="4" t="s">
        <v>28</v>
      </c>
      <c r="I223" s="4" t="s">
        <v>950</v>
      </c>
      <c r="J223" s="6"/>
    </row>
    <row r="224" spans="1:10" ht="27.95" customHeight="1">
      <c r="A224" s="3">
        <v>220</v>
      </c>
      <c r="B224" s="3" t="s">
        <v>948</v>
      </c>
      <c r="C224" s="3" t="inlineStr">
        <is>
          <t xml:space="preserve">SH-FM-QP018-10</t>
        </is>
      </c>
      <c r="D224" s="8" t="s">
        <v>546</v>
      </c>
      <c r="E224" s="14" t="inlineStr">
        <is>
          <t xml:space="preserve">SH-QP-018</t>
        </is>
      </c>
      <c r="F224" s="3" t="s">
        <v>50</v>
      </c>
      <c r="G224" s="3" t="s">
        <v>20</v>
      </c>
      <c r="H224" s="3" t="s">
        <v>29</v>
      </c>
      <c r="I224" s="3" t="s">
        <v>950</v>
      </c>
      <c r="J224" s="8" t="s">
        <v>85</v>
      </c>
    </row>
    <row r="225" spans="1:10" ht="27.95" customHeight="1">
      <c r="A225" s="4">
        <v>221</v>
      </c>
      <c r="B225" s="4" t="s">
        <v>948</v>
      </c>
      <c r="C225" s="4" t="s">
        <v>584</v>
      </c>
      <c r="D225" s="6" t="s">
        <v>583</v>
      </c>
      <c r="E225" s="14" t="s">
        <v>970</v>
      </c>
      <c r="F225" s="4" t="s">
        <v>50</v>
      </c>
      <c r="G225" s="4" t="s">
        <v>20</v>
      </c>
      <c r="H225" s="4" t="s">
        <v>29</v>
      </c>
      <c r="I225" s="4" t="s">
        <v>950</v>
      </c>
      <c r="J225" s="6" t="s">
        <v>79</v>
      </c>
    </row>
    <row r="226" spans="1:10" ht="27.95" customHeight="1">
      <c r="A226" s="3">
        <v>222</v>
      </c>
      <c r="B226" s="3" t="s">
        <v>948</v>
      </c>
      <c r="C226" s="3" t="s">
        <v>612</v>
      </c>
      <c r="D226" s="8" t="s">
        <v>611</v>
      </c>
      <c r="E226" s="14" t="s">
        <v>970</v>
      </c>
      <c r="F226" s="3" t="s">
        <v>50</v>
      </c>
      <c r="G226" s="3" t="s">
        <v>20</v>
      </c>
      <c r="H226" s="3" t="s">
        <v>30</v>
      </c>
      <c r="I226" s="3" t="s">
        <v>950</v>
      </c>
      <c r="J226" s="8" t="s">
        <v>79</v>
      </c>
    </row>
    <row r="227" spans="1:10" ht="27.95" customHeight="1">
      <c r="A227" s="4">
        <v>223</v>
      </c>
      <c r="B227" s="4" t="s">
        <v>948</v>
      </c>
      <c r="C227" s="4" t="s">
        <v>649</v>
      </c>
      <c r="D227" s="6" t="s">
        <v>648</v>
      </c>
      <c r="E227" s="14" t="s">
        <v>971</v>
      </c>
      <c r="F227" s="4" t="s">
        <v>50</v>
      </c>
      <c r="G227" s="4" t="s">
        <v>20</v>
      </c>
      <c r="H227" s="4" t="s">
        <v>30</v>
      </c>
      <c r="I227" s="4" t="s">
        <v>950</v>
      </c>
      <c r="J227" s="6" t="s">
        <v>79</v>
      </c>
    </row>
    <row r="228" spans="1:10" ht="27.95" customHeight="1">
      <c r="A228" s="3">
        <v>224</v>
      </c>
      <c r="B228" s="3" t="s">
        <v>948</v>
      </c>
      <c r="C228" s="3" t="s">
        <v>152</v>
      </c>
      <c r="D228" s="8" t="s">
        <v>151</v>
      </c>
      <c r="E228" s="14" t="s">
        <v>972</v>
      </c>
      <c r="F228" s="3" t="s">
        <v>46</v>
      </c>
      <c r="G228" s="3" t="s">
        <v>18</v>
      </c>
      <c r="H228" s="3" t="s">
        <v>30</v>
      </c>
      <c r="I228" s="3" t="s">
        <v>950</v>
      </c>
      <c r="J228" s="8"/>
    </row>
    <row r="229" spans="1:10" ht="27.95" customHeight="1">
      <c r="A229" s="4">
        <v>225</v>
      </c>
      <c r="B229" s="4" t="s">
        <v>948</v>
      </c>
      <c r="C229" s="4" t="inlineStr">
        <is>
          <t xml:space="preserve">SH-FM-QP025-01</t>
        </is>
      </c>
      <c r="D229" s="6" t="s">
        <v>102</v>
      </c>
      <c r="E229" s="14" t="inlineStr">
        <is>
          <t xml:space="preserve">SH-QP-025</t>
        </is>
      </c>
      <c r="F229" s="4" t="s">
        <v>46</v>
      </c>
      <c r="G229" s="4" t="s">
        <v>18</v>
      </c>
      <c r="H229" s="4" t="s">
        <v>30</v>
      </c>
      <c r="I229" s="4" t="s">
        <v>950</v>
      </c>
      <c r="J229" s="6" t="s">
        <v>85</v>
      </c>
    </row>
    <row r="230" spans="1:10" ht="27.95" customHeight="1">
      <c r="A230" s="3">
        <v>226</v>
      </c>
      <c r="B230" s="3" t="s">
        <v>948</v>
      </c>
      <c r="C230" s="3" t="s">
        <v>111</v>
      </c>
      <c r="D230" s="8" t="s">
        <v>110</v>
      </c>
      <c r="E230" s="14" t="s">
        <v>973</v>
      </c>
      <c r="F230" s="3" t="s">
        <v>46</v>
      </c>
      <c r="G230" s="3" t="s">
        <v>18</v>
      </c>
      <c r="H230" s="3" t="s">
        <v>30</v>
      </c>
      <c r="I230" s="3" t="s">
        <v>950</v>
      </c>
      <c r="J230" s="8" t="s">
        <v>79</v>
      </c>
    </row>
    <row r="231" spans="1:10" ht="27.95" customHeight="1">
      <c r="A231" s="4">
        <v>227</v>
      </c>
      <c r="B231" s="4" t="s">
        <v>948</v>
      </c>
      <c r="C231" s="4" t="s">
        <v>690</v>
      </c>
      <c r="D231" s="6" t="s">
        <v>689</v>
      </c>
      <c r="E231" s="14" t="s">
        <v>973</v>
      </c>
      <c r="F231" s="4" t="s">
        <v>51</v>
      </c>
      <c r="G231" s="4" t="s">
        <v>18</v>
      </c>
      <c r="H231" s="4" t="s">
        <v>30</v>
      </c>
      <c r="I231" s="4" t="s">
        <v>950</v>
      </c>
      <c r="J231" s="6" t="s">
        <v>79</v>
      </c>
    </row>
    <row r="232" spans="1:10" ht="27.95" customHeight="1">
      <c r="A232" s="3">
        <v>228</v>
      </c>
      <c r="B232" s="3" t="s">
        <v>948</v>
      </c>
      <c r="C232" s="3" t="s">
        <v>645</v>
      </c>
      <c r="D232" s="8" t="s">
        <v>644</v>
      </c>
      <c r="E232" s="14" t="s">
        <v>974</v>
      </c>
      <c r="F232" s="3" t="s">
        <v>50</v>
      </c>
      <c r="G232" s="3" t="s">
        <v>20</v>
      </c>
      <c r="H232" s="3" t="s">
        <v>30</v>
      </c>
      <c r="I232" s="3" t="s">
        <v>950</v>
      </c>
      <c r="J232" s="8" t="s">
        <v>79</v>
      </c>
    </row>
    <row r="233" spans="1:10" ht="27.95" customHeight="1">
      <c r="A233" s="4">
        <v>229</v>
      </c>
      <c r="B233" s="4" t="s">
        <v>948</v>
      </c>
      <c r="C233" s="4" t="inlineStr">
        <is>
          <t xml:space="preserve">SH-FM-WI015-02</t>
        </is>
      </c>
      <c r="D233" s="6" t="s">
        <v>417</v>
      </c>
      <c r="E233" s="14" t="inlineStr">
        <is>
          <t xml:space="preserve">SH-WI-015</t>
        </is>
      </c>
      <c r="F233" s="4" t="s">
        <v>48</v>
      </c>
      <c r="G233" s="4" t="s">
        <v>21</v>
      </c>
      <c r="H233" s="4" t="s">
        <v>30</v>
      </c>
      <c r="I233" s="4" t="s">
        <v>950</v>
      </c>
      <c r="J233" s="6" t="s">
        <v>85</v>
      </c>
    </row>
    <row r="234" spans="1:10" ht="27.95" customHeight="1">
      <c r="A234" s="3">
        <v>230</v>
      </c>
      <c r="B234" s="3" t="s">
        <v>948</v>
      </c>
      <c r="C234" s="3" t="s">
        <v>883</v>
      </c>
      <c r="D234" s="8" t="s">
        <v>882</v>
      </c>
      <c r="E234" s="14" t="s">
        <v>975</v>
      </c>
      <c r="F234" s="3" t="s">
        <v>51</v>
      </c>
      <c r="G234" s="3" t="s">
        <v>18</v>
      </c>
      <c r="H234" s="3" t="s">
        <v>30</v>
      </c>
      <c r="I234" s="3" t="s">
        <v>950</v>
      </c>
      <c r="J234" s="8" t="s">
        <v>79</v>
      </c>
    </row>
    <row r="235" spans="1:10" ht="27.95" customHeight="1">
      <c r="A235" s="4">
        <v>231</v>
      </c>
      <c r="B235" s="4" t="s">
        <v>948</v>
      </c>
      <c r="C235" s="4" t="s">
        <v>892</v>
      </c>
      <c r="D235" s="6" t="s">
        <v>891</v>
      </c>
      <c r="E235" s="14" t="s">
        <v>975</v>
      </c>
      <c r="F235" s="4" t="s">
        <v>51</v>
      </c>
      <c r="G235" s="4" t="s">
        <v>18</v>
      </c>
      <c r="H235" s="4" t="s">
        <v>30</v>
      </c>
      <c r="I235" s="4" t="s">
        <v>950</v>
      </c>
      <c r="J235" s="6"/>
    </row>
    <row r="236" spans="1:10" ht="27.95" customHeight="1">
      <c r="A236" s="3">
        <v>232</v>
      </c>
      <c r="B236" s="3" t="s">
        <v>948</v>
      </c>
      <c r="C236" s="3" t="s">
        <v>900</v>
      </c>
      <c r="D236" s="8" t="s">
        <v>899</v>
      </c>
      <c r="E236" s="14" t="s">
        <v>975</v>
      </c>
      <c r="F236" s="3" t="s">
        <v>51</v>
      </c>
      <c r="G236" s="3" t="s">
        <v>18</v>
      </c>
      <c r="H236" s="3" t="s">
        <v>30</v>
      </c>
      <c r="I236" s="3" t="s">
        <v>950</v>
      </c>
      <c r="J236" s="8"/>
    </row>
    <row r="237" spans="1:10" ht="27.95" customHeight="1">
      <c r="A237" s="4">
        <v>233</v>
      </c>
      <c r="B237" s="4" t="s">
        <v>948</v>
      </c>
      <c r="C237" s="4" t="s">
        <v>904</v>
      </c>
      <c r="D237" s="6" t="s">
        <v>903</v>
      </c>
      <c r="E237" s="14" t="s">
        <v>975</v>
      </c>
      <c r="F237" s="4" t="s">
        <v>51</v>
      </c>
      <c r="G237" s="4" t="s">
        <v>19</v>
      </c>
      <c r="H237" s="4" t="s">
        <v>30</v>
      </c>
      <c r="I237" s="4" t="s">
        <v>950</v>
      </c>
      <c r="J237" s="6"/>
    </row>
    <row r="238" spans="1:10" ht="27.95" customHeight="1">
      <c r="A238" s="3">
        <v>234</v>
      </c>
      <c r="B238" s="3" t="s">
        <v>948</v>
      </c>
      <c r="C238" s="3" t="s">
        <v>107</v>
      </c>
      <c r="D238" s="8" t="s">
        <v>106</v>
      </c>
      <c r="E238" s="14" t="s">
        <v>976</v>
      </c>
      <c r="F238" s="3" t="s">
        <v>46</v>
      </c>
      <c r="G238" s="3" t="s">
        <v>23</v>
      </c>
      <c r="H238" s="3" t="s">
        <v>30</v>
      </c>
      <c r="I238" s="3" t="s">
        <v>950</v>
      </c>
      <c r="J238" s="8" t="s">
        <v>79</v>
      </c>
    </row>
    <row r="239" spans="1:10" ht="27.95" customHeight="1">
      <c r="A239" s="4">
        <v>235</v>
      </c>
      <c r="B239" s="4" t="s">
        <v>948</v>
      </c>
      <c r="C239" s="4" t="s">
        <v>213</v>
      </c>
      <c r="D239" s="6" t="s">
        <v>212</v>
      </c>
      <c r="E239" s="14" t="s">
        <v>977</v>
      </c>
      <c r="F239" s="4" t="s">
        <v>47</v>
      </c>
      <c r="G239" s="4" t="s">
        <v>20</v>
      </c>
      <c r="H239" s="4" t="s">
        <v>29</v>
      </c>
      <c r="I239" s="4" t="s">
        <v>950</v>
      </c>
      <c r="J239" s="6" t="s">
        <v>79</v>
      </c>
    </row>
    <row r="240" spans="1:10" ht="27.95" customHeight="1">
      <c r="A240" s="3">
        <v>236</v>
      </c>
      <c r="B240" s="3" t="s">
        <v>948</v>
      </c>
      <c r="C240" s="3" t="s">
        <v>217</v>
      </c>
      <c r="D240" s="8" t="s">
        <v>216</v>
      </c>
      <c r="E240" s="14" t="s">
        <v>977</v>
      </c>
      <c r="F240" s="3" t="s">
        <v>47</v>
      </c>
      <c r="G240" s="3" t="s">
        <v>20</v>
      </c>
      <c r="H240" s="3" t="s">
        <v>29</v>
      </c>
      <c r="I240" s="3" t="s">
        <v>950</v>
      </c>
      <c r="J240" s="8"/>
    </row>
    <row r="241" spans="1:10" ht="27.95" customHeight="1">
      <c r="A241" s="4">
        <v>237</v>
      </c>
      <c r="B241" s="4" t="s">
        <v>948</v>
      </c>
      <c r="C241" s="4" t="s">
        <v>601</v>
      </c>
      <c r="D241" s="6" t="s">
        <v>600</v>
      </c>
      <c r="E241" s="14" t="s">
        <v>978</v>
      </c>
      <c r="F241" s="4" t="s">
        <v>50</v>
      </c>
      <c r="G241" s="4" t="s">
        <v>20</v>
      </c>
      <c r="H241" s="4" t="s">
        <v>29</v>
      </c>
      <c r="I241" s="4" t="s">
        <v>950</v>
      </c>
      <c r="J241" s="6"/>
    </row>
    <row r="242" spans="1:10" ht="27.95" customHeight="1">
      <c r="A242" s="3">
        <v>238</v>
      </c>
      <c r="B242" s="3" t="s">
        <v>948</v>
      </c>
      <c r="C242" s="3" t="s">
        <v>604</v>
      </c>
      <c r="D242" s="8" t="s">
        <v>603</v>
      </c>
      <c r="E242" s="14" t="s">
        <v>978</v>
      </c>
      <c r="F242" s="3" t="s">
        <v>50</v>
      </c>
      <c r="G242" s="3" t="s">
        <v>20</v>
      </c>
      <c r="H242" s="3" t="s">
        <v>30</v>
      </c>
      <c r="I242" s="3" t="s">
        <v>950</v>
      </c>
      <c r="J242" s="8"/>
    </row>
    <row r="243" spans="1:10" ht="27.95" customHeight="1">
      <c r="A243" s="4">
        <v>239</v>
      </c>
      <c r="B243" s="4" t="s">
        <v>948</v>
      </c>
      <c r="C243" s="4" t="s">
        <v>627</v>
      </c>
      <c r="D243" s="6" t="s">
        <v>603</v>
      </c>
      <c r="E243" s="14" t="s">
        <v>978</v>
      </c>
      <c r="F243" s="4" t="s">
        <v>50</v>
      </c>
      <c r="G243" s="4" t="s">
        <v>20</v>
      </c>
      <c r="H243" s="4" t="s">
        <v>30</v>
      </c>
      <c r="I243" s="4" t="s">
        <v>950</v>
      </c>
      <c r="J243" s="6"/>
    </row>
    <row r="244" spans="1:10" ht="27.95" customHeight="1">
      <c r="A244" s="3">
        <v>240</v>
      </c>
      <c r="B244" s="3" t="s">
        <v>948</v>
      </c>
      <c r="C244" s="3" t="s">
        <v>705</v>
      </c>
      <c r="D244" s="8" t="s">
        <v>704</v>
      </c>
      <c r="E244" s="14" t="s">
        <v>979</v>
      </c>
      <c r="F244" s="3" t="s">
        <v>51</v>
      </c>
      <c r="G244" s="3" t="s">
        <v>19</v>
      </c>
      <c r="H244" s="3" t="s">
        <v>30</v>
      </c>
      <c r="I244" s="3" t="s">
        <v>950</v>
      </c>
      <c r="J244" s="8" t="s">
        <v>79</v>
      </c>
    </row>
  </sheetData>
  <autoFilter ref="A4:J244" xr:uid="{00000000-0009-0000-0000-000004000000}"/>
  <mergeCells count="3">
    <mergeCell ref="A1:J1"/>
    <mergeCell ref="A3:J3"/>
    <mergeCell ref="A2:J2"/>
  </mergeCells>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3"/>
  <sheetViews>
    <sheetView showGridLines="0" workbookViewId="0">
      <pane ySplit="4" topLeftCell="A5" activePane="bottomLeft" state="frozen"/>
      <selection pane="bottomLeft" sqref="A1:N1"/>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980</v>
      </c>
      <c r="B1" s="25"/>
      <c r="C1" s="25"/>
      <c r="D1" s="25"/>
      <c r="E1" s="25"/>
      <c r="F1" s="25"/>
      <c r="G1" s="25"/>
      <c r="H1" s="25"/>
      <c r="I1" s="25"/>
      <c r="J1" s="25"/>
      <c r="K1" s="25"/>
      <c r="L1" s="25"/>
      <c r="M1" s="25"/>
      <c r="N1" s="25"/>
    </row>
    <row r="2" spans="1:14" ht="15.95" customHeight="1">
      <c r="A2" s="27" t="s">
        <v>981</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165</v>
      </c>
      <c r="C5" s="4" t="s">
        <v>166</v>
      </c>
      <c r="D5" s="6"/>
      <c r="E5" s="6" t="s">
        <v>171</v>
      </c>
      <c r="F5" s="4" t="s">
        <v>172</v>
      </c>
      <c r="G5" s="4" t="s">
        <v>89</v>
      </c>
      <c r="H5" s="4" t="s">
        <v>18</v>
      </c>
      <c r="I5" s="4"/>
      <c r="J5" s="10" t="s">
        <v>134</v>
      </c>
      <c r="K5" s="6"/>
      <c r="L5" s="4" t="s">
        <v>27</v>
      </c>
      <c r="M5" s="4"/>
      <c r="N5" s="6"/>
    </row>
    <row r="6" spans="1:14" ht="30" customHeight="1">
      <c r="A6" s="3">
        <v>2</v>
      </c>
      <c r="B6" s="3" t="s">
        <v>165</v>
      </c>
      <c r="C6" s="3" t="s">
        <v>166</v>
      </c>
      <c r="D6" s="8"/>
      <c r="E6" s="8" t="s">
        <v>173</v>
      </c>
      <c r="F6" s="3" t="inlineStr">
        <is>
          <t xml:space="preserve">SH-FM-WI001-01</t>
        </is>
      </c>
      <c r="G6" s="3"/>
      <c r="H6" s="3" t="s">
        <v>23</v>
      </c>
      <c r="I6" s="3"/>
      <c r="J6" s="7" t="inlineStr">
        <is>
          <t xml:space="preserve">기존 절차 연계</t>
        </is>
      </c>
      <c r="K6" s="8" t="inlineStr">
        <is>
          <t xml:space="preserve">SH-WI-001(생산 작업준비 및 초품확인 표준)  [확정 2026-09-22: 신규 발견 연계 채택(ratio=0.72) — 품질경영담당 일괄판단, 부서 정식회신 생략]</t>
        </is>
      </c>
      <c r="L6" s="3" t="s">
        <v>27</v>
      </c>
      <c r="M6" s="3"/>
      <c r="N6" s="8" t="s">
        <v>138</v>
      </c>
    </row>
    <row r="7" spans="1:14" ht="30" customHeight="1">
      <c r="A7" s="4">
        <v>3</v>
      </c>
      <c r="B7" s="4" t="s">
        <v>165</v>
      </c>
      <c r="C7" s="4" t="s">
        <v>166</v>
      </c>
      <c r="D7" s="6"/>
      <c r="E7" s="6" t="s">
        <v>176</v>
      </c>
      <c r="F7" s="4" t="inlineStr">
        <is>
          <t xml:space="preserve">SH-FM-QP003-05</t>
        </is>
      </c>
      <c r="G7" s="4" t="s">
        <v>89</v>
      </c>
      <c r="H7" s="4" t="s">
        <v>21</v>
      </c>
      <c r="I7" s="4" t="s">
        <v>178</v>
      </c>
      <c r="J7" s="7" t="inlineStr">
        <is>
          <t xml:space="preserve">기존 절차 연계</t>
        </is>
      </c>
      <c r="K7" s="6" t="inlineStr">
        <is>
          <t xml:space="preserve">SH-QP-003(기록관리 절차서)  [확정 2026-09-22: 신규 발견 연계 채택(ratio=0.59) — 품질경영담당 일괄판단, 부서 정식회신 생략]</t>
        </is>
      </c>
      <c r="L7" s="4" t="s">
        <v>27</v>
      </c>
      <c r="M7" s="4"/>
      <c r="N7" s="6" t="s">
        <v>138</v>
      </c>
    </row>
    <row r="8" spans="1:14" ht="30" customHeight="1">
      <c r="A8" s="3">
        <v>4</v>
      </c>
      <c r="B8" s="3" t="s">
        <v>165</v>
      </c>
      <c r="C8" s="3" t="s">
        <v>166</v>
      </c>
      <c r="D8" s="8"/>
      <c r="E8" s="8" t="s">
        <v>180</v>
      </c>
      <c r="F8" s="3" t="inlineStr">
        <is>
          <t xml:space="preserve">SH-FM-QP003-06</t>
        </is>
      </c>
      <c r="G8" s="3" t="s">
        <v>89</v>
      </c>
      <c r="H8" s="3" t="s">
        <v>21</v>
      </c>
      <c r="I8" s="3"/>
      <c r="J8" s="7" t="inlineStr">
        <is>
          <t xml:space="preserve">기존 절차 연계</t>
        </is>
      </c>
      <c r="K8" s="8" t="inlineStr">
        <is>
          <t xml:space="preserve">SH-QP-003(기록관리 절차서)  [확정 2026-09-22: 신규 발견 연계 채택(ratio=0.82) — 품질경영담당 일괄판단, 부서 정식회신 생략]</t>
        </is>
      </c>
      <c r="L8" s="3" t="s">
        <v>27</v>
      </c>
      <c r="M8" s="3"/>
      <c r="N8" s="8" t="s">
        <v>138</v>
      </c>
    </row>
    <row r="9" spans="1:14" ht="30" customHeight="1">
      <c r="A9" s="4">
        <v>5</v>
      </c>
      <c r="B9" s="4" t="s">
        <v>165</v>
      </c>
      <c r="C9" s="4" t="s">
        <v>166</v>
      </c>
      <c r="D9" s="6"/>
      <c r="E9" s="6" t="s">
        <v>183</v>
      </c>
      <c r="F9" s="4" t="s">
        <v>184</v>
      </c>
      <c r="G9" s="4"/>
      <c r="H9" s="4" t="s">
        <v>21</v>
      </c>
      <c r="I9" s="4"/>
      <c r="J9" s="10" t="s">
        <v>134</v>
      </c>
      <c r="K9" s="6"/>
      <c r="L9" s="4" t="s">
        <v>27</v>
      </c>
      <c r="M9" s="4"/>
      <c r="N9" s="6"/>
    </row>
    <row r="10" spans="1:14" ht="30" customHeight="1">
      <c r="A10" s="3">
        <v>6</v>
      </c>
      <c r="B10" s="3" t="s">
        <v>165</v>
      </c>
      <c r="C10" s="3" t="s">
        <v>166</v>
      </c>
      <c r="D10" s="8"/>
      <c r="E10" s="8" t="s">
        <v>185</v>
      </c>
      <c r="F10" s="3" t="s">
        <v>186</v>
      </c>
      <c r="G10" s="3"/>
      <c r="H10" s="3" t="s">
        <v>23</v>
      </c>
      <c r="I10" s="3"/>
      <c r="J10" s="10" t="s">
        <v>134</v>
      </c>
      <c r="K10" s="8"/>
      <c r="L10" s="3" t="s">
        <v>27</v>
      </c>
      <c r="M10" s="3"/>
      <c r="N10" s="8"/>
    </row>
    <row r="11" spans="1:14" ht="30" customHeight="1">
      <c r="A11" s="4">
        <v>7</v>
      </c>
      <c r="B11" s="4" t="s">
        <v>165</v>
      </c>
      <c r="C11" s="4" t="s">
        <v>166</v>
      </c>
      <c r="D11" s="6"/>
      <c r="E11" s="6" t="s">
        <v>187</v>
      </c>
      <c r="F11" s="4" t="s">
        <v>188</v>
      </c>
      <c r="G11" s="4"/>
      <c r="H11" s="4" t="s">
        <v>21</v>
      </c>
      <c r="I11" s="4" t="s">
        <v>178</v>
      </c>
      <c r="J11" s="10" t="s">
        <v>134</v>
      </c>
      <c r="K11" s="6"/>
      <c r="L11" s="4" t="s">
        <v>27</v>
      </c>
      <c r="M11" s="4"/>
      <c r="N11" s="6"/>
    </row>
    <row r="12" spans="1:14" ht="30" customHeight="1">
      <c r="A12" s="3">
        <v>8</v>
      </c>
      <c r="B12" s="3" t="s">
        <v>165</v>
      </c>
      <c r="C12" s="3" t="s">
        <v>166</v>
      </c>
      <c r="D12" s="8" t="s">
        <v>167</v>
      </c>
      <c r="E12" s="8" t="s">
        <v>168</v>
      </c>
      <c r="F12" s="3" t="s">
        <v>169</v>
      </c>
      <c r="G12" s="3" t="s">
        <v>89</v>
      </c>
      <c r="H12" s="3" t="s">
        <v>18</v>
      </c>
      <c r="I12" s="3" t="s">
        <v>90</v>
      </c>
      <c r="J12" s="7" t="s">
        <v>77</v>
      </c>
      <c r="K12" s="8" t="s">
        <v>170</v>
      </c>
      <c r="L12" s="3" t="s">
        <v>29</v>
      </c>
      <c r="M12" s="3"/>
      <c r="N12" s="8" t="s">
        <v>79</v>
      </c>
    </row>
    <row r="13" spans="1:14" ht="30" customHeight="1">
      <c r="A13" s="4">
        <v>9</v>
      </c>
      <c r="B13" s="4" t="s">
        <v>142</v>
      </c>
      <c r="C13" s="4" t="s">
        <v>72</v>
      </c>
      <c r="D13" s="6" t="s">
        <v>162</v>
      </c>
      <c r="E13" s="6" t="s">
        <v>163</v>
      </c>
      <c r="F13" s="4" t="s">
        <v>164</v>
      </c>
      <c r="G13" s="4"/>
      <c r="H13" s="4" t="s">
        <v>19</v>
      </c>
      <c r="I13" s="4"/>
      <c r="J13" s="10" t="s">
        <v>134</v>
      </c>
      <c r="K13" s="6"/>
      <c r="L13" s="4" t="s">
        <v>27</v>
      </c>
      <c r="M13" s="4"/>
      <c r="N13" s="6"/>
    </row>
    <row r="14" spans="1:14" ht="30" customHeight="1">
      <c r="A14" s="3">
        <v>10</v>
      </c>
      <c r="B14" s="3" t="s">
        <v>142</v>
      </c>
      <c r="C14" s="3" t="s">
        <v>72</v>
      </c>
      <c r="D14" s="8" t="s">
        <v>143</v>
      </c>
      <c r="E14" s="8" t="s">
        <v>144</v>
      </c>
      <c r="F14" s="3" t="s">
        <v>145</v>
      </c>
      <c r="G14" s="3"/>
      <c r="H14" s="3" t="s">
        <v>18</v>
      </c>
      <c r="I14" s="3" t="s">
        <v>90</v>
      </c>
      <c r="J14" s="10" t="s">
        <v>134</v>
      </c>
      <c r="K14" s="8"/>
      <c r="L14" s="3" t="s">
        <v>28</v>
      </c>
      <c r="M14" s="3"/>
      <c r="N14" s="8"/>
    </row>
    <row r="15" spans="1:14" ht="30" customHeight="1">
      <c r="A15" s="4">
        <v>11</v>
      </c>
      <c r="B15" s="4" t="s">
        <v>71</v>
      </c>
      <c r="C15" s="4" t="s">
        <v>72</v>
      </c>
      <c r="D15" s="6" t="s">
        <v>73</v>
      </c>
      <c r="E15" s="6" t="s">
        <v>74</v>
      </c>
      <c r="F15" s="4" t="s">
        <v>75</v>
      </c>
      <c r="G15" s="4"/>
      <c r="H15" s="4" t="s">
        <v>19</v>
      </c>
      <c r="I15" s="4" t="s">
        <v>76</v>
      </c>
      <c r="J15" s="7" t="s">
        <v>77</v>
      </c>
      <c r="K15" s="6" t="s">
        <v>78</v>
      </c>
      <c r="L15" s="4" t="s">
        <v>29</v>
      </c>
      <c r="M15" s="4"/>
      <c r="N15" s="6" t="s">
        <v>79</v>
      </c>
    </row>
    <row r="16" spans="1:14" ht="30" customHeight="1">
      <c r="A16" s="3">
        <v>12</v>
      </c>
      <c r="B16" s="3" t="s">
        <v>71</v>
      </c>
      <c r="C16" s="3" t="s">
        <v>72</v>
      </c>
      <c r="D16" s="8" t="s">
        <v>80</v>
      </c>
      <c r="E16" s="8" t="s">
        <v>81</v>
      </c>
      <c r="F16" s="3" t="inlineStr">
        <is>
          <t xml:space="preserve">SH-FM-WI022-01</t>
        </is>
      </c>
      <c r="G16" s="3"/>
      <c r="H16" s="3" t="s">
        <v>19</v>
      </c>
      <c r="I16" s="3" t="s">
        <v>76</v>
      </c>
      <c r="J16" s="7" t="inlineStr">
        <is>
          <t xml:space="preserve">기존 절차 연계</t>
        </is>
      </c>
      <c r="K16" s="8" t="inlineStr">
        <is>
          <t xml:space="preserve">SH-WI-022(변경 초기유동 및 강화검사 작업표준)  [확정 2026-09-22: 기존 추정 SH-QP-010(ratio=0.34) 대비 대안 채택(ratio=0.69) — 품질경영담당 일괄판단, 부서 정식회신 생략]</t>
        </is>
      </c>
      <c r="L16" s="3" t="s">
        <v>29</v>
      </c>
      <c r="M16" s="3"/>
      <c r="N16" s="8" t="s">
        <v>85</v>
      </c>
    </row>
    <row r="17" spans="1:14" ht="30" customHeight="1">
      <c r="A17" s="4">
        <v>13</v>
      </c>
      <c r="B17" s="4" t="s">
        <v>71</v>
      </c>
      <c r="C17" s="4" t="s">
        <v>72</v>
      </c>
      <c r="D17" s="6" t="s">
        <v>96</v>
      </c>
      <c r="E17" s="6" t="s">
        <v>97</v>
      </c>
      <c r="F17" s="4" t="s">
        <v>98</v>
      </c>
      <c r="G17" s="4"/>
      <c r="H17" s="4" t="s">
        <v>19</v>
      </c>
      <c r="I17" s="4" t="s">
        <v>76</v>
      </c>
      <c r="J17" s="7" t="s">
        <v>77</v>
      </c>
      <c r="K17" s="6" t="s">
        <v>99</v>
      </c>
      <c r="L17" s="4" t="s">
        <v>29</v>
      </c>
      <c r="M17" s="4"/>
      <c r="N17" s="6" t="s">
        <v>79</v>
      </c>
    </row>
    <row r="18" spans="1:14" ht="30" customHeight="1">
      <c r="A18" s="3">
        <v>14</v>
      </c>
      <c r="B18" s="3" t="s">
        <v>100</v>
      </c>
      <c r="C18" s="3" t="s">
        <v>72</v>
      </c>
      <c r="D18" s="8" t="s">
        <v>113</v>
      </c>
      <c r="E18" s="8" t="s">
        <v>114</v>
      </c>
      <c r="F18" s="3" t="inlineStr">
        <is>
          <t xml:space="preserve">SH-FM-WI020-02</t>
        </is>
      </c>
      <c r="G18" s="3" t="s">
        <v>89</v>
      </c>
      <c r="H18" s="3" t="s">
        <v>19</v>
      </c>
      <c r="I18" s="3" t="s">
        <v>76</v>
      </c>
      <c r="J18" s="7" t="inlineStr">
        <is>
          <t xml:space="preserve">기존 절차 연계</t>
        </is>
      </c>
      <c r="K18" s="8" t="inlineStr">
        <is>
          <t xml:space="preserve">SH-WI-020(비상상황 생산복구 작업표준)  [확정 2026-09-22: 기존 추정 SH-QP-003(ratio=0.05) 대비 대안 채택(ratio=0.79) — 품질경영담당 일괄판단, 부서 정식회신 생략]</t>
        </is>
      </c>
      <c r="L18" s="3" t="s">
        <v>29</v>
      </c>
      <c r="M18" s="3"/>
      <c r="N18" s="8" t="s">
        <v>85</v>
      </c>
    </row>
    <row r="19" spans="1:14" ht="30" customHeight="1">
      <c r="A19" s="4">
        <v>15</v>
      </c>
      <c r="B19" s="4" t="s">
        <v>142</v>
      </c>
      <c r="C19" s="4" t="s">
        <v>72</v>
      </c>
      <c r="D19" s="6" t="s">
        <v>158</v>
      </c>
      <c r="E19" s="6" t="s">
        <v>159</v>
      </c>
      <c r="F19" s="4" t="s">
        <v>160</v>
      </c>
      <c r="G19" s="4"/>
      <c r="H19" s="4" t="s">
        <v>19</v>
      </c>
      <c r="I19" s="4" t="s">
        <v>76</v>
      </c>
      <c r="J19" s="7" t="s">
        <v>77</v>
      </c>
      <c r="K19" s="6" t="s">
        <v>161</v>
      </c>
      <c r="L19" s="4" t="s">
        <v>29</v>
      </c>
      <c r="M19" s="4"/>
      <c r="N19" s="6" t="s">
        <v>79</v>
      </c>
    </row>
    <row r="20" spans="1:14" ht="30" customHeight="1">
      <c r="A20" s="3">
        <v>16</v>
      </c>
      <c r="B20" s="3" t="s">
        <v>71</v>
      </c>
      <c r="C20" s="3" t="s">
        <v>72</v>
      </c>
      <c r="D20" s="8" t="s">
        <v>86</v>
      </c>
      <c r="E20" s="8" t="s">
        <v>87</v>
      </c>
      <c r="F20" s="3" t="s">
        <v>88</v>
      </c>
      <c r="G20" s="3" t="s">
        <v>89</v>
      </c>
      <c r="H20" s="3" t="s">
        <v>18</v>
      </c>
      <c r="I20" s="3" t="s">
        <v>90</v>
      </c>
      <c r="J20" s="7" t="s">
        <v>77</v>
      </c>
      <c r="K20" s="8" t="s">
        <v>91</v>
      </c>
      <c r="L20" s="3" t="s">
        <v>30</v>
      </c>
      <c r="M20" s="3"/>
      <c r="N20" s="8" t="s">
        <v>79</v>
      </c>
    </row>
    <row r="21" spans="1:14" ht="30" customHeight="1">
      <c r="A21" s="4">
        <v>17</v>
      </c>
      <c r="B21" s="4" t="s">
        <v>71</v>
      </c>
      <c r="C21" s="4" t="s">
        <v>72</v>
      </c>
      <c r="D21" s="6" t="s">
        <v>92</v>
      </c>
      <c r="E21" s="6" t="s">
        <v>93</v>
      </c>
      <c r="F21" s="4" t="s">
        <v>94</v>
      </c>
      <c r="G21" s="4" t="s">
        <v>89</v>
      </c>
      <c r="H21" s="4" t="s">
        <v>18</v>
      </c>
      <c r="I21" s="4" t="s">
        <v>90</v>
      </c>
      <c r="J21" s="7" t="s">
        <v>77</v>
      </c>
      <c r="K21" s="6" t="s">
        <v>95</v>
      </c>
      <c r="L21" s="4" t="s">
        <v>30</v>
      </c>
      <c r="M21" s="4"/>
      <c r="N21" s="6"/>
    </row>
    <row r="22" spans="1:14" ht="30" customHeight="1">
      <c r="A22" s="3">
        <v>18</v>
      </c>
      <c r="B22" s="3" t="s">
        <v>100</v>
      </c>
      <c r="C22" s="3" t="s">
        <v>72</v>
      </c>
      <c r="D22" s="8" t="s">
        <v>101</v>
      </c>
      <c r="E22" s="8" t="s">
        <v>102</v>
      </c>
      <c r="F22" s="3" t="inlineStr">
        <is>
          <t xml:space="preserve">SH-FM-QP025-01</t>
        </is>
      </c>
      <c r="G22" s="3" t="s">
        <v>89</v>
      </c>
      <c r="H22" s="3" t="s">
        <v>18</v>
      </c>
      <c r="I22" s="3" t="s">
        <v>90</v>
      </c>
      <c r="J22" s="7" t="inlineStr">
        <is>
          <t xml:space="preserve">기존 절차 연계</t>
        </is>
      </c>
      <c r="K22" s="8" t="inlineStr">
        <is>
          <t xml:space="preserve">SH-QP-025(고객별 요구사항(CSR) 관리 절차서)  [확정 2026-09-22: 기존 추정 SH-WI-016(ratio=0.20) 대비 대안 채택(ratio=0.56) — 품질경영담당 일괄판단, 부서 정식회신 생략]</t>
        </is>
      </c>
      <c r="L22" s="3" t="s">
        <v>30</v>
      </c>
      <c r="M22" s="3"/>
      <c r="N22" s="8" t="s">
        <v>85</v>
      </c>
    </row>
    <row r="23" spans="1:14" ht="30" customHeight="1">
      <c r="A23" s="4">
        <v>19</v>
      </c>
      <c r="B23" s="4" t="s">
        <v>100</v>
      </c>
      <c r="C23" s="4" t="s">
        <v>72</v>
      </c>
      <c r="D23" s="6" t="s">
        <v>105</v>
      </c>
      <c r="E23" s="6" t="s">
        <v>106</v>
      </c>
      <c r="F23" s="4" t="s">
        <v>107</v>
      </c>
      <c r="G23" s="4"/>
      <c r="H23" s="4" t="s">
        <v>23</v>
      </c>
      <c r="I23" s="4"/>
      <c r="J23" s="7" t="s">
        <v>77</v>
      </c>
      <c r="K23" s="6" t="s">
        <v>108</v>
      </c>
      <c r="L23" s="4" t="s">
        <v>30</v>
      </c>
      <c r="M23" s="4"/>
      <c r="N23" s="6" t="s">
        <v>79</v>
      </c>
    </row>
    <row r="24" spans="1:14" ht="30" customHeight="1">
      <c r="A24" s="3">
        <v>20</v>
      </c>
      <c r="B24" s="3" t="s">
        <v>100</v>
      </c>
      <c r="C24" s="3" t="s">
        <v>72</v>
      </c>
      <c r="D24" s="8" t="s">
        <v>109</v>
      </c>
      <c r="E24" s="8" t="s">
        <v>110</v>
      </c>
      <c r="F24" s="3" t="s">
        <v>111</v>
      </c>
      <c r="G24" s="3" t="s">
        <v>89</v>
      </c>
      <c r="H24" s="3" t="s">
        <v>18</v>
      </c>
      <c r="I24" s="3"/>
      <c r="J24" s="7" t="s">
        <v>77</v>
      </c>
      <c r="K24" s="8" t="s">
        <v>112</v>
      </c>
      <c r="L24" s="3" t="s">
        <v>30</v>
      </c>
      <c r="M24" s="3"/>
      <c r="N24" s="8" t="s">
        <v>79</v>
      </c>
    </row>
    <row r="25" spans="1:14" ht="30" customHeight="1">
      <c r="A25" s="4">
        <v>21</v>
      </c>
      <c r="B25" s="4" t="s">
        <v>100</v>
      </c>
      <c r="C25" s="4" t="s">
        <v>72</v>
      </c>
      <c r="D25" s="6" t="s">
        <v>117</v>
      </c>
      <c r="E25" s="6" t="s">
        <v>118</v>
      </c>
      <c r="F25" s="4" t="s">
        <v>119</v>
      </c>
      <c r="G25" s="4"/>
      <c r="H25" s="4" t="s">
        <v>18</v>
      </c>
      <c r="I25" s="4" t="s">
        <v>90</v>
      </c>
      <c r="J25" s="7" t="s">
        <v>77</v>
      </c>
      <c r="K25" s="6" t="s">
        <v>120</v>
      </c>
      <c r="L25" s="4" t="s">
        <v>30</v>
      </c>
      <c r="M25" s="4"/>
      <c r="N25" s="6" t="s">
        <v>79</v>
      </c>
    </row>
    <row r="26" spans="1:14" ht="30" customHeight="1">
      <c r="A26" s="3">
        <v>22</v>
      </c>
      <c r="B26" s="3" t="s">
        <v>142</v>
      </c>
      <c r="C26" s="3" t="s">
        <v>72</v>
      </c>
      <c r="D26" s="8" t="s">
        <v>146</v>
      </c>
      <c r="E26" s="8" t="s">
        <v>147</v>
      </c>
      <c r="F26" s="3" t="s">
        <v>148</v>
      </c>
      <c r="G26" s="3"/>
      <c r="H26" s="3" t="s">
        <v>18</v>
      </c>
      <c r="I26" s="3"/>
      <c r="J26" s="7" t="s">
        <v>77</v>
      </c>
      <c r="K26" s="8" t="s">
        <v>149</v>
      </c>
      <c r="L26" s="3" t="s">
        <v>30</v>
      </c>
      <c r="M26" s="3"/>
      <c r="N26" s="8"/>
    </row>
    <row r="27" spans="1:14" ht="30" customHeight="1">
      <c r="A27" s="4">
        <v>23</v>
      </c>
      <c r="B27" s="4" t="s">
        <v>142</v>
      </c>
      <c r="C27" s="4" t="s">
        <v>72</v>
      </c>
      <c r="D27" s="6" t="s">
        <v>150</v>
      </c>
      <c r="E27" s="6" t="s">
        <v>151</v>
      </c>
      <c r="F27" s="4" t="s">
        <v>152</v>
      </c>
      <c r="G27" s="4" t="s">
        <v>89</v>
      </c>
      <c r="H27" s="4" t="s">
        <v>18</v>
      </c>
      <c r="I27" s="4"/>
      <c r="J27" s="7" t="s">
        <v>77</v>
      </c>
      <c r="K27" s="6" t="s">
        <v>153</v>
      </c>
      <c r="L27" s="4" t="s">
        <v>30</v>
      </c>
      <c r="M27" s="4"/>
      <c r="N27" s="6"/>
    </row>
    <row r="28" spans="1:14" ht="30" customHeight="1">
      <c r="A28" s="3">
        <v>24</v>
      </c>
      <c r="B28" s="3" t="s">
        <v>142</v>
      </c>
      <c r="C28" s="3" t="s">
        <v>72</v>
      </c>
      <c r="D28" s="8" t="s">
        <v>154</v>
      </c>
      <c r="E28" s="8" t="s">
        <v>155</v>
      </c>
      <c r="F28" s="3" t="inlineStr">
        <is>
          <t xml:space="preserve">SH-FM-WI004-06</t>
        </is>
      </c>
      <c r="G28" s="3" t="s">
        <v>89</v>
      </c>
      <c r="H28" s="3" t="s">
        <v>18</v>
      </c>
      <c r="I28" s="3"/>
      <c r="J28" s="7" t="inlineStr">
        <is>
          <t xml:space="preserve">기존 절차 연계</t>
        </is>
      </c>
      <c r="K28" s="8" t="inlineStr">
        <is>
          <t xml:space="preserve">SH-WI-004(설비 일상점검 및 이상대응 표준)  [확정 2026-09-22: 기존 추정 SH-WI-001(ratio=0.17) 대비 대안 채택(ratio=0.73) — 품질경영담당 일괄판단, 부서 정식회신 생략]</t>
        </is>
      </c>
      <c r="L28" s="3" t="s">
        <v>30</v>
      </c>
      <c r="M28" s="3"/>
      <c r="N28" s="8" t="s">
        <v>85</v>
      </c>
    </row>
    <row r="29" spans="1:14" ht="30" customHeight="1">
      <c r="A29" s="4">
        <v>25</v>
      </c>
      <c r="B29" s="4" t="s">
        <v>121</v>
      </c>
      <c r="C29" s="4" t="s">
        <v>122</v>
      </c>
      <c r="D29" s="6" t="s">
        <v>131</v>
      </c>
      <c r="E29" s="6" t="s">
        <v>132</v>
      </c>
      <c r="F29" s="4" t="s">
        <v>133</v>
      </c>
      <c r="G29" s="4" t="s">
        <v>89</v>
      </c>
      <c r="H29" s="4" t="s">
        <v>18</v>
      </c>
      <c r="I29" s="4"/>
      <c r="J29" s="10" t="s">
        <v>134</v>
      </c>
      <c r="K29" s="6"/>
      <c r="L29" s="4" t="s">
        <v>28</v>
      </c>
      <c r="M29" s="4"/>
      <c r="N29" s="6"/>
    </row>
    <row r="30" spans="1:14" ht="30" customHeight="1">
      <c r="A30" s="3">
        <v>26</v>
      </c>
      <c r="B30" s="3" t="s">
        <v>121</v>
      </c>
      <c r="C30" s="3" t="s">
        <v>122</v>
      </c>
      <c r="D30" s="8"/>
      <c r="E30" s="8" t="s">
        <v>135</v>
      </c>
      <c r="F30" s="3" t="inlineStr">
        <is>
          <t xml:space="preserve">SH-FM-QP014-01</t>
        </is>
      </c>
      <c r="G30" s="3" t="s">
        <v>89</v>
      </c>
      <c r="H30" s="3" t="s">
        <v>19</v>
      </c>
      <c r="I30" s="3" t="s">
        <v>76</v>
      </c>
      <c r="J30" s="7" t="inlineStr">
        <is>
          <t xml:space="preserve">기존 절차 연계</t>
        </is>
      </c>
      <c r="K30" s="8" t="inlineStr">
        <is>
          <t xml:space="preserve">SH-QP-014(부적합품 및 재작업 관리 절차서)  [확정 2026-09-22: 신규 발견 연계 채택(ratio=0.72) — 품질경영담당 일괄판단, 부서 정식회신 생략]</t>
        </is>
      </c>
      <c r="L30" s="3" t="s">
        <v>28</v>
      </c>
      <c r="M30" s="3"/>
      <c r="N30" s="8" t="s">
        <v>138</v>
      </c>
    </row>
    <row r="31" spans="1:14" ht="30" customHeight="1">
      <c r="A31" s="4">
        <v>27</v>
      </c>
      <c r="B31" s="4" t="s">
        <v>121</v>
      </c>
      <c r="C31" s="4" t="s">
        <v>122</v>
      </c>
      <c r="D31" s="6"/>
      <c r="E31" s="6" t="s">
        <v>139</v>
      </c>
      <c r="F31" s="4" t="inlineStr">
        <is>
          <t xml:space="preserve">SH-FM-WI030-01</t>
        </is>
      </c>
      <c r="G31" s="4" t="s">
        <v>89</v>
      </c>
      <c r="H31" s="4" t="s">
        <v>19</v>
      </c>
      <c r="I31" s="4"/>
      <c r="J31" s="7" t="inlineStr">
        <is>
          <t xml:space="preserve">기존 절차 연계</t>
        </is>
      </c>
      <c r="K31" s="6" t="inlineStr">
        <is>
          <t xml:space="preserve">SH-WI-030(고객감사·인증심사 현장대응 표준)  [확정 2026-09-22: 신규 발견 연계 채택(ratio=1.00) — 품질경영담당 일괄판단, 부서 정식회신 생략]</t>
        </is>
      </c>
      <c r="L31" s="4" t="s">
        <v>28</v>
      </c>
      <c r="M31" s="4"/>
      <c r="N31" s="6" t="s">
        <v>138</v>
      </c>
    </row>
    <row r="32" spans="1:14" ht="30" customHeight="1">
      <c r="A32" s="3">
        <v>28</v>
      </c>
      <c r="B32" s="3" t="s">
        <v>121</v>
      </c>
      <c r="C32" s="3" t="s">
        <v>122</v>
      </c>
      <c r="D32" s="8" t="s">
        <v>123</v>
      </c>
      <c r="E32" s="8" t="s">
        <v>124</v>
      </c>
      <c r="F32" s="3" t="s">
        <v>125</v>
      </c>
      <c r="G32" s="3" t="s">
        <v>89</v>
      </c>
      <c r="H32" s="3" t="s">
        <v>18</v>
      </c>
      <c r="I32" s="3" t="s">
        <v>90</v>
      </c>
      <c r="J32" s="7" t="s">
        <v>77</v>
      </c>
      <c r="K32" s="8" t="s">
        <v>126</v>
      </c>
      <c r="L32" s="3" t="s">
        <v>30</v>
      </c>
      <c r="M32" s="3"/>
      <c r="N32" s="8"/>
    </row>
    <row r="33" spans="1:14" ht="30" customHeight="1">
      <c r="A33" s="4">
        <v>29</v>
      </c>
      <c r="B33" s="4" t="s">
        <v>121</v>
      </c>
      <c r="C33" s="4" t="s">
        <v>122</v>
      </c>
      <c r="D33" s="6" t="s">
        <v>127</v>
      </c>
      <c r="E33" s="6" t="s">
        <v>128</v>
      </c>
      <c r="F33" s="4" t="s">
        <v>129</v>
      </c>
      <c r="G33" s="4" t="s">
        <v>89</v>
      </c>
      <c r="H33" s="4" t="s">
        <v>18</v>
      </c>
      <c r="I33" s="4"/>
      <c r="J33" s="7" t="s">
        <v>77</v>
      </c>
      <c r="K33" s="6" t="s">
        <v>130</v>
      </c>
      <c r="L33" s="4" t="s">
        <v>30</v>
      </c>
      <c r="M33" s="4"/>
      <c r="N33" s="6"/>
    </row>
  </sheetData>
  <autoFilter ref="A4:N33" xr:uid="{00000000-0009-0000-0000-000005000000}"/>
  <mergeCells count="3">
    <mergeCell ref="A3:N3"/>
    <mergeCell ref="A2:N2"/>
    <mergeCell ref="A1:N1"/>
  </mergeCells>
  <phoneticPr fontId="15" type="noConversion"/>
  <dataValidations count="1">
    <dataValidation type="list" allowBlank="1" sqref="M5:M33" xr:uid="{00000000-0002-0000-0500-000000000000}">
      <formula1>"미착수,진행중,완료,해당없음"</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9"/>
  <sheetViews>
    <sheetView showGridLines="0" workbookViewId="0">
      <pane ySplit="4" topLeftCell="A5" activePane="bottomLeft" state="frozen"/>
      <selection pane="bottomLeft" sqref="A1:N1"/>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982</v>
      </c>
      <c r="B1" s="25"/>
      <c r="C1" s="25"/>
      <c r="D1" s="25"/>
      <c r="E1" s="25"/>
      <c r="F1" s="25"/>
      <c r="G1" s="25"/>
      <c r="H1" s="25"/>
      <c r="I1" s="25"/>
      <c r="J1" s="25"/>
      <c r="K1" s="25"/>
      <c r="L1" s="25"/>
      <c r="M1" s="25"/>
      <c r="N1" s="25"/>
    </row>
    <row r="2" spans="1:14" ht="15.95" customHeight="1">
      <c r="A2" s="27" t="s">
        <v>983</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189</v>
      </c>
      <c r="C5" s="4" t="s">
        <v>166</v>
      </c>
      <c r="D5" s="6" t="s">
        <v>203</v>
      </c>
      <c r="E5" s="6" t="s">
        <v>204</v>
      </c>
      <c r="F5" s="4" t="inlineStr">
        <is>
          <t xml:space="preserve">SH-FM-QP013-10</t>
        </is>
      </c>
      <c r="G5" s="4"/>
      <c r="H5" s="4" t="s">
        <v>20</v>
      </c>
      <c r="I5" s="4"/>
      <c r="J5" s="7" t="inlineStr">
        <is>
          <t xml:space="preserve">기존 절차 연계</t>
        </is>
      </c>
      <c r="K5" s="6" t="inlineStr">
        <is>
          <t xml:space="preserve">SH-QP-013(검사 및 시험관리 절차서)  [확정 2026-09-22: 신규 발견 연계 채택(ratio=0.91) — 품질경영담당 일괄판단, 부서 정식회신 생략]</t>
        </is>
      </c>
      <c r="L5" s="4" t="s">
        <v>27</v>
      </c>
      <c r="M5" s="4"/>
      <c r="N5" s="6" t="s">
        <v>138</v>
      </c>
    </row>
    <row r="6" spans="1:14" ht="30" customHeight="1">
      <c r="A6" s="3">
        <v>2</v>
      </c>
      <c r="B6" s="3" t="s">
        <v>189</v>
      </c>
      <c r="C6" s="3" t="s">
        <v>166</v>
      </c>
      <c r="D6" s="8" t="s">
        <v>207</v>
      </c>
      <c r="E6" s="8" t="s">
        <v>208</v>
      </c>
      <c r="F6" s="3" t="inlineStr">
        <is>
          <t xml:space="preserve">SH-FM-WI029-02</t>
        </is>
      </c>
      <c r="G6" s="3"/>
      <c r="H6" s="3" t="s">
        <v>20</v>
      </c>
      <c r="I6" s="3"/>
      <c r="J6" s="7" t="inlineStr">
        <is>
          <t xml:space="preserve">기존 절차 연계</t>
        </is>
      </c>
      <c r="K6" s="8" t="inlineStr">
        <is>
          <t xml:space="preserve">SH-WI-029(공급자 변경품 및 초도품 확인표준)  [확정 2026-09-22: 신규 발견 연계 채택(ratio=0.64) — 품질경영담당 일괄판단, 부서 정식회신 생략]</t>
        </is>
      </c>
      <c r="L6" s="3" t="s">
        <v>27</v>
      </c>
      <c r="M6" s="3"/>
      <c r="N6" s="8" t="s">
        <v>138</v>
      </c>
    </row>
    <row r="7" spans="1:14" ht="30" customHeight="1">
      <c r="A7" s="4">
        <v>3</v>
      </c>
      <c r="B7" s="4" t="s">
        <v>189</v>
      </c>
      <c r="C7" s="4" t="s">
        <v>166</v>
      </c>
      <c r="D7" s="6" t="s">
        <v>219</v>
      </c>
      <c r="E7" s="6" t="s">
        <v>220</v>
      </c>
      <c r="F7" s="4" t="s">
        <v>221</v>
      </c>
      <c r="G7" s="4" t="s">
        <v>89</v>
      </c>
      <c r="H7" s="4" t="s">
        <v>20</v>
      </c>
      <c r="I7" s="4"/>
      <c r="J7" s="10" t="s">
        <v>134</v>
      </c>
      <c r="K7" s="6"/>
      <c r="L7" s="4" t="s">
        <v>27</v>
      </c>
      <c r="M7" s="4"/>
      <c r="N7" s="6"/>
    </row>
    <row r="8" spans="1:14" ht="30" customHeight="1">
      <c r="A8" s="3">
        <v>4</v>
      </c>
      <c r="B8" s="3" t="s">
        <v>324</v>
      </c>
      <c r="C8" s="3" t="s">
        <v>166</v>
      </c>
      <c r="D8" s="8" t="s">
        <v>337</v>
      </c>
      <c r="E8" s="8" t="s">
        <v>338</v>
      </c>
      <c r="F8" s="3" t="s">
        <v>339</v>
      </c>
      <c r="G8" s="3" t="s">
        <v>89</v>
      </c>
      <c r="H8" s="3" t="s">
        <v>19</v>
      </c>
      <c r="I8" s="3" t="s">
        <v>76</v>
      </c>
      <c r="J8" s="10" t="s">
        <v>134</v>
      </c>
      <c r="K8" s="8"/>
      <c r="L8" s="3" t="s">
        <v>27</v>
      </c>
      <c r="M8" s="3"/>
      <c r="N8" s="8"/>
    </row>
    <row r="9" spans="1:14" ht="30" customHeight="1">
      <c r="A9" s="4">
        <v>5</v>
      </c>
      <c r="B9" s="4" t="s">
        <v>350</v>
      </c>
      <c r="C9" s="4" t="s">
        <v>166</v>
      </c>
      <c r="D9" s="6"/>
      <c r="E9" s="6" t="s">
        <v>355</v>
      </c>
      <c r="F9" s="4" t="s">
        <v>356</v>
      </c>
      <c r="G9" s="4" t="s">
        <v>89</v>
      </c>
      <c r="H9" s="4" t="s">
        <v>19</v>
      </c>
      <c r="I9" s="4" t="s">
        <v>226</v>
      </c>
      <c r="J9" s="10" t="s">
        <v>134</v>
      </c>
      <c r="K9" s="6"/>
      <c r="L9" s="4" t="s">
        <v>27</v>
      </c>
      <c r="M9" s="4"/>
      <c r="N9" s="6"/>
    </row>
    <row r="10" spans="1:14" ht="30" customHeight="1">
      <c r="A10" s="3">
        <v>6</v>
      </c>
      <c r="B10" s="3" t="s">
        <v>350</v>
      </c>
      <c r="C10" s="3" t="s">
        <v>166</v>
      </c>
      <c r="D10" s="8"/>
      <c r="E10" s="8" t="s">
        <v>357</v>
      </c>
      <c r="F10" s="3" t="s">
        <v>358</v>
      </c>
      <c r="G10" s="3" t="s">
        <v>89</v>
      </c>
      <c r="H10" s="3" t="s">
        <v>19</v>
      </c>
      <c r="I10" s="3" t="s">
        <v>226</v>
      </c>
      <c r="J10" s="10" t="s">
        <v>134</v>
      </c>
      <c r="K10" s="8"/>
      <c r="L10" s="3" t="s">
        <v>27</v>
      </c>
      <c r="M10" s="3"/>
      <c r="N10" s="8"/>
    </row>
    <row r="11" spans="1:14" ht="30" customHeight="1">
      <c r="A11" s="4">
        <v>7</v>
      </c>
      <c r="B11" s="4" t="s">
        <v>350</v>
      </c>
      <c r="C11" s="4" t="s">
        <v>166</v>
      </c>
      <c r="D11" s="6"/>
      <c r="E11" s="6" t="s">
        <v>359</v>
      </c>
      <c r="F11" s="4" t="inlineStr">
        <is>
          <t xml:space="preserve">SH-FM-WI006-10</t>
        </is>
      </c>
      <c r="G11" s="4" t="s">
        <v>89</v>
      </c>
      <c r="H11" s="4" t="s">
        <v>19</v>
      </c>
      <c r="I11" s="4" t="s">
        <v>226</v>
      </c>
      <c r="J11" s="7" t="inlineStr">
        <is>
          <t xml:space="preserve">기존 절차 연계</t>
        </is>
      </c>
      <c r="K11" s="6" t="inlineStr">
        <is>
          <t xml:space="preserve">SH-WI-006(계측기 사용 및 일상점검 표준)  [확정 2026-09-22: 신규 발견 연계 채택(ratio=1.00) — 품질경영담당 일괄판단, 부서 정식회신 생략]</t>
        </is>
      </c>
      <c r="L11" s="4" t="s">
        <v>27</v>
      </c>
      <c r="M11" s="4"/>
      <c r="N11" s="6" t="s">
        <v>138</v>
      </c>
    </row>
    <row r="12" spans="1:14" ht="30" customHeight="1">
      <c r="A12" s="3">
        <v>8</v>
      </c>
      <c r="B12" s="3" t="s">
        <v>350</v>
      </c>
      <c r="C12" s="3" t="s">
        <v>166</v>
      </c>
      <c r="D12" s="8"/>
      <c r="E12" s="8" t="s">
        <v>362</v>
      </c>
      <c r="F12" s="3" t="inlineStr">
        <is>
          <t xml:space="preserve">SH-FM-QP012-01</t>
        </is>
      </c>
      <c r="G12" s="3" t="s">
        <v>89</v>
      </c>
      <c r="H12" s="3" t="s">
        <v>19</v>
      </c>
      <c r="I12" s="3" t="s">
        <v>226</v>
      </c>
      <c r="J12" s="7" t="inlineStr">
        <is>
          <t xml:space="preserve">기존 절차 연계</t>
        </is>
      </c>
      <c r="K12" s="8" t="inlineStr">
        <is>
          <t xml:space="preserve">SH-QP-012(생산 및 공정관리 절차서)  [확정 2026-09-22: 신규 발견 연계 채택(ratio=0.63) — 품질경영담당 일괄판단, 부서 정식회신 생략]</t>
        </is>
      </c>
      <c r="L12" s="3" t="s">
        <v>27</v>
      </c>
      <c r="M12" s="3"/>
      <c r="N12" s="8" t="s">
        <v>138</v>
      </c>
    </row>
    <row r="13" spans="1:14" ht="30" customHeight="1">
      <c r="A13" s="4">
        <v>9</v>
      </c>
      <c r="B13" s="4" t="s">
        <v>367</v>
      </c>
      <c r="C13" s="4" t="s">
        <v>166</v>
      </c>
      <c r="D13" s="6" t="s">
        <v>368</v>
      </c>
      <c r="E13" s="6" t="s">
        <v>369</v>
      </c>
      <c r="F13" s="4" t="s">
        <v>370</v>
      </c>
      <c r="G13" s="4"/>
      <c r="H13" s="4" t="s">
        <v>19</v>
      </c>
      <c r="I13" s="4" t="s">
        <v>76</v>
      </c>
      <c r="J13" s="10" t="s">
        <v>134</v>
      </c>
      <c r="K13" s="6"/>
      <c r="L13" s="4" t="s">
        <v>27</v>
      </c>
      <c r="M13" s="4"/>
      <c r="N13" s="6"/>
    </row>
    <row r="14" spans="1:14" ht="30" customHeight="1">
      <c r="A14" s="3">
        <v>10</v>
      </c>
      <c r="B14" s="3" t="s">
        <v>367</v>
      </c>
      <c r="C14" s="3" t="s">
        <v>166</v>
      </c>
      <c r="D14" s="8"/>
      <c r="E14" s="8" t="s">
        <v>371</v>
      </c>
      <c r="F14" s="3" t="s">
        <v>372</v>
      </c>
      <c r="G14" s="3"/>
      <c r="H14" s="3" t="s">
        <v>18</v>
      </c>
      <c r="I14" s="3" t="s">
        <v>373</v>
      </c>
      <c r="J14" s="10" t="s">
        <v>134</v>
      </c>
      <c r="K14" s="8"/>
      <c r="L14" s="3" t="s">
        <v>27</v>
      </c>
      <c r="M14" s="3"/>
      <c r="N14" s="8"/>
    </row>
    <row r="15" spans="1:14" ht="30" customHeight="1">
      <c r="A15" s="4">
        <v>11</v>
      </c>
      <c r="B15" s="4" t="s">
        <v>367</v>
      </c>
      <c r="C15" s="4" t="s">
        <v>166</v>
      </c>
      <c r="D15" s="6"/>
      <c r="E15" s="6" t="s">
        <v>371</v>
      </c>
      <c r="F15" s="4" t="s">
        <v>374</v>
      </c>
      <c r="G15" s="4"/>
      <c r="H15" s="4" t="s">
        <v>19</v>
      </c>
      <c r="I15" s="4" t="s">
        <v>76</v>
      </c>
      <c r="J15" s="10" t="s">
        <v>134</v>
      </c>
      <c r="K15" s="6"/>
      <c r="L15" s="4" t="s">
        <v>27</v>
      </c>
      <c r="M15" s="4"/>
      <c r="N15" s="6"/>
    </row>
    <row r="16" spans="1:14" ht="30" customHeight="1">
      <c r="A16" s="3">
        <v>12</v>
      </c>
      <c r="B16" s="3" t="s">
        <v>367</v>
      </c>
      <c r="C16" s="3" t="s">
        <v>166</v>
      </c>
      <c r="D16" s="8"/>
      <c r="E16" s="8" t="s">
        <v>375</v>
      </c>
      <c r="F16" s="3" t="s">
        <v>376</v>
      </c>
      <c r="G16" s="3"/>
      <c r="H16" s="3" t="s">
        <v>18</v>
      </c>
      <c r="I16" s="3" t="s">
        <v>373</v>
      </c>
      <c r="J16" s="10" t="s">
        <v>134</v>
      </c>
      <c r="K16" s="8"/>
      <c r="L16" s="3" t="s">
        <v>27</v>
      </c>
      <c r="M16" s="3"/>
      <c r="N16" s="8"/>
    </row>
    <row r="17" spans="1:14" ht="30" customHeight="1">
      <c r="A17" s="4">
        <v>13</v>
      </c>
      <c r="B17" s="4" t="s">
        <v>367</v>
      </c>
      <c r="C17" s="4" t="s">
        <v>166</v>
      </c>
      <c r="D17" s="6"/>
      <c r="E17" s="6" t="s">
        <v>377</v>
      </c>
      <c r="F17" s="4" t="s">
        <v>378</v>
      </c>
      <c r="G17" s="4"/>
      <c r="H17" s="4" t="s">
        <v>18</v>
      </c>
      <c r="I17" s="4" t="s">
        <v>373</v>
      </c>
      <c r="J17" s="10" t="s">
        <v>134</v>
      </c>
      <c r="K17" s="6"/>
      <c r="L17" s="4" t="s">
        <v>27</v>
      </c>
      <c r="M17" s="4"/>
      <c r="N17" s="6"/>
    </row>
    <row r="18" spans="1:14" ht="30" customHeight="1">
      <c r="A18" s="3">
        <v>14</v>
      </c>
      <c r="B18" s="3" t="s">
        <v>367</v>
      </c>
      <c r="C18" s="3" t="s">
        <v>166</v>
      </c>
      <c r="D18" s="8"/>
      <c r="E18" s="8" t="s">
        <v>379</v>
      </c>
      <c r="F18" s="3" t="s">
        <v>380</v>
      </c>
      <c r="G18" s="3"/>
      <c r="H18" s="3" t="s">
        <v>18</v>
      </c>
      <c r="I18" s="3" t="s">
        <v>373</v>
      </c>
      <c r="J18" s="10" t="s">
        <v>134</v>
      </c>
      <c r="K18" s="8"/>
      <c r="L18" s="3" t="s">
        <v>27</v>
      </c>
      <c r="M18" s="3"/>
      <c r="N18" s="8"/>
    </row>
    <row r="19" spans="1:14" ht="30" customHeight="1">
      <c r="A19" s="4">
        <v>15</v>
      </c>
      <c r="B19" s="4" t="s">
        <v>367</v>
      </c>
      <c r="C19" s="4" t="s">
        <v>166</v>
      </c>
      <c r="D19" s="6"/>
      <c r="E19" s="6" t="s">
        <v>381</v>
      </c>
      <c r="F19" s="4" t="inlineStr">
        <is>
          <t xml:space="preserve">SH-FM-WI001-03</t>
        </is>
      </c>
      <c r="G19" s="4"/>
      <c r="H19" s="4" t="s">
        <v>18</v>
      </c>
      <c r="I19" s="4" t="s">
        <v>373</v>
      </c>
      <c r="J19" s="7" t="inlineStr">
        <is>
          <t xml:space="preserve">기존 절차 연계</t>
        </is>
      </c>
      <c r="K19" s="6" t="inlineStr">
        <is>
          <t xml:space="preserve">SH-WI-001(생산 작업준비 및 초품확인 표준)  [확정 2026-09-22: 신규 발견 연계 채택(ratio=1.00) — 품질경영담당 일괄판단, 부서 정식회신 생략]</t>
        </is>
      </c>
      <c r="L19" s="4" t="s">
        <v>27</v>
      </c>
      <c r="M19" s="4"/>
      <c r="N19" s="6" t="s">
        <v>138</v>
      </c>
    </row>
    <row r="20" spans="1:14" ht="30" customHeight="1">
      <c r="A20" s="3">
        <v>16</v>
      </c>
      <c r="B20" s="3" t="s">
        <v>189</v>
      </c>
      <c r="C20" s="3" t="s">
        <v>166</v>
      </c>
      <c r="D20" s="8" t="s">
        <v>190</v>
      </c>
      <c r="E20" s="8" t="s">
        <v>191</v>
      </c>
      <c r="F20" s="3" t="s">
        <v>192</v>
      </c>
      <c r="G20" s="3"/>
      <c r="H20" s="3" t="s">
        <v>20</v>
      </c>
      <c r="I20" s="3" t="s">
        <v>193</v>
      </c>
      <c r="J20" s="7" t="s">
        <v>77</v>
      </c>
      <c r="K20" s="8" t="s">
        <v>194</v>
      </c>
      <c r="L20" s="3" t="s">
        <v>28</v>
      </c>
      <c r="M20" s="3"/>
      <c r="N20" s="8"/>
    </row>
    <row r="21" spans="1:14" ht="30" customHeight="1">
      <c r="A21" s="4">
        <v>17</v>
      </c>
      <c r="B21" s="4" t="s">
        <v>189</v>
      </c>
      <c r="C21" s="4" t="s">
        <v>166</v>
      </c>
      <c r="D21" s="6" t="s">
        <v>195</v>
      </c>
      <c r="E21" s="6" t="s">
        <v>196</v>
      </c>
      <c r="F21" s="4" t="s">
        <v>197</v>
      </c>
      <c r="G21" s="4"/>
      <c r="H21" s="4" t="s">
        <v>20</v>
      </c>
      <c r="I21" s="4"/>
      <c r="J21" s="7" t="s">
        <v>77</v>
      </c>
      <c r="K21" s="6" t="s">
        <v>198</v>
      </c>
      <c r="L21" s="4" t="s">
        <v>28</v>
      </c>
      <c r="M21" s="4"/>
      <c r="N21" s="6"/>
    </row>
    <row r="22" spans="1:14" ht="30" customHeight="1">
      <c r="A22" s="3">
        <v>18</v>
      </c>
      <c r="B22" s="3" t="s">
        <v>350</v>
      </c>
      <c r="C22" s="3" t="s">
        <v>166</v>
      </c>
      <c r="D22" s="8"/>
      <c r="E22" s="8" t="s">
        <v>365</v>
      </c>
      <c r="F22" s="3" t="s">
        <v>366</v>
      </c>
      <c r="G22" s="3"/>
      <c r="H22" s="3" t="s">
        <v>23</v>
      </c>
      <c r="I22" s="3"/>
      <c r="J22" s="10" t="s">
        <v>134</v>
      </c>
      <c r="K22" s="8"/>
      <c r="L22" s="3" t="s">
        <v>28</v>
      </c>
      <c r="M22" s="3"/>
      <c r="N22" s="8"/>
    </row>
    <row r="23" spans="1:14" ht="30" customHeight="1">
      <c r="A23" s="4">
        <v>19</v>
      </c>
      <c r="B23" s="4" t="s">
        <v>189</v>
      </c>
      <c r="C23" s="4" t="s">
        <v>166</v>
      </c>
      <c r="D23" s="6" t="s">
        <v>199</v>
      </c>
      <c r="E23" s="6" t="s">
        <v>200</v>
      </c>
      <c r="F23" s="4" t="s">
        <v>201</v>
      </c>
      <c r="G23" s="4" t="s">
        <v>89</v>
      </c>
      <c r="H23" s="4" t="s">
        <v>20</v>
      </c>
      <c r="I23" s="4"/>
      <c r="J23" s="7" t="s">
        <v>77</v>
      </c>
      <c r="K23" s="6" t="s">
        <v>202</v>
      </c>
      <c r="L23" s="4" t="s">
        <v>29</v>
      </c>
      <c r="M23" s="4"/>
      <c r="N23" s="6"/>
    </row>
    <row r="24" spans="1:14" ht="30" customHeight="1">
      <c r="A24" s="3">
        <v>20</v>
      </c>
      <c r="B24" s="3" t="s">
        <v>189</v>
      </c>
      <c r="C24" s="3" t="s">
        <v>166</v>
      </c>
      <c r="D24" s="8" t="s">
        <v>211</v>
      </c>
      <c r="E24" s="8" t="s">
        <v>212</v>
      </c>
      <c r="F24" s="3" t="s">
        <v>213</v>
      </c>
      <c r="G24" s="3" t="s">
        <v>89</v>
      </c>
      <c r="H24" s="3" t="s">
        <v>20</v>
      </c>
      <c r="I24" s="3"/>
      <c r="J24" s="7" t="s">
        <v>77</v>
      </c>
      <c r="K24" s="8" t="s">
        <v>214</v>
      </c>
      <c r="L24" s="3" t="s">
        <v>29</v>
      </c>
      <c r="M24" s="3"/>
      <c r="N24" s="8" t="s">
        <v>79</v>
      </c>
    </row>
    <row r="25" spans="1:14" ht="30" customHeight="1">
      <c r="A25" s="4">
        <v>21</v>
      </c>
      <c r="B25" s="4" t="s">
        <v>189</v>
      </c>
      <c r="C25" s="4" t="s">
        <v>166</v>
      </c>
      <c r="D25" s="6" t="s">
        <v>215</v>
      </c>
      <c r="E25" s="6" t="s">
        <v>216</v>
      </c>
      <c r="F25" s="4" t="s">
        <v>217</v>
      </c>
      <c r="G25" s="4"/>
      <c r="H25" s="4" t="s">
        <v>20</v>
      </c>
      <c r="I25" s="4"/>
      <c r="J25" s="7" t="s">
        <v>77</v>
      </c>
      <c r="K25" s="6" t="s">
        <v>218</v>
      </c>
      <c r="L25" s="4" t="s">
        <v>29</v>
      </c>
      <c r="M25" s="4"/>
      <c r="N25" s="6"/>
    </row>
    <row r="26" spans="1:14" ht="30" customHeight="1">
      <c r="A26" s="3">
        <v>22</v>
      </c>
      <c r="B26" s="3" t="s">
        <v>324</v>
      </c>
      <c r="C26" s="3" t="s">
        <v>166</v>
      </c>
      <c r="D26" s="8" t="s">
        <v>325</v>
      </c>
      <c r="E26" s="8" t="s">
        <v>326</v>
      </c>
      <c r="F26" s="3" t="s">
        <v>327</v>
      </c>
      <c r="G26" s="3" t="s">
        <v>89</v>
      </c>
      <c r="H26" s="3" t="s">
        <v>19</v>
      </c>
      <c r="I26" s="3" t="s">
        <v>76</v>
      </c>
      <c r="J26" s="7" t="s">
        <v>77</v>
      </c>
      <c r="K26" s="8" t="s">
        <v>328</v>
      </c>
      <c r="L26" s="3" t="s">
        <v>29</v>
      </c>
      <c r="M26" s="3"/>
      <c r="N26" s="8" t="s">
        <v>79</v>
      </c>
    </row>
    <row r="27" spans="1:14" ht="30" customHeight="1">
      <c r="A27" s="4">
        <v>23</v>
      </c>
      <c r="B27" s="4" t="s">
        <v>324</v>
      </c>
      <c r="C27" s="4" t="s">
        <v>166</v>
      </c>
      <c r="D27" s="6" t="s">
        <v>329</v>
      </c>
      <c r="E27" s="6" t="s">
        <v>330</v>
      </c>
      <c r="F27" s="4" t="s">
        <v>331</v>
      </c>
      <c r="G27" s="4" t="s">
        <v>89</v>
      </c>
      <c r="H27" s="4" t="s">
        <v>19</v>
      </c>
      <c r="I27" s="4" t="s">
        <v>76</v>
      </c>
      <c r="J27" s="7" t="s">
        <v>77</v>
      </c>
      <c r="K27" s="6" t="s">
        <v>332</v>
      </c>
      <c r="L27" s="4" t="s">
        <v>29</v>
      </c>
      <c r="M27" s="4"/>
      <c r="N27" s="6" t="s">
        <v>79</v>
      </c>
    </row>
    <row r="28" spans="1:14" ht="30" customHeight="1">
      <c r="A28" s="3">
        <v>24</v>
      </c>
      <c r="B28" s="3" t="s">
        <v>324</v>
      </c>
      <c r="C28" s="3" t="s">
        <v>166</v>
      </c>
      <c r="D28" s="8" t="s">
        <v>333</v>
      </c>
      <c r="E28" s="8" t="s">
        <v>334</v>
      </c>
      <c r="F28" s="3" t="s">
        <v>335</v>
      </c>
      <c r="G28" s="3" t="s">
        <v>89</v>
      </c>
      <c r="H28" s="3" t="s">
        <v>19</v>
      </c>
      <c r="I28" s="3" t="s">
        <v>76</v>
      </c>
      <c r="J28" s="7" t="s">
        <v>77</v>
      </c>
      <c r="K28" s="8" t="s">
        <v>336</v>
      </c>
      <c r="L28" s="3" t="s">
        <v>29</v>
      </c>
      <c r="M28" s="3"/>
      <c r="N28" s="8" t="s">
        <v>79</v>
      </c>
    </row>
    <row r="29" spans="1:14" ht="30" customHeight="1">
      <c r="A29" s="4">
        <v>25</v>
      </c>
      <c r="B29" s="4" t="s">
        <v>324</v>
      </c>
      <c r="C29" s="4" t="s">
        <v>166</v>
      </c>
      <c r="D29" s="6" t="s">
        <v>340</v>
      </c>
      <c r="E29" s="6" t="s">
        <v>330</v>
      </c>
      <c r="F29" s="4" t="s">
        <v>341</v>
      </c>
      <c r="G29" s="4"/>
      <c r="H29" s="4" t="s">
        <v>19</v>
      </c>
      <c r="I29" s="4" t="s">
        <v>76</v>
      </c>
      <c r="J29" s="7" t="s">
        <v>77</v>
      </c>
      <c r="K29" s="6" t="s">
        <v>342</v>
      </c>
      <c r="L29" s="4" t="s">
        <v>29</v>
      </c>
      <c r="M29" s="4"/>
      <c r="N29" s="6" t="s">
        <v>79</v>
      </c>
    </row>
    <row r="30" spans="1:14" ht="30" customHeight="1">
      <c r="A30" s="3">
        <v>26</v>
      </c>
      <c r="B30" s="3" t="s">
        <v>324</v>
      </c>
      <c r="C30" s="3" t="s">
        <v>166</v>
      </c>
      <c r="D30" s="8" t="s">
        <v>343</v>
      </c>
      <c r="E30" s="8" t="s">
        <v>344</v>
      </c>
      <c r="F30" s="3" t="s">
        <v>345</v>
      </c>
      <c r="G30" s="3"/>
      <c r="H30" s="3" t="s">
        <v>19</v>
      </c>
      <c r="I30" s="3" t="s">
        <v>76</v>
      </c>
      <c r="J30" s="7" t="s">
        <v>77</v>
      </c>
      <c r="K30" s="8" t="s">
        <v>346</v>
      </c>
      <c r="L30" s="3" t="s">
        <v>29</v>
      </c>
      <c r="M30" s="3"/>
      <c r="N30" s="8" t="s">
        <v>79</v>
      </c>
    </row>
    <row r="31" spans="1:14" ht="30" customHeight="1">
      <c r="A31" s="4">
        <v>27</v>
      </c>
      <c r="B31" s="4" t="s">
        <v>324</v>
      </c>
      <c r="C31" s="4" t="s">
        <v>166</v>
      </c>
      <c r="D31" s="6" t="s">
        <v>347</v>
      </c>
      <c r="E31" s="6" t="s">
        <v>348</v>
      </c>
      <c r="F31" s="4" t="s">
        <v>349</v>
      </c>
      <c r="G31" s="4"/>
      <c r="H31" s="4" t="s">
        <v>18</v>
      </c>
      <c r="I31" s="4" t="s">
        <v>90</v>
      </c>
      <c r="J31" s="7" t="s">
        <v>77</v>
      </c>
      <c r="K31" s="6" t="s">
        <v>332</v>
      </c>
      <c r="L31" s="4" t="s">
        <v>29</v>
      </c>
      <c r="M31" s="4"/>
      <c r="N31" s="6" t="s">
        <v>79</v>
      </c>
    </row>
    <row r="32" spans="1:14" ht="30" customHeight="1">
      <c r="A32" s="3">
        <v>28</v>
      </c>
      <c r="B32" s="3" t="s">
        <v>350</v>
      </c>
      <c r="C32" s="3" t="s">
        <v>166</v>
      </c>
      <c r="D32" s="8" t="s">
        <v>351</v>
      </c>
      <c r="E32" s="8" t="s">
        <v>352</v>
      </c>
      <c r="F32" s="3" t="s">
        <v>353</v>
      </c>
      <c r="G32" s="3" t="s">
        <v>89</v>
      </c>
      <c r="H32" s="3" t="s">
        <v>19</v>
      </c>
      <c r="I32" s="3" t="s">
        <v>226</v>
      </c>
      <c r="J32" s="7" t="s">
        <v>77</v>
      </c>
      <c r="K32" s="8" t="s">
        <v>354</v>
      </c>
      <c r="L32" s="3" t="s">
        <v>29</v>
      </c>
      <c r="M32" s="3"/>
      <c r="N32" s="8"/>
    </row>
    <row r="33" spans="1:14" ht="30" customHeight="1">
      <c r="A33" s="4">
        <v>29</v>
      </c>
      <c r="B33" s="4" t="s">
        <v>222</v>
      </c>
      <c r="C33" s="4" t="s">
        <v>72</v>
      </c>
      <c r="D33" s="6" t="s">
        <v>228</v>
      </c>
      <c r="E33" s="6" t="s">
        <v>229</v>
      </c>
      <c r="F33" s="4" t="s">
        <v>230</v>
      </c>
      <c r="G33" s="4" t="s">
        <v>89</v>
      </c>
      <c r="H33" s="4" t="s">
        <v>20</v>
      </c>
      <c r="I33" s="4" t="s">
        <v>231</v>
      </c>
      <c r="J33" s="10" t="s">
        <v>134</v>
      </c>
      <c r="K33" s="6"/>
      <c r="L33" s="4" t="s">
        <v>27</v>
      </c>
      <c r="M33" s="4"/>
      <c r="N33" s="6"/>
    </row>
    <row r="34" spans="1:14" ht="30" customHeight="1">
      <c r="A34" s="3">
        <v>30</v>
      </c>
      <c r="B34" s="3" t="s">
        <v>222</v>
      </c>
      <c r="C34" s="3" t="s">
        <v>72</v>
      </c>
      <c r="D34" s="8"/>
      <c r="E34" s="8" t="s">
        <v>232</v>
      </c>
      <c r="F34" s="3" t="s">
        <v>233</v>
      </c>
      <c r="G34" s="3" t="s">
        <v>89</v>
      </c>
      <c r="H34" s="3" t="s">
        <v>19</v>
      </c>
      <c r="I34" s="3" t="s">
        <v>226</v>
      </c>
      <c r="J34" s="10" t="s">
        <v>134</v>
      </c>
      <c r="K34" s="8"/>
      <c r="L34" s="3" t="s">
        <v>27</v>
      </c>
      <c r="M34" s="3"/>
      <c r="N34" s="8"/>
    </row>
    <row r="35" spans="1:14" ht="30" customHeight="1">
      <c r="A35" s="4">
        <v>31</v>
      </c>
      <c r="B35" s="4" t="s">
        <v>222</v>
      </c>
      <c r="C35" s="4" t="s">
        <v>72</v>
      </c>
      <c r="D35" s="6"/>
      <c r="E35" s="6" t="s">
        <v>234</v>
      </c>
      <c r="F35" s="4" t="s">
        <v>235</v>
      </c>
      <c r="G35" s="4"/>
      <c r="H35" s="4" t="s">
        <v>19</v>
      </c>
      <c r="I35" s="4" t="s">
        <v>76</v>
      </c>
      <c r="J35" s="10" t="s">
        <v>134</v>
      </c>
      <c r="K35" s="6"/>
      <c r="L35" s="4" t="s">
        <v>27</v>
      </c>
      <c r="M35" s="4"/>
      <c r="N35" s="6"/>
    </row>
    <row r="36" spans="1:14" ht="30" customHeight="1">
      <c r="A36" s="3">
        <v>32</v>
      </c>
      <c r="B36" s="3" t="s">
        <v>239</v>
      </c>
      <c r="C36" s="3" t="s">
        <v>72</v>
      </c>
      <c r="D36" s="8" t="s">
        <v>240</v>
      </c>
      <c r="E36" s="8" t="s">
        <v>241</v>
      </c>
      <c r="F36" s="3" t="s">
        <v>242</v>
      </c>
      <c r="G36" s="3"/>
      <c r="H36" s="3" t="s">
        <v>19</v>
      </c>
      <c r="I36" s="3" t="s">
        <v>226</v>
      </c>
      <c r="J36" s="10" t="s">
        <v>134</v>
      </c>
      <c r="K36" s="8"/>
      <c r="L36" s="3" t="s">
        <v>27</v>
      </c>
      <c r="M36" s="3"/>
      <c r="N36" s="8"/>
    </row>
    <row r="37" spans="1:14" ht="30" customHeight="1">
      <c r="A37" s="4">
        <v>33</v>
      </c>
      <c r="B37" s="4" t="s">
        <v>254</v>
      </c>
      <c r="C37" s="4" t="s">
        <v>72</v>
      </c>
      <c r="D37" s="6" t="s">
        <v>255</v>
      </c>
      <c r="E37" s="6" t="s">
        <v>256</v>
      </c>
      <c r="F37" s="4" t="s">
        <v>257</v>
      </c>
      <c r="G37" s="4"/>
      <c r="H37" s="4" t="s">
        <v>19</v>
      </c>
      <c r="I37" s="4" t="s">
        <v>76</v>
      </c>
      <c r="J37" s="10" t="s">
        <v>134</v>
      </c>
      <c r="K37" s="6"/>
      <c r="L37" s="4" t="s">
        <v>27</v>
      </c>
      <c r="M37" s="4"/>
      <c r="N37" s="6"/>
    </row>
    <row r="38" spans="1:14" ht="30" customHeight="1">
      <c r="A38" s="3">
        <v>34</v>
      </c>
      <c r="B38" s="3" t="s">
        <v>254</v>
      </c>
      <c r="C38" s="3" t="s">
        <v>72</v>
      </c>
      <c r="D38" s="8" t="s">
        <v>262</v>
      </c>
      <c r="E38" s="8" t="s">
        <v>263</v>
      </c>
      <c r="F38" s="3" t="s">
        <v>264</v>
      </c>
      <c r="G38" s="3"/>
      <c r="H38" s="3" t="s">
        <v>20</v>
      </c>
      <c r="I38" s="3" t="s">
        <v>231</v>
      </c>
      <c r="J38" s="10" t="s">
        <v>134</v>
      </c>
      <c r="K38" s="8"/>
      <c r="L38" s="3" t="s">
        <v>27</v>
      </c>
      <c r="M38" s="3"/>
      <c r="N38" s="8"/>
    </row>
    <row r="39" spans="1:14" ht="30" customHeight="1">
      <c r="A39" s="4">
        <v>35</v>
      </c>
      <c r="B39" s="4" t="s">
        <v>254</v>
      </c>
      <c r="C39" s="4" t="s">
        <v>72</v>
      </c>
      <c r="D39" s="6" t="s">
        <v>265</v>
      </c>
      <c r="E39" s="6" t="s">
        <v>266</v>
      </c>
      <c r="F39" s="4" t="s">
        <v>267</v>
      </c>
      <c r="G39" s="4"/>
      <c r="H39" s="4" t="s">
        <v>20</v>
      </c>
      <c r="I39" s="4" t="s">
        <v>231</v>
      </c>
      <c r="J39" s="10" t="s">
        <v>134</v>
      </c>
      <c r="K39" s="6"/>
      <c r="L39" s="4" t="s">
        <v>27</v>
      </c>
      <c r="M39" s="4"/>
      <c r="N39" s="6"/>
    </row>
    <row r="40" spans="1:14" ht="30" customHeight="1">
      <c r="A40" s="3">
        <v>36</v>
      </c>
      <c r="B40" s="3" t="s">
        <v>239</v>
      </c>
      <c r="C40" s="3" t="s">
        <v>72</v>
      </c>
      <c r="D40" s="8" t="s">
        <v>247</v>
      </c>
      <c r="E40" s="8" t="s">
        <v>248</v>
      </c>
      <c r="F40" s="3" t="s">
        <v>249</v>
      </c>
      <c r="G40" s="3" t="s">
        <v>89</v>
      </c>
      <c r="H40" s="3" t="s">
        <v>18</v>
      </c>
      <c r="I40" s="3" t="s">
        <v>90</v>
      </c>
      <c r="J40" s="10" t="s">
        <v>134</v>
      </c>
      <c r="K40" s="8"/>
      <c r="L40" s="3" t="s">
        <v>28</v>
      </c>
      <c r="M40" s="3"/>
      <c r="N40" s="8"/>
    </row>
    <row r="41" spans="1:14" ht="30" customHeight="1">
      <c r="A41" s="4">
        <v>37</v>
      </c>
      <c r="B41" s="4" t="s">
        <v>222</v>
      </c>
      <c r="C41" s="4" t="s">
        <v>72</v>
      </c>
      <c r="D41" s="6" t="s">
        <v>223</v>
      </c>
      <c r="E41" s="6" t="s">
        <v>224</v>
      </c>
      <c r="F41" s="4" t="s">
        <v>225</v>
      </c>
      <c r="G41" s="4"/>
      <c r="H41" s="4" t="s">
        <v>19</v>
      </c>
      <c r="I41" s="4" t="s">
        <v>226</v>
      </c>
      <c r="J41" s="7" t="s">
        <v>77</v>
      </c>
      <c r="K41" s="6" t="s">
        <v>227</v>
      </c>
      <c r="L41" s="4" t="s">
        <v>29</v>
      </c>
      <c r="M41" s="4"/>
      <c r="N41" s="6"/>
    </row>
    <row r="42" spans="1:14" ht="30" customHeight="1">
      <c r="A42" s="3">
        <v>38</v>
      </c>
      <c r="B42" s="3" t="s">
        <v>222</v>
      </c>
      <c r="C42" s="3" t="s">
        <v>72</v>
      </c>
      <c r="D42" s="8"/>
      <c r="E42" s="8" t="s">
        <v>236</v>
      </c>
      <c r="F42" s="3" t="s">
        <v>237</v>
      </c>
      <c r="G42" s="3"/>
      <c r="H42" s="3" t="s">
        <v>19</v>
      </c>
      <c r="I42" s="3" t="s">
        <v>226</v>
      </c>
      <c r="J42" s="7" t="s">
        <v>77</v>
      </c>
      <c r="K42" s="8" t="s">
        <v>238</v>
      </c>
      <c r="L42" s="3" t="s">
        <v>29</v>
      </c>
      <c r="M42" s="3"/>
      <c r="N42" s="8"/>
    </row>
    <row r="43" spans="1:14" ht="30" customHeight="1">
      <c r="A43" s="4">
        <v>39</v>
      </c>
      <c r="B43" s="4" t="s">
        <v>239</v>
      </c>
      <c r="C43" s="4" t="s">
        <v>72</v>
      </c>
      <c r="D43" s="6" t="s">
        <v>243</v>
      </c>
      <c r="E43" s="6" t="s">
        <v>244</v>
      </c>
      <c r="F43" s="4" t="inlineStr">
        <is>
          <t xml:space="preserve">SH-FM-WI001-02</t>
        </is>
      </c>
      <c r="G43" s="4" t="s">
        <v>89</v>
      </c>
      <c r="H43" s="4" t="s">
        <v>19</v>
      </c>
      <c r="I43" s="4" t="s">
        <v>226</v>
      </c>
      <c r="J43" s="7" t="inlineStr">
        <is>
          <t xml:space="preserve">기존 절차 연계</t>
        </is>
      </c>
      <c r="K43" s="6" t="inlineStr">
        <is>
          <t xml:space="preserve">SH-WI-001(생산 작업준비 및 초품확인 표준)  [확정 2026-09-22: 기존 추정 SH-QP-013(ratio=0.10) 대비 대안 채택(ratio=0.62) — 품질경영담당 일괄판단, 부서 정식회신 생략]</t>
        </is>
      </c>
      <c r="L43" s="4" t="s">
        <v>29</v>
      </c>
      <c r="M43" s="4"/>
      <c r="N43" s="6" t="s">
        <v>85</v>
      </c>
    </row>
    <row r="44" spans="1:14" ht="30" customHeight="1">
      <c r="A44" s="3">
        <v>40</v>
      </c>
      <c r="B44" s="3" t="s">
        <v>239</v>
      </c>
      <c r="C44" s="3" t="s">
        <v>72</v>
      </c>
      <c r="D44" s="8" t="s">
        <v>250</v>
      </c>
      <c r="E44" s="8" t="s">
        <v>251</v>
      </c>
      <c r="F44" s="3" t="s">
        <v>252</v>
      </c>
      <c r="G44" s="3" t="s">
        <v>89</v>
      </c>
      <c r="H44" s="3" t="s">
        <v>19</v>
      </c>
      <c r="I44" s="3" t="s">
        <v>226</v>
      </c>
      <c r="J44" s="7" t="s">
        <v>77</v>
      </c>
      <c r="K44" s="8" t="s">
        <v>253</v>
      </c>
      <c r="L44" s="3" t="s">
        <v>29</v>
      </c>
      <c r="M44" s="3"/>
      <c r="N44" s="8" t="s">
        <v>79</v>
      </c>
    </row>
    <row r="45" spans="1:14" ht="30" customHeight="1">
      <c r="A45" s="4">
        <v>41</v>
      </c>
      <c r="B45" s="4" t="s">
        <v>254</v>
      </c>
      <c r="C45" s="4" t="s">
        <v>72</v>
      </c>
      <c r="D45" s="6" t="s">
        <v>258</v>
      </c>
      <c r="E45" s="6" t="s">
        <v>259</v>
      </c>
      <c r="F45" s="4" t="inlineStr">
        <is>
          <t xml:space="preserve">SH-FM-WI027-03</t>
        </is>
      </c>
      <c r="G45" s="4"/>
      <c r="H45" s="4" t="s">
        <v>19</v>
      </c>
      <c r="I45" s="4" t="s">
        <v>76</v>
      </c>
      <c r="J45" s="7" t="inlineStr">
        <is>
          <t xml:space="preserve">기존 절차 연계</t>
        </is>
      </c>
      <c r="K45" s="6" t="inlineStr">
        <is>
          <t xml:space="preserve">SH-WI-027(검사성적서 및 품질기록 작성표준)  [확정 2026-09-22: 기존 추정 SH-WI-006(ratio=0.02) 대비 대안 채택(ratio=0.66) — 품질경영담당 일괄판단, 부서 정식회신 생략]</t>
        </is>
      </c>
      <c r="L45" s="4" t="s">
        <v>29</v>
      </c>
      <c r="M45" s="4"/>
      <c r="N45" s="6" t="s">
        <v>85</v>
      </c>
    </row>
    <row r="46" spans="1:14" ht="30" customHeight="1">
      <c r="A46" s="3">
        <v>42</v>
      </c>
      <c r="B46" s="3" t="s">
        <v>268</v>
      </c>
      <c r="C46" s="3" t="s">
        <v>72</v>
      </c>
      <c r="D46" s="8" t="s">
        <v>269</v>
      </c>
      <c r="E46" s="8" t="s">
        <v>270</v>
      </c>
      <c r="F46" s="3" t="s">
        <v>271</v>
      </c>
      <c r="G46" s="3"/>
      <c r="H46" s="3" t="s">
        <v>19</v>
      </c>
      <c r="I46" s="3" t="s">
        <v>226</v>
      </c>
      <c r="J46" s="7" t="s">
        <v>77</v>
      </c>
      <c r="K46" s="8" t="s">
        <v>272</v>
      </c>
      <c r="L46" s="3" t="s">
        <v>29</v>
      </c>
      <c r="M46" s="3"/>
      <c r="N46" s="8"/>
    </row>
    <row r="47" spans="1:14" ht="30" customHeight="1">
      <c r="A47" s="4">
        <v>43</v>
      </c>
      <c r="B47" s="4" t="s">
        <v>268</v>
      </c>
      <c r="C47" s="4" t="s">
        <v>72</v>
      </c>
      <c r="D47" s="6" t="s">
        <v>273</v>
      </c>
      <c r="E47" s="6" t="s">
        <v>274</v>
      </c>
      <c r="F47" s="4" t="s">
        <v>275</v>
      </c>
      <c r="G47" s="4"/>
      <c r="H47" s="4" t="s">
        <v>19</v>
      </c>
      <c r="I47" s="4" t="s">
        <v>226</v>
      </c>
      <c r="J47" s="7" t="s">
        <v>77</v>
      </c>
      <c r="K47" s="6" t="s">
        <v>276</v>
      </c>
      <c r="L47" s="4" t="s">
        <v>29</v>
      </c>
      <c r="M47" s="4"/>
      <c r="N47" s="6" t="s">
        <v>79</v>
      </c>
    </row>
    <row r="48" spans="1:14" ht="30" customHeight="1">
      <c r="A48" s="3">
        <v>44</v>
      </c>
      <c r="B48" s="3" t="s">
        <v>268</v>
      </c>
      <c r="C48" s="3" t="s">
        <v>72</v>
      </c>
      <c r="D48" s="8" t="s">
        <v>277</v>
      </c>
      <c r="E48" s="8" t="s">
        <v>278</v>
      </c>
      <c r="F48" s="3" t="s">
        <v>279</v>
      </c>
      <c r="G48" s="3"/>
      <c r="H48" s="3" t="s">
        <v>19</v>
      </c>
      <c r="I48" s="3" t="s">
        <v>226</v>
      </c>
      <c r="J48" s="7" t="s">
        <v>77</v>
      </c>
      <c r="K48" s="8" t="s">
        <v>276</v>
      </c>
      <c r="L48" s="3" t="s">
        <v>30</v>
      </c>
      <c r="M48" s="3"/>
      <c r="N48" s="8" t="s">
        <v>79</v>
      </c>
    </row>
    <row r="49" spans="1:14" ht="30" customHeight="1">
      <c r="A49" s="4">
        <v>45</v>
      </c>
      <c r="B49" s="4" t="s">
        <v>268</v>
      </c>
      <c r="C49" s="4" t="s">
        <v>72</v>
      </c>
      <c r="D49" s="6" t="s">
        <v>280</v>
      </c>
      <c r="E49" s="6" t="s">
        <v>281</v>
      </c>
      <c r="F49" s="4" t="s">
        <v>282</v>
      </c>
      <c r="G49" s="4"/>
      <c r="H49" s="4" t="s">
        <v>19</v>
      </c>
      <c r="I49" s="4" t="s">
        <v>226</v>
      </c>
      <c r="J49" s="7" t="s">
        <v>77</v>
      </c>
      <c r="K49" s="6" t="s">
        <v>283</v>
      </c>
      <c r="L49" s="4" t="s">
        <v>30</v>
      </c>
      <c r="M49" s="4"/>
      <c r="N49" s="6" t="s">
        <v>79</v>
      </c>
    </row>
    <row r="50" spans="1:14" ht="30" customHeight="1">
      <c r="A50" s="3">
        <v>46</v>
      </c>
      <c r="B50" s="3" t="s">
        <v>268</v>
      </c>
      <c r="C50" s="3" t="s">
        <v>72</v>
      </c>
      <c r="D50" s="8"/>
      <c r="E50" s="8" t="s">
        <v>284</v>
      </c>
      <c r="F50" s="3" t="s">
        <v>285</v>
      </c>
      <c r="G50" s="3"/>
      <c r="H50" s="3" t="s">
        <v>19</v>
      </c>
      <c r="I50" s="3" t="s">
        <v>226</v>
      </c>
      <c r="J50" s="7" t="s">
        <v>77</v>
      </c>
      <c r="K50" s="8" t="s">
        <v>283</v>
      </c>
      <c r="L50" s="3" t="s">
        <v>30</v>
      </c>
      <c r="M50" s="3"/>
      <c r="N50" s="8" t="s">
        <v>79</v>
      </c>
    </row>
    <row r="51" spans="1:14" ht="30" customHeight="1">
      <c r="A51" s="4">
        <v>47</v>
      </c>
      <c r="B51" s="4" t="s">
        <v>268</v>
      </c>
      <c r="C51" s="4" t="s">
        <v>72</v>
      </c>
      <c r="D51" s="6" t="s">
        <v>286</v>
      </c>
      <c r="E51" s="6" t="s">
        <v>287</v>
      </c>
      <c r="F51" s="4" t="s">
        <v>288</v>
      </c>
      <c r="G51" s="4"/>
      <c r="H51" s="4" t="s">
        <v>19</v>
      </c>
      <c r="I51" s="4" t="s">
        <v>289</v>
      </c>
      <c r="J51" s="7" t="s">
        <v>77</v>
      </c>
      <c r="K51" s="6" t="s">
        <v>290</v>
      </c>
      <c r="L51" s="4" t="s">
        <v>30</v>
      </c>
      <c r="M51" s="4"/>
      <c r="N51" s="6" t="s">
        <v>79</v>
      </c>
    </row>
    <row r="52" spans="1:14" ht="30" customHeight="1">
      <c r="A52" s="3">
        <v>48</v>
      </c>
      <c r="B52" s="3" t="s">
        <v>268</v>
      </c>
      <c r="C52" s="3" t="s">
        <v>72</v>
      </c>
      <c r="D52" s="8" t="s">
        <v>291</v>
      </c>
      <c r="E52" s="8" t="s">
        <v>292</v>
      </c>
      <c r="F52" s="3" t="s">
        <v>293</v>
      </c>
      <c r="G52" s="3"/>
      <c r="H52" s="3" t="s">
        <v>19</v>
      </c>
      <c r="I52" s="3" t="s">
        <v>289</v>
      </c>
      <c r="J52" s="7" t="s">
        <v>77</v>
      </c>
      <c r="K52" s="8" t="s">
        <v>294</v>
      </c>
      <c r="L52" s="3" t="s">
        <v>30</v>
      </c>
      <c r="M52" s="3"/>
      <c r="N52" s="8" t="s">
        <v>79</v>
      </c>
    </row>
    <row r="53" spans="1:14" ht="30" customHeight="1">
      <c r="A53" s="4">
        <v>49</v>
      </c>
      <c r="B53" s="4" t="s">
        <v>268</v>
      </c>
      <c r="C53" s="4" t="s">
        <v>72</v>
      </c>
      <c r="D53" s="6" t="s">
        <v>295</v>
      </c>
      <c r="E53" s="6" t="s">
        <v>296</v>
      </c>
      <c r="F53" s="4" t="s">
        <v>297</v>
      </c>
      <c r="G53" s="4"/>
      <c r="H53" s="4" t="s">
        <v>19</v>
      </c>
      <c r="I53" s="4" t="s">
        <v>289</v>
      </c>
      <c r="J53" s="7" t="s">
        <v>77</v>
      </c>
      <c r="K53" s="6" t="s">
        <v>298</v>
      </c>
      <c r="L53" s="4" t="s">
        <v>30</v>
      </c>
      <c r="M53" s="4"/>
      <c r="N53" s="6" t="s">
        <v>79</v>
      </c>
    </row>
    <row r="54" spans="1:14" ht="30" customHeight="1">
      <c r="A54" s="3">
        <v>50</v>
      </c>
      <c r="B54" s="3" t="s">
        <v>268</v>
      </c>
      <c r="C54" s="3" t="s">
        <v>72</v>
      </c>
      <c r="D54" s="8" t="s">
        <v>299</v>
      </c>
      <c r="E54" s="8" t="s">
        <v>300</v>
      </c>
      <c r="F54" s="3" t="s">
        <v>301</v>
      </c>
      <c r="G54" s="3"/>
      <c r="H54" s="3" t="s">
        <v>19</v>
      </c>
      <c r="I54" s="3" t="s">
        <v>289</v>
      </c>
      <c r="J54" s="7" t="s">
        <v>77</v>
      </c>
      <c r="K54" s="8" t="s">
        <v>302</v>
      </c>
      <c r="L54" s="3" t="s">
        <v>30</v>
      </c>
      <c r="M54" s="3"/>
      <c r="N54" s="8"/>
    </row>
    <row r="55" spans="1:14" ht="30" customHeight="1">
      <c r="A55" s="4">
        <v>51</v>
      </c>
      <c r="B55" s="4" t="s">
        <v>268</v>
      </c>
      <c r="C55" s="4" t="s">
        <v>72</v>
      </c>
      <c r="D55" s="6" t="s">
        <v>303</v>
      </c>
      <c r="E55" s="6" t="s">
        <v>304</v>
      </c>
      <c r="F55" s="4" t="s">
        <v>305</v>
      </c>
      <c r="G55" s="4" t="s">
        <v>89</v>
      </c>
      <c r="H55" s="4" t="s">
        <v>19</v>
      </c>
      <c r="I55" s="4" t="s">
        <v>289</v>
      </c>
      <c r="J55" s="7" t="s">
        <v>77</v>
      </c>
      <c r="K55" s="6" t="s">
        <v>306</v>
      </c>
      <c r="L55" s="4" t="s">
        <v>30</v>
      </c>
      <c r="M55" s="4"/>
      <c r="N55" s="6" t="s">
        <v>79</v>
      </c>
    </row>
    <row r="56" spans="1:14" ht="30" customHeight="1">
      <c r="A56" s="3">
        <v>52</v>
      </c>
      <c r="B56" s="3" t="s">
        <v>268</v>
      </c>
      <c r="C56" s="3" t="s">
        <v>72</v>
      </c>
      <c r="D56" s="8" t="s">
        <v>307</v>
      </c>
      <c r="E56" s="8" t="s">
        <v>308</v>
      </c>
      <c r="F56" s="3" t="s">
        <v>309</v>
      </c>
      <c r="G56" s="3" t="s">
        <v>89</v>
      </c>
      <c r="H56" s="3" t="s">
        <v>19</v>
      </c>
      <c r="I56" s="3" t="s">
        <v>289</v>
      </c>
      <c r="J56" s="7" t="s">
        <v>77</v>
      </c>
      <c r="K56" s="8" t="s">
        <v>310</v>
      </c>
      <c r="L56" s="3" t="s">
        <v>30</v>
      </c>
      <c r="M56" s="3"/>
      <c r="N56" s="8"/>
    </row>
    <row r="57" spans="1:14" ht="30" customHeight="1">
      <c r="A57" s="4">
        <v>53</v>
      </c>
      <c r="B57" s="4" t="s">
        <v>311</v>
      </c>
      <c r="C57" s="4" t="s">
        <v>72</v>
      </c>
      <c r="D57" s="6" t="s">
        <v>312</v>
      </c>
      <c r="E57" s="6" t="s">
        <v>313</v>
      </c>
      <c r="F57" s="4" t="s">
        <v>314</v>
      </c>
      <c r="G57" s="4"/>
      <c r="H57" s="4" t="s">
        <v>19</v>
      </c>
      <c r="I57" s="4" t="s">
        <v>226</v>
      </c>
      <c r="J57" s="7" t="s">
        <v>77</v>
      </c>
      <c r="K57" s="6" t="s">
        <v>315</v>
      </c>
      <c r="L57" s="4" t="s">
        <v>30</v>
      </c>
      <c r="M57" s="4"/>
      <c r="N57" s="6" t="s">
        <v>79</v>
      </c>
    </row>
    <row r="58" spans="1:14" ht="30" customHeight="1">
      <c r="A58" s="3">
        <v>54</v>
      </c>
      <c r="B58" s="3" t="s">
        <v>311</v>
      </c>
      <c r="C58" s="3" t="s">
        <v>72</v>
      </c>
      <c r="D58" s="8" t="s">
        <v>316</v>
      </c>
      <c r="E58" s="8" t="s">
        <v>317</v>
      </c>
      <c r="F58" s="3" t="s">
        <v>318</v>
      </c>
      <c r="G58" s="3"/>
      <c r="H58" s="3" t="s">
        <v>19</v>
      </c>
      <c r="I58" s="3" t="s">
        <v>226</v>
      </c>
      <c r="J58" s="7" t="s">
        <v>77</v>
      </c>
      <c r="K58" s="8" t="s">
        <v>319</v>
      </c>
      <c r="L58" s="3" t="s">
        <v>30</v>
      </c>
      <c r="M58" s="3"/>
      <c r="N58" s="8"/>
    </row>
    <row r="59" spans="1:14" ht="30" customHeight="1">
      <c r="A59" s="4">
        <v>55</v>
      </c>
      <c r="B59" s="4" t="s">
        <v>311</v>
      </c>
      <c r="C59" s="4" t="s">
        <v>72</v>
      </c>
      <c r="D59" s="6" t="s">
        <v>320</v>
      </c>
      <c r="E59" s="6" t="s">
        <v>321</v>
      </c>
      <c r="F59" s="4" t="s">
        <v>322</v>
      </c>
      <c r="G59" s="4"/>
      <c r="H59" s="4" t="s">
        <v>19</v>
      </c>
      <c r="I59" s="4" t="s">
        <v>226</v>
      </c>
      <c r="J59" s="7" t="s">
        <v>77</v>
      </c>
      <c r="K59" s="6" t="s">
        <v>323</v>
      </c>
      <c r="L59" s="4" t="s">
        <v>30</v>
      </c>
      <c r="M59" s="4"/>
      <c r="N59" s="6"/>
    </row>
  </sheetData>
  <autoFilter ref="A4:N59" xr:uid="{00000000-0009-0000-0000-000006000000}"/>
  <mergeCells count="3">
    <mergeCell ref="A3:N3"/>
    <mergeCell ref="A2:N2"/>
    <mergeCell ref="A1:N1"/>
  </mergeCells>
  <phoneticPr fontId="15" type="noConversion"/>
  <dataValidations count="1">
    <dataValidation type="list" allowBlank="1" sqref="M5:M59" xr:uid="{00000000-0002-0000-0600-000000000000}">
      <formula1>"미착수,진행중,완료,해당없음"</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2"/>
  <sheetViews>
    <sheetView showGridLines="0" workbookViewId="0">
      <pane ySplit="4" topLeftCell="A5" activePane="bottomLeft" state="frozen"/>
      <selection pane="bottomLeft" sqref="A1:N1"/>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984</v>
      </c>
      <c r="B1" s="25"/>
      <c r="C1" s="25"/>
      <c r="D1" s="25"/>
      <c r="E1" s="25"/>
      <c r="F1" s="25"/>
      <c r="G1" s="25"/>
      <c r="H1" s="25"/>
      <c r="I1" s="25"/>
      <c r="J1" s="25"/>
      <c r="K1" s="25"/>
      <c r="L1" s="25"/>
      <c r="M1" s="25"/>
      <c r="N1" s="25"/>
    </row>
    <row r="2" spans="1:14" ht="15.95" customHeight="1">
      <c r="A2" s="27" t="s">
        <v>985</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384</v>
      </c>
      <c r="C5" s="4" t="s">
        <v>72</v>
      </c>
      <c r="D5" s="6" t="s">
        <v>398</v>
      </c>
      <c r="E5" s="6" t="s">
        <v>399</v>
      </c>
      <c r="F5" s="4" t="s">
        <v>400</v>
      </c>
      <c r="G5" s="4"/>
      <c r="H5" s="4" t="s">
        <v>18</v>
      </c>
      <c r="I5" s="4" t="s">
        <v>373</v>
      </c>
      <c r="J5" s="10" t="s">
        <v>134</v>
      </c>
      <c r="K5" s="6"/>
      <c r="L5" s="4" t="s">
        <v>27</v>
      </c>
      <c r="M5" s="4"/>
      <c r="N5" s="6"/>
    </row>
    <row r="6" spans="1:14" ht="30" customHeight="1">
      <c r="A6" s="3">
        <v>2</v>
      </c>
      <c r="B6" s="3" t="s">
        <v>442</v>
      </c>
      <c r="C6" s="3" t="s">
        <v>72</v>
      </c>
      <c r="D6" s="8" t="s">
        <v>447</v>
      </c>
      <c r="E6" s="8" t="s">
        <v>448</v>
      </c>
      <c r="F6" s="3" t="s">
        <v>449</v>
      </c>
      <c r="G6" s="3"/>
      <c r="H6" s="3" t="s">
        <v>18</v>
      </c>
      <c r="I6" s="3" t="s">
        <v>446</v>
      </c>
      <c r="J6" s="10" t="s">
        <v>134</v>
      </c>
      <c r="K6" s="8"/>
      <c r="L6" s="3" t="s">
        <v>27</v>
      </c>
      <c r="M6" s="3"/>
      <c r="N6" s="8"/>
    </row>
    <row r="7" spans="1:14" ht="30" customHeight="1">
      <c r="A7" s="4">
        <v>3</v>
      </c>
      <c r="B7" s="4" t="s">
        <v>442</v>
      </c>
      <c r="C7" s="4" t="s">
        <v>72</v>
      </c>
      <c r="D7" s="6" t="s">
        <v>450</v>
      </c>
      <c r="E7" s="6" t="s">
        <v>451</v>
      </c>
      <c r="F7" s="4" t="s">
        <v>452</v>
      </c>
      <c r="G7" s="4"/>
      <c r="H7" s="4" t="s">
        <v>18</v>
      </c>
      <c r="I7" s="4" t="s">
        <v>446</v>
      </c>
      <c r="J7" s="10" t="s">
        <v>134</v>
      </c>
      <c r="K7" s="6"/>
      <c r="L7" s="4" t="s">
        <v>27</v>
      </c>
      <c r="M7" s="4"/>
      <c r="N7" s="6"/>
    </row>
    <row r="8" spans="1:14" ht="30" customHeight="1">
      <c r="A8" s="3">
        <v>4</v>
      </c>
      <c r="B8" s="3" t="s">
        <v>460</v>
      </c>
      <c r="C8" s="3" t="s">
        <v>72</v>
      </c>
      <c r="D8" s="8" t="s">
        <v>463</v>
      </c>
      <c r="E8" s="8" t="s">
        <v>448</v>
      </c>
      <c r="F8" s="3" t="s">
        <v>464</v>
      </c>
      <c r="G8" s="3"/>
      <c r="H8" s="3" t="s">
        <v>18</v>
      </c>
      <c r="I8" s="3" t="s">
        <v>178</v>
      </c>
      <c r="J8" s="10" t="s">
        <v>134</v>
      </c>
      <c r="K8" s="8"/>
      <c r="L8" s="3" t="s">
        <v>27</v>
      </c>
      <c r="M8" s="3"/>
      <c r="N8" s="8"/>
    </row>
    <row r="9" spans="1:14" ht="30" customHeight="1">
      <c r="A9" s="4">
        <v>5</v>
      </c>
      <c r="B9" s="4" t="s">
        <v>401</v>
      </c>
      <c r="C9" s="4" t="s">
        <v>72</v>
      </c>
      <c r="D9" s="6" t="s">
        <v>402</v>
      </c>
      <c r="E9" s="6" t="s">
        <v>403</v>
      </c>
      <c r="F9" s="4" t="s">
        <v>404</v>
      </c>
      <c r="G9" s="4"/>
      <c r="H9" s="4" t="s">
        <v>21</v>
      </c>
      <c r="I9" s="4" t="s">
        <v>178</v>
      </c>
      <c r="J9" s="10" t="s">
        <v>134</v>
      </c>
      <c r="K9" s="6"/>
      <c r="L9" s="4" t="s">
        <v>28</v>
      </c>
      <c r="M9" s="4"/>
      <c r="N9" s="6" t="s">
        <v>405</v>
      </c>
    </row>
    <row r="10" spans="1:14" ht="30" customHeight="1">
      <c r="A10" s="3">
        <v>6</v>
      </c>
      <c r="B10" s="3" t="s">
        <v>401</v>
      </c>
      <c r="C10" s="3" t="s">
        <v>72</v>
      </c>
      <c r="D10" s="8" t="s">
        <v>406</v>
      </c>
      <c r="E10" s="8" t="s">
        <v>407</v>
      </c>
      <c r="F10" s="3" t="s">
        <v>408</v>
      </c>
      <c r="G10" s="3"/>
      <c r="H10" s="3" t="s">
        <v>21</v>
      </c>
      <c r="I10" s="3" t="s">
        <v>178</v>
      </c>
      <c r="J10" s="10" t="s">
        <v>134</v>
      </c>
      <c r="K10" s="8"/>
      <c r="L10" s="3" t="s">
        <v>28</v>
      </c>
      <c r="M10" s="3"/>
      <c r="N10" s="8"/>
    </row>
    <row r="11" spans="1:14" ht="30" customHeight="1">
      <c r="A11" s="4">
        <v>7</v>
      </c>
      <c r="B11" s="4" t="s">
        <v>401</v>
      </c>
      <c r="C11" s="4" t="s">
        <v>72</v>
      </c>
      <c r="D11" s="6" t="s">
        <v>409</v>
      </c>
      <c r="E11" s="6" t="s">
        <v>410</v>
      </c>
      <c r="F11" s="4" t="s">
        <v>411</v>
      </c>
      <c r="G11" s="4"/>
      <c r="H11" s="4" t="s">
        <v>21</v>
      </c>
      <c r="I11" s="4" t="s">
        <v>178</v>
      </c>
      <c r="J11" s="10" t="s">
        <v>134</v>
      </c>
      <c r="K11" s="6"/>
      <c r="L11" s="4" t="s">
        <v>28</v>
      </c>
      <c r="M11" s="4"/>
      <c r="N11" s="6"/>
    </row>
    <row r="12" spans="1:14" ht="30" customHeight="1">
      <c r="A12" s="3">
        <v>8</v>
      </c>
      <c r="B12" s="3" t="s">
        <v>401</v>
      </c>
      <c r="C12" s="3" t="s">
        <v>72</v>
      </c>
      <c r="D12" s="8" t="s">
        <v>412</v>
      </c>
      <c r="E12" s="8" t="s">
        <v>413</v>
      </c>
      <c r="F12" s="3" t="s">
        <v>414</v>
      </c>
      <c r="G12" s="3" t="s">
        <v>415</v>
      </c>
      <c r="H12" s="3" t="s">
        <v>21</v>
      </c>
      <c r="I12" s="3" t="s">
        <v>178</v>
      </c>
      <c r="J12" s="10" t="s">
        <v>134</v>
      </c>
      <c r="K12" s="8"/>
      <c r="L12" s="3" t="s">
        <v>28</v>
      </c>
      <c r="M12" s="3"/>
      <c r="N12" s="8"/>
    </row>
    <row r="13" spans="1:14" ht="30" customHeight="1">
      <c r="A13" s="4">
        <v>9</v>
      </c>
      <c r="B13" s="4" t="s">
        <v>401</v>
      </c>
      <c r="C13" s="4" t="s">
        <v>72</v>
      </c>
      <c r="D13" s="6" t="s">
        <v>420</v>
      </c>
      <c r="E13" s="6" t="s">
        <v>421</v>
      </c>
      <c r="F13" s="4" t="inlineStr">
        <is>
          <t xml:space="preserve">SH-FM-QP015-01</t>
        </is>
      </c>
      <c r="G13" s="4"/>
      <c r="H13" s="4" t="s">
        <v>21</v>
      </c>
      <c r="I13" s="4" t="s">
        <v>178</v>
      </c>
      <c r="J13" s="7" t="inlineStr">
        <is>
          <t xml:space="preserve">기존 절차 연계</t>
        </is>
      </c>
      <c r="K13" s="6" t="inlineStr">
        <is>
          <t xml:space="preserve">SH-QP-015(변경관리 절차서)  [확정 2026-09-22: 신규 발견 연계 채택(ratio=0.67) — 품질경영담당 일괄판단, 부서 정식회신 생략]</t>
        </is>
      </c>
      <c r="L13" s="4" t="s">
        <v>28</v>
      </c>
      <c r="M13" s="4"/>
      <c r="N13" s="6" t="s">
        <v>138</v>
      </c>
    </row>
    <row r="14" spans="1:14" ht="30" customHeight="1">
      <c r="A14" s="3">
        <v>10</v>
      </c>
      <c r="B14" s="3" t="s">
        <v>442</v>
      </c>
      <c r="C14" s="3" t="s">
        <v>72</v>
      </c>
      <c r="D14" s="8" t="s">
        <v>443</v>
      </c>
      <c r="E14" s="8" t="s">
        <v>444</v>
      </c>
      <c r="F14" s="3" t="s">
        <v>445</v>
      </c>
      <c r="G14" s="3"/>
      <c r="H14" s="3" t="s">
        <v>23</v>
      </c>
      <c r="I14" s="3" t="s">
        <v>446</v>
      </c>
      <c r="J14" s="10" t="s">
        <v>134</v>
      </c>
      <c r="K14" s="8"/>
      <c r="L14" s="3" t="s">
        <v>28</v>
      </c>
      <c r="M14" s="3"/>
      <c r="N14" s="8"/>
    </row>
    <row r="15" spans="1:14" ht="30" customHeight="1">
      <c r="A15" s="4">
        <v>11</v>
      </c>
      <c r="B15" s="4" t="s">
        <v>468</v>
      </c>
      <c r="C15" s="4" t="s">
        <v>72</v>
      </c>
      <c r="D15" s="6" t="s">
        <v>469</v>
      </c>
      <c r="E15" s="6" t="s">
        <v>470</v>
      </c>
      <c r="F15" s="4" t="s">
        <v>471</v>
      </c>
      <c r="G15" s="4"/>
      <c r="H15" s="4" t="s">
        <v>18</v>
      </c>
      <c r="I15" s="4" t="s">
        <v>90</v>
      </c>
      <c r="J15" s="10" t="s">
        <v>134</v>
      </c>
      <c r="K15" s="6"/>
      <c r="L15" s="4" t="s">
        <v>28</v>
      </c>
      <c r="M15" s="4"/>
      <c r="N15" s="6"/>
    </row>
    <row r="16" spans="1:14" ht="30" customHeight="1">
      <c r="A16" s="3">
        <v>12</v>
      </c>
      <c r="B16" s="3" t="s">
        <v>468</v>
      </c>
      <c r="C16" s="3" t="s">
        <v>72</v>
      </c>
      <c r="D16" s="8"/>
      <c r="E16" s="8" t="s">
        <v>472</v>
      </c>
      <c r="F16" s="3" t="s">
        <v>473</v>
      </c>
      <c r="G16" s="3"/>
      <c r="H16" s="3" t="s">
        <v>18</v>
      </c>
      <c r="I16" s="3" t="s">
        <v>90</v>
      </c>
      <c r="J16" s="10" t="s">
        <v>134</v>
      </c>
      <c r="K16" s="8"/>
      <c r="L16" s="3" t="s">
        <v>28</v>
      </c>
      <c r="M16" s="3"/>
      <c r="N16" s="8"/>
    </row>
    <row r="17" spans="1:14" ht="30" customHeight="1">
      <c r="A17" s="4">
        <v>13</v>
      </c>
      <c r="B17" s="4" t="s">
        <v>468</v>
      </c>
      <c r="C17" s="4" t="s">
        <v>72</v>
      </c>
      <c r="D17" s="6"/>
      <c r="E17" s="6" t="s">
        <v>474</v>
      </c>
      <c r="F17" s="4" t="s">
        <v>475</v>
      </c>
      <c r="G17" s="4"/>
      <c r="H17" s="4" t="s">
        <v>18</v>
      </c>
      <c r="I17" s="4" t="s">
        <v>90</v>
      </c>
      <c r="J17" s="10" t="s">
        <v>134</v>
      </c>
      <c r="K17" s="6"/>
      <c r="L17" s="4" t="s">
        <v>28</v>
      </c>
      <c r="M17" s="4"/>
      <c r="N17" s="6"/>
    </row>
    <row r="18" spans="1:14" ht="30" customHeight="1">
      <c r="A18" s="3">
        <v>14</v>
      </c>
      <c r="B18" s="3" t="s">
        <v>468</v>
      </c>
      <c r="C18" s="3" t="s">
        <v>72</v>
      </c>
      <c r="D18" s="8"/>
      <c r="E18" s="8" t="s">
        <v>476</v>
      </c>
      <c r="F18" s="3" t="s">
        <v>477</v>
      </c>
      <c r="G18" s="3"/>
      <c r="H18" s="3" t="s">
        <v>18</v>
      </c>
      <c r="I18" s="3" t="s">
        <v>90</v>
      </c>
      <c r="J18" s="10" t="s">
        <v>134</v>
      </c>
      <c r="K18" s="8"/>
      <c r="L18" s="3" t="s">
        <v>28</v>
      </c>
      <c r="M18" s="3"/>
      <c r="N18" s="8"/>
    </row>
    <row r="19" spans="1:14" ht="30" customHeight="1">
      <c r="A19" s="4">
        <v>15</v>
      </c>
      <c r="B19" s="4" t="s">
        <v>384</v>
      </c>
      <c r="C19" s="4" t="s">
        <v>72</v>
      </c>
      <c r="D19" s="6" t="s">
        <v>385</v>
      </c>
      <c r="E19" s="6" t="s">
        <v>386</v>
      </c>
      <c r="F19" s="4" t="s">
        <v>387</v>
      </c>
      <c r="G19" s="4"/>
      <c r="H19" s="4" t="s">
        <v>18</v>
      </c>
      <c r="I19" s="4" t="s">
        <v>373</v>
      </c>
      <c r="J19" s="7" t="s">
        <v>77</v>
      </c>
      <c r="K19" s="6" t="s">
        <v>388</v>
      </c>
      <c r="L19" s="4" t="s">
        <v>29</v>
      </c>
      <c r="M19" s="4"/>
      <c r="N19" s="6"/>
    </row>
    <row r="20" spans="1:14" ht="30" customHeight="1">
      <c r="A20" s="3">
        <v>16</v>
      </c>
      <c r="B20" s="3" t="s">
        <v>384</v>
      </c>
      <c r="C20" s="3" t="s">
        <v>72</v>
      </c>
      <c r="D20" s="8" t="s">
        <v>389</v>
      </c>
      <c r="E20" s="8" t="s">
        <v>390</v>
      </c>
      <c r="F20" s="3" t="inlineStr">
        <is>
          <t xml:space="preserve">SH-FM-WI004-07</t>
        </is>
      </c>
      <c r="G20" s="3" t="s">
        <v>392</v>
      </c>
      <c r="H20" s="3" t="s">
        <v>18</v>
      </c>
      <c r="I20" s="3" t="s">
        <v>373</v>
      </c>
      <c r="J20" s="7" t="inlineStr">
        <is>
          <t xml:space="preserve">기존 절차 연계</t>
        </is>
      </c>
      <c r="K20" s="8" t="inlineStr">
        <is>
          <t xml:space="preserve">SH-WI-004(설비 일상점검 및 이상대응 표준)  [확정 2026-09-22: 기존 추정 SH-QP-003(ratio=0.04) 대비 대안 채택(ratio=0.68) — 품질경영담당 일괄판단, 부서 정식회신 생략]</t>
        </is>
      </c>
      <c r="L20" s="3" t="s">
        <v>29</v>
      </c>
      <c r="M20" s="3"/>
      <c r="N20" s="8" t="s">
        <v>85</v>
      </c>
    </row>
    <row r="21" spans="1:14" ht="30" customHeight="1">
      <c r="A21" s="4">
        <v>17</v>
      </c>
      <c r="B21" s="4" t="s">
        <v>401</v>
      </c>
      <c r="C21" s="4" t="s">
        <v>72</v>
      </c>
      <c r="D21" s="6" t="s">
        <v>433</v>
      </c>
      <c r="E21" s="6" t="s">
        <v>434</v>
      </c>
      <c r="F21" s="4" t="s">
        <v>435</v>
      </c>
      <c r="G21" s="4"/>
      <c r="H21" s="4" t="s">
        <v>21</v>
      </c>
      <c r="I21" s="4" t="s">
        <v>178</v>
      </c>
      <c r="J21" s="10" t="s">
        <v>134</v>
      </c>
      <c r="K21" s="6"/>
      <c r="L21" s="4" t="s">
        <v>29</v>
      </c>
      <c r="M21" s="4"/>
      <c r="N21" s="6"/>
    </row>
    <row r="22" spans="1:14" ht="30" customHeight="1">
      <c r="A22" s="3">
        <v>18</v>
      </c>
      <c r="B22" s="3" t="s">
        <v>401</v>
      </c>
      <c r="C22" s="3" t="s">
        <v>72</v>
      </c>
      <c r="D22" s="8" t="s">
        <v>436</v>
      </c>
      <c r="E22" s="8" t="s">
        <v>437</v>
      </c>
      <c r="F22" s="3" t="s">
        <v>438</v>
      </c>
      <c r="G22" s="3"/>
      <c r="H22" s="3" t="s">
        <v>21</v>
      </c>
      <c r="I22" s="3" t="s">
        <v>178</v>
      </c>
      <c r="J22" s="10" t="s">
        <v>134</v>
      </c>
      <c r="K22" s="8"/>
      <c r="L22" s="3" t="s">
        <v>29</v>
      </c>
      <c r="M22" s="3"/>
      <c r="N22" s="8"/>
    </row>
    <row r="23" spans="1:14" ht="30" customHeight="1">
      <c r="A23" s="4">
        <v>19</v>
      </c>
      <c r="B23" s="4" t="s">
        <v>401</v>
      </c>
      <c r="C23" s="4" t="s">
        <v>72</v>
      </c>
      <c r="D23" s="6" t="s">
        <v>439</v>
      </c>
      <c r="E23" s="6" t="s">
        <v>440</v>
      </c>
      <c r="F23" s="4" t="s">
        <v>441</v>
      </c>
      <c r="G23" s="4"/>
      <c r="H23" s="4" t="s">
        <v>21</v>
      </c>
      <c r="I23" s="4" t="s">
        <v>178</v>
      </c>
      <c r="J23" s="10" t="s">
        <v>134</v>
      </c>
      <c r="K23" s="6"/>
      <c r="L23" s="4" t="s">
        <v>29</v>
      </c>
      <c r="M23" s="4"/>
      <c r="N23" s="6"/>
    </row>
    <row r="24" spans="1:14" ht="30" customHeight="1">
      <c r="A24" s="3">
        <v>20</v>
      </c>
      <c r="B24" s="3" t="s">
        <v>453</v>
      </c>
      <c r="C24" s="3" t="s">
        <v>72</v>
      </c>
      <c r="D24" s="8" t="s">
        <v>454</v>
      </c>
      <c r="E24" s="8" t="s">
        <v>455</v>
      </c>
      <c r="F24" s="3" t="s">
        <v>456</v>
      </c>
      <c r="G24" s="3"/>
      <c r="H24" s="3" t="s">
        <v>21</v>
      </c>
      <c r="I24" s="3" t="s">
        <v>178</v>
      </c>
      <c r="J24" s="10" t="s">
        <v>134</v>
      </c>
      <c r="K24" s="8"/>
      <c r="L24" s="3" t="s">
        <v>29</v>
      </c>
      <c r="M24" s="3"/>
      <c r="N24" s="8"/>
    </row>
    <row r="25" spans="1:14" ht="30" customHeight="1">
      <c r="A25" s="4">
        <v>21</v>
      </c>
      <c r="B25" s="4" t="s">
        <v>453</v>
      </c>
      <c r="C25" s="4" t="s">
        <v>72</v>
      </c>
      <c r="D25" s="6"/>
      <c r="E25" s="6" t="s">
        <v>457</v>
      </c>
      <c r="F25" s="4" t="s">
        <v>458</v>
      </c>
      <c r="G25" s="4"/>
      <c r="H25" s="4" t="s">
        <v>21</v>
      </c>
      <c r="I25" s="4" t="s">
        <v>178</v>
      </c>
      <c r="J25" s="10" t="s">
        <v>134</v>
      </c>
      <c r="K25" s="6"/>
      <c r="L25" s="4" t="s">
        <v>29</v>
      </c>
      <c r="M25" s="4"/>
      <c r="N25" s="6"/>
    </row>
    <row r="26" spans="1:14" ht="30" customHeight="1">
      <c r="A26" s="3">
        <v>22</v>
      </c>
      <c r="B26" s="3" t="s">
        <v>460</v>
      </c>
      <c r="C26" s="3" t="s">
        <v>72</v>
      </c>
      <c r="D26" s="8" t="s">
        <v>461</v>
      </c>
      <c r="E26" s="8" t="s">
        <v>444</v>
      </c>
      <c r="F26" s="3" t="s">
        <v>462</v>
      </c>
      <c r="G26" s="3"/>
      <c r="H26" s="3" t="s">
        <v>23</v>
      </c>
      <c r="I26" s="3" t="s">
        <v>178</v>
      </c>
      <c r="J26" s="10" t="s">
        <v>134</v>
      </c>
      <c r="K26" s="8"/>
      <c r="L26" s="3" t="s">
        <v>29</v>
      </c>
      <c r="M26" s="3"/>
      <c r="N26" s="8"/>
    </row>
    <row r="27" spans="1:14" ht="30" customHeight="1">
      <c r="A27" s="4">
        <v>23</v>
      </c>
      <c r="B27" s="4" t="s">
        <v>460</v>
      </c>
      <c r="C27" s="4" t="s">
        <v>72</v>
      </c>
      <c r="D27" s="6" t="s">
        <v>465</v>
      </c>
      <c r="E27" s="6" t="s">
        <v>466</v>
      </c>
      <c r="F27" s="4" t="s">
        <v>467</v>
      </c>
      <c r="G27" s="4"/>
      <c r="H27" s="4" t="s">
        <v>23</v>
      </c>
      <c r="I27" s="4" t="s">
        <v>178</v>
      </c>
      <c r="J27" s="10" t="s">
        <v>134</v>
      </c>
      <c r="K27" s="6"/>
      <c r="L27" s="4" t="s">
        <v>29</v>
      </c>
      <c r="M27" s="4"/>
      <c r="N27" s="6"/>
    </row>
    <row r="28" spans="1:14" ht="30" customHeight="1">
      <c r="A28" s="3">
        <v>24</v>
      </c>
      <c r="B28" s="3" t="s">
        <v>384</v>
      </c>
      <c r="C28" s="3" t="s">
        <v>72</v>
      </c>
      <c r="D28" s="8" t="s">
        <v>394</v>
      </c>
      <c r="E28" s="8" t="s">
        <v>395</v>
      </c>
      <c r="F28" s="3" t="s">
        <v>396</v>
      </c>
      <c r="G28" s="3"/>
      <c r="H28" s="3" t="s">
        <v>21</v>
      </c>
      <c r="I28" s="3" t="s">
        <v>373</v>
      </c>
      <c r="J28" s="7" t="s">
        <v>77</v>
      </c>
      <c r="K28" s="8" t="s">
        <v>397</v>
      </c>
      <c r="L28" s="3" t="s">
        <v>30</v>
      </c>
      <c r="M28" s="3"/>
      <c r="N28" s="8" t="s">
        <v>79</v>
      </c>
    </row>
    <row r="29" spans="1:14" ht="30" customHeight="1">
      <c r="A29" s="4">
        <v>25</v>
      </c>
      <c r="B29" s="4" t="s">
        <v>401</v>
      </c>
      <c r="C29" s="4" t="s">
        <v>72</v>
      </c>
      <c r="D29" s="6" t="s">
        <v>416</v>
      </c>
      <c r="E29" s="6" t="s">
        <v>417</v>
      </c>
      <c r="F29" s="4" t="inlineStr">
        <is>
          <t xml:space="preserve">SH-FM-WI015-02</t>
        </is>
      </c>
      <c r="G29" s="4"/>
      <c r="H29" s="4" t="s">
        <v>21</v>
      </c>
      <c r="I29" s="4" t="s">
        <v>178</v>
      </c>
      <c r="J29" s="7" t="inlineStr">
        <is>
          <t xml:space="preserve">기존 절차 연계</t>
        </is>
      </c>
      <c r="K29" s="6" t="inlineStr">
        <is>
          <t xml:space="preserve">SH-WI-015(작업자 표준작업 및 교대인수인계 표준)  [확정 2026-09-22: 기존 추정 SH-WI-018(ratio=0.00) 대비 대안 채택(ratio=0.55) — 품질경영담당 일괄판단, 부서 정식회신 생략]</t>
        </is>
      </c>
      <c r="L29" s="4" t="s">
        <v>30</v>
      </c>
      <c r="M29" s="4"/>
      <c r="N29" s="6" t="s">
        <v>85</v>
      </c>
    </row>
    <row r="30" spans="1:14" ht="30" customHeight="1">
      <c r="A30" s="3">
        <v>26</v>
      </c>
      <c r="B30" s="3" t="s">
        <v>401</v>
      </c>
      <c r="C30" s="3" t="s">
        <v>72</v>
      </c>
      <c r="D30" s="8" t="s">
        <v>424</v>
      </c>
      <c r="E30" s="8" t="s">
        <v>425</v>
      </c>
      <c r="F30" s="3" t="s">
        <v>426</v>
      </c>
      <c r="G30" s="3" t="s">
        <v>427</v>
      </c>
      <c r="H30" s="3" t="s">
        <v>21</v>
      </c>
      <c r="I30" s="3" t="s">
        <v>178</v>
      </c>
      <c r="J30" s="7" t="s">
        <v>77</v>
      </c>
      <c r="K30" s="8" t="s">
        <v>428</v>
      </c>
      <c r="L30" s="3" t="s">
        <v>30</v>
      </c>
      <c r="M30" s="3"/>
      <c r="N30" s="8" t="s">
        <v>79</v>
      </c>
    </row>
    <row r="31" spans="1:14" ht="30" customHeight="1">
      <c r="A31" s="4">
        <v>27</v>
      </c>
      <c r="B31" s="4" t="s">
        <v>401</v>
      </c>
      <c r="C31" s="4" t="s">
        <v>72</v>
      </c>
      <c r="D31" s="6" t="s">
        <v>429</v>
      </c>
      <c r="E31" s="6" t="s">
        <v>430</v>
      </c>
      <c r="F31" s="4" t="s">
        <v>431</v>
      </c>
      <c r="G31" s="4"/>
      <c r="H31" s="4" t="s">
        <v>21</v>
      </c>
      <c r="I31" s="4" t="s">
        <v>178</v>
      </c>
      <c r="J31" s="7" t="s">
        <v>77</v>
      </c>
      <c r="K31" s="6" t="s">
        <v>432</v>
      </c>
      <c r="L31" s="4" t="s">
        <v>30</v>
      </c>
      <c r="M31" s="4"/>
      <c r="N31" s="6" t="s">
        <v>79</v>
      </c>
    </row>
    <row r="32" spans="1:14" ht="30" customHeight="1">
      <c r="A32" s="3">
        <v>28</v>
      </c>
      <c r="B32" s="3" t="s">
        <v>453</v>
      </c>
      <c r="C32" s="3" t="s">
        <v>72</v>
      </c>
      <c r="D32" s="8"/>
      <c r="E32" s="8" t="s">
        <v>407</v>
      </c>
      <c r="F32" s="3" t="s">
        <v>459</v>
      </c>
      <c r="G32" s="3"/>
      <c r="H32" s="3" t="s">
        <v>21</v>
      </c>
      <c r="I32" s="3" t="s">
        <v>178</v>
      </c>
      <c r="J32" s="10" t="s">
        <v>134</v>
      </c>
      <c r="K32" s="8"/>
      <c r="L32" s="3" t="s">
        <v>30</v>
      </c>
      <c r="M32" s="3"/>
      <c r="N32" s="8"/>
    </row>
  </sheetData>
  <autoFilter ref="A4:N32" xr:uid="{00000000-0009-0000-0000-000007000000}"/>
  <mergeCells count="3">
    <mergeCell ref="A3:N3"/>
    <mergeCell ref="A2:N2"/>
    <mergeCell ref="A1:N1"/>
  </mergeCells>
  <phoneticPr fontId="15" type="noConversion"/>
  <dataValidations count="1">
    <dataValidation type="list" allowBlank="1" sqref="M5:M32" xr:uid="{00000000-0002-0000-0700-000000000000}">
      <formula1>"미착수,진행중,완료,해당없음"</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3"/>
  <sheetViews>
    <sheetView showGridLines="0" workbookViewId="0">
      <pane ySplit="4" topLeftCell="A5" activePane="bottomLeft" state="frozen"/>
      <selection pane="bottomLeft" sqref="A1:N1"/>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986</v>
      </c>
      <c r="B1" s="25"/>
      <c r="C1" s="25"/>
      <c r="D1" s="25"/>
      <c r="E1" s="25"/>
      <c r="F1" s="25"/>
      <c r="G1" s="25"/>
      <c r="H1" s="25"/>
      <c r="I1" s="25"/>
      <c r="J1" s="25"/>
      <c r="K1" s="25"/>
      <c r="L1" s="25"/>
      <c r="M1" s="25"/>
      <c r="N1" s="25"/>
    </row>
    <row r="2" spans="1:14" ht="15.95" customHeight="1">
      <c r="A2" s="27" t="s">
        <v>987</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478</v>
      </c>
      <c r="C5" s="4" t="s">
        <v>72</v>
      </c>
      <c r="D5" s="6" t="s">
        <v>479</v>
      </c>
      <c r="E5" s="6" t="s">
        <v>480</v>
      </c>
      <c r="F5" s="4" t="s">
        <v>481</v>
      </c>
      <c r="G5" s="4"/>
      <c r="H5" s="4" t="s">
        <v>18</v>
      </c>
      <c r="I5" s="4" t="s">
        <v>90</v>
      </c>
      <c r="J5" s="7" t="s">
        <v>77</v>
      </c>
      <c r="K5" s="6" t="s">
        <v>482</v>
      </c>
      <c r="L5" s="4" t="s">
        <v>29</v>
      </c>
      <c r="M5" s="4"/>
      <c r="N5" s="6" t="s">
        <v>79</v>
      </c>
    </row>
    <row r="6" spans="1:14" ht="30" customHeight="1">
      <c r="A6" s="3">
        <v>2</v>
      </c>
      <c r="B6" s="3" t="s">
        <v>478</v>
      </c>
      <c r="C6" s="3" t="s">
        <v>72</v>
      </c>
      <c r="D6" s="8"/>
      <c r="E6" s="8" t="s">
        <v>483</v>
      </c>
      <c r="F6" s="3" t="inlineStr">
        <is>
          <t xml:space="preserve">SH-FM-QP021-02</t>
        </is>
      </c>
      <c r="G6" s="3"/>
      <c r="H6" s="3" t="s">
        <v>18</v>
      </c>
      <c r="I6" s="3" t="s">
        <v>90</v>
      </c>
      <c r="J6" s="7" t="inlineStr">
        <is>
          <t xml:space="preserve">기존 절차 연계</t>
        </is>
      </c>
      <c r="K6" s="8" t="inlineStr">
        <is>
          <t xml:space="preserve">SH-QP-021(품질목표 및 KPI 관리 절차서)  [확정 2026-09-22: 기존 추정 SH-WI-008(ratio=0.00) 대비 대안 채택(ratio=1.00) — 품질경영담당 일괄판단, 부서 정식회신 생략]</t>
        </is>
      </c>
      <c r="L6" s="3" t="s">
        <v>29</v>
      </c>
      <c r="M6" s="3"/>
      <c r="N6" s="8" t="s">
        <v>85</v>
      </c>
    </row>
    <row r="7" spans="1:14" ht="30" customHeight="1">
      <c r="A7" s="4">
        <v>3</v>
      </c>
      <c r="B7" s="4" t="s">
        <v>478</v>
      </c>
      <c r="C7" s="4" t="s">
        <v>72</v>
      </c>
      <c r="D7" s="6"/>
      <c r="E7" s="6" t="s">
        <v>486</v>
      </c>
      <c r="F7" s="4" t="s">
        <v>487</v>
      </c>
      <c r="G7" s="4"/>
      <c r="H7" s="4" t="s">
        <v>18</v>
      </c>
      <c r="I7" s="4" t="s">
        <v>90</v>
      </c>
      <c r="J7" s="7" t="s">
        <v>77</v>
      </c>
      <c r="K7" s="6" t="s">
        <v>428</v>
      </c>
      <c r="L7" s="4" t="s">
        <v>29</v>
      </c>
      <c r="M7" s="4"/>
      <c r="N7" s="6" t="s">
        <v>79</v>
      </c>
    </row>
    <row r="8" spans="1:14" ht="30" customHeight="1">
      <c r="A8" s="3">
        <v>4</v>
      </c>
      <c r="B8" s="3" t="s">
        <v>478</v>
      </c>
      <c r="C8" s="3" t="s">
        <v>72</v>
      </c>
      <c r="D8" s="8"/>
      <c r="E8" s="8" t="s">
        <v>488</v>
      </c>
      <c r="F8" s="3" t="s">
        <v>489</v>
      </c>
      <c r="G8" s="3"/>
      <c r="H8" s="3" t="s">
        <v>18</v>
      </c>
      <c r="I8" s="3" t="s">
        <v>90</v>
      </c>
      <c r="J8" s="7" t="s">
        <v>77</v>
      </c>
      <c r="K8" s="8" t="s">
        <v>490</v>
      </c>
      <c r="L8" s="3" t="s">
        <v>29</v>
      </c>
      <c r="M8" s="3"/>
      <c r="N8" s="8" t="s">
        <v>79</v>
      </c>
    </row>
    <row r="9" spans="1:14" ht="30" customHeight="1">
      <c r="A9" s="4">
        <v>5</v>
      </c>
      <c r="B9" s="4" t="s">
        <v>478</v>
      </c>
      <c r="C9" s="4" t="s">
        <v>72</v>
      </c>
      <c r="D9" s="6"/>
      <c r="E9" s="6" t="s">
        <v>491</v>
      </c>
      <c r="F9" s="4" t="inlineStr">
        <is>
          <t xml:space="preserve">SH-FM-WI001-04</t>
        </is>
      </c>
      <c r="G9" s="4"/>
      <c r="H9" s="4" t="s">
        <v>18</v>
      </c>
      <c r="I9" s="4" t="s">
        <v>90</v>
      </c>
      <c r="J9" s="7" t="inlineStr">
        <is>
          <t xml:space="preserve">기존 절차 연계</t>
        </is>
      </c>
      <c r="K9" s="6" t="inlineStr">
        <is>
          <t xml:space="preserve">SH-WI-001(생산 작업준비 및 초품확인 표준)  [확정 2026-09-22: 기존 추정 SH-WI-008(ratio=0.00) 대비 대안 채택(ratio=0.80) — 품질경영담당 일괄판단, 부서 정식회신 생략]</t>
        </is>
      </c>
      <c r="L9" s="4" t="s">
        <v>29</v>
      </c>
      <c r="M9" s="4"/>
      <c r="N9" s="6" t="s">
        <v>85</v>
      </c>
    </row>
    <row r="10" spans="1:14" ht="30" customHeight="1">
      <c r="A10" s="3">
        <v>6</v>
      </c>
      <c r="B10" s="3" t="s">
        <v>478</v>
      </c>
      <c r="C10" s="3" t="s">
        <v>72</v>
      </c>
      <c r="D10" s="8"/>
      <c r="E10" s="8" t="s">
        <v>494</v>
      </c>
      <c r="F10" s="3" t="s">
        <v>495</v>
      </c>
      <c r="G10" s="3"/>
      <c r="H10" s="3" t="s">
        <v>18</v>
      </c>
      <c r="I10" s="3" t="s">
        <v>90</v>
      </c>
      <c r="J10" s="7" t="s">
        <v>77</v>
      </c>
      <c r="K10" s="8" t="s">
        <v>428</v>
      </c>
      <c r="L10" s="3" t="s">
        <v>29</v>
      </c>
      <c r="M10" s="3"/>
      <c r="N10" s="8" t="s">
        <v>79</v>
      </c>
    </row>
    <row r="11" spans="1:14" ht="30" customHeight="1">
      <c r="A11" s="4">
        <v>7</v>
      </c>
      <c r="B11" s="4" t="s">
        <v>496</v>
      </c>
      <c r="C11" s="4" t="s">
        <v>72</v>
      </c>
      <c r="D11" s="6" t="s">
        <v>497</v>
      </c>
      <c r="E11" s="6" t="s">
        <v>498</v>
      </c>
      <c r="F11" s="4" t="s">
        <v>499</v>
      </c>
      <c r="G11" s="4"/>
      <c r="H11" s="4" t="s">
        <v>18</v>
      </c>
      <c r="I11" s="4" t="s">
        <v>90</v>
      </c>
      <c r="J11" s="7" t="s">
        <v>77</v>
      </c>
      <c r="K11" s="6" t="s">
        <v>428</v>
      </c>
      <c r="L11" s="4" t="s">
        <v>29</v>
      </c>
      <c r="M11" s="4"/>
      <c r="N11" s="6" t="s">
        <v>79</v>
      </c>
    </row>
    <row r="12" spans="1:14" ht="30" customHeight="1">
      <c r="A12" s="3">
        <v>8</v>
      </c>
      <c r="B12" s="3" t="s">
        <v>496</v>
      </c>
      <c r="C12" s="3" t="s">
        <v>72</v>
      </c>
      <c r="D12" s="8" t="s">
        <v>500</v>
      </c>
      <c r="E12" s="8" t="s">
        <v>501</v>
      </c>
      <c r="F12" s="3" t="s">
        <v>502</v>
      </c>
      <c r="G12" s="3"/>
      <c r="H12" s="3" t="s">
        <v>18</v>
      </c>
      <c r="I12" s="3" t="s">
        <v>90</v>
      </c>
      <c r="J12" s="7" t="s">
        <v>77</v>
      </c>
      <c r="K12" s="8" t="s">
        <v>503</v>
      </c>
      <c r="L12" s="3" t="s">
        <v>29</v>
      </c>
      <c r="M12" s="3"/>
      <c r="N12" s="8" t="s">
        <v>79</v>
      </c>
    </row>
    <row r="13" spans="1:14" ht="30" customHeight="1">
      <c r="A13" s="4">
        <v>9</v>
      </c>
      <c r="B13" s="4" t="s">
        <v>496</v>
      </c>
      <c r="C13" s="4" t="s">
        <v>72</v>
      </c>
      <c r="D13" s="6" t="s">
        <v>504</v>
      </c>
      <c r="E13" s="6" t="s">
        <v>505</v>
      </c>
      <c r="F13" s="4" t="s">
        <v>506</v>
      </c>
      <c r="G13" s="4"/>
      <c r="H13" s="4" t="s">
        <v>18</v>
      </c>
      <c r="I13" s="4" t="s">
        <v>90</v>
      </c>
      <c r="J13" s="7" t="s">
        <v>77</v>
      </c>
      <c r="K13" s="6" t="s">
        <v>428</v>
      </c>
      <c r="L13" s="4" t="s">
        <v>29</v>
      </c>
      <c r="M13" s="4"/>
      <c r="N13" s="6" t="s">
        <v>79</v>
      </c>
    </row>
    <row r="14" spans="1:14" ht="30" customHeight="1">
      <c r="A14" s="3">
        <v>10</v>
      </c>
      <c r="B14" s="3" t="s">
        <v>496</v>
      </c>
      <c r="C14" s="3" t="s">
        <v>72</v>
      </c>
      <c r="D14" s="8" t="s">
        <v>507</v>
      </c>
      <c r="E14" s="8" t="s">
        <v>508</v>
      </c>
      <c r="F14" s="3" t="s">
        <v>509</v>
      </c>
      <c r="G14" s="3"/>
      <c r="H14" s="3" t="s">
        <v>18</v>
      </c>
      <c r="I14" s="3" t="s">
        <v>90</v>
      </c>
      <c r="J14" s="7" t="s">
        <v>77</v>
      </c>
      <c r="K14" s="8" t="s">
        <v>428</v>
      </c>
      <c r="L14" s="3" t="s">
        <v>29</v>
      </c>
      <c r="M14" s="3"/>
      <c r="N14" s="8" t="s">
        <v>79</v>
      </c>
    </row>
    <row r="15" spans="1:14" ht="30" customHeight="1">
      <c r="A15" s="4">
        <v>11</v>
      </c>
      <c r="B15" s="4" t="s">
        <v>496</v>
      </c>
      <c r="C15" s="4" t="s">
        <v>72</v>
      </c>
      <c r="D15" s="6" t="s">
        <v>510</v>
      </c>
      <c r="E15" s="6" t="s">
        <v>511</v>
      </c>
      <c r="F15" s="4" t="s">
        <v>512</v>
      </c>
      <c r="G15" s="4"/>
      <c r="H15" s="4" t="s">
        <v>18</v>
      </c>
      <c r="I15" s="4" t="s">
        <v>90</v>
      </c>
      <c r="J15" s="7" t="s">
        <v>77</v>
      </c>
      <c r="K15" s="6" t="s">
        <v>513</v>
      </c>
      <c r="L15" s="4" t="s">
        <v>29</v>
      </c>
      <c r="M15" s="4"/>
      <c r="N15" s="6" t="s">
        <v>79</v>
      </c>
    </row>
    <row r="16" spans="1:14" ht="30" customHeight="1">
      <c r="A16" s="3">
        <v>12</v>
      </c>
      <c r="B16" s="3" t="s">
        <v>514</v>
      </c>
      <c r="C16" s="3" t="s">
        <v>122</v>
      </c>
      <c r="D16" s="8" t="s">
        <v>515</v>
      </c>
      <c r="E16" s="8" t="s">
        <v>516</v>
      </c>
      <c r="F16" s="3" t="inlineStr">
        <is>
          <t xml:space="preserve">SH-FM-QP023-01</t>
        </is>
      </c>
      <c r="G16" s="3"/>
      <c r="H16" s="3" t="s">
        <v>22</v>
      </c>
      <c r="I16" s="3" t="s">
        <v>373</v>
      </c>
      <c r="J16" s="7" t="inlineStr">
        <is>
          <t xml:space="preserve">기존 절차 연계</t>
        </is>
      </c>
      <c r="K16" s="8" t="inlineStr">
        <is>
          <t xml:space="preserve">SH-QP-023(통계적 공정관리(SPC) 절차서)  [확정 2026-09-22: 기존 추정 SH-WI-008(ratio=0.26) 대비 대안 채택(ratio=0.59) — 품질경영담당 일괄판단, 부서 정식회신 생략]</t>
        </is>
      </c>
      <c r="L16" s="3" t="s">
        <v>28</v>
      </c>
      <c r="M16" s="3"/>
      <c r="N16" s="8" t="s">
        <v>85</v>
      </c>
    </row>
    <row r="17" spans="1:14" ht="30" customHeight="1">
      <c r="A17" s="4">
        <v>13</v>
      </c>
      <c r="B17" s="4" t="s">
        <v>514</v>
      </c>
      <c r="C17" s="4" t="s">
        <v>122</v>
      </c>
      <c r="D17" s="6" t="s">
        <v>519</v>
      </c>
      <c r="E17" s="6" t="s">
        <v>520</v>
      </c>
      <c r="F17" s="4" t="s">
        <v>521</v>
      </c>
      <c r="G17" s="4"/>
      <c r="H17" s="4" t="s">
        <v>22</v>
      </c>
      <c r="I17" s="4" t="s">
        <v>373</v>
      </c>
      <c r="J17" s="7" t="s">
        <v>77</v>
      </c>
      <c r="K17" s="6" t="s">
        <v>522</v>
      </c>
      <c r="L17" s="4" t="s">
        <v>29</v>
      </c>
      <c r="M17" s="4"/>
      <c r="N17" s="6"/>
    </row>
    <row r="18" spans="1:14" ht="30" customHeight="1">
      <c r="A18" s="3">
        <v>14</v>
      </c>
      <c r="B18" s="3" t="s">
        <v>523</v>
      </c>
      <c r="C18" s="3" t="s">
        <v>122</v>
      </c>
      <c r="D18" s="8" t="s">
        <v>524</v>
      </c>
      <c r="E18" s="8" t="s">
        <v>525</v>
      </c>
      <c r="F18" s="3" t="s">
        <v>526</v>
      </c>
      <c r="G18" s="3"/>
      <c r="H18" s="3" t="s">
        <v>18</v>
      </c>
      <c r="I18" s="3" t="s">
        <v>90</v>
      </c>
      <c r="J18" s="7" t="s">
        <v>77</v>
      </c>
      <c r="K18" s="8" t="s">
        <v>490</v>
      </c>
      <c r="L18" s="3" t="s">
        <v>30</v>
      </c>
      <c r="M18" s="3"/>
      <c r="N18" s="8" t="s">
        <v>79</v>
      </c>
    </row>
    <row r="19" spans="1:14" ht="30" customHeight="1">
      <c r="A19" s="4">
        <v>15</v>
      </c>
      <c r="B19" s="4" t="s">
        <v>523</v>
      </c>
      <c r="C19" s="4" t="s">
        <v>122</v>
      </c>
      <c r="D19" s="6" t="s">
        <v>527</v>
      </c>
      <c r="E19" s="6" t="s">
        <v>528</v>
      </c>
      <c r="F19" s="4" t="inlineStr">
        <is>
          <t xml:space="preserve">SH-FM-WI017-02</t>
        </is>
      </c>
      <c r="G19" s="4"/>
      <c r="H19" s="4" t="s">
        <v>18</v>
      </c>
      <c r="I19" s="4" t="s">
        <v>90</v>
      </c>
      <c r="J19" s="7" t="inlineStr">
        <is>
          <t xml:space="preserve">기존 절차 연계</t>
        </is>
      </c>
      <c r="K19" s="6" t="inlineStr">
        <is>
          <t xml:space="preserve">SH-WI-017(청정도 및 이물관리 작업표준)  [확정 2026-09-22: 기존 추정 SH-QP-018(ratio=0.06) 대비 대안 채택(ratio=0.71) — 품질경영담당 일괄판단, 부서 정식회신 생략]</t>
        </is>
      </c>
      <c r="L19" s="4" t="s">
        <v>30</v>
      </c>
      <c r="M19" s="4"/>
      <c r="N19" s="6" t="s">
        <v>85</v>
      </c>
    </row>
    <row r="20" spans="1:14" ht="30" customHeight="1">
      <c r="A20" s="3">
        <v>16</v>
      </c>
      <c r="B20" s="3" t="s">
        <v>523</v>
      </c>
      <c r="C20" s="3" t="s">
        <v>122</v>
      </c>
      <c r="D20" s="8" t="s">
        <v>531</v>
      </c>
      <c r="E20" s="8" t="s">
        <v>532</v>
      </c>
      <c r="F20" s="3" t="inlineStr">
        <is>
          <t xml:space="preserve">SH-FM-WI017-03</t>
        </is>
      </c>
      <c r="G20" s="3"/>
      <c r="H20" s="3" t="s">
        <v>18</v>
      </c>
      <c r="I20" s="3" t="s">
        <v>90</v>
      </c>
      <c r="J20" s="7" t="inlineStr">
        <is>
          <t xml:space="preserve">기존 절차 연계</t>
        </is>
      </c>
      <c r="K20" s="8" t="inlineStr">
        <is>
          <t xml:space="preserve">SH-WI-017(청정도 및 이물관리 작업표준)  [확정 2026-09-22: 기존 추정 SH-WI-008(ratio=0.00) 대비 대안 채택(ratio=0.56) — 품질경영담당 일괄판단, 부서 정식회신 생략]</t>
        </is>
      </c>
      <c r="L20" s="3" t="s">
        <v>30</v>
      </c>
      <c r="M20" s="3"/>
      <c r="N20" s="8" t="s">
        <v>85</v>
      </c>
    </row>
    <row r="21" spans="1:14" ht="30" customHeight="1">
      <c r="A21" s="4">
        <v>17</v>
      </c>
      <c r="B21" s="4" t="s">
        <v>535</v>
      </c>
      <c r="C21" s="4" t="s">
        <v>122</v>
      </c>
      <c r="D21" s="6" t="s">
        <v>536</v>
      </c>
      <c r="E21" s="6" t="s">
        <v>537</v>
      </c>
      <c r="F21" s="4" t="s">
        <v>538</v>
      </c>
      <c r="G21" s="4"/>
      <c r="H21" s="4" t="s">
        <v>18</v>
      </c>
      <c r="I21" s="4" t="s">
        <v>539</v>
      </c>
      <c r="J21" s="7" t="s">
        <v>77</v>
      </c>
      <c r="K21" s="6" t="s">
        <v>428</v>
      </c>
      <c r="L21" s="4" t="s">
        <v>30</v>
      </c>
      <c r="M21" s="4"/>
      <c r="N21" s="6" t="s">
        <v>79</v>
      </c>
    </row>
    <row r="22" spans="1:14" ht="30" customHeight="1">
      <c r="A22" s="3">
        <v>18</v>
      </c>
      <c r="B22" s="3" t="s">
        <v>535</v>
      </c>
      <c r="C22" s="3" t="s">
        <v>122</v>
      </c>
      <c r="D22" s="8"/>
      <c r="E22" s="8" t="s">
        <v>540</v>
      </c>
      <c r="F22" s="3" t="s">
        <v>541</v>
      </c>
      <c r="G22" s="3"/>
      <c r="H22" s="3" t="s">
        <v>18</v>
      </c>
      <c r="I22" s="3" t="s">
        <v>539</v>
      </c>
      <c r="J22" s="7" t="s">
        <v>77</v>
      </c>
      <c r="K22" s="8" t="s">
        <v>428</v>
      </c>
      <c r="L22" s="3" t="s">
        <v>30</v>
      </c>
      <c r="M22" s="3"/>
      <c r="N22" s="8" t="s">
        <v>79</v>
      </c>
    </row>
    <row r="23" spans="1:14" ht="30" customHeight="1">
      <c r="A23" s="4">
        <v>19</v>
      </c>
      <c r="B23" s="4" t="s">
        <v>535</v>
      </c>
      <c r="C23" s="4" t="s">
        <v>122</v>
      </c>
      <c r="D23" s="6"/>
      <c r="E23" s="6" t="s">
        <v>542</v>
      </c>
      <c r="F23" s="4" t="s">
        <v>543</v>
      </c>
      <c r="G23" s="4"/>
      <c r="H23" s="4" t="s">
        <v>18</v>
      </c>
      <c r="I23" s="4" t="s">
        <v>539</v>
      </c>
      <c r="J23" s="7" t="s">
        <v>77</v>
      </c>
      <c r="K23" s="6" t="s">
        <v>428</v>
      </c>
      <c r="L23" s="4" t="s">
        <v>30</v>
      </c>
      <c r="M23" s="4"/>
      <c r="N23" s="6" t="s">
        <v>79</v>
      </c>
    </row>
  </sheetData>
  <autoFilter ref="A4:N23" xr:uid="{00000000-0009-0000-0000-000008000000}"/>
  <mergeCells count="3">
    <mergeCell ref="A3:N3"/>
    <mergeCell ref="A2:N2"/>
    <mergeCell ref="A1:N1"/>
  </mergeCells>
  <phoneticPr fontId="15" type="noConversion"/>
  <dataValidations count="1">
    <dataValidation type="list" allowBlank="1" sqref="M5:M23" xr:uid="{00000000-0002-0000-0800-000000000000}">
      <formula1>"미착수,진행중,완료,해당없음"</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7"/>
  <sheetViews>
    <sheetView showGridLines="0" workbookViewId="0">
      <pane ySplit="4" topLeftCell="A5" activePane="bottomLeft" state="frozen"/>
      <selection pane="bottomLeft" sqref="A1:N1"/>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988</v>
      </c>
      <c r="B1" s="25"/>
      <c r="C1" s="25"/>
      <c r="D1" s="25"/>
      <c r="E1" s="25"/>
      <c r="F1" s="25"/>
      <c r="G1" s="25"/>
      <c r="H1" s="25"/>
      <c r="I1" s="25"/>
      <c r="J1" s="25"/>
      <c r="K1" s="25"/>
      <c r="L1" s="25"/>
      <c r="M1" s="25"/>
      <c r="N1" s="25"/>
    </row>
    <row r="2" spans="1:14" ht="15.95" customHeight="1">
      <c r="A2" s="27" t="s">
        <v>989</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544</v>
      </c>
      <c r="C5" s="4" t="s">
        <v>72</v>
      </c>
      <c r="D5" s="6" t="s">
        <v>550</v>
      </c>
      <c r="E5" s="6" t="s">
        <v>171</v>
      </c>
      <c r="F5" s="4" t="s">
        <v>551</v>
      </c>
      <c r="G5" s="4" t="s">
        <v>552</v>
      </c>
      <c r="H5" s="4" t="s">
        <v>18</v>
      </c>
      <c r="I5" s="4" t="s">
        <v>90</v>
      </c>
      <c r="J5" s="10" t="s">
        <v>134</v>
      </c>
      <c r="K5" s="6"/>
      <c r="L5" s="4" t="s">
        <v>27</v>
      </c>
      <c r="M5" s="4"/>
      <c r="N5" s="6"/>
    </row>
    <row r="6" spans="1:14" ht="30" customHeight="1">
      <c r="A6" s="3">
        <v>2</v>
      </c>
      <c r="B6" s="3" t="s">
        <v>544</v>
      </c>
      <c r="C6" s="3" t="s">
        <v>72</v>
      </c>
      <c r="D6" s="8" t="s">
        <v>558</v>
      </c>
      <c r="E6" s="8" t="s">
        <v>171</v>
      </c>
      <c r="F6" s="3" t="s">
        <v>559</v>
      </c>
      <c r="G6" s="3" t="s">
        <v>560</v>
      </c>
      <c r="H6" s="3" t="s">
        <v>18</v>
      </c>
      <c r="I6" s="3" t="s">
        <v>90</v>
      </c>
      <c r="J6" s="10" t="s">
        <v>134</v>
      </c>
      <c r="K6" s="8"/>
      <c r="L6" s="3" t="s">
        <v>27</v>
      </c>
      <c r="M6" s="3"/>
      <c r="N6" s="8"/>
    </row>
    <row r="7" spans="1:14" ht="30" customHeight="1">
      <c r="A7" s="4">
        <v>3</v>
      </c>
      <c r="B7" s="4" t="s">
        <v>544</v>
      </c>
      <c r="C7" s="4" t="s">
        <v>72</v>
      </c>
      <c r="D7" s="6" t="s">
        <v>561</v>
      </c>
      <c r="E7" s="6" t="s">
        <v>554</v>
      </c>
      <c r="F7" s="4" t="s">
        <v>562</v>
      </c>
      <c r="G7" s="4" t="s">
        <v>556</v>
      </c>
      <c r="H7" s="4" t="s">
        <v>18</v>
      </c>
      <c r="I7" s="4" t="s">
        <v>90</v>
      </c>
      <c r="J7" s="10" t="s">
        <v>134</v>
      </c>
      <c r="K7" s="6"/>
      <c r="L7" s="4" t="s">
        <v>27</v>
      </c>
      <c r="M7" s="4"/>
      <c r="N7" s="6"/>
    </row>
    <row r="8" spans="1:14" ht="30" customHeight="1">
      <c r="A8" s="3">
        <v>4</v>
      </c>
      <c r="B8" s="3" t="s">
        <v>544</v>
      </c>
      <c r="C8" s="3" t="s">
        <v>72</v>
      </c>
      <c r="D8" s="8" t="s">
        <v>563</v>
      </c>
      <c r="E8" s="8" t="s">
        <v>564</v>
      </c>
      <c r="F8" s="3" t="s">
        <v>565</v>
      </c>
      <c r="G8" s="3" t="s">
        <v>560</v>
      </c>
      <c r="H8" s="3" t="s">
        <v>20</v>
      </c>
      <c r="I8" s="3" t="s">
        <v>231</v>
      </c>
      <c r="J8" s="10" t="s">
        <v>134</v>
      </c>
      <c r="K8" s="8"/>
      <c r="L8" s="3" t="s">
        <v>28</v>
      </c>
      <c r="M8" s="3"/>
      <c r="N8" s="8"/>
    </row>
    <row r="9" spans="1:14" ht="30" customHeight="1">
      <c r="A9" s="4">
        <v>5</v>
      </c>
      <c r="B9" s="4" t="s">
        <v>544</v>
      </c>
      <c r="C9" s="4" t="s">
        <v>72</v>
      </c>
      <c r="D9" s="6" t="s">
        <v>566</v>
      </c>
      <c r="E9" s="6" t="s">
        <v>567</v>
      </c>
      <c r="F9" s="4" t="s">
        <v>568</v>
      </c>
      <c r="G9" s="4" t="s">
        <v>556</v>
      </c>
      <c r="H9" s="4" t="s">
        <v>20</v>
      </c>
      <c r="I9" s="4" t="s">
        <v>231</v>
      </c>
      <c r="J9" s="10" t="s">
        <v>134</v>
      </c>
      <c r="K9" s="6"/>
      <c r="L9" s="4" t="s">
        <v>28</v>
      </c>
      <c r="M9" s="4"/>
      <c r="N9" s="6"/>
    </row>
    <row r="10" spans="1:14" ht="30" customHeight="1">
      <c r="A10" s="3">
        <v>6</v>
      </c>
      <c r="B10" s="3" t="s">
        <v>577</v>
      </c>
      <c r="C10" s="3" t="s">
        <v>72</v>
      </c>
      <c r="D10" s="8" t="s">
        <v>590</v>
      </c>
      <c r="E10" s="8" t="s">
        <v>591</v>
      </c>
      <c r="F10" s="3" t="s">
        <v>592</v>
      </c>
      <c r="G10" s="3"/>
      <c r="H10" s="3" t="s">
        <v>20</v>
      </c>
      <c r="I10" s="3" t="s">
        <v>231</v>
      </c>
      <c r="J10" s="10" t="s">
        <v>134</v>
      </c>
      <c r="K10" s="8"/>
      <c r="L10" s="3" t="s">
        <v>28</v>
      </c>
      <c r="M10" s="3"/>
      <c r="N10" s="8"/>
    </row>
    <row r="11" spans="1:14" ht="30" customHeight="1">
      <c r="A11" s="4">
        <v>7</v>
      </c>
      <c r="B11" s="4" t="s">
        <v>577</v>
      </c>
      <c r="C11" s="4" t="s">
        <v>72</v>
      </c>
      <c r="D11" s="6" t="s">
        <v>593</v>
      </c>
      <c r="E11" s="6" t="s">
        <v>594</v>
      </c>
      <c r="F11" s="4" t="s">
        <v>595</v>
      </c>
      <c r="G11" s="4"/>
      <c r="H11" s="4" t="s">
        <v>20</v>
      </c>
      <c r="I11" s="4" t="s">
        <v>231</v>
      </c>
      <c r="J11" s="10" t="s">
        <v>134</v>
      </c>
      <c r="K11" s="6"/>
      <c r="L11" s="4" t="s">
        <v>28</v>
      </c>
      <c r="M11" s="4"/>
      <c r="N11" s="6"/>
    </row>
    <row r="12" spans="1:14" ht="30" customHeight="1">
      <c r="A12" s="3">
        <v>8</v>
      </c>
      <c r="B12" s="3" t="s">
        <v>577</v>
      </c>
      <c r="C12" s="3" t="s">
        <v>72</v>
      </c>
      <c r="D12" s="8"/>
      <c r="E12" s="8" t="s">
        <v>606</v>
      </c>
      <c r="F12" s="3" t="s">
        <v>607</v>
      </c>
      <c r="G12" s="3"/>
      <c r="H12" s="3" t="s">
        <v>18</v>
      </c>
      <c r="I12" s="3" t="s">
        <v>90</v>
      </c>
      <c r="J12" s="10" t="s">
        <v>134</v>
      </c>
      <c r="K12" s="8"/>
      <c r="L12" s="3" t="s">
        <v>28</v>
      </c>
      <c r="M12" s="3"/>
      <c r="N12" s="8"/>
    </row>
    <row r="13" spans="1:14" ht="30" customHeight="1">
      <c r="A13" s="4">
        <v>9</v>
      </c>
      <c r="B13" s="4" t="s">
        <v>577</v>
      </c>
      <c r="C13" s="4" t="s">
        <v>72</v>
      </c>
      <c r="D13" s="6"/>
      <c r="E13" s="6" t="s">
        <v>608</v>
      </c>
      <c r="F13" s="4" t="s">
        <v>609</v>
      </c>
      <c r="G13" s="4"/>
      <c r="H13" s="4" t="s">
        <v>18</v>
      </c>
      <c r="I13" s="4" t="s">
        <v>90</v>
      </c>
      <c r="J13" s="10" t="s">
        <v>134</v>
      </c>
      <c r="K13" s="6"/>
      <c r="L13" s="4" t="s">
        <v>28</v>
      </c>
      <c r="M13" s="4"/>
      <c r="N13" s="6"/>
    </row>
    <row r="14" spans="1:14" ht="30" customHeight="1">
      <c r="A14" s="3">
        <v>10</v>
      </c>
      <c r="B14" s="3" t="s">
        <v>577</v>
      </c>
      <c r="C14" s="3" t="s">
        <v>72</v>
      </c>
      <c r="D14" s="8"/>
      <c r="E14" s="8" t="s">
        <v>554</v>
      </c>
      <c r="F14" s="3" t="s">
        <v>610</v>
      </c>
      <c r="G14" s="3"/>
      <c r="H14" s="3" t="s">
        <v>18</v>
      </c>
      <c r="I14" s="3" t="s">
        <v>90</v>
      </c>
      <c r="J14" s="10" t="s">
        <v>134</v>
      </c>
      <c r="K14" s="8"/>
      <c r="L14" s="3" t="s">
        <v>28</v>
      </c>
      <c r="M14" s="3"/>
      <c r="N14" s="8"/>
    </row>
    <row r="15" spans="1:14" ht="30" customHeight="1">
      <c r="A15" s="4">
        <v>11</v>
      </c>
      <c r="B15" s="4" t="s">
        <v>577</v>
      </c>
      <c r="C15" s="4" t="s">
        <v>72</v>
      </c>
      <c r="D15" s="6"/>
      <c r="E15" s="6" t="s">
        <v>614</v>
      </c>
      <c r="F15" s="4" t="s">
        <v>615</v>
      </c>
      <c r="G15" s="4"/>
      <c r="H15" s="4" t="s">
        <v>20</v>
      </c>
      <c r="I15" s="4" t="s">
        <v>231</v>
      </c>
      <c r="J15" s="10" t="s">
        <v>134</v>
      </c>
      <c r="K15" s="6"/>
      <c r="L15" s="4" t="s">
        <v>28</v>
      </c>
      <c r="M15" s="4"/>
      <c r="N15" s="6"/>
    </row>
    <row r="16" spans="1:14" ht="30" customHeight="1">
      <c r="A16" s="3">
        <v>12</v>
      </c>
      <c r="B16" s="3" t="s">
        <v>616</v>
      </c>
      <c r="C16" s="3" t="s">
        <v>72</v>
      </c>
      <c r="D16" s="8" t="s">
        <v>617</v>
      </c>
      <c r="E16" s="8" t="s">
        <v>618</v>
      </c>
      <c r="F16" s="3" t="inlineStr">
        <is>
          <t xml:space="preserve">SH-FM-WI028-04</t>
        </is>
      </c>
      <c r="G16" s="3"/>
      <c r="H16" s="3" t="s">
        <v>20</v>
      </c>
      <c r="I16" s="3" t="s">
        <v>231</v>
      </c>
      <c r="J16" s="7" t="inlineStr">
        <is>
          <t xml:space="preserve">기존 절차 연계</t>
        </is>
      </c>
      <c r="K16" s="8" t="inlineStr">
        <is>
          <t xml:space="preserve">SH-WI-028(장기재고 및 유효기간 관리표준)  [확정 2026-09-22: 신규 발견 연계 채택(ratio=0.65) — 품질경영담당 일괄판단, 부서 정식회신 생략]</t>
        </is>
      </c>
      <c r="L16" s="3" t="s">
        <v>28</v>
      </c>
      <c r="M16" s="3"/>
      <c r="N16" s="8" t="s">
        <v>138</v>
      </c>
    </row>
    <row r="17" spans="1:14" ht="30" customHeight="1">
      <c r="A17" s="4">
        <v>13</v>
      </c>
      <c r="B17" s="4" t="s">
        <v>616</v>
      </c>
      <c r="C17" s="4" t="s">
        <v>72</v>
      </c>
      <c r="D17" s="6" t="s">
        <v>621</v>
      </c>
      <c r="E17" s="6" t="s">
        <v>594</v>
      </c>
      <c r="F17" s="4" t="s">
        <v>622</v>
      </c>
      <c r="G17" s="4"/>
      <c r="H17" s="4" t="s">
        <v>20</v>
      </c>
      <c r="I17" s="4" t="s">
        <v>231</v>
      </c>
      <c r="J17" s="10" t="s">
        <v>134</v>
      </c>
      <c r="K17" s="6"/>
      <c r="L17" s="4" t="s">
        <v>28</v>
      </c>
      <c r="M17" s="4"/>
      <c r="N17" s="6"/>
    </row>
    <row r="18" spans="1:14" ht="30" customHeight="1">
      <c r="A18" s="3">
        <v>14</v>
      </c>
      <c r="B18" s="3" t="s">
        <v>616</v>
      </c>
      <c r="C18" s="3" t="s">
        <v>72</v>
      </c>
      <c r="D18" s="8"/>
      <c r="E18" s="8" t="s">
        <v>554</v>
      </c>
      <c r="F18" s="3" t="s">
        <v>629</v>
      </c>
      <c r="G18" s="3"/>
      <c r="H18" s="3" t="s">
        <v>18</v>
      </c>
      <c r="I18" s="3" t="s">
        <v>90</v>
      </c>
      <c r="J18" s="10" t="s">
        <v>134</v>
      </c>
      <c r="K18" s="8"/>
      <c r="L18" s="3" t="s">
        <v>28</v>
      </c>
      <c r="M18" s="3"/>
      <c r="N18" s="8"/>
    </row>
    <row r="19" spans="1:14" ht="30" customHeight="1">
      <c r="A19" s="4">
        <v>15</v>
      </c>
      <c r="B19" s="4" t="s">
        <v>630</v>
      </c>
      <c r="C19" s="4" t="s">
        <v>72</v>
      </c>
      <c r="D19" s="6" t="s">
        <v>631</v>
      </c>
      <c r="E19" s="6" t="s">
        <v>632</v>
      </c>
      <c r="F19" s="4" t="s">
        <v>633</v>
      </c>
      <c r="G19" s="4" t="s">
        <v>89</v>
      </c>
      <c r="H19" s="4" t="s">
        <v>18</v>
      </c>
      <c r="I19" s="4" t="s">
        <v>90</v>
      </c>
      <c r="J19" s="10" t="s">
        <v>134</v>
      </c>
      <c r="K19" s="6"/>
      <c r="L19" s="4" t="s">
        <v>28</v>
      </c>
      <c r="M19" s="4"/>
      <c r="N19" s="6"/>
    </row>
    <row r="20" spans="1:14" ht="30" customHeight="1">
      <c r="A20" s="3">
        <v>16</v>
      </c>
      <c r="B20" s="3" t="s">
        <v>630</v>
      </c>
      <c r="C20" s="3" t="s">
        <v>72</v>
      </c>
      <c r="D20" s="8" t="s">
        <v>634</v>
      </c>
      <c r="E20" s="8" t="s">
        <v>635</v>
      </c>
      <c r="F20" s="3" t="s">
        <v>636</v>
      </c>
      <c r="G20" s="3" t="s">
        <v>637</v>
      </c>
      <c r="H20" s="3" t="s">
        <v>18</v>
      </c>
      <c r="I20" s="3" t="s">
        <v>90</v>
      </c>
      <c r="J20" s="10" t="s">
        <v>134</v>
      </c>
      <c r="K20" s="8"/>
      <c r="L20" s="3" t="s">
        <v>28</v>
      </c>
      <c r="M20" s="3"/>
      <c r="N20" s="8"/>
    </row>
    <row r="21" spans="1:14" ht="30" customHeight="1">
      <c r="A21" s="4">
        <v>17</v>
      </c>
      <c r="B21" s="4" t="s">
        <v>544</v>
      </c>
      <c r="C21" s="4" t="s">
        <v>72</v>
      </c>
      <c r="D21" s="6" t="s">
        <v>545</v>
      </c>
      <c r="E21" s="6" t="s">
        <v>546</v>
      </c>
      <c r="F21" s="4" t="inlineStr">
        <is>
          <t xml:space="preserve">SH-FM-QP018-10</t>
        </is>
      </c>
      <c r="G21" s="4" t="s">
        <v>548</v>
      </c>
      <c r="H21" s="4" t="s">
        <v>20</v>
      </c>
      <c r="I21" s="4" t="s">
        <v>231</v>
      </c>
      <c r="J21" s="7" t="inlineStr">
        <is>
          <t xml:space="preserve">기존 절차 연계</t>
        </is>
      </c>
      <c r="K21" s="6" t="inlineStr">
        <is>
          <t xml:space="preserve">SH-QP-018(식별 및 추적성 관리 절차서)  [확정 2026-09-22: 기존 추정 SH-WI-009(ratio=0.34) 대비 대안 채택(ratio=0.87) — 품질경영담당 일괄판단, 부서 정식회신 생략]</t>
        </is>
      </c>
      <c r="L21" s="4" t="s">
        <v>29</v>
      </c>
      <c r="M21" s="4"/>
      <c r="N21" s="6" t="s">
        <v>85</v>
      </c>
    </row>
    <row r="22" spans="1:14" ht="30" customHeight="1">
      <c r="A22" s="3">
        <v>18</v>
      </c>
      <c r="B22" s="3" t="s">
        <v>544</v>
      </c>
      <c r="C22" s="3" t="s">
        <v>72</v>
      </c>
      <c r="D22" s="8" t="s">
        <v>553</v>
      </c>
      <c r="E22" s="8" t="s">
        <v>554</v>
      </c>
      <c r="F22" s="3" t="s">
        <v>555</v>
      </c>
      <c r="G22" s="3" t="s">
        <v>556</v>
      </c>
      <c r="H22" s="3" t="s">
        <v>18</v>
      </c>
      <c r="I22" s="3" t="s">
        <v>90</v>
      </c>
      <c r="J22" s="7" t="s">
        <v>77</v>
      </c>
      <c r="K22" s="8" t="s">
        <v>557</v>
      </c>
      <c r="L22" s="3" t="s">
        <v>29</v>
      </c>
      <c r="M22" s="3"/>
      <c r="N22" s="8" t="s">
        <v>79</v>
      </c>
    </row>
    <row r="23" spans="1:14" ht="30" customHeight="1">
      <c r="A23" s="4">
        <v>19</v>
      </c>
      <c r="B23" s="4" t="s">
        <v>544</v>
      </c>
      <c r="C23" s="4" t="s">
        <v>72</v>
      </c>
      <c r="D23" s="6" t="s">
        <v>569</v>
      </c>
      <c r="E23" s="6" t="s">
        <v>570</v>
      </c>
      <c r="F23" s="4" t="s">
        <v>571</v>
      </c>
      <c r="G23" s="4" t="s">
        <v>572</v>
      </c>
      <c r="H23" s="4" t="s">
        <v>18</v>
      </c>
      <c r="I23" s="4" t="s">
        <v>90</v>
      </c>
      <c r="J23" s="7" t="s">
        <v>77</v>
      </c>
      <c r="K23" s="6" t="s">
        <v>573</v>
      </c>
      <c r="L23" s="4" t="s">
        <v>29</v>
      </c>
      <c r="M23" s="4"/>
      <c r="N23" s="6" t="s">
        <v>79</v>
      </c>
    </row>
    <row r="24" spans="1:14" ht="30" customHeight="1">
      <c r="A24" s="3">
        <v>20</v>
      </c>
      <c r="B24" s="3" t="s">
        <v>544</v>
      </c>
      <c r="C24" s="3" t="s">
        <v>72</v>
      </c>
      <c r="D24" s="8"/>
      <c r="E24" s="8" t="s">
        <v>574</v>
      </c>
      <c r="F24" s="3" t="inlineStr">
        <is>
          <t xml:space="preserve">SH-FM-WI001-05</t>
        </is>
      </c>
      <c r="G24" s="3"/>
      <c r="H24" s="3" t="s">
        <v>18</v>
      </c>
      <c r="I24" s="3" t="s">
        <v>90</v>
      </c>
      <c r="J24" s="7" t="inlineStr">
        <is>
          <t xml:space="preserve">기존 절차 연계</t>
        </is>
      </c>
      <c r="K24" s="8" t="inlineStr">
        <is>
          <t xml:space="preserve">SH-WI-001(생산 작업준비 및 초품확인 표준)  [확정 2026-09-22: 기존 추정 SH-QP-018(ratio=0.06) 대비 대안 채택(ratio=0.71) — 품질경영담당 일괄판단, 부서 정식회신 생략]</t>
        </is>
      </c>
      <c r="L24" s="3" t="s">
        <v>29</v>
      </c>
      <c r="M24" s="3"/>
      <c r="N24" s="8" t="s">
        <v>85</v>
      </c>
    </row>
    <row r="25" spans="1:14" ht="30" customHeight="1">
      <c r="A25" s="4">
        <v>21</v>
      </c>
      <c r="B25" s="4" t="s">
        <v>577</v>
      </c>
      <c r="C25" s="4" t="s">
        <v>72</v>
      </c>
      <c r="D25" s="6" t="s">
        <v>578</v>
      </c>
      <c r="E25" s="6" t="s">
        <v>579</v>
      </c>
      <c r="F25" s="4" t="s">
        <v>580</v>
      </c>
      <c r="G25" s="4"/>
      <c r="H25" s="4" t="s">
        <v>20</v>
      </c>
      <c r="I25" s="4" t="s">
        <v>231</v>
      </c>
      <c r="J25" s="7" t="s">
        <v>77</v>
      </c>
      <c r="K25" s="6" t="s">
        <v>581</v>
      </c>
      <c r="L25" s="4" t="s">
        <v>29</v>
      </c>
      <c r="M25" s="4"/>
      <c r="N25" s="6"/>
    </row>
    <row r="26" spans="1:14" ht="30" customHeight="1">
      <c r="A26" s="3">
        <v>22</v>
      </c>
      <c r="B26" s="3" t="s">
        <v>577</v>
      </c>
      <c r="C26" s="3" t="s">
        <v>72</v>
      </c>
      <c r="D26" s="8" t="s">
        <v>582</v>
      </c>
      <c r="E26" s="8" t="s">
        <v>583</v>
      </c>
      <c r="F26" s="3" t="s">
        <v>584</v>
      </c>
      <c r="G26" s="3"/>
      <c r="H26" s="3" t="s">
        <v>20</v>
      </c>
      <c r="I26" s="3" t="s">
        <v>231</v>
      </c>
      <c r="J26" s="7" t="s">
        <v>77</v>
      </c>
      <c r="K26" s="8" t="s">
        <v>585</v>
      </c>
      <c r="L26" s="3" t="s">
        <v>29</v>
      </c>
      <c r="M26" s="3"/>
      <c r="N26" s="8" t="s">
        <v>79</v>
      </c>
    </row>
    <row r="27" spans="1:14" ht="30" customHeight="1">
      <c r="A27" s="4">
        <v>23</v>
      </c>
      <c r="B27" s="4" t="s">
        <v>577</v>
      </c>
      <c r="C27" s="4" t="s">
        <v>72</v>
      </c>
      <c r="D27" s="6" t="s">
        <v>586</v>
      </c>
      <c r="E27" s="6" t="s">
        <v>587</v>
      </c>
      <c r="F27" s="4" t="s">
        <v>588</v>
      </c>
      <c r="G27" s="4"/>
      <c r="H27" s="4" t="s">
        <v>20</v>
      </c>
      <c r="I27" s="4" t="s">
        <v>231</v>
      </c>
      <c r="J27" s="7" t="s">
        <v>77</v>
      </c>
      <c r="K27" s="6" t="s">
        <v>589</v>
      </c>
      <c r="L27" s="4" t="s">
        <v>29</v>
      </c>
      <c r="M27" s="4"/>
      <c r="N27" s="6" t="s">
        <v>79</v>
      </c>
    </row>
    <row r="28" spans="1:14" ht="30" customHeight="1">
      <c r="A28" s="3">
        <v>24</v>
      </c>
      <c r="B28" s="3" t="s">
        <v>577</v>
      </c>
      <c r="C28" s="3" t="s">
        <v>72</v>
      </c>
      <c r="D28" s="8" t="s">
        <v>596</v>
      </c>
      <c r="E28" s="8" t="s">
        <v>597</v>
      </c>
      <c r="F28" s="3" t="s">
        <v>598</v>
      </c>
      <c r="G28" s="3"/>
      <c r="H28" s="3" t="s">
        <v>20</v>
      </c>
      <c r="I28" s="3" t="s">
        <v>231</v>
      </c>
      <c r="J28" s="7" t="s">
        <v>77</v>
      </c>
      <c r="K28" s="8" t="s">
        <v>599</v>
      </c>
      <c r="L28" s="3" t="s">
        <v>29</v>
      </c>
      <c r="M28" s="3"/>
      <c r="N28" s="8"/>
    </row>
    <row r="29" spans="1:14" ht="30" customHeight="1">
      <c r="A29" s="4">
        <v>25</v>
      </c>
      <c r="B29" s="4" t="s">
        <v>577</v>
      </c>
      <c r="C29" s="4" t="s">
        <v>72</v>
      </c>
      <c r="D29" s="6"/>
      <c r="E29" s="6" t="s">
        <v>600</v>
      </c>
      <c r="F29" s="4" t="s">
        <v>601</v>
      </c>
      <c r="G29" s="4"/>
      <c r="H29" s="4" t="s">
        <v>20</v>
      </c>
      <c r="I29" s="4" t="s">
        <v>231</v>
      </c>
      <c r="J29" s="7" t="s">
        <v>77</v>
      </c>
      <c r="K29" s="6" t="s">
        <v>602</v>
      </c>
      <c r="L29" s="4" t="s">
        <v>29</v>
      </c>
      <c r="M29" s="4"/>
      <c r="N29" s="6"/>
    </row>
    <row r="30" spans="1:14" ht="30" customHeight="1">
      <c r="A30" s="3">
        <v>26</v>
      </c>
      <c r="B30" s="3" t="s">
        <v>577</v>
      </c>
      <c r="C30" s="3" t="s">
        <v>72</v>
      </c>
      <c r="D30" s="8"/>
      <c r="E30" s="8" t="s">
        <v>603</v>
      </c>
      <c r="F30" s="3" t="s">
        <v>604</v>
      </c>
      <c r="G30" s="3"/>
      <c r="H30" s="3" t="s">
        <v>20</v>
      </c>
      <c r="I30" s="3" t="s">
        <v>231</v>
      </c>
      <c r="J30" s="7" t="s">
        <v>77</v>
      </c>
      <c r="K30" s="8" t="s">
        <v>605</v>
      </c>
      <c r="L30" s="3" t="s">
        <v>30</v>
      </c>
      <c r="M30" s="3"/>
      <c r="N30" s="8"/>
    </row>
    <row r="31" spans="1:14" ht="30" customHeight="1">
      <c r="A31" s="4">
        <v>27</v>
      </c>
      <c r="B31" s="4" t="s">
        <v>577</v>
      </c>
      <c r="C31" s="4" t="s">
        <v>72</v>
      </c>
      <c r="D31" s="6"/>
      <c r="E31" s="6" t="s">
        <v>611</v>
      </c>
      <c r="F31" s="4" t="s">
        <v>612</v>
      </c>
      <c r="G31" s="4"/>
      <c r="H31" s="4" t="s">
        <v>20</v>
      </c>
      <c r="I31" s="4" t="s">
        <v>231</v>
      </c>
      <c r="J31" s="7" t="s">
        <v>77</v>
      </c>
      <c r="K31" s="6" t="s">
        <v>613</v>
      </c>
      <c r="L31" s="4" t="s">
        <v>30</v>
      </c>
      <c r="M31" s="4"/>
      <c r="N31" s="6" t="s">
        <v>79</v>
      </c>
    </row>
    <row r="32" spans="1:14" ht="30" customHeight="1">
      <c r="A32" s="3">
        <v>28</v>
      </c>
      <c r="B32" s="3" t="s">
        <v>616</v>
      </c>
      <c r="C32" s="3" t="s">
        <v>72</v>
      </c>
      <c r="D32" s="8" t="s">
        <v>623</v>
      </c>
      <c r="E32" s="8" t="s">
        <v>597</v>
      </c>
      <c r="F32" s="3" t="s">
        <v>624</v>
      </c>
      <c r="G32" s="3"/>
      <c r="H32" s="3" t="s">
        <v>20</v>
      </c>
      <c r="I32" s="3" t="s">
        <v>231</v>
      </c>
      <c r="J32" s="7" t="s">
        <v>77</v>
      </c>
      <c r="K32" s="8" t="s">
        <v>625</v>
      </c>
      <c r="L32" s="3" t="s">
        <v>30</v>
      </c>
      <c r="M32" s="3"/>
      <c r="N32" s="8" t="s">
        <v>79</v>
      </c>
    </row>
    <row r="33" spans="1:14" ht="30" customHeight="1">
      <c r="A33" s="4">
        <v>29</v>
      </c>
      <c r="B33" s="4" t="s">
        <v>616</v>
      </c>
      <c r="C33" s="4" t="s">
        <v>72</v>
      </c>
      <c r="D33" s="6" t="s">
        <v>626</v>
      </c>
      <c r="E33" s="6" t="s">
        <v>603</v>
      </c>
      <c r="F33" s="4" t="s">
        <v>627</v>
      </c>
      <c r="G33" s="4"/>
      <c r="H33" s="4" t="s">
        <v>20</v>
      </c>
      <c r="I33" s="4" t="s">
        <v>231</v>
      </c>
      <c r="J33" s="7" t="s">
        <v>77</v>
      </c>
      <c r="K33" s="6" t="s">
        <v>628</v>
      </c>
      <c r="L33" s="4" t="s">
        <v>30</v>
      </c>
      <c r="M33" s="4"/>
      <c r="N33" s="6"/>
    </row>
    <row r="34" spans="1:14" ht="30" customHeight="1">
      <c r="A34" s="3">
        <v>30</v>
      </c>
      <c r="B34" s="3" t="s">
        <v>630</v>
      </c>
      <c r="C34" s="3" t="s">
        <v>72</v>
      </c>
      <c r="D34" s="8" t="s">
        <v>638</v>
      </c>
      <c r="E34" s="8" t="s">
        <v>639</v>
      </c>
      <c r="F34" s="3" t="s">
        <v>640</v>
      </c>
      <c r="G34" s="3" t="s">
        <v>641</v>
      </c>
      <c r="H34" s="3" t="s">
        <v>20</v>
      </c>
      <c r="I34" s="3" t="s">
        <v>231</v>
      </c>
      <c r="J34" s="7" t="s">
        <v>77</v>
      </c>
      <c r="K34" s="8" t="s">
        <v>642</v>
      </c>
      <c r="L34" s="3" t="s">
        <v>30</v>
      </c>
      <c r="M34" s="3"/>
      <c r="N34" s="8" t="s">
        <v>79</v>
      </c>
    </row>
    <row r="35" spans="1:14" ht="30" customHeight="1">
      <c r="A35" s="4">
        <v>31</v>
      </c>
      <c r="B35" s="4" t="s">
        <v>630</v>
      </c>
      <c r="C35" s="4" t="s">
        <v>72</v>
      </c>
      <c r="D35" s="6" t="s">
        <v>643</v>
      </c>
      <c r="E35" s="6" t="s">
        <v>644</v>
      </c>
      <c r="F35" s="4" t="s">
        <v>645</v>
      </c>
      <c r="G35" s="4"/>
      <c r="H35" s="4" t="s">
        <v>20</v>
      </c>
      <c r="I35" s="4" t="s">
        <v>231</v>
      </c>
      <c r="J35" s="7" t="s">
        <v>77</v>
      </c>
      <c r="K35" s="6" t="s">
        <v>646</v>
      </c>
      <c r="L35" s="4" t="s">
        <v>30</v>
      </c>
      <c r="M35" s="4"/>
      <c r="N35" s="6" t="s">
        <v>79</v>
      </c>
    </row>
    <row r="36" spans="1:14" ht="30" customHeight="1">
      <c r="A36" s="3">
        <v>32</v>
      </c>
      <c r="B36" s="3" t="s">
        <v>630</v>
      </c>
      <c r="C36" s="3" t="s">
        <v>72</v>
      </c>
      <c r="D36" s="8" t="s">
        <v>647</v>
      </c>
      <c r="E36" s="8" t="s">
        <v>648</v>
      </c>
      <c r="F36" s="3" t="s">
        <v>649</v>
      </c>
      <c r="G36" s="3"/>
      <c r="H36" s="3" t="s">
        <v>20</v>
      </c>
      <c r="I36" s="3" t="s">
        <v>231</v>
      </c>
      <c r="J36" s="7" t="s">
        <v>77</v>
      </c>
      <c r="K36" s="8" t="s">
        <v>650</v>
      </c>
      <c r="L36" s="3" t="s">
        <v>30</v>
      </c>
      <c r="M36" s="3"/>
      <c r="N36" s="8" t="s">
        <v>79</v>
      </c>
    </row>
    <row r="37" spans="1:14" ht="30" customHeight="1">
      <c r="A37" s="4">
        <v>33</v>
      </c>
      <c r="B37" s="4" t="s">
        <v>630</v>
      </c>
      <c r="C37" s="4" t="s">
        <v>72</v>
      </c>
      <c r="D37" s="6" t="s">
        <v>651</v>
      </c>
      <c r="E37" s="6" t="s">
        <v>652</v>
      </c>
      <c r="F37" s="4" t="s">
        <v>653</v>
      </c>
      <c r="G37" s="4"/>
      <c r="H37" s="4" t="s">
        <v>20</v>
      </c>
      <c r="I37" s="4" t="s">
        <v>231</v>
      </c>
      <c r="J37" s="7" t="s">
        <v>77</v>
      </c>
      <c r="K37" s="6" t="s">
        <v>654</v>
      </c>
      <c r="L37" s="4" t="s">
        <v>30</v>
      </c>
      <c r="M37" s="4"/>
      <c r="N37" s="6" t="s">
        <v>79</v>
      </c>
    </row>
  </sheetData>
  <autoFilter ref="A4:N37" xr:uid="{00000000-0009-0000-0000-000009000000}"/>
  <mergeCells count="3">
    <mergeCell ref="A3:N3"/>
    <mergeCell ref="A2:N2"/>
    <mergeCell ref="A1:N1"/>
  </mergeCells>
  <phoneticPr fontId="15" type="noConversion"/>
  <dataValidations count="1">
    <dataValidation type="list" allowBlank="1" sqref="M5:M37" xr:uid="{00000000-0002-0000-0900-000000000000}">
      <formula1>"미착수,진행중,완료,해당없음"</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0"/>
  <sheetViews>
    <sheetView showGridLines="0" workbookViewId="0">
      <pane ySplit="4" topLeftCell="A5" activePane="bottomLeft" state="frozen"/>
      <selection pane="bottomLeft" activeCell="J10" sqref="J10"/>
    </sheetView>
  </sheetViews>
  <sheetFormatPr defaultRowHeight="16.5"/>
  <cols>
    <col min="1" max="1" width="5" customWidth="1"/>
    <col min="2" max="2" width="7" customWidth="1"/>
    <col min="3" max="3" width="8" customWidth="1"/>
    <col min="4" max="4" width="34" customWidth="1"/>
    <col min="5" max="5" width="24" customWidth="1"/>
    <col min="6" max="6" width="13" customWidth="1"/>
    <col min="7" max="7" width="12" customWidth="1"/>
    <col min="8" max="8" width="10" customWidth="1"/>
    <col min="9" max="9" width="9" customWidth="1"/>
    <col min="10" max="10" width="14" customWidth="1"/>
    <col min="11" max="11" width="26" customWidth="1"/>
    <col min="12" max="12" width="12" customWidth="1"/>
    <col min="13" max="13" width="10" customWidth="1"/>
    <col min="14" max="14" width="16" customWidth="1"/>
  </cols>
  <sheetData>
    <row r="1" spans="1:14" ht="26.1" customHeight="1">
      <c r="A1" s="24" t="s">
        <v>990</v>
      </c>
      <c r="B1" s="25"/>
      <c r="C1" s="25"/>
      <c r="D1" s="25"/>
      <c r="E1" s="25"/>
      <c r="F1" s="25"/>
      <c r="G1" s="25"/>
      <c r="H1" s="25"/>
      <c r="I1" s="25"/>
      <c r="J1" s="25"/>
      <c r="K1" s="25"/>
      <c r="L1" s="25"/>
      <c r="M1" s="25"/>
      <c r="N1" s="25"/>
    </row>
    <row r="2" spans="1:14" ht="15.95" customHeight="1">
      <c r="A2" s="27" t="s">
        <v>991</v>
      </c>
      <c r="B2" s="25"/>
      <c r="C2" s="25"/>
      <c r="D2" s="25"/>
      <c r="E2" s="25"/>
      <c r="F2" s="25"/>
      <c r="G2" s="25"/>
      <c r="H2" s="25"/>
      <c r="I2" s="25"/>
      <c r="J2" s="25"/>
      <c r="K2" s="25"/>
      <c r="L2" s="25"/>
      <c r="M2" s="25"/>
      <c r="N2" s="25"/>
    </row>
    <row r="3" spans="1:14" ht="15.95" customHeight="1">
      <c r="A3" s="26" t="s">
        <v>36</v>
      </c>
      <c r="B3" s="25"/>
      <c r="C3" s="25"/>
      <c r="D3" s="25"/>
      <c r="E3" s="25"/>
      <c r="F3" s="25"/>
      <c r="G3" s="25"/>
      <c r="H3" s="25"/>
      <c r="I3" s="25"/>
      <c r="J3" s="25"/>
      <c r="K3" s="25"/>
      <c r="L3" s="25"/>
      <c r="M3" s="25"/>
      <c r="N3" s="25"/>
    </row>
    <row r="4" spans="1:14" ht="30" customHeight="1">
      <c r="A4" s="2" t="s">
        <v>38</v>
      </c>
      <c r="B4" s="2" t="s">
        <v>60</v>
      </c>
      <c r="C4" s="2" t="s">
        <v>10</v>
      </c>
      <c r="D4" s="2" t="s">
        <v>62</v>
      </c>
      <c r="E4" s="2" t="s">
        <v>63</v>
      </c>
      <c r="F4" s="2" t="s">
        <v>64</v>
      </c>
      <c r="G4" s="2" t="s">
        <v>65</v>
      </c>
      <c r="H4" s="2" t="s">
        <v>17</v>
      </c>
      <c r="I4" s="2" t="s">
        <v>66</v>
      </c>
      <c r="J4" s="2" t="s">
        <v>67</v>
      </c>
      <c r="K4" s="2" t="s">
        <v>68</v>
      </c>
      <c r="L4" s="2" t="s">
        <v>69</v>
      </c>
      <c r="M4" s="2" t="s">
        <v>31</v>
      </c>
      <c r="N4" s="2" t="s">
        <v>70</v>
      </c>
    </row>
    <row r="5" spans="1:14" ht="30" customHeight="1">
      <c r="A5" s="4">
        <v>1</v>
      </c>
      <c r="B5" s="4" t="s">
        <v>655</v>
      </c>
      <c r="C5" s="4" t="s">
        <v>72</v>
      </c>
      <c r="D5" s="6" t="s">
        <v>656</v>
      </c>
      <c r="E5" s="6" t="s">
        <v>657</v>
      </c>
      <c r="F5" s="4" t="inlineStr">
        <is>
          <t xml:space="preserve">SH-FM-QP004-01</t>
        </is>
      </c>
      <c r="G5" s="4"/>
      <c r="H5" s="4" t="s">
        <v>18</v>
      </c>
      <c r="I5" s="4" t="s">
        <v>90</v>
      </c>
      <c r="J5" s="7" t="inlineStr">
        <is>
          <t xml:space="preserve">기존 절차 연계</t>
        </is>
      </c>
      <c r="K5" s="6" t="inlineStr">
        <is>
          <t xml:space="preserve">SH-QP-004(리스크 및 기회관리 절차서)  [확정 2026-09-22: 신규 발견 연계 채택(ratio=0.59) — 품질경영담당 일괄판단, 부서 정식회신 생략]</t>
        </is>
      </c>
      <c r="L5" s="4" t="s">
        <v>27</v>
      </c>
      <c r="M5" s="4"/>
      <c r="N5" s="6" t="s">
        <v>138</v>
      </c>
    </row>
    <row r="6" spans="1:14" ht="30" customHeight="1">
      <c r="A6" s="3">
        <v>2</v>
      </c>
      <c r="B6" s="3" t="s">
        <v>655</v>
      </c>
      <c r="C6" s="3" t="s">
        <v>72</v>
      </c>
      <c r="D6" s="8" t="s">
        <v>660</v>
      </c>
      <c r="E6" s="8" t="s">
        <v>661</v>
      </c>
      <c r="F6" s="3" t="s">
        <v>662</v>
      </c>
      <c r="G6" s="3"/>
      <c r="H6" s="3" t="s">
        <v>18</v>
      </c>
      <c r="I6" s="3" t="s">
        <v>90</v>
      </c>
      <c r="J6" s="10" t="s">
        <v>134</v>
      </c>
      <c r="K6" s="8"/>
      <c r="L6" s="3" t="s">
        <v>27</v>
      </c>
      <c r="M6" s="3"/>
      <c r="N6" s="8"/>
    </row>
    <row r="7" spans="1:14" ht="30" customHeight="1">
      <c r="A7" s="4">
        <v>3</v>
      </c>
      <c r="B7" s="4" t="s">
        <v>655</v>
      </c>
      <c r="C7" s="4" t="s">
        <v>72</v>
      </c>
      <c r="D7" s="6" t="s">
        <v>663</v>
      </c>
      <c r="E7" s="6" t="s">
        <v>664</v>
      </c>
      <c r="F7" s="4" t="s">
        <v>665</v>
      </c>
      <c r="G7" s="4"/>
      <c r="H7" s="4" t="s">
        <v>18</v>
      </c>
      <c r="I7" s="4" t="s">
        <v>90</v>
      </c>
      <c r="J7" s="10" t="s">
        <v>134</v>
      </c>
      <c r="K7" s="6"/>
      <c r="L7" s="4" t="s">
        <v>27</v>
      </c>
      <c r="M7" s="4"/>
      <c r="N7" s="6"/>
    </row>
    <row r="8" spans="1:14" ht="30" customHeight="1">
      <c r="A8" s="3">
        <v>4</v>
      </c>
      <c r="B8" s="3" t="s">
        <v>655</v>
      </c>
      <c r="C8" s="3" t="s">
        <v>72</v>
      </c>
      <c r="D8" s="8" t="s">
        <v>666</v>
      </c>
      <c r="E8" s="8" t="s">
        <v>667</v>
      </c>
      <c r="F8" s="3" t="s">
        <v>668</v>
      </c>
      <c r="G8" s="3"/>
      <c r="H8" s="3" t="s">
        <v>18</v>
      </c>
      <c r="I8" s="3" t="s">
        <v>90</v>
      </c>
      <c r="J8" s="10" t="s">
        <v>134</v>
      </c>
      <c r="K8" s="8"/>
      <c r="L8" s="3" t="s">
        <v>27</v>
      </c>
      <c r="M8" s="3"/>
      <c r="N8" s="8"/>
    </row>
    <row r="9" spans="1:14" ht="30" customHeight="1">
      <c r="A9" s="4">
        <v>5</v>
      </c>
      <c r="B9" s="4" t="s">
        <v>655</v>
      </c>
      <c r="C9" s="4" t="s">
        <v>72</v>
      </c>
      <c r="D9" s="6" t="s">
        <v>669</v>
      </c>
      <c r="E9" s="6" t="s">
        <v>670</v>
      </c>
      <c r="F9" s="4" t="s">
        <v>671</v>
      </c>
      <c r="G9" s="4"/>
      <c r="H9" s="4" t="s">
        <v>18</v>
      </c>
      <c r="I9" s="4" t="s">
        <v>90</v>
      </c>
      <c r="J9" s="10" t="s">
        <v>134</v>
      </c>
      <c r="K9" s="6"/>
      <c r="L9" s="4" t="s">
        <v>27</v>
      </c>
      <c r="M9" s="4"/>
      <c r="N9" s="6"/>
    </row>
    <row r="10" spans="1:14" ht="30" customHeight="1">
      <c r="A10" s="3">
        <v>6</v>
      </c>
      <c r="B10" s="3" t="s">
        <v>695</v>
      </c>
      <c r="C10" s="3" t="s">
        <v>72</v>
      </c>
      <c r="D10" s="8" t="s">
        <v>696</v>
      </c>
      <c r="E10" s="8" t="s">
        <v>697</v>
      </c>
      <c r="F10" s="3" t="s">
        <v>698</v>
      </c>
      <c r="G10" s="3"/>
      <c r="H10" s="3" t="s">
        <v>19</v>
      </c>
      <c r="I10" s="3" t="s">
        <v>76</v>
      </c>
      <c r="J10" s="10" t="s">
        <v>134</v>
      </c>
      <c r="K10" s="8"/>
      <c r="L10" s="3" t="s">
        <v>27</v>
      </c>
      <c r="M10" s="3"/>
      <c r="N10" s="8"/>
    </row>
    <row r="11" spans="1:14" ht="30" customHeight="1">
      <c r="A11" s="4">
        <v>7</v>
      </c>
      <c r="B11" s="4" t="s">
        <v>711</v>
      </c>
      <c r="C11" s="4" t="s">
        <v>72</v>
      </c>
      <c r="D11" s="6" t="s">
        <v>712</v>
      </c>
      <c r="E11" s="6" t="s">
        <v>713</v>
      </c>
      <c r="F11" s="4" t="s">
        <v>714</v>
      </c>
      <c r="G11" s="4"/>
      <c r="H11" s="4" t="s">
        <v>19</v>
      </c>
      <c r="I11" s="4" t="s">
        <v>76</v>
      </c>
      <c r="J11" s="10" t="s">
        <v>134</v>
      </c>
      <c r="K11" s="6"/>
      <c r="L11" s="4" t="s">
        <v>27</v>
      </c>
      <c r="M11" s="4"/>
      <c r="N11" s="6"/>
    </row>
    <row r="12" spans="1:14" ht="30" customHeight="1">
      <c r="A12" s="3">
        <v>8</v>
      </c>
      <c r="B12" s="3" t="s">
        <v>711</v>
      </c>
      <c r="C12" s="3" t="s">
        <v>72</v>
      </c>
      <c r="D12" s="8" t="s">
        <v>715</v>
      </c>
      <c r="E12" s="8" t="s">
        <v>716</v>
      </c>
      <c r="F12" s="3" t="inlineStr">
        <is>
          <t xml:space="preserve">SH-FM-QP002-01</t>
        </is>
      </c>
      <c r="G12" s="3" t="s">
        <v>718</v>
      </c>
      <c r="H12" s="3" t="s">
        <v>19</v>
      </c>
      <c r="I12" s="3" t="s">
        <v>76</v>
      </c>
      <c r="J12" s="7" t="inlineStr">
        <is>
          <t xml:space="preserve">기존 절차 연계</t>
        </is>
      </c>
      <c r="K12" s="8" t="inlineStr">
        <is>
          <t xml:space="preserve">SH-QP-002(문서화된 정보 관리 절차서)  [확정 2026-09-22: 신규 발견 연계 채택(ratio=0.60) — 품질경영담당 일괄판단, 부서 정식회신 생략]</t>
        </is>
      </c>
      <c r="L12" s="3" t="s">
        <v>27</v>
      </c>
      <c r="M12" s="3"/>
      <c r="N12" s="8" t="s">
        <v>138</v>
      </c>
    </row>
    <row r="13" spans="1:14" ht="30" customHeight="1">
      <c r="A13" s="4">
        <v>9</v>
      </c>
      <c r="B13" s="4" t="s">
        <v>711</v>
      </c>
      <c r="C13" s="4" t="s">
        <v>72</v>
      </c>
      <c r="D13" s="6" t="s">
        <v>720</v>
      </c>
      <c r="E13" s="6" t="s">
        <v>721</v>
      </c>
      <c r="F13" s="4" t="s">
        <v>722</v>
      </c>
      <c r="G13" s="4"/>
      <c r="H13" s="4" t="s">
        <v>19</v>
      </c>
      <c r="I13" s="4" t="s">
        <v>76</v>
      </c>
      <c r="J13" s="10" t="s">
        <v>134</v>
      </c>
      <c r="K13" s="6"/>
      <c r="L13" s="4" t="s">
        <v>27</v>
      </c>
      <c r="M13" s="4"/>
      <c r="N13" s="6"/>
    </row>
    <row r="14" spans="1:14" ht="30" customHeight="1">
      <c r="A14" s="3">
        <v>10</v>
      </c>
      <c r="B14" s="3" t="s">
        <v>711</v>
      </c>
      <c r="C14" s="3" t="s">
        <v>72</v>
      </c>
      <c r="D14" s="8"/>
      <c r="E14" s="8" t="s">
        <v>727</v>
      </c>
      <c r="F14" s="3" t="s">
        <v>728</v>
      </c>
      <c r="G14" s="3"/>
      <c r="H14" s="3" t="s">
        <v>19</v>
      </c>
      <c r="I14" s="3" t="s">
        <v>76</v>
      </c>
      <c r="J14" s="10" t="s">
        <v>134</v>
      </c>
      <c r="K14" s="8"/>
      <c r="L14" s="3" t="s">
        <v>27</v>
      </c>
      <c r="M14" s="3"/>
      <c r="N14" s="8"/>
    </row>
    <row r="15" spans="1:14" ht="30" customHeight="1">
      <c r="A15" s="4">
        <v>11</v>
      </c>
      <c r="B15" s="4" t="s">
        <v>747</v>
      </c>
      <c r="C15" s="4" t="s">
        <v>72</v>
      </c>
      <c r="D15" s="6" t="s">
        <v>748</v>
      </c>
      <c r="E15" s="6" t="s">
        <v>749</v>
      </c>
      <c r="F15" s="4" t="s">
        <v>750</v>
      </c>
      <c r="G15" s="4"/>
      <c r="H15" s="4" t="s">
        <v>19</v>
      </c>
      <c r="I15" s="4" t="s">
        <v>76</v>
      </c>
      <c r="J15" s="10" t="s">
        <v>134</v>
      </c>
      <c r="K15" s="6"/>
      <c r="L15" s="4" t="s">
        <v>27</v>
      </c>
      <c r="M15" s="4"/>
      <c r="N15" s="6"/>
    </row>
    <row r="16" spans="1:14" ht="30" customHeight="1">
      <c r="A16" s="3">
        <v>12</v>
      </c>
      <c r="B16" s="3" t="s">
        <v>655</v>
      </c>
      <c r="C16" s="3" t="s">
        <v>72</v>
      </c>
      <c r="D16" s="8" t="s">
        <v>672</v>
      </c>
      <c r="E16" s="8" t="s">
        <v>673</v>
      </c>
      <c r="F16" s="3" t="s">
        <v>674</v>
      </c>
      <c r="G16" s="3"/>
      <c r="H16" s="3" t="s">
        <v>18</v>
      </c>
      <c r="I16" s="3" t="s">
        <v>90</v>
      </c>
      <c r="J16" s="10" t="s">
        <v>134</v>
      </c>
      <c r="K16" s="8"/>
      <c r="L16" s="3" t="s">
        <v>28</v>
      </c>
      <c r="M16" s="3"/>
      <c r="N16" s="8"/>
    </row>
    <row r="17" spans="1:14" ht="30" customHeight="1">
      <c r="A17" s="4">
        <v>13</v>
      </c>
      <c r="B17" s="4" t="s">
        <v>655</v>
      </c>
      <c r="C17" s="4" t="s">
        <v>72</v>
      </c>
      <c r="D17" s="6" t="s">
        <v>675</v>
      </c>
      <c r="E17" s="6" t="s">
        <v>676</v>
      </c>
      <c r="F17" s="4" t="s">
        <v>677</v>
      </c>
      <c r="G17" s="4"/>
      <c r="H17" s="4" t="s">
        <v>18</v>
      </c>
      <c r="I17" s="4" t="s">
        <v>90</v>
      </c>
      <c r="J17" s="10" t="s">
        <v>134</v>
      </c>
      <c r="K17" s="6"/>
      <c r="L17" s="4" t="s">
        <v>28</v>
      </c>
      <c r="M17" s="4"/>
      <c r="N17" s="6"/>
    </row>
    <row r="18" spans="1:14" ht="30" customHeight="1">
      <c r="A18" s="3">
        <v>14</v>
      </c>
      <c r="B18" s="3" t="s">
        <v>655</v>
      </c>
      <c r="C18" s="3" t="s">
        <v>72</v>
      </c>
      <c r="D18" s="8" t="s">
        <v>678</v>
      </c>
      <c r="E18" s="8" t="s">
        <v>679</v>
      </c>
      <c r="F18" s="3" t="s">
        <v>680</v>
      </c>
      <c r="G18" s="3"/>
      <c r="H18" s="3" t="s">
        <v>18</v>
      </c>
      <c r="I18" s="3" t="s">
        <v>90</v>
      </c>
      <c r="J18" s="10" t="s">
        <v>134</v>
      </c>
      <c r="K18" s="8"/>
      <c r="L18" s="3" t="s">
        <v>28</v>
      </c>
      <c r="M18" s="3"/>
      <c r="N18" s="8"/>
    </row>
    <row r="19" spans="1:14" ht="30" customHeight="1">
      <c r="A19" s="4">
        <v>15</v>
      </c>
      <c r="B19" s="4" t="s">
        <v>655</v>
      </c>
      <c r="C19" s="4" t="s">
        <v>72</v>
      </c>
      <c r="D19" s="6" t="s">
        <v>681</v>
      </c>
      <c r="E19" s="6" t="s">
        <v>682</v>
      </c>
      <c r="F19" s="4" t="inlineStr">
        <is>
          <t xml:space="preserve">SH-FM-WI016-04</t>
        </is>
      </c>
      <c r="G19" s="4"/>
      <c r="H19" s="4" t="s">
        <v>18</v>
      </c>
      <c r="I19" s="4" t="s">
        <v>90</v>
      </c>
      <c r="J19" s="7" t="inlineStr">
        <is>
          <t xml:space="preserve">기존 절차 연계</t>
        </is>
      </c>
      <c r="K19" s="6" t="inlineStr">
        <is>
          <t xml:space="preserve">SH-WI-016(예방보전 및 설비점검 작업표준)  [확정 2026-09-22: 신규 발견 연계 채택(ratio=0.74) — 품질경영담당 일괄판단, 부서 정식회신 생략]</t>
        </is>
      </c>
      <c r="L19" s="4" t="s">
        <v>28</v>
      </c>
      <c r="M19" s="4"/>
      <c r="N19" s="6" t="s">
        <v>138</v>
      </c>
    </row>
    <row r="20" spans="1:14" ht="30" customHeight="1">
      <c r="A20" s="3">
        <v>16</v>
      </c>
      <c r="B20" s="3" t="s">
        <v>655</v>
      </c>
      <c r="C20" s="3" t="s">
        <v>72</v>
      </c>
      <c r="D20" s="8" t="s">
        <v>685</v>
      </c>
      <c r="E20" s="8" t="s">
        <v>686</v>
      </c>
      <c r="F20" s="3" t="s">
        <v>687</v>
      </c>
      <c r="G20" s="3"/>
      <c r="H20" s="3" t="s">
        <v>18</v>
      </c>
      <c r="I20" s="3" t="s">
        <v>90</v>
      </c>
      <c r="J20" s="10" t="s">
        <v>134</v>
      </c>
      <c r="K20" s="8"/>
      <c r="L20" s="3" t="s">
        <v>28</v>
      </c>
      <c r="M20" s="3"/>
      <c r="N20" s="8"/>
    </row>
    <row r="21" spans="1:14" ht="30" customHeight="1">
      <c r="A21" s="4">
        <v>17</v>
      </c>
      <c r="B21" s="4" t="s">
        <v>655</v>
      </c>
      <c r="C21" s="4" t="s">
        <v>72</v>
      </c>
      <c r="D21" s="6"/>
      <c r="E21" s="6" t="s">
        <v>693</v>
      </c>
      <c r="F21" s="4" t="s">
        <v>694</v>
      </c>
      <c r="G21" s="4"/>
      <c r="H21" s="4" t="s">
        <v>18</v>
      </c>
      <c r="I21" s="4" t="s">
        <v>90</v>
      </c>
      <c r="J21" s="10" t="s">
        <v>134</v>
      </c>
      <c r="K21" s="6"/>
      <c r="L21" s="4" t="s">
        <v>28</v>
      </c>
      <c r="M21" s="4"/>
      <c r="N21" s="6"/>
    </row>
    <row r="22" spans="1:14" ht="30" customHeight="1">
      <c r="A22" s="3">
        <v>18</v>
      </c>
      <c r="B22" s="3" t="s">
        <v>747</v>
      </c>
      <c r="C22" s="3" t="s">
        <v>72</v>
      </c>
      <c r="D22" s="8" t="s">
        <v>751</v>
      </c>
      <c r="E22" s="8" t="s">
        <v>752</v>
      </c>
      <c r="F22" s="3" t="inlineStr">
        <is>
          <t xml:space="preserve">SH-FM-QP006-03</t>
        </is>
      </c>
      <c r="G22" s="3"/>
      <c r="H22" s="3" t="s">
        <v>19</v>
      </c>
      <c r="I22" s="3" t="s">
        <v>76</v>
      </c>
      <c r="J22" s="7" t="inlineStr">
        <is>
          <t xml:space="preserve">기존 절차 연계</t>
        </is>
      </c>
      <c r="K22" s="8" t="inlineStr">
        <is>
          <t xml:space="preserve">SH-QP-006(교육훈련 및 역량관리 절차서)  [확정 2026-09-22: 신규 발견 연계 채택(ratio=1.00) — 품질경영담당 일괄판단, 부서 정식회신 생략]</t>
        </is>
      </c>
      <c r="L22" s="3" t="s">
        <v>28</v>
      </c>
      <c r="M22" s="3"/>
      <c r="N22" s="8" t="s">
        <v>138</v>
      </c>
    </row>
    <row r="23" spans="1:14" ht="30" customHeight="1">
      <c r="A23" s="4">
        <v>19</v>
      </c>
      <c r="B23" s="4" t="s">
        <v>747</v>
      </c>
      <c r="C23" s="4" t="s">
        <v>72</v>
      </c>
      <c r="D23" s="6" t="s">
        <v>755</v>
      </c>
      <c r="E23" s="6" t="s">
        <v>756</v>
      </c>
      <c r="F23" s="4" t="inlineStr">
        <is>
          <t xml:space="preserve">SH-FM-QP006-04</t>
        </is>
      </c>
      <c r="G23" s="4"/>
      <c r="H23" s="4" t="s">
        <v>18</v>
      </c>
      <c r="I23" s="4" t="s">
        <v>90</v>
      </c>
      <c r="J23" s="7" t="inlineStr">
        <is>
          <t xml:space="preserve">기존 절차 연계</t>
        </is>
      </c>
      <c r="K23" s="6" t="inlineStr">
        <is>
          <t xml:space="preserve">SH-QP-006(교육훈련 및 역량관리 절차서)  [확정 2026-09-22: 신규 발견 연계 채택(ratio=0.57) — 품질경영담당 일괄판단, 부서 정식회신 생략]</t>
        </is>
      </c>
      <c r="L23" s="4" t="s">
        <v>28</v>
      </c>
      <c r="M23" s="4"/>
      <c r="N23" s="6" t="s">
        <v>138</v>
      </c>
    </row>
    <row r="24" spans="1:14" ht="30" customHeight="1">
      <c r="A24" s="3">
        <v>20</v>
      </c>
      <c r="B24" s="3" t="s">
        <v>747</v>
      </c>
      <c r="C24" s="3" t="s">
        <v>72</v>
      </c>
      <c r="D24" s="8" t="s">
        <v>759</v>
      </c>
      <c r="E24" s="8" t="s">
        <v>760</v>
      </c>
      <c r="F24" s="3" t="s">
        <v>761</v>
      </c>
      <c r="G24" s="3"/>
      <c r="H24" s="3" t="s">
        <v>19</v>
      </c>
      <c r="I24" s="3" t="s">
        <v>76</v>
      </c>
      <c r="J24" s="10" t="s">
        <v>134</v>
      </c>
      <c r="K24" s="8"/>
      <c r="L24" s="3" t="s">
        <v>28</v>
      </c>
      <c r="M24" s="3"/>
      <c r="N24" s="8"/>
    </row>
    <row r="25" spans="1:14" ht="30" customHeight="1">
      <c r="A25" s="4">
        <v>21</v>
      </c>
      <c r="B25" s="4" t="s">
        <v>747</v>
      </c>
      <c r="C25" s="4" t="s">
        <v>72</v>
      </c>
      <c r="D25" s="6" t="s">
        <v>762</v>
      </c>
      <c r="E25" s="6" t="s">
        <v>763</v>
      </c>
      <c r="F25" s="4" t="s">
        <v>764</v>
      </c>
      <c r="G25" s="4"/>
      <c r="H25" s="4" t="s">
        <v>19</v>
      </c>
      <c r="I25" s="4" t="s">
        <v>76</v>
      </c>
      <c r="J25" s="10" t="s">
        <v>134</v>
      </c>
      <c r="K25" s="6"/>
      <c r="L25" s="4" t="s">
        <v>28</v>
      </c>
      <c r="M25" s="4"/>
      <c r="N25" s="6"/>
    </row>
    <row r="26" spans="1:14" ht="30" customHeight="1">
      <c r="A26" s="3">
        <v>22</v>
      </c>
      <c r="B26" s="3" t="s">
        <v>747</v>
      </c>
      <c r="C26" s="3" t="s">
        <v>72</v>
      </c>
      <c r="D26" s="8" t="s">
        <v>770</v>
      </c>
      <c r="E26" s="8" t="s">
        <v>771</v>
      </c>
      <c r="F26" s="3" t="s">
        <v>772</v>
      </c>
      <c r="G26" s="3"/>
      <c r="H26" s="3" t="s">
        <v>18</v>
      </c>
      <c r="I26" s="3" t="s">
        <v>90</v>
      </c>
      <c r="J26" s="10" t="s">
        <v>134</v>
      </c>
      <c r="K26" s="8"/>
      <c r="L26" s="3" t="s">
        <v>28</v>
      </c>
      <c r="M26" s="3"/>
      <c r="N26" s="8"/>
    </row>
    <row r="27" spans="1:14" ht="30" customHeight="1">
      <c r="A27" s="4">
        <v>23</v>
      </c>
      <c r="B27" s="4" t="s">
        <v>747</v>
      </c>
      <c r="C27" s="4" t="s">
        <v>72</v>
      </c>
      <c r="D27" s="6" t="s">
        <v>773</v>
      </c>
      <c r="E27" s="6" t="s">
        <v>774</v>
      </c>
      <c r="F27" s="4" t="s">
        <v>775</v>
      </c>
      <c r="G27" s="4"/>
      <c r="H27" s="4" t="s">
        <v>19</v>
      </c>
      <c r="I27" s="4" t="s">
        <v>76</v>
      </c>
      <c r="J27" s="10" t="s">
        <v>134</v>
      </c>
      <c r="K27" s="6"/>
      <c r="L27" s="4" t="s">
        <v>28</v>
      </c>
      <c r="M27" s="4"/>
      <c r="N27" s="6"/>
    </row>
    <row r="28" spans="1:14" ht="30" customHeight="1">
      <c r="A28" s="3">
        <v>24</v>
      </c>
      <c r="B28" s="3" t="s">
        <v>747</v>
      </c>
      <c r="C28" s="3" t="s">
        <v>72</v>
      </c>
      <c r="D28" s="8" t="s">
        <v>776</v>
      </c>
      <c r="E28" s="8" t="s">
        <v>777</v>
      </c>
      <c r="F28" s="3" t="s">
        <v>778</v>
      </c>
      <c r="G28" s="3" t="s">
        <v>779</v>
      </c>
      <c r="H28" s="3" t="s">
        <v>19</v>
      </c>
      <c r="I28" s="3" t="s">
        <v>76</v>
      </c>
      <c r="J28" s="10" t="s">
        <v>134</v>
      </c>
      <c r="K28" s="8"/>
      <c r="L28" s="3" t="s">
        <v>28</v>
      </c>
      <c r="M28" s="3"/>
      <c r="N28" s="8"/>
    </row>
    <row r="29" spans="1:14" ht="30" customHeight="1">
      <c r="A29" s="4">
        <v>25</v>
      </c>
      <c r="B29" s="4" t="s">
        <v>747</v>
      </c>
      <c r="C29" s="4" t="s">
        <v>72</v>
      </c>
      <c r="D29" s="6" t="s">
        <v>780</v>
      </c>
      <c r="E29" s="6" t="s">
        <v>781</v>
      </c>
      <c r="F29" s="4" t="s">
        <v>782</v>
      </c>
      <c r="G29" s="4" t="s">
        <v>783</v>
      </c>
      <c r="H29" s="4" t="s">
        <v>18</v>
      </c>
      <c r="I29" s="4" t="s">
        <v>90</v>
      </c>
      <c r="J29" s="10" t="s">
        <v>134</v>
      </c>
      <c r="K29" s="6"/>
      <c r="L29" s="4" t="s">
        <v>28</v>
      </c>
      <c r="M29" s="4"/>
      <c r="N29" s="6"/>
    </row>
    <row r="30" spans="1:14" ht="30" customHeight="1">
      <c r="A30" s="3">
        <v>26</v>
      </c>
      <c r="B30" s="3" t="s">
        <v>799</v>
      </c>
      <c r="C30" s="3" t="s">
        <v>72</v>
      </c>
      <c r="D30" s="8" t="s">
        <v>800</v>
      </c>
      <c r="E30" s="8" t="s">
        <v>801</v>
      </c>
      <c r="F30" s="3" t="s">
        <v>802</v>
      </c>
      <c r="G30" s="3"/>
      <c r="H30" s="3" t="s">
        <v>19</v>
      </c>
      <c r="I30" s="3" t="s">
        <v>76</v>
      </c>
      <c r="J30" s="10" t="s">
        <v>134</v>
      </c>
      <c r="K30" s="8"/>
      <c r="L30" s="3" t="s">
        <v>28</v>
      </c>
      <c r="M30" s="3"/>
      <c r="N30" s="8"/>
    </row>
    <row r="31" spans="1:14" ht="30" customHeight="1">
      <c r="A31" s="4">
        <v>27</v>
      </c>
      <c r="B31" s="4" t="s">
        <v>799</v>
      </c>
      <c r="C31" s="4" t="s">
        <v>72</v>
      </c>
      <c r="D31" s="6" t="s">
        <v>803</v>
      </c>
      <c r="E31" s="6" t="s">
        <v>804</v>
      </c>
      <c r="F31" s="4" t="s">
        <v>805</v>
      </c>
      <c r="G31" s="4" t="s">
        <v>806</v>
      </c>
      <c r="H31" s="4" t="s">
        <v>19</v>
      </c>
      <c r="I31" s="4" t="s">
        <v>76</v>
      </c>
      <c r="J31" s="10" t="s">
        <v>134</v>
      </c>
      <c r="K31" s="6"/>
      <c r="L31" s="4" t="s">
        <v>28</v>
      </c>
      <c r="M31" s="4"/>
      <c r="N31" s="6"/>
    </row>
    <row r="32" spans="1:14" ht="30" customHeight="1">
      <c r="A32" s="3">
        <v>28</v>
      </c>
      <c r="B32" s="3" t="s">
        <v>799</v>
      </c>
      <c r="C32" s="3" t="s">
        <v>72</v>
      </c>
      <c r="D32" s="8" t="s">
        <v>807</v>
      </c>
      <c r="E32" s="8" t="s">
        <v>808</v>
      </c>
      <c r="F32" s="3" t="inlineStr">
        <is>
          <t xml:space="preserve">SH-FM-QP014-02</t>
        </is>
      </c>
      <c r="G32" s="3"/>
      <c r="H32" s="3" t="s">
        <v>19</v>
      </c>
      <c r="I32" s="3" t="s">
        <v>76</v>
      </c>
      <c r="J32" s="7" t="inlineStr">
        <is>
          <t xml:space="preserve">기존 절차 연계</t>
        </is>
      </c>
      <c r="K32" s="8" t="inlineStr">
        <is>
          <t xml:space="preserve">SH-QP-014(부적합품 및 재작업 관리 절차서)  [확정 2026-09-22: 신규 발견 연계 채택(ratio=0.80) — 품질경영담당 일괄판단, 부서 정식회신 생략]</t>
        </is>
      </c>
      <c r="L32" s="3" t="s">
        <v>28</v>
      </c>
      <c r="M32" s="3"/>
      <c r="N32" s="8" t="s">
        <v>138</v>
      </c>
    </row>
    <row r="33" spans="1:14" ht="30" customHeight="1">
      <c r="A33" s="4">
        <v>29</v>
      </c>
      <c r="B33" s="4" t="s">
        <v>799</v>
      </c>
      <c r="C33" s="4" t="s">
        <v>72</v>
      </c>
      <c r="D33" s="6" t="s">
        <v>811</v>
      </c>
      <c r="E33" s="6" t="s">
        <v>812</v>
      </c>
      <c r="F33" s="4" t="s">
        <v>813</v>
      </c>
      <c r="G33" s="4" t="s">
        <v>814</v>
      </c>
      <c r="H33" s="4" t="s">
        <v>19</v>
      </c>
      <c r="I33" s="4" t="s">
        <v>76</v>
      </c>
      <c r="J33" s="10" t="s">
        <v>134</v>
      </c>
      <c r="K33" s="6"/>
      <c r="L33" s="4" t="s">
        <v>28</v>
      </c>
      <c r="M33" s="4"/>
      <c r="N33" s="6"/>
    </row>
    <row r="34" spans="1:14" ht="30" customHeight="1">
      <c r="A34" s="3">
        <v>30</v>
      </c>
      <c r="B34" s="3" t="s">
        <v>799</v>
      </c>
      <c r="C34" s="3" t="s">
        <v>72</v>
      </c>
      <c r="D34" s="8" t="s">
        <v>815</v>
      </c>
      <c r="E34" s="8" t="s">
        <v>816</v>
      </c>
      <c r="F34" s="3" t="inlineStr">
        <is>
          <t xml:space="preserve">SH-FM-QP014-03</t>
        </is>
      </c>
      <c r="G34" s="3"/>
      <c r="H34" s="3" t="s">
        <v>19</v>
      </c>
      <c r="I34" s="3" t="s">
        <v>76</v>
      </c>
      <c r="J34" s="7" t="inlineStr">
        <is>
          <t xml:space="preserve">기존 절차 연계</t>
        </is>
      </c>
      <c r="K34" s="8" t="inlineStr">
        <is>
          <t xml:space="preserve">SH-QP-014(부적합품 및 재작업 관리 절차서)  [확정 2026-09-22: 신규 발견 연계 채택(ratio=0.59) — 품질경영담당 일괄판단, 부서 정식회신 생략]</t>
        </is>
      </c>
      <c r="L34" s="3" t="s">
        <v>28</v>
      </c>
      <c r="M34" s="3"/>
      <c r="N34" s="8" t="s">
        <v>138</v>
      </c>
    </row>
    <row r="35" spans="1:14" ht="30" customHeight="1">
      <c r="A35" s="4">
        <v>31</v>
      </c>
      <c r="B35" s="4" t="s">
        <v>819</v>
      </c>
      <c r="C35" s="4" t="s">
        <v>72</v>
      </c>
      <c r="D35" s="6" t="s">
        <v>826</v>
      </c>
      <c r="E35" s="6" t="s">
        <v>827</v>
      </c>
      <c r="F35" s="4" t="s">
        <v>828</v>
      </c>
      <c r="G35" s="4"/>
      <c r="H35" s="4" t="s">
        <v>19</v>
      </c>
      <c r="I35" s="4" t="s">
        <v>824</v>
      </c>
      <c r="J35" s="10" t="s">
        <v>134</v>
      </c>
      <c r="K35" s="6"/>
      <c r="L35" s="4" t="s">
        <v>28</v>
      </c>
      <c r="M35" s="4"/>
      <c r="N35" s="6"/>
    </row>
    <row r="36" spans="1:14" ht="30" customHeight="1">
      <c r="A36" s="3">
        <v>32</v>
      </c>
      <c r="B36" s="3" t="s">
        <v>819</v>
      </c>
      <c r="C36" s="3" t="s">
        <v>72</v>
      </c>
      <c r="D36" s="8" t="s">
        <v>829</v>
      </c>
      <c r="E36" s="8" t="s">
        <v>830</v>
      </c>
      <c r="F36" s="3" t="s">
        <v>831</v>
      </c>
      <c r="G36" s="3"/>
      <c r="H36" s="3" t="s">
        <v>19</v>
      </c>
      <c r="I36" s="3" t="s">
        <v>824</v>
      </c>
      <c r="J36" s="10" t="s">
        <v>134</v>
      </c>
      <c r="K36" s="8"/>
      <c r="L36" s="3" t="s">
        <v>28</v>
      </c>
      <c r="M36" s="3"/>
      <c r="N36" s="8"/>
    </row>
    <row r="37" spans="1:14" ht="30" customHeight="1">
      <c r="A37" s="4">
        <v>33</v>
      </c>
      <c r="B37" s="4" t="s">
        <v>819</v>
      </c>
      <c r="C37" s="4" t="s">
        <v>72</v>
      </c>
      <c r="D37" s="6"/>
      <c r="E37" s="6" t="s">
        <v>837</v>
      </c>
      <c r="F37" s="4" t="s">
        <v>838</v>
      </c>
      <c r="G37" s="4"/>
      <c r="H37" s="4" t="s">
        <v>19</v>
      </c>
      <c r="I37" s="4" t="s">
        <v>19</v>
      </c>
      <c r="J37" s="10" t="s">
        <v>134</v>
      </c>
      <c r="K37" s="6"/>
      <c r="L37" s="4" t="s">
        <v>28</v>
      </c>
      <c r="M37" s="4"/>
      <c r="N37" s="6"/>
    </row>
    <row r="38" spans="1:14" ht="30" customHeight="1">
      <c r="A38" s="3">
        <v>34</v>
      </c>
      <c r="B38" s="3" t="s">
        <v>914</v>
      </c>
      <c r="C38" s="3" t="s">
        <v>72</v>
      </c>
      <c r="D38" s="8" t="s">
        <v>915</v>
      </c>
      <c r="E38" s="8" t="s">
        <v>916</v>
      </c>
      <c r="F38" s="3" t="s">
        <v>917</v>
      </c>
      <c r="G38" s="3"/>
      <c r="H38" s="3" t="s">
        <v>19</v>
      </c>
      <c r="I38" s="3" t="s">
        <v>226</v>
      </c>
      <c r="J38" s="10" t="s">
        <v>134</v>
      </c>
      <c r="K38" s="8"/>
      <c r="L38" s="3" t="s">
        <v>28</v>
      </c>
      <c r="M38" s="3"/>
      <c r="N38" s="8"/>
    </row>
    <row r="39" spans="1:14" ht="30" customHeight="1">
      <c r="A39" s="4">
        <v>35</v>
      </c>
      <c r="B39" s="4" t="s">
        <v>914</v>
      </c>
      <c r="C39" s="4" t="s">
        <v>72</v>
      </c>
      <c r="D39" s="6" t="s">
        <v>918</v>
      </c>
      <c r="E39" s="6" t="s">
        <v>919</v>
      </c>
      <c r="F39" s="4" t="s">
        <v>920</v>
      </c>
      <c r="G39" s="4"/>
      <c r="H39" s="4" t="s">
        <v>19</v>
      </c>
      <c r="I39" s="4" t="s">
        <v>226</v>
      </c>
      <c r="J39" s="10" t="s">
        <v>134</v>
      </c>
      <c r="K39" s="6"/>
      <c r="L39" s="4" t="s">
        <v>28</v>
      </c>
      <c r="M39" s="4"/>
      <c r="N39" s="6"/>
    </row>
    <row r="40" spans="1:14" ht="30" customHeight="1">
      <c r="A40" s="3">
        <v>36</v>
      </c>
      <c r="B40" s="3" t="s">
        <v>914</v>
      </c>
      <c r="C40" s="3" t="s">
        <v>72</v>
      </c>
      <c r="D40" s="8" t="s">
        <v>921</v>
      </c>
      <c r="E40" s="8" t="s">
        <v>922</v>
      </c>
      <c r="F40" s="3" t="s">
        <v>923</v>
      </c>
      <c r="G40" s="3"/>
      <c r="H40" s="3" t="s">
        <v>19</v>
      </c>
      <c r="I40" s="3" t="s">
        <v>226</v>
      </c>
      <c r="J40" s="10" t="s">
        <v>134</v>
      </c>
      <c r="K40" s="8"/>
      <c r="L40" s="3" t="s">
        <v>28</v>
      </c>
      <c r="M40" s="3"/>
      <c r="N40" s="8"/>
    </row>
    <row r="41" spans="1:14" ht="30" customHeight="1">
      <c r="A41" s="4">
        <v>37</v>
      </c>
      <c r="B41" s="4" t="s">
        <v>914</v>
      </c>
      <c r="C41" s="4" t="s">
        <v>72</v>
      </c>
      <c r="D41" s="6" t="s">
        <v>924</v>
      </c>
      <c r="E41" s="6" t="s">
        <v>925</v>
      </c>
      <c r="F41" s="4" t="s">
        <v>926</v>
      </c>
      <c r="G41" s="4" t="s">
        <v>927</v>
      </c>
      <c r="H41" s="4" t="s">
        <v>19</v>
      </c>
      <c r="I41" s="4" t="s">
        <v>226</v>
      </c>
      <c r="J41" s="10" t="s">
        <v>134</v>
      </c>
      <c r="K41" s="6"/>
      <c r="L41" s="4" t="s">
        <v>28</v>
      </c>
      <c r="M41" s="4"/>
      <c r="N41" s="6"/>
    </row>
    <row r="42" spans="1:14" ht="30" customHeight="1">
      <c r="A42" s="3">
        <v>38</v>
      </c>
      <c r="B42" s="3" t="s">
        <v>914</v>
      </c>
      <c r="C42" s="3" t="s">
        <v>72</v>
      </c>
      <c r="D42" s="8" t="s">
        <v>933</v>
      </c>
      <c r="E42" s="8" t="s">
        <v>934</v>
      </c>
      <c r="F42" s="3" t="s">
        <v>935</v>
      </c>
      <c r="G42" s="3"/>
      <c r="H42" s="3" t="s">
        <v>19</v>
      </c>
      <c r="I42" s="3" t="s">
        <v>226</v>
      </c>
      <c r="J42" s="10" t="s">
        <v>134</v>
      </c>
      <c r="K42" s="8"/>
      <c r="L42" s="3" t="s">
        <v>28</v>
      </c>
      <c r="M42" s="3"/>
      <c r="N42" s="8"/>
    </row>
    <row r="43" spans="1:14" ht="30" customHeight="1">
      <c r="A43" s="4">
        <v>39</v>
      </c>
      <c r="B43" s="4" t="s">
        <v>655</v>
      </c>
      <c r="C43" s="4" t="s">
        <v>72</v>
      </c>
      <c r="D43" s="6" t="s">
        <v>688</v>
      </c>
      <c r="E43" s="6" t="s">
        <v>689</v>
      </c>
      <c r="F43" s="4" t="s">
        <v>690</v>
      </c>
      <c r="G43" s="4" t="s">
        <v>691</v>
      </c>
      <c r="H43" s="4" t="s">
        <v>18</v>
      </c>
      <c r="I43" s="4" t="s">
        <v>90</v>
      </c>
      <c r="J43" s="7" t="s">
        <v>77</v>
      </c>
      <c r="K43" s="6" t="s">
        <v>692</v>
      </c>
      <c r="L43" s="4" t="s">
        <v>30</v>
      </c>
      <c r="M43" s="4"/>
      <c r="N43" s="6" t="s">
        <v>79</v>
      </c>
    </row>
    <row r="44" spans="1:14" ht="30" customHeight="1">
      <c r="A44" s="3">
        <v>40</v>
      </c>
      <c r="B44" s="3" t="s">
        <v>695</v>
      </c>
      <c r="C44" s="3" t="s">
        <v>72</v>
      </c>
      <c r="D44" s="8" t="s">
        <v>699</v>
      </c>
      <c r="E44" s="8" t="s">
        <v>700</v>
      </c>
      <c r="F44" s="3" t="inlineStr">
        <is>
          <t xml:space="preserve">SH-FM-WI020-03</t>
        </is>
      </c>
      <c r="G44" s="3"/>
      <c r="H44" s="3" t="s">
        <v>19</v>
      </c>
      <c r="I44" s="3" t="s">
        <v>76</v>
      </c>
      <c r="J44" s="7" t="inlineStr">
        <is>
          <t xml:space="preserve">기존 절차 연계</t>
        </is>
      </c>
      <c r="K44" s="8" t="inlineStr">
        <is>
          <t xml:space="preserve">SH-WI-020(비상상황 생산복구 작업표준)  [확정 2026-09-22: 기존 추정 SH-QP-010(ratio=0.16) 대비 대안 채택(ratio=0.73) — 품질경영담당 일괄판단, 부서 정식회신 생략]</t>
        </is>
      </c>
      <c r="L44" s="3" t="s">
        <v>30</v>
      </c>
      <c r="M44" s="3"/>
      <c r="N44" s="8" t="s">
        <v>85</v>
      </c>
    </row>
    <row r="45" spans="1:14" ht="30" customHeight="1">
      <c r="A45" s="4">
        <v>41</v>
      </c>
      <c r="B45" s="4" t="s">
        <v>695</v>
      </c>
      <c r="C45" s="4" t="s">
        <v>72</v>
      </c>
      <c r="D45" s="6" t="s">
        <v>703</v>
      </c>
      <c r="E45" s="6" t="s">
        <v>704</v>
      </c>
      <c r="F45" s="4" t="s">
        <v>705</v>
      </c>
      <c r="G45" s="4"/>
      <c r="H45" s="4" t="s">
        <v>19</v>
      </c>
      <c r="I45" s="4" t="s">
        <v>76</v>
      </c>
      <c r="J45" s="7" t="s">
        <v>77</v>
      </c>
      <c r="K45" s="6" t="s">
        <v>706</v>
      </c>
      <c r="L45" s="4" t="s">
        <v>30</v>
      </c>
      <c r="M45" s="4"/>
      <c r="N45" s="6" t="s">
        <v>79</v>
      </c>
    </row>
    <row r="46" spans="1:14" ht="30" customHeight="1">
      <c r="A46" s="3">
        <v>42</v>
      </c>
      <c r="B46" s="3" t="s">
        <v>695</v>
      </c>
      <c r="C46" s="3" t="s">
        <v>72</v>
      </c>
      <c r="D46" s="8" t="s">
        <v>707</v>
      </c>
      <c r="E46" s="8" t="s">
        <v>708</v>
      </c>
      <c r="F46" s="3" t="s">
        <v>709</v>
      </c>
      <c r="G46" s="3"/>
      <c r="H46" s="3" t="s">
        <v>19</v>
      </c>
      <c r="I46" s="3" t="s">
        <v>76</v>
      </c>
      <c r="J46" s="7" t="s">
        <v>77</v>
      </c>
      <c r="K46" s="8" t="s">
        <v>710</v>
      </c>
      <c r="L46" s="3" t="s">
        <v>30</v>
      </c>
      <c r="M46" s="3"/>
      <c r="N46" s="8" t="s">
        <v>79</v>
      </c>
    </row>
    <row r="47" spans="1:14" ht="30" customHeight="1">
      <c r="A47" s="4">
        <v>43</v>
      </c>
      <c r="B47" s="4" t="s">
        <v>711</v>
      </c>
      <c r="C47" s="4" t="s">
        <v>72</v>
      </c>
      <c r="D47" s="6" t="s">
        <v>723</v>
      </c>
      <c r="E47" s="6" t="s">
        <v>724</v>
      </c>
      <c r="F47" s="4" t="s">
        <v>725</v>
      </c>
      <c r="G47" s="4"/>
      <c r="H47" s="4" t="s">
        <v>19</v>
      </c>
      <c r="I47" s="4" t="s">
        <v>76</v>
      </c>
      <c r="J47" s="7" t="s">
        <v>77</v>
      </c>
      <c r="K47" s="6" t="s">
        <v>726</v>
      </c>
      <c r="L47" s="4" t="s">
        <v>30</v>
      </c>
      <c r="M47" s="4"/>
      <c r="N47" s="6" t="s">
        <v>79</v>
      </c>
    </row>
    <row r="48" spans="1:14" ht="30" customHeight="1">
      <c r="A48" s="3">
        <v>44</v>
      </c>
      <c r="B48" s="3" t="s">
        <v>747</v>
      </c>
      <c r="C48" s="3" t="s">
        <v>72</v>
      </c>
      <c r="D48" s="8" t="s">
        <v>765</v>
      </c>
      <c r="E48" s="8" t="s">
        <v>766</v>
      </c>
      <c r="F48" s="3" t="s">
        <v>767</v>
      </c>
      <c r="G48" s="3" t="s">
        <v>768</v>
      </c>
      <c r="H48" s="3" t="s">
        <v>19</v>
      </c>
      <c r="I48" s="3" t="s">
        <v>76</v>
      </c>
      <c r="J48" s="7" t="s">
        <v>77</v>
      </c>
      <c r="K48" s="8" t="s">
        <v>769</v>
      </c>
      <c r="L48" s="3" t="s">
        <v>30</v>
      </c>
      <c r="M48" s="3"/>
      <c r="N48" s="8" t="s">
        <v>79</v>
      </c>
    </row>
    <row r="49" spans="1:14" ht="30" customHeight="1">
      <c r="A49" s="4">
        <v>45</v>
      </c>
      <c r="B49" s="4" t="s">
        <v>819</v>
      </c>
      <c r="C49" s="4" t="s">
        <v>72</v>
      </c>
      <c r="D49" s="6" t="s">
        <v>820</v>
      </c>
      <c r="E49" s="6" t="s">
        <v>821</v>
      </c>
      <c r="F49" s="4" t="s">
        <v>822</v>
      </c>
      <c r="G49" s="4" t="s">
        <v>823</v>
      </c>
      <c r="H49" s="4" t="s">
        <v>19</v>
      </c>
      <c r="I49" s="4" t="s">
        <v>824</v>
      </c>
      <c r="J49" s="7" t="s">
        <v>77</v>
      </c>
      <c r="K49" s="6" t="s">
        <v>825</v>
      </c>
      <c r="L49" s="4" t="s">
        <v>30</v>
      </c>
      <c r="M49" s="4"/>
      <c r="N49" s="6"/>
    </row>
    <row r="50" spans="1:14" ht="30" customHeight="1">
      <c r="A50" s="3">
        <v>46</v>
      </c>
      <c r="B50" s="3" t="s">
        <v>819</v>
      </c>
      <c r="C50" s="3" t="s">
        <v>72</v>
      </c>
      <c r="D50" s="8" t="s">
        <v>832</v>
      </c>
      <c r="E50" s="8" t="s">
        <v>833</v>
      </c>
      <c r="F50" s="3" t="s">
        <v>834</v>
      </c>
      <c r="G50" s="3" t="s">
        <v>835</v>
      </c>
      <c r="H50" s="3" t="s">
        <v>19</v>
      </c>
      <c r="I50" s="3" t="s">
        <v>824</v>
      </c>
      <c r="J50" s="7" t="s">
        <v>77</v>
      </c>
      <c r="K50" s="8" t="s">
        <v>836</v>
      </c>
      <c r="L50" s="3" t="s">
        <v>30</v>
      </c>
      <c r="M50" s="3"/>
      <c r="N50" s="8" t="s">
        <v>79</v>
      </c>
    </row>
    <row r="51" spans="1:14" ht="30" customHeight="1">
      <c r="A51" s="4">
        <v>47</v>
      </c>
      <c r="B51" s="4" t="s">
        <v>914</v>
      </c>
      <c r="C51" s="4" t="s">
        <v>72</v>
      </c>
      <c r="D51" s="6" t="s">
        <v>928</v>
      </c>
      <c r="E51" s="6" t="s">
        <v>929</v>
      </c>
      <c r="F51" s="4" t="s">
        <v>930</v>
      </c>
      <c r="G51" s="4" t="s">
        <v>931</v>
      </c>
      <c r="H51" s="4" t="s">
        <v>19</v>
      </c>
      <c r="I51" s="4" t="s">
        <v>226</v>
      </c>
      <c r="J51" s="7" t="s">
        <v>77</v>
      </c>
      <c r="K51" s="6" t="s">
        <v>932</v>
      </c>
      <c r="L51" s="4" t="s">
        <v>30</v>
      </c>
      <c r="M51" s="4"/>
      <c r="N51" s="6"/>
    </row>
    <row r="52" spans="1:14" ht="30" customHeight="1">
      <c r="A52" s="3">
        <v>48</v>
      </c>
      <c r="B52" s="3" t="s">
        <v>729</v>
      </c>
      <c r="C52" s="3" t="s">
        <v>122</v>
      </c>
      <c r="D52" s="8" t="s">
        <v>730</v>
      </c>
      <c r="E52" s="8" t="s">
        <v>731</v>
      </c>
      <c r="F52" s="3" t="inlineStr">
        <is>
          <t xml:space="preserve">SH-FM-QP025-02</t>
        </is>
      </c>
      <c r="G52" s="3"/>
      <c r="H52" s="3" t="s">
        <v>19</v>
      </c>
      <c r="I52" s="3" t="s">
        <v>76</v>
      </c>
      <c r="J52" s="7" t="inlineStr">
        <is>
          <t xml:space="preserve">기존 절차 연계</t>
        </is>
      </c>
      <c r="K52" s="8" t="inlineStr">
        <is>
          <t xml:space="preserve">SH-QP-025(고객별 요구사항(CSR) 관리 절차서)  [확정 2026-09-22: 신규 발견 연계 채택(ratio=0.92) — 품질경영담당 일괄판단, 부서 정식회신 생략]</t>
        </is>
      </c>
      <c r="L52" s="3" t="s">
        <v>28</v>
      </c>
      <c r="M52" s="3"/>
      <c r="N52" s="8" t="s">
        <v>138</v>
      </c>
    </row>
    <row r="53" spans="1:14" ht="30" customHeight="1">
      <c r="A53" s="4">
        <v>49</v>
      </c>
      <c r="B53" s="4" t="s">
        <v>729</v>
      </c>
      <c r="C53" s="4" t="s">
        <v>122</v>
      </c>
      <c r="D53" s="6" t="s">
        <v>734</v>
      </c>
      <c r="E53" s="6" t="s">
        <v>735</v>
      </c>
      <c r="F53" s="4" t="inlineStr">
        <is>
          <t xml:space="preserve">SH-FM-QP025-03</t>
        </is>
      </c>
      <c r="G53" s="4"/>
      <c r="H53" s="4" t="s">
        <v>19</v>
      </c>
      <c r="I53" s="4" t="s">
        <v>76</v>
      </c>
      <c r="J53" s="7" t="inlineStr">
        <is>
          <t xml:space="preserve">기존 절차 연계</t>
        </is>
      </c>
      <c r="K53" s="6" t="inlineStr">
        <is>
          <t xml:space="preserve">SH-QP-025(고객별 요구사항(CSR) 관리 절차서)  [확정 2026-09-22: 신규 발견 연계 채택(ratio=0.97) — 품질경영담당 일괄판단, 부서 정식회신 생략]</t>
        </is>
      </c>
      <c r="L53" s="4" t="s">
        <v>28</v>
      </c>
      <c r="M53" s="4"/>
      <c r="N53" s="6" t="s">
        <v>138</v>
      </c>
    </row>
    <row r="54" spans="1:14" ht="30" customHeight="1">
      <c r="A54" s="3">
        <v>50</v>
      </c>
      <c r="B54" s="3" t="s">
        <v>729</v>
      </c>
      <c r="C54" s="3" t="s">
        <v>122</v>
      </c>
      <c r="D54" s="8" t="s">
        <v>742</v>
      </c>
      <c r="E54" s="8" t="s">
        <v>743</v>
      </c>
      <c r="F54" s="3" t="s">
        <v>744</v>
      </c>
      <c r="G54" s="3"/>
      <c r="H54" s="3" t="s">
        <v>19</v>
      </c>
      <c r="I54" s="3" t="s">
        <v>76</v>
      </c>
      <c r="J54" s="10" t="s">
        <v>134</v>
      </c>
      <c r="K54" s="8"/>
      <c r="L54" s="3" t="s">
        <v>28</v>
      </c>
      <c r="M54" s="3"/>
      <c r="N54" s="8"/>
    </row>
    <row r="55" spans="1:14" ht="30" customHeight="1">
      <c r="A55" s="4">
        <v>51</v>
      </c>
      <c r="B55" s="4" t="s">
        <v>839</v>
      </c>
      <c r="C55" s="4" t="s">
        <v>122</v>
      </c>
      <c r="D55" s="6" t="s">
        <v>840</v>
      </c>
      <c r="E55" s="6" t="s">
        <v>841</v>
      </c>
      <c r="F55" s="4" t="s">
        <v>842</v>
      </c>
      <c r="G55" s="4"/>
      <c r="H55" s="4" t="s">
        <v>18</v>
      </c>
      <c r="I55" s="4" t="s">
        <v>90</v>
      </c>
      <c r="J55" s="10" t="s">
        <v>134</v>
      </c>
      <c r="K55" s="6"/>
      <c r="L55" s="4" t="s">
        <v>28</v>
      </c>
      <c r="M55" s="4"/>
      <c r="N55" s="6"/>
    </row>
    <row r="56" spans="1:14" ht="30" customHeight="1">
      <c r="A56" s="3">
        <v>52</v>
      </c>
      <c r="B56" s="3" t="s">
        <v>839</v>
      </c>
      <c r="C56" s="3" t="s">
        <v>122</v>
      </c>
      <c r="D56" s="8"/>
      <c r="E56" s="8" t="s">
        <v>846</v>
      </c>
      <c r="F56" s="3" t="s">
        <v>847</v>
      </c>
      <c r="G56" s="3" t="s">
        <v>848</v>
      </c>
      <c r="H56" s="3" t="s">
        <v>18</v>
      </c>
      <c r="I56" s="3" t="s">
        <v>90</v>
      </c>
      <c r="J56" s="10" t="s">
        <v>134</v>
      </c>
      <c r="K56" s="8"/>
      <c r="L56" s="3" t="s">
        <v>28</v>
      </c>
      <c r="M56" s="3"/>
      <c r="N56" s="8"/>
    </row>
    <row r="57" spans="1:14" ht="30" customHeight="1">
      <c r="A57" s="4">
        <v>53</v>
      </c>
      <c r="B57" s="4" t="s">
        <v>784</v>
      </c>
      <c r="C57" s="4" t="s">
        <v>122</v>
      </c>
      <c r="D57" s="6" t="s">
        <v>785</v>
      </c>
      <c r="E57" s="6" t="s">
        <v>786</v>
      </c>
      <c r="F57" s="4" t="inlineStr">
        <is>
          <t xml:space="preserve">SH-FM-QP006-05</t>
        </is>
      </c>
      <c r="G57" s="4"/>
      <c r="H57" s="4" t="s">
        <v>19</v>
      </c>
      <c r="I57" s="4" t="s">
        <v>226</v>
      </c>
      <c r="J57" s="7" t="inlineStr">
        <is>
          <t xml:space="preserve">기존 절차 연계</t>
        </is>
      </c>
      <c r="K57" s="6" t="inlineStr">
        <is>
          <t xml:space="preserve">SH-QP-006(교육훈련 및 역량관리 절차서)  [확정 2026-09-22: 신규 발견 연계 채택(ratio=0.64) — 품질경영담당 일괄판단, 부서 정식회신 생략]</t>
        </is>
      </c>
      <c r="L57" s="4" t="s">
        <v>29</v>
      </c>
      <c r="M57" s="4"/>
      <c r="N57" s="6" t="s">
        <v>138</v>
      </c>
    </row>
    <row r="58" spans="1:14" ht="30" customHeight="1">
      <c r="A58" s="3">
        <v>54</v>
      </c>
      <c r="B58" s="3" t="s">
        <v>784</v>
      </c>
      <c r="C58" s="3" t="s">
        <v>122</v>
      </c>
      <c r="D58" s="8" t="s">
        <v>793</v>
      </c>
      <c r="E58" s="8" t="s">
        <v>794</v>
      </c>
      <c r="F58" s="3" t="s">
        <v>795</v>
      </c>
      <c r="G58" s="3"/>
      <c r="H58" s="3" t="s">
        <v>19</v>
      </c>
      <c r="I58" s="3" t="s">
        <v>226</v>
      </c>
      <c r="J58" s="10" t="s">
        <v>134</v>
      </c>
      <c r="K58" s="8"/>
      <c r="L58" s="3" t="s">
        <v>29</v>
      </c>
      <c r="M58" s="3"/>
      <c r="N58" s="8"/>
    </row>
    <row r="59" spans="1:14" ht="30" customHeight="1">
      <c r="A59" s="4">
        <v>55</v>
      </c>
      <c r="B59" s="4" t="s">
        <v>784</v>
      </c>
      <c r="C59" s="4" t="s">
        <v>122</v>
      </c>
      <c r="D59" s="6" t="s">
        <v>796</v>
      </c>
      <c r="E59" s="6" t="s">
        <v>797</v>
      </c>
      <c r="F59" s="4" t="s">
        <v>798</v>
      </c>
      <c r="G59" s="4"/>
      <c r="H59" s="4" t="s">
        <v>19</v>
      </c>
      <c r="I59" s="4" t="s">
        <v>226</v>
      </c>
      <c r="J59" s="10" t="s">
        <v>134</v>
      </c>
      <c r="K59" s="6"/>
      <c r="L59" s="4" t="s">
        <v>29</v>
      </c>
      <c r="M59" s="4"/>
      <c r="N59" s="6"/>
    </row>
    <row r="60" spans="1:14" ht="30" customHeight="1">
      <c r="A60" s="3">
        <v>56</v>
      </c>
      <c r="B60" s="3" t="s">
        <v>839</v>
      </c>
      <c r="C60" s="3" t="s">
        <v>122</v>
      </c>
      <c r="D60" s="8"/>
      <c r="E60" s="8" t="s">
        <v>849</v>
      </c>
      <c r="F60" s="3" t="s">
        <v>850</v>
      </c>
      <c r="G60" s="3"/>
      <c r="H60" s="3" t="s">
        <v>18</v>
      </c>
      <c r="I60" s="3" t="s">
        <v>90</v>
      </c>
      <c r="J60" s="10" t="s">
        <v>134</v>
      </c>
      <c r="K60" s="8"/>
      <c r="L60" s="3" t="s">
        <v>29</v>
      </c>
      <c r="M60" s="3"/>
      <c r="N60" s="8"/>
    </row>
    <row r="61" spans="1:14" ht="30" customHeight="1">
      <c r="A61" s="4">
        <v>57</v>
      </c>
      <c r="B61" s="4" t="s">
        <v>851</v>
      </c>
      <c r="C61" s="4" t="s">
        <v>122</v>
      </c>
      <c r="D61" s="6" t="s">
        <v>852</v>
      </c>
      <c r="E61" s="6" t="s">
        <v>853</v>
      </c>
      <c r="F61" s="4" t="inlineStr">
        <is>
          <t xml:space="preserve">SH-FM-QP001-01</t>
        </is>
      </c>
      <c r="G61" s="4"/>
      <c r="H61" s="4" t="s">
        <v>18</v>
      </c>
      <c r="I61" s="4" t="s">
        <v>90</v>
      </c>
      <c r="J61" s="7" t="inlineStr">
        <is>
          <t xml:space="preserve">기존 절차 연계</t>
        </is>
      </c>
      <c r="K61" s="6" t="inlineStr">
        <is>
          <t xml:space="preserve">SH-QP-001(경영검토 절차서)  [확정 2026-09-22: 신규 발견 연계 채택(ratio=0.69) — 품질경영담당 일괄판단, 부서 정식회신 생략]</t>
        </is>
      </c>
      <c r="L61" s="4" t="s">
        <v>29</v>
      </c>
      <c r="M61" s="4"/>
      <c r="N61" s="6" t="s">
        <v>138</v>
      </c>
    </row>
    <row r="62" spans="1:14" ht="30" customHeight="1">
      <c r="A62" s="3">
        <v>58</v>
      </c>
      <c r="B62" s="3" t="s">
        <v>851</v>
      </c>
      <c r="C62" s="3" t="s">
        <v>122</v>
      </c>
      <c r="D62" s="8" t="s">
        <v>860</v>
      </c>
      <c r="E62" s="8" t="s">
        <v>861</v>
      </c>
      <c r="F62" s="3" t="s">
        <v>862</v>
      </c>
      <c r="G62" s="3"/>
      <c r="H62" s="3" t="s">
        <v>18</v>
      </c>
      <c r="I62" s="3" t="s">
        <v>90</v>
      </c>
      <c r="J62" s="10" t="s">
        <v>134</v>
      </c>
      <c r="K62" s="8"/>
      <c r="L62" s="3" t="s">
        <v>29</v>
      </c>
      <c r="M62" s="3"/>
      <c r="N62" s="8"/>
    </row>
    <row r="63" spans="1:14" ht="30" customHeight="1">
      <c r="A63" s="4">
        <v>59</v>
      </c>
      <c r="B63" s="4" t="s">
        <v>851</v>
      </c>
      <c r="C63" s="4" t="s">
        <v>122</v>
      </c>
      <c r="D63" s="6"/>
      <c r="E63" s="6" t="s">
        <v>863</v>
      </c>
      <c r="F63" s="4" t="inlineStr">
        <is>
          <t xml:space="preserve">SH-FM-WI001-06</t>
        </is>
      </c>
      <c r="G63" s="4"/>
      <c r="H63" s="4" t="s">
        <v>18</v>
      </c>
      <c r="I63" s="4" t="s">
        <v>90</v>
      </c>
      <c r="J63" s="7" t="inlineStr">
        <is>
          <t xml:space="preserve">기존 절차 연계</t>
        </is>
      </c>
      <c r="K63" s="6" t="inlineStr">
        <is>
          <t xml:space="preserve">SH-WI-001(생산 작업준비 및 초품확인 표준)  [확정 2026-09-22: 신규 발견 연계 채택(ratio=0.57) — 품질경영담당 일괄판단, 부서 정식회신 생략]</t>
        </is>
      </c>
      <c r="L63" s="4" t="s">
        <v>29</v>
      </c>
      <c r="M63" s="4"/>
      <c r="N63" s="6" t="s">
        <v>138</v>
      </c>
    </row>
    <row r="64" spans="1:14" ht="30" customHeight="1">
      <c r="A64" s="3">
        <v>60</v>
      </c>
      <c r="B64" s="3" t="s">
        <v>851</v>
      </c>
      <c r="C64" s="3" t="s">
        <v>122</v>
      </c>
      <c r="D64" s="8"/>
      <c r="E64" s="8" t="s">
        <v>866</v>
      </c>
      <c r="F64" s="3" t="s">
        <v>867</v>
      </c>
      <c r="G64" s="3"/>
      <c r="H64" s="3" t="s">
        <v>18</v>
      </c>
      <c r="I64" s="3" t="s">
        <v>90</v>
      </c>
      <c r="J64" s="10" t="s">
        <v>134</v>
      </c>
      <c r="K64" s="8"/>
      <c r="L64" s="3" t="s">
        <v>29</v>
      </c>
      <c r="M64" s="3"/>
      <c r="N64" s="8"/>
    </row>
    <row r="65" spans="1:14" ht="30" customHeight="1">
      <c r="A65" s="4">
        <v>61</v>
      </c>
      <c r="B65" s="4" t="s">
        <v>868</v>
      </c>
      <c r="C65" s="4" t="s">
        <v>122</v>
      </c>
      <c r="D65" s="6" t="s">
        <v>869</v>
      </c>
      <c r="E65" s="6" t="s">
        <v>870</v>
      </c>
      <c r="F65" s="4" t="s">
        <v>871</v>
      </c>
      <c r="G65" s="4" t="s">
        <v>872</v>
      </c>
      <c r="H65" s="4" t="s">
        <v>19</v>
      </c>
      <c r="I65" s="4" t="s">
        <v>226</v>
      </c>
      <c r="J65" s="10" t="s">
        <v>134</v>
      </c>
      <c r="K65" s="6"/>
      <c r="L65" s="4" t="s">
        <v>29</v>
      </c>
      <c r="M65" s="4"/>
      <c r="N65" s="6"/>
    </row>
    <row r="66" spans="1:14" ht="30" customHeight="1">
      <c r="A66" s="3">
        <v>62</v>
      </c>
      <c r="B66" s="3" t="s">
        <v>868</v>
      </c>
      <c r="C66" s="3" t="s">
        <v>122</v>
      </c>
      <c r="D66" s="8" t="s">
        <v>877</v>
      </c>
      <c r="E66" s="8" t="s">
        <v>878</v>
      </c>
      <c r="F66" s="3" t="s">
        <v>879</v>
      </c>
      <c r="G66" s="3"/>
      <c r="H66" s="3" t="s">
        <v>19</v>
      </c>
      <c r="I66" s="3" t="s">
        <v>226</v>
      </c>
      <c r="J66" s="10" t="s">
        <v>134</v>
      </c>
      <c r="K66" s="8"/>
      <c r="L66" s="3" t="s">
        <v>29</v>
      </c>
      <c r="M66" s="3"/>
      <c r="N66" s="8"/>
    </row>
    <row r="67" spans="1:14" ht="30" customHeight="1">
      <c r="A67" s="4">
        <v>63</v>
      </c>
      <c r="B67" s="4" t="s">
        <v>880</v>
      </c>
      <c r="C67" s="4" t="s">
        <v>122</v>
      </c>
      <c r="D67" s="6"/>
      <c r="E67" s="6" t="s">
        <v>911</v>
      </c>
      <c r="F67" s="4" t="inlineStr">
        <is>
          <t xml:space="preserve">SH-FM-QP006-06</t>
        </is>
      </c>
      <c r="G67" s="4"/>
      <c r="H67" s="4" t="s">
        <v>18</v>
      </c>
      <c r="I67" s="4" t="s">
        <v>909</v>
      </c>
      <c r="J67" s="7" t="inlineStr">
        <is>
          <t xml:space="preserve">기존 절차 연계</t>
        </is>
      </c>
      <c r="K67" s="6" t="inlineStr">
        <is>
          <t xml:space="preserve">SH-QP-006(교육훈련 및 역량관리 절차서)  [확정 2026-09-22: 신규 발견 연계 채택(ratio=0.89) — 품질경영담당 일괄판단, 부서 정식회신 생략]</t>
        </is>
      </c>
      <c r="L67" s="4" t="s">
        <v>29</v>
      </c>
      <c r="M67" s="4"/>
      <c r="N67" s="6" t="s">
        <v>138</v>
      </c>
    </row>
    <row r="68" spans="1:14" ht="30" customHeight="1">
      <c r="A68" s="3">
        <v>64</v>
      </c>
      <c r="B68" s="3" t="s">
        <v>729</v>
      </c>
      <c r="C68" s="3" t="s">
        <v>122</v>
      </c>
      <c r="D68" s="8" t="s">
        <v>738</v>
      </c>
      <c r="E68" s="8" t="s">
        <v>739</v>
      </c>
      <c r="F68" s="3" t="s">
        <v>740</v>
      </c>
      <c r="G68" s="3"/>
      <c r="H68" s="3" t="s">
        <v>19</v>
      </c>
      <c r="I68" s="3" t="s">
        <v>76</v>
      </c>
      <c r="J68" s="7" t="s">
        <v>77</v>
      </c>
      <c r="K68" s="8" t="s">
        <v>741</v>
      </c>
      <c r="L68" s="3" t="s">
        <v>30</v>
      </c>
      <c r="M68" s="3"/>
      <c r="N68" s="8"/>
    </row>
    <row r="69" spans="1:14" ht="30" customHeight="1">
      <c r="A69" s="4">
        <v>65</v>
      </c>
      <c r="B69" s="4" t="s">
        <v>729</v>
      </c>
      <c r="C69" s="4" t="s">
        <v>122</v>
      </c>
      <c r="D69" s="6"/>
      <c r="E69" s="6" t="s">
        <v>745</v>
      </c>
      <c r="F69" s="4" t="s">
        <v>746</v>
      </c>
      <c r="G69" s="4"/>
      <c r="H69" s="4" t="s">
        <v>23</v>
      </c>
      <c r="I69" s="4"/>
      <c r="J69" s="10" t="s">
        <v>134</v>
      </c>
      <c r="K69" s="6"/>
      <c r="L69" s="4" t="s">
        <v>30</v>
      </c>
      <c r="M69" s="4"/>
      <c r="N69" s="6"/>
    </row>
    <row r="70" spans="1:14" ht="30" customHeight="1">
      <c r="A70" s="3">
        <v>66</v>
      </c>
      <c r="B70" s="3" t="s">
        <v>784</v>
      </c>
      <c r="C70" s="3" t="s">
        <v>122</v>
      </c>
      <c r="D70" s="8" t="s">
        <v>789</v>
      </c>
      <c r="E70" s="8" t="s">
        <v>790</v>
      </c>
      <c r="F70" s="3" t="s">
        <v>791</v>
      </c>
      <c r="G70" s="3"/>
      <c r="H70" s="3" t="s">
        <v>19</v>
      </c>
      <c r="I70" s="3" t="s">
        <v>226</v>
      </c>
      <c r="J70" s="7" t="s">
        <v>77</v>
      </c>
      <c r="K70" s="8" t="s">
        <v>792</v>
      </c>
      <c r="L70" s="3" t="s">
        <v>30</v>
      </c>
      <c r="M70" s="3"/>
      <c r="N70" s="8"/>
    </row>
    <row r="71" spans="1:14" ht="30" customHeight="1">
      <c r="A71" s="4">
        <v>67</v>
      </c>
      <c r="B71" s="4" t="s">
        <v>839</v>
      </c>
      <c r="C71" s="4" t="s">
        <v>122</v>
      </c>
      <c r="D71" s="6" t="s">
        <v>843</v>
      </c>
      <c r="E71" s="6" t="s">
        <v>844</v>
      </c>
      <c r="F71" s="4" t="s">
        <v>845</v>
      </c>
      <c r="G71" s="4"/>
      <c r="H71" s="4" t="s">
        <v>18</v>
      </c>
      <c r="I71" s="4" t="s">
        <v>90</v>
      </c>
      <c r="J71" s="7" t="s">
        <v>77</v>
      </c>
      <c r="K71" s="6" t="s">
        <v>332</v>
      </c>
      <c r="L71" s="4" t="s">
        <v>30</v>
      </c>
      <c r="M71" s="4"/>
      <c r="N71" s="6" t="s">
        <v>79</v>
      </c>
    </row>
    <row r="72" spans="1:14" ht="30" customHeight="1">
      <c r="A72" s="3">
        <v>68</v>
      </c>
      <c r="B72" s="3" t="s">
        <v>851</v>
      </c>
      <c r="C72" s="3" t="s">
        <v>122</v>
      </c>
      <c r="D72" s="8" t="s">
        <v>856</v>
      </c>
      <c r="E72" s="8" t="s">
        <v>857</v>
      </c>
      <c r="F72" s="3" t="s">
        <v>858</v>
      </c>
      <c r="G72" s="3"/>
      <c r="H72" s="3" t="s">
        <v>18</v>
      </c>
      <c r="I72" s="3" t="s">
        <v>90</v>
      </c>
      <c r="J72" s="7" t="s">
        <v>77</v>
      </c>
      <c r="K72" s="8" t="s">
        <v>859</v>
      </c>
      <c r="L72" s="3" t="s">
        <v>30</v>
      </c>
      <c r="M72" s="3"/>
      <c r="N72" s="8" t="s">
        <v>79</v>
      </c>
    </row>
    <row r="73" spans="1:14" ht="30" customHeight="1">
      <c r="A73" s="4">
        <v>69</v>
      </c>
      <c r="B73" s="4" t="s">
        <v>868</v>
      </c>
      <c r="C73" s="4" t="s">
        <v>122</v>
      </c>
      <c r="D73" s="6" t="s">
        <v>873</v>
      </c>
      <c r="E73" s="6" t="s">
        <v>874</v>
      </c>
      <c r="F73" s="4" t="s">
        <v>875</v>
      </c>
      <c r="G73" s="4"/>
      <c r="H73" s="4" t="s">
        <v>19</v>
      </c>
      <c r="I73" s="4" t="s">
        <v>226</v>
      </c>
      <c r="J73" s="7" t="s">
        <v>77</v>
      </c>
      <c r="K73" s="6" t="s">
        <v>876</v>
      </c>
      <c r="L73" s="4" t="s">
        <v>30</v>
      </c>
      <c r="M73" s="4"/>
      <c r="N73" s="6" t="s">
        <v>79</v>
      </c>
    </row>
    <row r="74" spans="1:14" ht="30" customHeight="1">
      <c r="A74" s="3">
        <v>70</v>
      </c>
      <c r="B74" s="3" t="s">
        <v>880</v>
      </c>
      <c r="C74" s="3" t="s">
        <v>122</v>
      </c>
      <c r="D74" s="8" t="s">
        <v>881</v>
      </c>
      <c r="E74" s="8" t="s">
        <v>882</v>
      </c>
      <c r="F74" s="3" t="s">
        <v>883</v>
      </c>
      <c r="G74" s="3"/>
      <c r="H74" s="3" t="s">
        <v>18</v>
      </c>
      <c r="I74" s="3" t="s">
        <v>90</v>
      </c>
      <c r="J74" s="7" t="s">
        <v>77</v>
      </c>
      <c r="K74" s="8" t="s">
        <v>884</v>
      </c>
      <c r="L74" s="3" t="s">
        <v>30</v>
      </c>
      <c r="M74" s="3"/>
      <c r="N74" s="8" t="s">
        <v>79</v>
      </c>
    </row>
    <row r="75" spans="1:14" ht="30" customHeight="1">
      <c r="A75" s="4">
        <v>71</v>
      </c>
      <c r="B75" s="4" t="s">
        <v>880</v>
      </c>
      <c r="C75" s="4" t="s">
        <v>122</v>
      </c>
      <c r="D75" s="6" t="s">
        <v>885</v>
      </c>
      <c r="E75" s="6" t="s">
        <v>886</v>
      </c>
      <c r="F75" s="4" t="s">
        <v>887</v>
      </c>
      <c r="G75" s="4" t="s">
        <v>888</v>
      </c>
      <c r="H75" s="4" t="s">
        <v>18</v>
      </c>
      <c r="I75" s="4" t="s">
        <v>90</v>
      </c>
      <c r="J75" s="7" t="s">
        <v>77</v>
      </c>
      <c r="K75" s="6" t="s">
        <v>889</v>
      </c>
      <c r="L75" s="4" t="s">
        <v>30</v>
      </c>
      <c r="M75" s="4"/>
      <c r="N75" s="6" t="s">
        <v>79</v>
      </c>
    </row>
    <row r="76" spans="1:14" ht="30" customHeight="1">
      <c r="A76" s="3">
        <v>72</v>
      </c>
      <c r="B76" s="3" t="s">
        <v>880</v>
      </c>
      <c r="C76" s="3" t="s">
        <v>122</v>
      </c>
      <c r="D76" s="8" t="s">
        <v>890</v>
      </c>
      <c r="E76" s="8" t="s">
        <v>891</v>
      </c>
      <c r="F76" s="3" t="s">
        <v>892</v>
      </c>
      <c r="G76" s="3"/>
      <c r="H76" s="3" t="s">
        <v>18</v>
      </c>
      <c r="I76" s="3" t="s">
        <v>90</v>
      </c>
      <c r="J76" s="7" t="s">
        <v>77</v>
      </c>
      <c r="K76" s="8" t="s">
        <v>893</v>
      </c>
      <c r="L76" s="3" t="s">
        <v>30</v>
      </c>
      <c r="M76" s="3"/>
      <c r="N76" s="8"/>
    </row>
    <row r="77" spans="1:14" ht="30" customHeight="1">
      <c r="A77" s="4">
        <v>73</v>
      </c>
      <c r="B77" s="4" t="s">
        <v>880</v>
      </c>
      <c r="C77" s="4" t="s">
        <v>122</v>
      </c>
      <c r="D77" s="6" t="s">
        <v>894</v>
      </c>
      <c r="E77" s="6" t="s">
        <v>895</v>
      </c>
      <c r="F77" s="4" t="s">
        <v>896</v>
      </c>
      <c r="G77" s="4"/>
      <c r="H77" s="4" t="s">
        <v>18</v>
      </c>
      <c r="I77" s="4" t="s">
        <v>90</v>
      </c>
      <c r="J77" s="7" t="s">
        <v>77</v>
      </c>
      <c r="K77" s="6" t="s">
        <v>897</v>
      </c>
      <c r="L77" s="4" t="s">
        <v>30</v>
      </c>
      <c r="M77" s="4"/>
      <c r="N77" s="6" t="s">
        <v>79</v>
      </c>
    </row>
    <row r="78" spans="1:14" ht="30" customHeight="1">
      <c r="A78" s="3">
        <v>74</v>
      </c>
      <c r="B78" s="3" t="s">
        <v>880</v>
      </c>
      <c r="C78" s="3" t="s">
        <v>122</v>
      </c>
      <c r="D78" s="8" t="s">
        <v>898</v>
      </c>
      <c r="E78" s="8" t="s">
        <v>899</v>
      </c>
      <c r="F78" s="3" t="s">
        <v>900</v>
      </c>
      <c r="G78" s="3"/>
      <c r="H78" s="3" t="s">
        <v>18</v>
      </c>
      <c r="I78" s="3" t="s">
        <v>90</v>
      </c>
      <c r="J78" s="7" t="s">
        <v>77</v>
      </c>
      <c r="K78" s="8" t="s">
        <v>901</v>
      </c>
      <c r="L78" s="3" t="s">
        <v>30</v>
      </c>
      <c r="M78" s="3"/>
      <c r="N78" s="8"/>
    </row>
    <row r="79" spans="1:14" ht="30" customHeight="1">
      <c r="A79" s="4">
        <v>75</v>
      </c>
      <c r="B79" s="4" t="s">
        <v>880</v>
      </c>
      <c r="C79" s="4" t="s">
        <v>122</v>
      </c>
      <c r="D79" s="6" t="s">
        <v>902</v>
      </c>
      <c r="E79" s="6" t="s">
        <v>903</v>
      </c>
      <c r="F79" s="4" t="s">
        <v>904</v>
      </c>
      <c r="G79" s="4"/>
      <c r="H79" s="4" t="s">
        <v>19</v>
      </c>
      <c r="I79" s="4" t="s">
        <v>76</v>
      </c>
      <c r="J79" s="7" t="s">
        <v>77</v>
      </c>
      <c r="K79" s="6" t="s">
        <v>905</v>
      </c>
      <c r="L79" s="4" t="s">
        <v>30</v>
      </c>
      <c r="M79" s="4"/>
      <c r="N79" s="6"/>
    </row>
    <row r="80" spans="1:14" ht="30" customHeight="1">
      <c r="A80" s="3">
        <v>76</v>
      </c>
      <c r="B80" s="3" t="s">
        <v>880</v>
      </c>
      <c r="C80" s="3" t="s">
        <v>122</v>
      </c>
      <c r="D80" s="8" t="s">
        <v>906</v>
      </c>
      <c r="E80" s="8" t="s">
        <v>907</v>
      </c>
      <c r="F80" s="3" t="s">
        <v>908</v>
      </c>
      <c r="G80" s="3"/>
      <c r="H80" s="3" t="s">
        <v>18</v>
      </c>
      <c r="I80" s="3" t="s">
        <v>909</v>
      </c>
      <c r="J80" s="7" t="s">
        <v>77</v>
      </c>
      <c r="K80" s="8" t="s">
        <v>910</v>
      </c>
      <c r="L80" s="3" t="s">
        <v>30</v>
      </c>
      <c r="M80" s="3"/>
      <c r="N80" s="8" t="s">
        <v>79</v>
      </c>
    </row>
  </sheetData>
  <autoFilter ref="A4:N80" xr:uid="{00000000-0009-0000-0000-00000A000000}"/>
  <mergeCells count="3">
    <mergeCell ref="A3:N3"/>
    <mergeCell ref="A2:N2"/>
    <mergeCell ref="A1:N1"/>
  </mergeCells>
  <phoneticPr fontId="15" type="noConversion"/>
  <dataValidations count="1">
    <dataValidation type="list" allowBlank="1" sqref="M5:M80" xr:uid="{00000000-0002-0000-0A00-000000000000}">
      <formula1>"미착수,진행중,완료,해당없음"</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5"/>
  <sheetViews>
    <sheetView showGridLines="0" workbookViewId="0">
      <pane ySplit="4" topLeftCell="A5" activePane="bottomLeft" state="frozen"/>
      <selection pane="bottomLeft" sqref="A1:K1"/>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992</v>
      </c>
      <c r="B1" s="25"/>
      <c r="C1" s="25"/>
      <c r="D1" s="25"/>
      <c r="E1" s="25"/>
      <c r="F1" s="25"/>
      <c r="G1" s="25"/>
      <c r="H1" s="25"/>
      <c r="I1" s="25"/>
      <c r="J1" s="25"/>
      <c r="K1" s="25"/>
    </row>
    <row r="2" spans="1:11" ht="15.95" customHeight="1">
      <c r="A2" s="27" t="s">
        <v>993</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46</v>
      </c>
      <c r="C5" s="4" t="s">
        <v>165</v>
      </c>
      <c r="D5" s="4" t="s">
        <v>166</v>
      </c>
      <c r="E5" s="6"/>
      <c r="F5" s="6" t="s">
        <v>171</v>
      </c>
      <c r="G5" s="4" t="s">
        <v>172</v>
      </c>
      <c r="H5" s="10" t="s">
        <v>134</v>
      </c>
      <c r="I5" s="4" t="s">
        <v>27</v>
      </c>
      <c r="J5" s="4"/>
      <c r="K5" s="6"/>
    </row>
    <row r="6" spans="1:11" ht="30" customHeight="1">
      <c r="A6" s="3">
        <v>2</v>
      </c>
      <c r="B6" s="3" t="s">
        <v>47</v>
      </c>
      <c r="C6" s="3" t="s">
        <v>367</v>
      </c>
      <c r="D6" s="3" t="s">
        <v>166</v>
      </c>
      <c r="E6" s="8"/>
      <c r="F6" s="8" t="s">
        <v>371</v>
      </c>
      <c r="G6" s="3" t="s">
        <v>372</v>
      </c>
      <c r="H6" s="10" t="s">
        <v>134</v>
      </c>
      <c r="I6" s="3" t="s">
        <v>27</v>
      </c>
      <c r="J6" s="3"/>
      <c r="K6" s="8"/>
    </row>
    <row r="7" spans="1:11" ht="30" customHeight="1">
      <c r="A7" s="4">
        <v>3</v>
      </c>
      <c r="B7" s="4" t="s">
        <v>47</v>
      </c>
      <c r="C7" s="4" t="s">
        <v>367</v>
      </c>
      <c r="D7" s="4" t="s">
        <v>166</v>
      </c>
      <c r="E7" s="6"/>
      <c r="F7" s="6" t="s">
        <v>375</v>
      </c>
      <c r="G7" s="4" t="s">
        <v>376</v>
      </c>
      <c r="H7" s="10" t="s">
        <v>134</v>
      </c>
      <c r="I7" s="4" t="s">
        <v>27</v>
      </c>
      <c r="J7" s="4"/>
      <c r="K7" s="6"/>
    </row>
    <row r="8" spans="1:11" ht="30" customHeight="1">
      <c r="A8" s="3">
        <v>4</v>
      </c>
      <c r="B8" s="3" t="s">
        <v>47</v>
      </c>
      <c r="C8" s="3" t="s">
        <v>367</v>
      </c>
      <c r="D8" s="3" t="s">
        <v>166</v>
      </c>
      <c r="E8" s="8"/>
      <c r="F8" s="8" t="s">
        <v>377</v>
      </c>
      <c r="G8" s="3" t="s">
        <v>378</v>
      </c>
      <c r="H8" s="10" t="s">
        <v>134</v>
      </c>
      <c r="I8" s="3" t="s">
        <v>27</v>
      </c>
      <c r="J8" s="3"/>
      <c r="K8" s="8"/>
    </row>
    <row r="9" spans="1:11" ht="30" customHeight="1">
      <c r="A9" s="4">
        <v>5</v>
      </c>
      <c r="B9" s="4" t="s">
        <v>47</v>
      </c>
      <c r="C9" s="4" t="s">
        <v>367</v>
      </c>
      <c r="D9" s="4" t="s">
        <v>166</v>
      </c>
      <c r="E9" s="6"/>
      <c r="F9" s="6" t="s">
        <v>379</v>
      </c>
      <c r="G9" s="4" t="s">
        <v>380</v>
      </c>
      <c r="H9" s="10" t="s">
        <v>134</v>
      </c>
      <c r="I9" s="4" t="s">
        <v>27</v>
      </c>
      <c r="J9" s="4"/>
      <c r="K9" s="6"/>
    </row>
    <row r="10" spans="1:11" ht="30" customHeight="1">
      <c r="A10" s="3">
        <v>6</v>
      </c>
      <c r="B10" s="3" t="s">
        <v>47</v>
      </c>
      <c r="C10" s="3" t="s">
        <v>367</v>
      </c>
      <c r="D10" s="3" t="s">
        <v>166</v>
      </c>
      <c r="E10" s="8"/>
      <c r="F10" s="8" t="s">
        <v>381</v>
      </c>
      <c r="G10" s="3" t="inlineStr">
        <is>
          <t xml:space="preserve">SH-FM-WI001-03</t>
        </is>
      </c>
      <c r="H10" s="7" t="inlineStr">
        <is>
          <t xml:space="preserve">기존 절차 연계</t>
        </is>
      </c>
      <c r="I10" s="3" t="s">
        <v>27</v>
      </c>
      <c r="J10" s="3"/>
      <c r="K10" s="8" t="inlineStr">
        <is>
          <t xml:space="preserve">[2026-09-22 확정] SH-WI-001(생산 작업준비 및 초품확인 표준) 연계 확정(품질경영담당 일괄판단, 부서 정식회신 생략) — FM번호 재부여: SH-FM-INS-N24 → SH-FM-WI001-03</t>
        </is>
      </c>
    </row>
    <row r="11" spans="1:11" ht="30" customHeight="1">
      <c r="A11" s="4">
        <v>7</v>
      </c>
      <c r="B11" s="4" t="s">
        <v>48</v>
      </c>
      <c r="C11" s="4" t="s">
        <v>384</v>
      </c>
      <c r="D11" s="4" t="s">
        <v>72</v>
      </c>
      <c r="E11" s="6" t="s">
        <v>398</v>
      </c>
      <c r="F11" s="6" t="s">
        <v>399</v>
      </c>
      <c r="G11" s="4" t="s">
        <v>400</v>
      </c>
      <c r="H11" s="10" t="s">
        <v>134</v>
      </c>
      <c r="I11" s="4" t="s">
        <v>27</v>
      </c>
      <c r="J11" s="4"/>
      <c r="K11" s="6"/>
    </row>
    <row r="12" spans="1:11" ht="30" customHeight="1">
      <c r="A12" s="3">
        <v>8</v>
      </c>
      <c r="B12" s="3" t="s">
        <v>48</v>
      </c>
      <c r="C12" s="3" t="s">
        <v>442</v>
      </c>
      <c r="D12" s="3" t="s">
        <v>72</v>
      </c>
      <c r="E12" s="8" t="s">
        <v>447</v>
      </c>
      <c r="F12" s="8" t="s">
        <v>448</v>
      </c>
      <c r="G12" s="3" t="s">
        <v>449</v>
      </c>
      <c r="H12" s="10" t="s">
        <v>134</v>
      </c>
      <c r="I12" s="3" t="s">
        <v>27</v>
      </c>
      <c r="J12" s="3"/>
      <c r="K12" s="8"/>
    </row>
    <row r="13" spans="1:11" ht="30" customHeight="1">
      <c r="A13" s="4">
        <v>9</v>
      </c>
      <c r="B13" s="4" t="s">
        <v>48</v>
      </c>
      <c r="C13" s="4" t="s">
        <v>442</v>
      </c>
      <c r="D13" s="4" t="s">
        <v>72</v>
      </c>
      <c r="E13" s="6" t="s">
        <v>450</v>
      </c>
      <c r="F13" s="6" t="s">
        <v>451</v>
      </c>
      <c r="G13" s="4" t="s">
        <v>452</v>
      </c>
      <c r="H13" s="10" t="s">
        <v>134</v>
      </c>
      <c r="I13" s="4" t="s">
        <v>27</v>
      </c>
      <c r="J13" s="4"/>
      <c r="K13" s="6"/>
    </row>
    <row r="14" spans="1:11" ht="30" customHeight="1">
      <c r="A14" s="3">
        <v>10</v>
      </c>
      <c r="B14" s="3" t="s">
        <v>48</v>
      </c>
      <c r="C14" s="3" t="s">
        <v>460</v>
      </c>
      <c r="D14" s="3" t="s">
        <v>72</v>
      </c>
      <c r="E14" s="8" t="s">
        <v>463</v>
      </c>
      <c r="F14" s="8" t="s">
        <v>448</v>
      </c>
      <c r="G14" s="3" t="s">
        <v>464</v>
      </c>
      <c r="H14" s="10" t="s">
        <v>134</v>
      </c>
      <c r="I14" s="3" t="s">
        <v>27</v>
      </c>
      <c r="J14" s="3"/>
      <c r="K14" s="8"/>
    </row>
    <row r="15" spans="1:11" ht="30" customHeight="1">
      <c r="A15" s="4">
        <v>11</v>
      </c>
      <c r="B15" s="4" t="s">
        <v>50</v>
      </c>
      <c r="C15" s="4" t="s">
        <v>544</v>
      </c>
      <c r="D15" s="4" t="s">
        <v>72</v>
      </c>
      <c r="E15" s="6" t="s">
        <v>550</v>
      </c>
      <c r="F15" s="6" t="s">
        <v>171</v>
      </c>
      <c r="G15" s="4" t="s">
        <v>551</v>
      </c>
      <c r="H15" s="10" t="s">
        <v>134</v>
      </c>
      <c r="I15" s="4" t="s">
        <v>27</v>
      </c>
      <c r="J15" s="4"/>
      <c r="K15" s="6"/>
    </row>
    <row r="16" spans="1:11" ht="30" customHeight="1">
      <c r="A16" s="3">
        <v>12</v>
      </c>
      <c r="B16" s="3" t="s">
        <v>50</v>
      </c>
      <c r="C16" s="3" t="s">
        <v>544</v>
      </c>
      <c r="D16" s="3" t="s">
        <v>72</v>
      </c>
      <c r="E16" s="8" t="s">
        <v>558</v>
      </c>
      <c r="F16" s="8" t="s">
        <v>171</v>
      </c>
      <c r="G16" s="3" t="s">
        <v>559</v>
      </c>
      <c r="H16" s="10" t="s">
        <v>134</v>
      </c>
      <c r="I16" s="3" t="s">
        <v>27</v>
      </c>
      <c r="J16" s="3"/>
      <c r="K16" s="8"/>
    </row>
    <row r="17" spans="1:11" ht="30" customHeight="1">
      <c r="A17" s="4">
        <v>13</v>
      </c>
      <c r="B17" s="4" t="s">
        <v>50</v>
      </c>
      <c r="C17" s="4" t="s">
        <v>544</v>
      </c>
      <c r="D17" s="4" t="s">
        <v>72</v>
      </c>
      <c r="E17" s="6" t="s">
        <v>561</v>
      </c>
      <c r="F17" s="6" t="s">
        <v>554</v>
      </c>
      <c r="G17" s="4" t="s">
        <v>562</v>
      </c>
      <c r="H17" s="10" t="s">
        <v>134</v>
      </c>
      <c r="I17" s="4" t="s">
        <v>27</v>
      </c>
      <c r="J17" s="4"/>
      <c r="K17" s="6"/>
    </row>
    <row r="18" spans="1:11" ht="30" customHeight="1">
      <c r="A18" s="3">
        <v>14</v>
      </c>
      <c r="B18" s="3" t="s">
        <v>51</v>
      </c>
      <c r="C18" s="3" t="s">
        <v>655</v>
      </c>
      <c r="D18" s="3" t="s">
        <v>72</v>
      </c>
      <c r="E18" s="8" t="s">
        <v>656</v>
      </c>
      <c r="F18" s="8" t="s">
        <v>657</v>
      </c>
      <c r="G18" s="3" t="inlineStr">
        <is>
          <t xml:space="preserve">SH-FM-QP004-01</t>
        </is>
      </c>
      <c r="H18" s="7" t="inlineStr">
        <is>
          <t xml:space="preserve">기존 절차 연계</t>
        </is>
      </c>
      <c r="I18" s="3" t="s">
        <v>27</v>
      </c>
      <c r="J18" s="3"/>
      <c r="K18" s="8" t="inlineStr">
        <is>
          <t xml:space="preserve">[2026-09-22 확정] SH-QP-004(리스크 및 기회관리 절차서) 연계 확정(품질경영담당 일괄판단, 부서 정식회신 생략) — FM번호 재부여: SH-FM-QMS-N01 → SH-FM-QP004-01</t>
        </is>
      </c>
    </row>
    <row r="19" spans="1:11" ht="30" customHeight="1">
      <c r="A19" s="4">
        <v>15</v>
      </c>
      <c r="B19" s="4" t="s">
        <v>51</v>
      </c>
      <c r="C19" s="4" t="s">
        <v>655</v>
      </c>
      <c r="D19" s="4" t="s">
        <v>72</v>
      </c>
      <c r="E19" s="6" t="s">
        <v>660</v>
      </c>
      <c r="F19" s="6" t="s">
        <v>661</v>
      </c>
      <c r="G19" s="4" t="s">
        <v>662</v>
      </c>
      <c r="H19" s="10" t="s">
        <v>134</v>
      </c>
      <c r="I19" s="4" t="s">
        <v>27</v>
      </c>
      <c r="J19" s="4"/>
      <c r="K19" s="6"/>
    </row>
    <row r="20" spans="1:11" ht="30" customHeight="1">
      <c r="A20" s="3">
        <v>16</v>
      </c>
      <c r="B20" s="3" t="s">
        <v>51</v>
      </c>
      <c r="C20" s="3" t="s">
        <v>655</v>
      </c>
      <c r="D20" s="3" t="s">
        <v>72</v>
      </c>
      <c r="E20" s="8" t="s">
        <v>663</v>
      </c>
      <c r="F20" s="8" t="s">
        <v>664</v>
      </c>
      <c r="G20" s="3" t="s">
        <v>665</v>
      </c>
      <c r="H20" s="10" t="s">
        <v>134</v>
      </c>
      <c r="I20" s="3" t="s">
        <v>27</v>
      </c>
      <c r="J20" s="3"/>
      <c r="K20" s="8"/>
    </row>
    <row r="21" spans="1:11" ht="30" customHeight="1">
      <c r="A21" s="4">
        <v>17</v>
      </c>
      <c r="B21" s="4" t="s">
        <v>51</v>
      </c>
      <c r="C21" s="4" t="s">
        <v>655</v>
      </c>
      <c r="D21" s="4" t="s">
        <v>72</v>
      </c>
      <c r="E21" s="6" t="s">
        <v>666</v>
      </c>
      <c r="F21" s="6" t="s">
        <v>667</v>
      </c>
      <c r="G21" s="4" t="s">
        <v>668</v>
      </c>
      <c r="H21" s="10" t="s">
        <v>134</v>
      </c>
      <c r="I21" s="4" t="s">
        <v>27</v>
      </c>
      <c r="J21" s="4"/>
      <c r="K21" s="6"/>
    </row>
    <row r="22" spans="1:11" ht="30" customHeight="1">
      <c r="A22" s="3">
        <v>18</v>
      </c>
      <c r="B22" s="3" t="s">
        <v>51</v>
      </c>
      <c r="C22" s="3" t="s">
        <v>655</v>
      </c>
      <c r="D22" s="3" t="s">
        <v>72</v>
      </c>
      <c r="E22" s="8" t="s">
        <v>669</v>
      </c>
      <c r="F22" s="8" t="s">
        <v>670</v>
      </c>
      <c r="G22" s="3" t="s">
        <v>671</v>
      </c>
      <c r="H22" s="10" t="s">
        <v>134</v>
      </c>
      <c r="I22" s="3" t="s">
        <v>27</v>
      </c>
      <c r="J22" s="3"/>
      <c r="K22" s="8"/>
    </row>
    <row r="23" spans="1:11" ht="30" customHeight="1">
      <c r="A23" s="4">
        <v>19</v>
      </c>
      <c r="B23" s="4" t="s">
        <v>46</v>
      </c>
      <c r="C23" s="4" t="s">
        <v>142</v>
      </c>
      <c r="D23" s="4" t="s">
        <v>72</v>
      </c>
      <c r="E23" s="6" t="s">
        <v>143</v>
      </c>
      <c r="F23" s="6" t="s">
        <v>144</v>
      </c>
      <c r="G23" s="4" t="s">
        <v>145</v>
      </c>
      <c r="H23" s="10" t="s">
        <v>134</v>
      </c>
      <c r="I23" s="4" t="s">
        <v>28</v>
      </c>
      <c r="J23" s="4"/>
      <c r="K23" s="6"/>
    </row>
    <row r="24" spans="1:11" ht="30" customHeight="1">
      <c r="A24" s="3">
        <v>20</v>
      </c>
      <c r="B24" s="3" t="s">
        <v>47</v>
      </c>
      <c r="C24" s="3" t="s">
        <v>239</v>
      </c>
      <c r="D24" s="3" t="s">
        <v>72</v>
      </c>
      <c r="E24" s="8" t="s">
        <v>247</v>
      </c>
      <c r="F24" s="8" t="s">
        <v>248</v>
      </c>
      <c r="G24" s="3" t="s">
        <v>249</v>
      </c>
      <c r="H24" s="10" t="s">
        <v>134</v>
      </c>
      <c r="I24" s="3" t="s">
        <v>28</v>
      </c>
      <c r="J24" s="3"/>
      <c r="K24" s="8"/>
    </row>
    <row r="25" spans="1:11" ht="30" customHeight="1">
      <c r="A25" s="4">
        <v>21</v>
      </c>
      <c r="B25" s="4" t="s">
        <v>48</v>
      </c>
      <c r="C25" s="4" t="s">
        <v>468</v>
      </c>
      <c r="D25" s="4" t="s">
        <v>72</v>
      </c>
      <c r="E25" s="6" t="s">
        <v>469</v>
      </c>
      <c r="F25" s="6" t="s">
        <v>470</v>
      </c>
      <c r="G25" s="4" t="s">
        <v>471</v>
      </c>
      <c r="H25" s="10" t="s">
        <v>134</v>
      </c>
      <c r="I25" s="4" t="s">
        <v>28</v>
      </c>
      <c r="J25" s="4"/>
      <c r="K25" s="6"/>
    </row>
    <row r="26" spans="1:11" ht="30" customHeight="1">
      <c r="A26" s="3">
        <v>22</v>
      </c>
      <c r="B26" s="3" t="s">
        <v>48</v>
      </c>
      <c r="C26" s="3" t="s">
        <v>468</v>
      </c>
      <c r="D26" s="3" t="s">
        <v>72</v>
      </c>
      <c r="E26" s="8"/>
      <c r="F26" s="8" t="s">
        <v>472</v>
      </c>
      <c r="G26" s="3" t="s">
        <v>473</v>
      </c>
      <c r="H26" s="10" t="s">
        <v>134</v>
      </c>
      <c r="I26" s="3" t="s">
        <v>28</v>
      </c>
      <c r="J26" s="3"/>
      <c r="K26" s="8"/>
    </row>
    <row r="27" spans="1:11" ht="30" customHeight="1">
      <c r="A27" s="4">
        <v>23</v>
      </c>
      <c r="B27" s="4" t="s">
        <v>48</v>
      </c>
      <c r="C27" s="4" t="s">
        <v>468</v>
      </c>
      <c r="D27" s="4" t="s">
        <v>72</v>
      </c>
      <c r="E27" s="6"/>
      <c r="F27" s="6" t="s">
        <v>474</v>
      </c>
      <c r="G27" s="4" t="s">
        <v>475</v>
      </c>
      <c r="H27" s="10" t="s">
        <v>134</v>
      </c>
      <c r="I27" s="4" t="s">
        <v>28</v>
      </c>
      <c r="J27" s="4"/>
      <c r="K27" s="6"/>
    </row>
    <row r="28" spans="1:11" ht="30" customHeight="1">
      <c r="A28" s="3">
        <v>24</v>
      </c>
      <c r="B28" s="3" t="s">
        <v>48</v>
      </c>
      <c r="C28" s="3" t="s">
        <v>468</v>
      </c>
      <c r="D28" s="3" t="s">
        <v>72</v>
      </c>
      <c r="E28" s="8"/>
      <c r="F28" s="8" t="s">
        <v>476</v>
      </c>
      <c r="G28" s="3" t="s">
        <v>477</v>
      </c>
      <c r="H28" s="10" t="s">
        <v>134</v>
      </c>
      <c r="I28" s="3" t="s">
        <v>28</v>
      </c>
      <c r="J28" s="3"/>
      <c r="K28" s="8"/>
    </row>
    <row r="29" spans="1:11" ht="30" customHeight="1">
      <c r="A29" s="4">
        <v>25</v>
      </c>
      <c r="B29" s="4" t="s">
        <v>50</v>
      </c>
      <c r="C29" s="4" t="s">
        <v>577</v>
      </c>
      <c r="D29" s="4" t="s">
        <v>72</v>
      </c>
      <c r="E29" s="6"/>
      <c r="F29" s="6" t="s">
        <v>606</v>
      </c>
      <c r="G29" s="4" t="s">
        <v>607</v>
      </c>
      <c r="H29" s="10" t="s">
        <v>134</v>
      </c>
      <c r="I29" s="4" t="s">
        <v>28</v>
      </c>
      <c r="J29" s="4"/>
      <c r="K29" s="6"/>
    </row>
    <row r="30" spans="1:11" ht="30" customHeight="1">
      <c r="A30" s="3">
        <v>26</v>
      </c>
      <c r="B30" s="3" t="s">
        <v>50</v>
      </c>
      <c r="C30" s="3" t="s">
        <v>577</v>
      </c>
      <c r="D30" s="3" t="s">
        <v>72</v>
      </c>
      <c r="E30" s="8"/>
      <c r="F30" s="8" t="s">
        <v>608</v>
      </c>
      <c r="G30" s="3" t="s">
        <v>609</v>
      </c>
      <c r="H30" s="10" t="s">
        <v>134</v>
      </c>
      <c r="I30" s="3" t="s">
        <v>28</v>
      </c>
      <c r="J30" s="3"/>
      <c r="K30" s="8"/>
    </row>
    <row r="31" spans="1:11" ht="30" customHeight="1">
      <c r="A31" s="4">
        <v>27</v>
      </c>
      <c r="B31" s="4" t="s">
        <v>50</v>
      </c>
      <c r="C31" s="4" t="s">
        <v>577</v>
      </c>
      <c r="D31" s="4" t="s">
        <v>72</v>
      </c>
      <c r="E31" s="6"/>
      <c r="F31" s="6" t="s">
        <v>554</v>
      </c>
      <c r="G31" s="4" t="s">
        <v>610</v>
      </c>
      <c r="H31" s="10" t="s">
        <v>134</v>
      </c>
      <c r="I31" s="4" t="s">
        <v>28</v>
      </c>
      <c r="J31" s="4"/>
      <c r="K31" s="6"/>
    </row>
    <row r="32" spans="1:11" ht="30" customHeight="1">
      <c r="A32" s="3">
        <v>28</v>
      </c>
      <c r="B32" s="3" t="s">
        <v>50</v>
      </c>
      <c r="C32" s="3" t="s">
        <v>616</v>
      </c>
      <c r="D32" s="3" t="s">
        <v>72</v>
      </c>
      <c r="E32" s="8"/>
      <c r="F32" s="8" t="s">
        <v>554</v>
      </c>
      <c r="G32" s="3" t="s">
        <v>629</v>
      </c>
      <c r="H32" s="10" t="s">
        <v>134</v>
      </c>
      <c r="I32" s="3" t="s">
        <v>28</v>
      </c>
      <c r="J32" s="3"/>
      <c r="K32" s="8"/>
    </row>
    <row r="33" spans="1:11" ht="30" customHeight="1">
      <c r="A33" s="4">
        <v>29</v>
      </c>
      <c r="B33" s="4" t="s">
        <v>50</v>
      </c>
      <c r="C33" s="4" t="s">
        <v>630</v>
      </c>
      <c r="D33" s="4" t="s">
        <v>72</v>
      </c>
      <c r="E33" s="6" t="s">
        <v>631</v>
      </c>
      <c r="F33" s="6" t="s">
        <v>632</v>
      </c>
      <c r="G33" s="4" t="s">
        <v>633</v>
      </c>
      <c r="H33" s="10" t="s">
        <v>134</v>
      </c>
      <c r="I33" s="4" t="s">
        <v>28</v>
      </c>
      <c r="J33" s="4"/>
      <c r="K33" s="6"/>
    </row>
    <row r="34" spans="1:11" ht="30" customHeight="1">
      <c r="A34" s="3">
        <v>30</v>
      </c>
      <c r="B34" s="3" t="s">
        <v>50</v>
      </c>
      <c r="C34" s="3" t="s">
        <v>630</v>
      </c>
      <c r="D34" s="3" t="s">
        <v>72</v>
      </c>
      <c r="E34" s="8" t="s">
        <v>634</v>
      </c>
      <c r="F34" s="8" t="s">
        <v>635</v>
      </c>
      <c r="G34" s="3" t="s">
        <v>636</v>
      </c>
      <c r="H34" s="10" t="s">
        <v>134</v>
      </c>
      <c r="I34" s="3" t="s">
        <v>28</v>
      </c>
      <c r="J34" s="3"/>
      <c r="K34" s="8"/>
    </row>
    <row r="35" spans="1:11" ht="30" customHeight="1">
      <c r="A35" s="4">
        <v>31</v>
      </c>
      <c r="B35" s="4" t="s">
        <v>51</v>
      </c>
      <c r="C35" s="4" t="s">
        <v>655</v>
      </c>
      <c r="D35" s="4" t="s">
        <v>72</v>
      </c>
      <c r="E35" s="6" t="s">
        <v>672</v>
      </c>
      <c r="F35" s="6" t="s">
        <v>673</v>
      </c>
      <c r="G35" s="4" t="s">
        <v>674</v>
      </c>
      <c r="H35" s="10" t="s">
        <v>134</v>
      </c>
      <c r="I35" s="4" t="s">
        <v>28</v>
      </c>
      <c r="J35" s="4"/>
      <c r="K35" s="6"/>
    </row>
    <row r="36" spans="1:11" ht="30" customHeight="1">
      <c r="A36" s="3">
        <v>32</v>
      </c>
      <c r="B36" s="3" t="s">
        <v>51</v>
      </c>
      <c r="C36" s="3" t="s">
        <v>655</v>
      </c>
      <c r="D36" s="3" t="s">
        <v>72</v>
      </c>
      <c r="E36" s="8" t="s">
        <v>675</v>
      </c>
      <c r="F36" s="8" t="s">
        <v>676</v>
      </c>
      <c r="G36" s="3" t="s">
        <v>677</v>
      </c>
      <c r="H36" s="10" t="s">
        <v>134</v>
      </c>
      <c r="I36" s="3" t="s">
        <v>28</v>
      </c>
      <c r="J36" s="3"/>
      <c r="K36" s="8"/>
    </row>
    <row r="37" spans="1:11" ht="30" customHeight="1">
      <c r="A37" s="4">
        <v>33</v>
      </c>
      <c r="B37" s="4" t="s">
        <v>51</v>
      </c>
      <c r="C37" s="4" t="s">
        <v>655</v>
      </c>
      <c r="D37" s="4" t="s">
        <v>72</v>
      </c>
      <c r="E37" s="6" t="s">
        <v>678</v>
      </c>
      <c r="F37" s="6" t="s">
        <v>679</v>
      </c>
      <c r="G37" s="4" t="s">
        <v>680</v>
      </c>
      <c r="H37" s="10" t="s">
        <v>134</v>
      </c>
      <c r="I37" s="4" t="s">
        <v>28</v>
      </c>
      <c r="J37" s="4"/>
      <c r="K37" s="6"/>
    </row>
    <row r="38" spans="1:11" ht="30" customHeight="1">
      <c r="A38" s="3">
        <v>34</v>
      </c>
      <c r="B38" s="3" t="s">
        <v>51</v>
      </c>
      <c r="C38" s="3" t="s">
        <v>655</v>
      </c>
      <c r="D38" s="3" t="s">
        <v>72</v>
      </c>
      <c r="E38" s="8" t="s">
        <v>681</v>
      </c>
      <c r="F38" s="8" t="s">
        <v>682</v>
      </c>
      <c r="G38" s="3" t="inlineStr">
        <is>
          <t xml:space="preserve">SH-FM-WI016-04</t>
        </is>
      </c>
      <c r="H38" s="7" t="inlineStr">
        <is>
          <t xml:space="preserve">기존 절차 연계</t>
        </is>
      </c>
      <c r="I38" s="3" t="s">
        <v>28</v>
      </c>
      <c r="J38" s="3"/>
      <c r="K38" s="8" t="inlineStr">
        <is>
          <t xml:space="preserve">[2026-09-22 확정] SH-WI-016(예방보전 및 설비점검 작업표준) 연계 확정(품질경영담당 일괄판단, 부서 정식회신 생략) — FM번호 재부여: SH-FM-QMS-N09 → SH-FM-WI016-04</t>
        </is>
      </c>
    </row>
    <row r="39" spans="1:11" ht="30" customHeight="1">
      <c r="A39" s="4">
        <v>35</v>
      </c>
      <c r="B39" s="4" t="s">
        <v>51</v>
      </c>
      <c r="C39" s="4" t="s">
        <v>655</v>
      </c>
      <c r="D39" s="4" t="s">
        <v>72</v>
      </c>
      <c r="E39" s="6" t="s">
        <v>685</v>
      </c>
      <c r="F39" s="6" t="s">
        <v>686</v>
      </c>
      <c r="G39" s="4" t="s">
        <v>687</v>
      </c>
      <c r="H39" s="10" t="s">
        <v>134</v>
      </c>
      <c r="I39" s="4" t="s">
        <v>28</v>
      </c>
      <c r="J39" s="4"/>
      <c r="K39" s="6"/>
    </row>
    <row r="40" spans="1:11" ht="30" customHeight="1">
      <c r="A40" s="3">
        <v>36</v>
      </c>
      <c r="B40" s="3" t="s">
        <v>51</v>
      </c>
      <c r="C40" s="3" t="s">
        <v>655</v>
      </c>
      <c r="D40" s="3" t="s">
        <v>72</v>
      </c>
      <c r="E40" s="8"/>
      <c r="F40" s="8" t="s">
        <v>693</v>
      </c>
      <c r="G40" s="3" t="s">
        <v>694</v>
      </c>
      <c r="H40" s="10" t="s">
        <v>134</v>
      </c>
      <c r="I40" s="3" t="s">
        <v>28</v>
      </c>
      <c r="J40" s="3"/>
      <c r="K40" s="8"/>
    </row>
    <row r="41" spans="1:11" ht="30" customHeight="1">
      <c r="A41" s="4">
        <v>37</v>
      </c>
      <c r="B41" s="4" t="s">
        <v>51</v>
      </c>
      <c r="C41" s="4" t="s">
        <v>747</v>
      </c>
      <c r="D41" s="4" t="s">
        <v>72</v>
      </c>
      <c r="E41" s="6" t="s">
        <v>755</v>
      </c>
      <c r="F41" s="6" t="s">
        <v>756</v>
      </c>
      <c r="G41" s="4" t="inlineStr">
        <is>
          <t xml:space="preserve">SH-FM-QP006-04</t>
        </is>
      </c>
      <c r="H41" s="7" t="inlineStr">
        <is>
          <t xml:space="preserve">기존 절차 연계</t>
        </is>
      </c>
      <c r="I41" s="4" t="s">
        <v>28</v>
      </c>
      <c r="J41" s="4"/>
      <c r="K41" s="6" t="inlineStr">
        <is>
          <t xml:space="preserve">[2026-09-22 확정] SH-QP-006(교육훈련 및 역량관리 절차서) 연계 확정(품질경영담당 일괄판단, 부서 정식회신 생략) — FM번호 재부여: SH-FM-QMS-N23 → SH-FM-QP006-04</t>
        </is>
      </c>
    </row>
    <row r="42" spans="1:11" ht="30" customHeight="1">
      <c r="A42" s="3">
        <v>38</v>
      </c>
      <c r="B42" s="3" t="s">
        <v>51</v>
      </c>
      <c r="C42" s="3" t="s">
        <v>747</v>
      </c>
      <c r="D42" s="3" t="s">
        <v>72</v>
      </c>
      <c r="E42" s="8" t="s">
        <v>770</v>
      </c>
      <c r="F42" s="8" t="s">
        <v>771</v>
      </c>
      <c r="G42" s="3" t="s">
        <v>772</v>
      </c>
      <c r="H42" s="10" t="s">
        <v>134</v>
      </c>
      <c r="I42" s="3" t="s">
        <v>28</v>
      </c>
      <c r="J42" s="3"/>
      <c r="K42" s="8"/>
    </row>
    <row r="43" spans="1:11" ht="30" customHeight="1">
      <c r="A43" s="4">
        <v>39</v>
      </c>
      <c r="B43" s="4" t="s">
        <v>51</v>
      </c>
      <c r="C43" s="4" t="s">
        <v>747</v>
      </c>
      <c r="D43" s="4" t="s">
        <v>72</v>
      </c>
      <c r="E43" s="6" t="s">
        <v>780</v>
      </c>
      <c r="F43" s="6" t="s">
        <v>781</v>
      </c>
      <c r="G43" s="4" t="s">
        <v>782</v>
      </c>
      <c r="H43" s="10" t="s">
        <v>134</v>
      </c>
      <c r="I43" s="4" t="s">
        <v>28</v>
      </c>
      <c r="J43" s="4"/>
      <c r="K43" s="6"/>
    </row>
    <row r="44" spans="1:11" ht="30" customHeight="1">
      <c r="A44" s="3">
        <v>40</v>
      </c>
      <c r="B44" s="3" t="s">
        <v>46</v>
      </c>
      <c r="C44" s="3" t="s">
        <v>121</v>
      </c>
      <c r="D44" s="3" t="s">
        <v>122</v>
      </c>
      <c r="E44" s="8" t="s">
        <v>131</v>
      </c>
      <c r="F44" s="8" t="s">
        <v>132</v>
      </c>
      <c r="G44" s="3" t="s">
        <v>133</v>
      </c>
      <c r="H44" s="10" t="s">
        <v>134</v>
      </c>
      <c r="I44" s="3" t="s">
        <v>28</v>
      </c>
      <c r="J44" s="3"/>
      <c r="K44" s="8"/>
    </row>
    <row r="45" spans="1:11" ht="30" customHeight="1">
      <c r="A45" s="4">
        <v>41</v>
      </c>
      <c r="B45" s="4" t="s">
        <v>51</v>
      </c>
      <c r="C45" s="4" t="s">
        <v>839</v>
      </c>
      <c r="D45" s="4" t="s">
        <v>122</v>
      </c>
      <c r="E45" s="6" t="s">
        <v>840</v>
      </c>
      <c r="F45" s="6" t="s">
        <v>841</v>
      </c>
      <c r="G45" s="4" t="s">
        <v>842</v>
      </c>
      <c r="H45" s="10" t="s">
        <v>134</v>
      </c>
      <c r="I45" s="4" t="s">
        <v>28</v>
      </c>
      <c r="J45" s="4"/>
      <c r="K45" s="6"/>
    </row>
    <row r="46" spans="1:11" ht="30" customHeight="1">
      <c r="A46" s="3">
        <v>42</v>
      </c>
      <c r="B46" s="3" t="s">
        <v>51</v>
      </c>
      <c r="C46" s="3" t="s">
        <v>839</v>
      </c>
      <c r="D46" s="3" t="s">
        <v>122</v>
      </c>
      <c r="E46" s="8"/>
      <c r="F46" s="8" t="s">
        <v>846</v>
      </c>
      <c r="G46" s="3" t="s">
        <v>847</v>
      </c>
      <c r="H46" s="10" t="s">
        <v>134</v>
      </c>
      <c r="I46" s="3" t="s">
        <v>28</v>
      </c>
      <c r="J46" s="3"/>
      <c r="K46" s="8"/>
    </row>
    <row r="47" spans="1:11" ht="30" customHeight="1">
      <c r="A47" s="4">
        <v>43</v>
      </c>
      <c r="B47" s="4" t="s">
        <v>46</v>
      </c>
      <c r="C47" s="4" t="s">
        <v>165</v>
      </c>
      <c r="D47" s="4" t="s">
        <v>166</v>
      </c>
      <c r="E47" s="6" t="s">
        <v>167</v>
      </c>
      <c r="F47" s="6" t="s">
        <v>168</v>
      </c>
      <c r="G47" s="4" t="s">
        <v>169</v>
      </c>
      <c r="H47" s="7" t="s">
        <v>77</v>
      </c>
      <c r="I47" s="4" t="s">
        <v>29</v>
      </c>
      <c r="J47" s="4"/>
      <c r="K47" s="6" t="s">
        <v>79</v>
      </c>
    </row>
    <row r="48" spans="1:11" ht="30" customHeight="1">
      <c r="A48" s="3">
        <v>44</v>
      </c>
      <c r="B48" s="3" t="s">
        <v>47</v>
      </c>
      <c r="C48" s="3" t="s">
        <v>324</v>
      </c>
      <c r="D48" s="3" t="s">
        <v>166</v>
      </c>
      <c r="E48" s="8" t="s">
        <v>347</v>
      </c>
      <c r="F48" s="8" t="s">
        <v>348</v>
      </c>
      <c r="G48" s="3" t="s">
        <v>349</v>
      </c>
      <c r="H48" s="7" t="s">
        <v>77</v>
      </c>
      <c r="I48" s="3" t="s">
        <v>29</v>
      </c>
      <c r="J48" s="3"/>
      <c r="K48" s="8" t="s">
        <v>79</v>
      </c>
    </row>
    <row r="49" spans="1:11" ht="30" customHeight="1">
      <c r="A49" s="4">
        <v>45</v>
      </c>
      <c r="B49" s="4" t="s">
        <v>48</v>
      </c>
      <c r="C49" s="4" t="s">
        <v>384</v>
      </c>
      <c r="D49" s="4" t="s">
        <v>72</v>
      </c>
      <c r="E49" s="6" t="s">
        <v>385</v>
      </c>
      <c r="F49" s="6" t="s">
        <v>386</v>
      </c>
      <c r="G49" s="4" t="s">
        <v>387</v>
      </c>
      <c r="H49" s="7" t="s">
        <v>77</v>
      </c>
      <c r="I49" s="4" t="s">
        <v>29</v>
      </c>
      <c r="J49" s="4"/>
      <c r="K49" s="6"/>
    </row>
    <row r="50" spans="1:11" ht="30" customHeight="1">
      <c r="A50" s="3">
        <v>46</v>
      </c>
      <c r="B50" s="3" t="s">
        <v>48</v>
      </c>
      <c r="C50" s="3" t="s">
        <v>384</v>
      </c>
      <c r="D50" s="3" t="s">
        <v>72</v>
      </c>
      <c r="E50" s="8" t="s">
        <v>389</v>
      </c>
      <c r="F50" s="8" t="s">
        <v>390</v>
      </c>
      <c r="G50" s="3" t="inlineStr">
        <is>
          <t xml:space="preserve">SH-FM-WI004-07</t>
        </is>
      </c>
      <c r="H50" s="7" t="inlineStr">
        <is>
          <t xml:space="preserve">기존 절차 연계</t>
        </is>
      </c>
      <c r="I50" s="3" t="s">
        <v>29</v>
      </c>
      <c r="J50" s="3"/>
      <c r="K50" s="8" t="inlineStr">
        <is>
          <t xml:space="preserve">[2026-09-22 확정] SH-WI-004(설비 일상점검 및 이상대응 표준) 연계 확정(품질경영담당 일괄판단, 부서 정식회신 생략) — FM번호 재부여: SH-FM-QP003-03 → SH-FM-WI004-07</t>
        </is>
      </c>
    </row>
    <row r="51" spans="1:11" ht="30" customHeight="1">
      <c r="A51" s="4">
        <v>47</v>
      </c>
      <c r="B51" s="4" t="s">
        <v>49</v>
      </c>
      <c r="C51" s="4" t="s">
        <v>478</v>
      </c>
      <c r="D51" s="4" t="s">
        <v>72</v>
      </c>
      <c r="E51" s="6" t="s">
        <v>479</v>
      </c>
      <c r="F51" s="6" t="s">
        <v>480</v>
      </c>
      <c r="G51" s="4" t="s">
        <v>481</v>
      </c>
      <c r="H51" s="7" t="s">
        <v>77</v>
      </c>
      <c r="I51" s="4" t="s">
        <v>29</v>
      </c>
      <c r="J51" s="4"/>
      <c r="K51" s="6" t="s">
        <v>79</v>
      </c>
    </row>
    <row r="52" spans="1:11" ht="30" customHeight="1">
      <c r="A52" s="3">
        <v>48</v>
      </c>
      <c r="B52" s="3" t="s">
        <v>49</v>
      </c>
      <c r="C52" s="3" t="s">
        <v>478</v>
      </c>
      <c r="D52" s="3" t="s">
        <v>72</v>
      </c>
      <c r="E52" s="8"/>
      <c r="F52" s="8" t="s">
        <v>483</v>
      </c>
      <c r="G52" s="3" t="inlineStr">
        <is>
          <t xml:space="preserve">SH-FM-QP021-02</t>
        </is>
      </c>
      <c r="H52" s="7" t="inlineStr">
        <is>
          <t xml:space="preserve">기존 절차 연계</t>
        </is>
      </c>
      <c r="I52" s="3" t="s">
        <v>29</v>
      </c>
      <c r="J52" s="3"/>
      <c r="K52" s="8" t="inlineStr">
        <is>
          <t xml:space="preserve">[2026-09-22 확정] SH-QP-021(품질목표 및 KPI 관리 절차서) 연계 확정(품질경영담당 일괄판단, 부서 정식회신 생략) — FM번호 재부여: SH-FM-WI008-03 → SH-FM-QP021-02</t>
        </is>
      </c>
    </row>
    <row r="53" spans="1:11" ht="30" customHeight="1">
      <c r="A53" s="4">
        <v>49</v>
      </c>
      <c r="B53" s="4" t="s">
        <v>49</v>
      </c>
      <c r="C53" s="4" t="s">
        <v>478</v>
      </c>
      <c r="D53" s="4" t="s">
        <v>72</v>
      </c>
      <c r="E53" s="6"/>
      <c r="F53" s="6" t="s">
        <v>486</v>
      </c>
      <c r="G53" s="4" t="s">
        <v>487</v>
      </c>
      <c r="H53" s="7" t="s">
        <v>77</v>
      </c>
      <c r="I53" s="4" t="s">
        <v>29</v>
      </c>
      <c r="J53" s="4"/>
      <c r="K53" s="6" t="s">
        <v>79</v>
      </c>
    </row>
    <row r="54" spans="1:11" ht="30" customHeight="1">
      <c r="A54" s="3">
        <v>50</v>
      </c>
      <c r="B54" s="3" t="s">
        <v>49</v>
      </c>
      <c r="C54" s="3" t="s">
        <v>478</v>
      </c>
      <c r="D54" s="3" t="s">
        <v>72</v>
      </c>
      <c r="E54" s="8"/>
      <c r="F54" s="8" t="s">
        <v>488</v>
      </c>
      <c r="G54" s="3" t="s">
        <v>489</v>
      </c>
      <c r="H54" s="7" t="s">
        <v>77</v>
      </c>
      <c r="I54" s="3" t="s">
        <v>29</v>
      </c>
      <c r="J54" s="3"/>
      <c r="K54" s="8" t="s">
        <v>79</v>
      </c>
    </row>
    <row r="55" spans="1:11" ht="30" customHeight="1">
      <c r="A55" s="4">
        <v>51</v>
      </c>
      <c r="B55" s="4" t="s">
        <v>49</v>
      </c>
      <c r="C55" s="4" t="s">
        <v>478</v>
      </c>
      <c r="D55" s="4" t="s">
        <v>72</v>
      </c>
      <c r="E55" s="6"/>
      <c r="F55" s="6" t="s">
        <v>491</v>
      </c>
      <c r="G55" s="4" t="inlineStr">
        <is>
          <t xml:space="preserve">SH-FM-WI001-04</t>
        </is>
      </c>
      <c r="H55" s="7" t="inlineStr">
        <is>
          <t xml:space="preserve">기존 절차 연계</t>
        </is>
      </c>
      <c r="I55" s="4" t="s">
        <v>29</v>
      </c>
      <c r="J55" s="4"/>
      <c r="K55" s="6" t="inlineStr">
        <is>
          <t xml:space="preserve">[2026-09-22 확정] SH-WI-001(생산 작업준비 및 초품확인 표준) 연계 확정(품질경영담당 일괄판단, 부서 정식회신 생략) — FM번호 재부여: SH-FM-WI008-06 → SH-FM-WI001-04</t>
        </is>
      </c>
    </row>
    <row r="56" spans="1:11" ht="30" customHeight="1">
      <c r="A56" s="3">
        <v>52</v>
      </c>
      <c r="B56" s="3" t="s">
        <v>49</v>
      </c>
      <c r="C56" s="3" t="s">
        <v>478</v>
      </c>
      <c r="D56" s="3" t="s">
        <v>72</v>
      </c>
      <c r="E56" s="8"/>
      <c r="F56" s="8" t="s">
        <v>494</v>
      </c>
      <c r="G56" s="3" t="s">
        <v>495</v>
      </c>
      <c r="H56" s="7" t="s">
        <v>77</v>
      </c>
      <c r="I56" s="3" t="s">
        <v>29</v>
      </c>
      <c r="J56" s="3"/>
      <c r="K56" s="8" t="s">
        <v>79</v>
      </c>
    </row>
    <row r="57" spans="1:11" ht="30" customHeight="1">
      <c r="A57" s="4">
        <v>53</v>
      </c>
      <c r="B57" s="4" t="s">
        <v>49</v>
      </c>
      <c r="C57" s="4" t="s">
        <v>496</v>
      </c>
      <c r="D57" s="4" t="s">
        <v>72</v>
      </c>
      <c r="E57" s="6" t="s">
        <v>497</v>
      </c>
      <c r="F57" s="6" t="s">
        <v>498</v>
      </c>
      <c r="G57" s="4" t="s">
        <v>499</v>
      </c>
      <c r="H57" s="7" t="s">
        <v>77</v>
      </c>
      <c r="I57" s="4" t="s">
        <v>29</v>
      </c>
      <c r="J57" s="4"/>
      <c r="K57" s="6" t="s">
        <v>79</v>
      </c>
    </row>
    <row r="58" spans="1:11" ht="30" customHeight="1">
      <c r="A58" s="3">
        <v>54</v>
      </c>
      <c r="B58" s="3" t="s">
        <v>49</v>
      </c>
      <c r="C58" s="3" t="s">
        <v>496</v>
      </c>
      <c r="D58" s="3" t="s">
        <v>72</v>
      </c>
      <c r="E58" s="8" t="s">
        <v>500</v>
      </c>
      <c r="F58" s="8" t="s">
        <v>501</v>
      </c>
      <c r="G58" s="3" t="s">
        <v>502</v>
      </c>
      <c r="H58" s="7" t="s">
        <v>77</v>
      </c>
      <c r="I58" s="3" t="s">
        <v>29</v>
      </c>
      <c r="J58" s="3"/>
      <c r="K58" s="8" t="s">
        <v>79</v>
      </c>
    </row>
    <row r="59" spans="1:11" ht="30" customHeight="1">
      <c r="A59" s="4">
        <v>55</v>
      </c>
      <c r="B59" s="4" t="s">
        <v>49</v>
      </c>
      <c r="C59" s="4" t="s">
        <v>496</v>
      </c>
      <c r="D59" s="4" t="s">
        <v>72</v>
      </c>
      <c r="E59" s="6" t="s">
        <v>504</v>
      </c>
      <c r="F59" s="6" t="s">
        <v>505</v>
      </c>
      <c r="G59" s="4" t="s">
        <v>506</v>
      </c>
      <c r="H59" s="7" t="s">
        <v>77</v>
      </c>
      <c r="I59" s="4" t="s">
        <v>29</v>
      </c>
      <c r="J59" s="4"/>
      <c r="K59" s="6" t="s">
        <v>79</v>
      </c>
    </row>
    <row r="60" spans="1:11" ht="30" customHeight="1">
      <c r="A60" s="3">
        <v>56</v>
      </c>
      <c r="B60" s="3" t="s">
        <v>49</v>
      </c>
      <c r="C60" s="3" t="s">
        <v>496</v>
      </c>
      <c r="D60" s="3" t="s">
        <v>72</v>
      </c>
      <c r="E60" s="8" t="s">
        <v>507</v>
      </c>
      <c r="F60" s="8" t="s">
        <v>508</v>
      </c>
      <c r="G60" s="3" t="s">
        <v>509</v>
      </c>
      <c r="H60" s="7" t="s">
        <v>77</v>
      </c>
      <c r="I60" s="3" t="s">
        <v>29</v>
      </c>
      <c r="J60" s="3"/>
      <c r="K60" s="8" t="s">
        <v>79</v>
      </c>
    </row>
    <row r="61" spans="1:11" ht="30" customHeight="1">
      <c r="A61" s="4">
        <v>57</v>
      </c>
      <c r="B61" s="4" t="s">
        <v>49</v>
      </c>
      <c r="C61" s="4" t="s">
        <v>496</v>
      </c>
      <c r="D61" s="4" t="s">
        <v>72</v>
      </c>
      <c r="E61" s="6" t="s">
        <v>510</v>
      </c>
      <c r="F61" s="6" t="s">
        <v>511</v>
      </c>
      <c r="G61" s="4" t="s">
        <v>512</v>
      </c>
      <c r="H61" s="7" t="s">
        <v>77</v>
      </c>
      <c r="I61" s="4" t="s">
        <v>29</v>
      </c>
      <c r="J61" s="4"/>
      <c r="K61" s="6" t="s">
        <v>79</v>
      </c>
    </row>
    <row r="62" spans="1:11" ht="30" customHeight="1">
      <c r="A62" s="3">
        <v>58</v>
      </c>
      <c r="B62" s="3" t="s">
        <v>50</v>
      </c>
      <c r="C62" s="3" t="s">
        <v>544</v>
      </c>
      <c r="D62" s="3" t="s">
        <v>72</v>
      </c>
      <c r="E62" s="8" t="s">
        <v>553</v>
      </c>
      <c r="F62" s="8" t="s">
        <v>554</v>
      </c>
      <c r="G62" s="3" t="s">
        <v>555</v>
      </c>
      <c r="H62" s="7" t="s">
        <v>77</v>
      </c>
      <c r="I62" s="3" t="s">
        <v>29</v>
      </c>
      <c r="J62" s="3"/>
      <c r="K62" s="8" t="s">
        <v>79</v>
      </c>
    </row>
    <row r="63" spans="1:11" ht="30" customHeight="1">
      <c r="A63" s="4">
        <v>59</v>
      </c>
      <c r="B63" s="4" t="s">
        <v>50</v>
      </c>
      <c r="C63" s="4" t="s">
        <v>544</v>
      </c>
      <c r="D63" s="4" t="s">
        <v>72</v>
      </c>
      <c r="E63" s="6" t="s">
        <v>569</v>
      </c>
      <c r="F63" s="6" t="s">
        <v>570</v>
      </c>
      <c r="G63" s="4" t="s">
        <v>571</v>
      </c>
      <c r="H63" s="7" t="s">
        <v>77</v>
      </c>
      <c r="I63" s="4" t="s">
        <v>29</v>
      </c>
      <c r="J63" s="4"/>
      <c r="K63" s="6" t="s">
        <v>79</v>
      </c>
    </row>
    <row r="64" spans="1:11" ht="30" customHeight="1">
      <c r="A64" s="3">
        <v>60</v>
      </c>
      <c r="B64" s="3" t="s">
        <v>50</v>
      </c>
      <c r="C64" s="3" t="s">
        <v>544</v>
      </c>
      <c r="D64" s="3" t="s">
        <v>72</v>
      </c>
      <c r="E64" s="8"/>
      <c r="F64" s="8" t="s">
        <v>574</v>
      </c>
      <c r="G64" s="3" t="inlineStr">
        <is>
          <t xml:space="preserve">SH-FM-WI001-05</t>
        </is>
      </c>
      <c r="H64" s="7" t="inlineStr">
        <is>
          <t xml:space="preserve">기존 절차 연계</t>
        </is>
      </c>
      <c r="I64" s="3" t="s">
        <v>29</v>
      </c>
      <c r="J64" s="3"/>
      <c r="K64" s="8" t="inlineStr">
        <is>
          <t xml:space="preserve">[2026-09-22 확정] SH-WI-001(생산 작업준비 및 초품확인 표준) 연계 확정(품질경영담당 일괄판단, 부서 정식회신 생략) — FM번호 재부여: SH-FM-QP018-05 → SH-FM-WI001-05</t>
        </is>
      </c>
    </row>
    <row r="65" spans="1:11" ht="30" customHeight="1">
      <c r="A65" s="4">
        <v>61</v>
      </c>
      <c r="B65" s="4" t="s">
        <v>51</v>
      </c>
      <c r="C65" s="4" t="s">
        <v>839</v>
      </c>
      <c r="D65" s="4" t="s">
        <v>122</v>
      </c>
      <c r="E65" s="6"/>
      <c r="F65" s="6" t="s">
        <v>849</v>
      </c>
      <c r="G65" s="4" t="s">
        <v>850</v>
      </c>
      <c r="H65" s="10" t="s">
        <v>134</v>
      </c>
      <c r="I65" s="4" t="s">
        <v>29</v>
      </c>
      <c r="J65" s="4"/>
      <c r="K65" s="6"/>
    </row>
    <row r="66" spans="1:11" ht="30" customHeight="1">
      <c r="A66" s="3">
        <v>62</v>
      </c>
      <c r="B66" s="3" t="s">
        <v>51</v>
      </c>
      <c r="C66" s="3" t="s">
        <v>851</v>
      </c>
      <c r="D66" s="3" t="s">
        <v>122</v>
      </c>
      <c r="E66" s="8" t="s">
        <v>852</v>
      </c>
      <c r="F66" s="8" t="s">
        <v>853</v>
      </c>
      <c r="G66" s="3" t="inlineStr">
        <is>
          <t xml:space="preserve">SH-FM-QP001-01</t>
        </is>
      </c>
      <c r="H66" s="7" t="inlineStr">
        <is>
          <t xml:space="preserve">기존 절차 연계</t>
        </is>
      </c>
      <c r="I66" s="3" t="s">
        <v>29</v>
      </c>
      <c r="J66" s="3"/>
      <c r="K66" s="8" t="inlineStr">
        <is>
          <t xml:space="preserve">[2026-09-22 확정] SH-QP-001(경영검토 절차서) 연계 확정(품질경영담당 일괄판단, 부서 정식회신 생략) — FM번호 재부여: SH-FM-QMS-N44 → SH-FM-QP001-01</t>
        </is>
      </c>
    </row>
    <row r="67" spans="1:11" ht="30" customHeight="1">
      <c r="A67" s="4">
        <v>63</v>
      </c>
      <c r="B67" s="4" t="s">
        <v>51</v>
      </c>
      <c r="C67" s="4" t="s">
        <v>851</v>
      </c>
      <c r="D67" s="4" t="s">
        <v>122</v>
      </c>
      <c r="E67" s="6" t="s">
        <v>860</v>
      </c>
      <c r="F67" s="6" t="s">
        <v>861</v>
      </c>
      <c r="G67" s="4" t="s">
        <v>862</v>
      </c>
      <c r="H67" s="10" t="s">
        <v>134</v>
      </c>
      <c r="I67" s="4" t="s">
        <v>29</v>
      </c>
      <c r="J67" s="4"/>
      <c r="K67" s="6"/>
    </row>
    <row r="68" spans="1:11" ht="30" customHeight="1">
      <c r="A68" s="3">
        <v>64</v>
      </c>
      <c r="B68" s="3" t="s">
        <v>51</v>
      </c>
      <c r="C68" s="3" t="s">
        <v>851</v>
      </c>
      <c r="D68" s="3" t="s">
        <v>122</v>
      </c>
      <c r="E68" s="8"/>
      <c r="F68" s="8" t="s">
        <v>863</v>
      </c>
      <c r="G68" s="3" t="inlineStr">
        <is>
          <t xml:space="preserve">SH-FM-WI001-06</t>
        </is>
      </c>
      <c r="H68" s="7" t="inlineStr">
        <is>
          <t xml:space="preserve">기존 절차 연계</t>
        </is>
      </c>
      <c r="I68" s="3" t="s">
        <v>29</v>
      </c>
      <c r="J68" s="3"/>
      <c r="K68" s="8" t="inlineStr">
        <is>
          <t xml:space="preserve">[2026-09-22 확정] SH-WI-001(생산 작업준비 및 초품확인 표준) 연계 확정(품질경영담당 일괄판단, 부서 정식회신 생략) — FM번호 재부여: SH-FM-QMS-N46 → SH-FM-WI001-06</t>
        </is>
      </c>
    </row>
    <row r="69" spans="1:11" ht="30" customHeight="1">
      <c r="A69" s="4">
        <v>65</v>
      </c>
      <c r="B69" s="4" t="s">
        <v>51</v>
      </c>
      <c r="C69" s="4" t="s">
        <v>851</v>
      </c>
      <c r="D69" s="4" t="s">
        <v>122</v>
      </c>
      <c r="E69" s="6"/>
      <c r="F69" s="6" t="s">
        <v>866</v>
      </c>
      <c r="G69" s="4" t="s">
        <v>867</v>
      </c>
      <c r="H69" s="10" t="s">
        <v>134</v>
      </c>
      <c r="I69" s="4" t="s">
        <v>29</v>
      </c>
      <c r="J69" s="4"/>
      <c r="K69" s="6"/>
    </row>
    <row r="70" spans="1:11" ht="30" customHeight="1">
      <c r="A70" s="3">
        <v>66</v>
      </c>
      <c r="B70" s="3" t="s">
        <v>51</v>
      </c>
      <c r="C70" s="3" t="s">
        <v>880</v>
      </c>
      <c r="D70" s="3" t="s">
        <v>122</v>
      </c>
      <c r="E70" s="8"/>
      <c r="F70" s="8" t="s">
        <v>911</v>
      </c>
      <c r="G70" s="3" t="inlineStr">
        <is>
          <t xml:space="preserve">SH-FM-QP006-06</t>
        </is>
      </c>
      <c r="H70" s="7" t="inlineStr">
        <is>
          <t xml:space="preserve">기존 절차 연계</t>
        </is>
      </c>
      <c r="I70" s="3" t="s">
        <v>29</v>
      </c>
      <c r="J70" s="3"/>
      <c r="K70" s="8" t="inlineStr">
        <is>
          <t xml:space="preserve">[2026-09-22 확정] SH-QP-006(교육훈련 및 역량관리 절차서) 연계 확정(품질경영담당 일괄판단, 부서 정식회신 생략) — FM번호 재부여: SH-FM-QMS-N50 → SH-FM-QP006-06</t>
        </is>
      </c>
    </row>
    <row r="71" spans="1:11" ht="30" customHeight="1">
      <c r="A71" s="4">
        <v>67</v>
      </c>
      <c r="B71" s="4" t="s">
        <v>46</v>
      </c>
      <c r="C71" s="4" t="s">
        <v>71</v>
      </c>
      <c r="D71" s="4" t="s">
        <v>72</v>
      </c>
      <c r="E71" s="6" t="s">
        <v>86</v>
      </c>
      <c r="F71" s="6" t="s">
        <v>87</v>
      </c>
      <c r="G71" s="4" t="s">
        <v>88</v>
      </c>
      <c r="H71" s="7" t="s">
        <v>77</v>
      </c>
      <c r="I71" s="4" t="s">
        <v>30</v>
      </c>
      <c r="J71" s="4"/>
      <c r="K71" s="6" t="s">
        <v>79</v>
      </c>
    </row>
    <row r="72" spans="1:11" ht="30" customHeight="1">
      <c r="A72" s="3">
        <v>68</v>
      </c>
      <c r="B72" s="3" t="s">
        <v>46</v>
      </c>
      <c r="C72" s="3" t="s">
        <v>71</v>
      </c>
      <c r="D72" s="3" t="s">
        <v>72</v>
      </c>
      <c r="E72" s="8" t="s">
        <v>92</v>
      </c>
      <c r="F72" s="8" t="s">
        <v>93</v>
      </c>
      <c r="G72" s="3" t="s">
        <v>94</v>
      </c>
      <c r="H72" s="7" t="s">
        <v>77</v>
      </c>
      <c r="I72" s="3" t="s">
        <v>30</v>
      </c>
      <c r="J72" s="3"/>
      <c r="K72" s="8"/>
    </row>
    <row r="73" spans="1:11" ht="30" customHeight="1">
      <c r="A73" s="4">
        <v>69</v>
      </c>
      <c r="B73" s="4" t="s">
        <v>46</v>
      </c>
      <c r="C73" s="4" t="s">
        <v>100</v>
      </c>
      <c r="D73" s="4" t="s">
        <v>72</v>
      </c>
      <c r="E73" s="6" t="s">
        <v>101</v>
      </c>
      <c r="F73" s="6" t="s">
        <v>102</v>
      </c>
      <c r="G73" s="4" t="inlineStr">
        <is>
          <t xml:space="preserve">SH-FM-QP025-01</t>
        </is>
      </c>
      <c r="H73" s="7" t="inlineStr">
        <is>
          <t xml:space="preserve">기존 절차 연계</t>
        </is>
      </c>
      <c r="I73" s="4" t="s">
        <v>30</v>
      </c>
      <c r="J73" s="4"/>
      <c r="K73" s="6" t="inlineStr">
        <is>
          <t xml:space="preserve">[2026-09-22 확정] SH-QP-025(고객별 요구사항(CSR) 관리 절차서) 연계 확정(품질경영담당 일괄판단, 부서 정식회신 생략) — FM번호 재부여: SH-FM-WI016-01 → SH-FM-QP025-01</t>
        </is>
      </c>
    </row>
    <row r="74" spans="1:11" ht="30" customHeight="1">
      <c r="A74" s="3">
        <v>70</v>
      </c>
      <c r="B74" s="3" t="s">
        <v>46</v>
      </c>
      <c r="C74" s="3" t="s">
        <v>100</v>
      </c>
      <c r="D74" s="3" t="s">
        <v>72</v>
      </c>
      <c r="E74" s="8" t="s">
        <v>109</v>
      </c>
      <c r="F74" s="8" t="s">
        <v>110</v>
      </c>
      <c r="G74" s="3" t="s">
        <v>111</v>
      </c>
      <c r="H74" s="7" t="s">
        <v>77</v>
      </c>
      <c r="I74" s="3" t="s">
        <v>30</v>
      </c>
      <c r="J74" s="3"/>
      <c r="K74" s="8" t="s">
        <v>79</v>
      </c>
    </row>
    <row r="75" spans="1:11" ht="30" customHeight="1">
      <c r="A75" s="4">
        <v>71</v>
      </c>
      <c r="B75" s="4" t="s">
        <v>46</v>
      </c>
      <c r="C75" s="4" t="s">
        <v>100</v>
      </c>
      <c r="D75" s="4" t="s">
        <v>72</v>
      </c>
      <c r="E75" s="6" t="s">
        <v>117</v>
      </c>
      <c r="F75" s="6" t="s">
        <v>118</v>
      </c>
      <c r="G75" s="4" t="s">
        <v>119</v>
      </c>
      <c r="H75" s="7" t="s">
        <v>77</v>
      </c>
      <c r="I75" s="4" t="s">
        <v>30</v>
      </c>
      <c r="J75" s="4"/>
      <c r="K75" s="6" t="s">
        <v>79</v>
      </c>
    </row>
    <row r="76" spans="1:11" ht="30" customHeight="1">
      <c r="A76" s="3">
        <v>72</v>
      </c>
      <c r="B76" s="3" t="s">
        <v>46</v>
      </c>
      <c r="C76" s="3" t="s">
        <v>142</v>
      </c>
      <c r="D76" s="3" t="s">
        <v>72</v>
      </c>
      <c r="E76" s="8" t="s">
        <v>146</v>
      </c>
      <c r="F76" s="8" t="s">
        <v>147</v>
      </c>
      <c r="G76" s="3" t="s">
        <v>148</v>
      </c>
      <c r="H76" s="7" t="s">
        <v>77</v>
      </c>
      <c r="I76" s="3" t="s">
        <v>30</v>
      </c>
      <c r="J76" s="3"/>
      <c r="K76" s="8"/>
    </row>
    <row r="77" spans="1:11" ht="30" customHeight="1">
      <c r="A77" s="4">
        <v>73</v>
      </c>
      <c r="B77" s="4" t="s">
        <v>46</v>
      </c>
      <c r="C77" s="4" t="s">
        <v>142</v>
      </c>
      <c r="D77" s="4" t="s">
        <v>72</v>
      </c>
      <c r="E77" s="6" t="s">
        <v>150</v>
      </c>
      <c r="F77" s="6" t="s">
        <v>151</v>
      </c>
      <c r="G77" s="4" t="s">
        <v>152</v>
      </c>
      <c r="H77" s="7" t="s">
        <v>77</v>
      </c>
      <c r="I77" s="4" t="s">
        <v>30</v>
      </c>
      <c r="J77" s="4"/>
      <c r="K77" s="6"/>
    </row>
    <row r="78" spans="1:11" ht="30" customHeight="1">
      <c r="A78" s="3">
        <v>74</v>
      </c>
      <c r="B78" s="3" t="s">
        <v>46</v>
      </c>
      <c r="C78" s="3" t="s">
        <v>142</v>
      </c>
      <c r="D78" s="3" t="s">
        <v>72</v>
      </c>
      <c r="E78" s="8" t="s">
        <v>154</v>
      </c>
      <c r="F78" s="8" t="s">
        <v>155</v>
      </c>
      <c r="G78" s="3" t="inlineStr">
        <is>
          <t xml:space="preserve">SH-FM-WI004-06</t>
        </is>
      </c>
      <c r="H78" s="7" t="inlineStr">
        <is>
          <t xml:space="preserve">기존 절차 연계</t>
        </is>
      </c>
      <c r="I78" s="3" t="s">
        <v>30</v>
      </c>
      <c r="J78" s="3"/>
      <c r="K78" s="8" t="inlineStr">
        <is>
          <t xml:space="preserve">[2026-09-22 확정] SH-WI-004(설비 일상점검 및 이상대응 표준) 연계 확정(품질경영담당 일괄판단, 부서 정식회신 생략) — FM번호 재부여: SH-FM-WI001-01 → SH-FM-WI004-06</t>
        </is>
      </c>
    </row>
    <row r="79" spans="1:11" ht="30" customHeight="1">
      <c r="A79" s="4">
        <v>75</v>
      </c>
      <c r="B79" s="4" t="s">
        <v>51</v>
      </c>
      <c r="C79" s="4" t="s">
        <v>655</v>
      </c>
      <c r="D79" s="4" t="s">
        <v>72</v>
      </c>
      <c r="E79" s="6" t="s">
        <v>688</v>
      </c>
      <c r="F79" s="6" t="s">
        <v>689</v>
      </c>
      <c r="G79" s="4" t="s">
        <v>690</v>
      </c>
      <c r="H79" s="7" t="s">
        <v>77</v>
      </c>
      <c r="I79" s="4" t="s">
        <v>30</v>
      </c>
      <c r="J79" s="4"/>
      <c r="K79" s="6" t="s">
        <v>79</v>
      </c>
    </row>
    <row r="80" spans="1:11" ht="30" customHeight="1">
      <c r="A80" s="3">
        <v>76</v>
      </c>
      <c r="B80" s="3" t="s">
        <v>46</v>
      </c>
      <c r="C80" s="3" t="s">
        <v>121</v>
      </c>
      <c r="D80" s="3" t="s">
        <v>122</v>
      </c>
      <c r="E80" s="8" t="s">
        <v>123</v>
      </c>
      <c r="F80" s="8" t="s">
        <v>124</v>
      </c>
      <c r="G80" s="3" t="s">
        <v>125</v>
      </c>
      <c r="H80" s="7" t="s">
        <v>77</v>
      </c>
      <c r="I80" s="3" t="s">
        <v>30</v>
      </c>
      <c r="J80" s="3"/>
      <c r="K80" s="8"/>
    </row>
    <row r="81" spans="1:11" ht="30" customHeight="1">
      <c r="A81" s="4">
        <v>77</v>
      </c>
      <c r="B81" s="4" t="s">
        <v>46</v>
      </c>
      <c r="C81" s="4" t="s">
        <v>121</v>
      </c>
      <c r="D81" s="4" t="s">
        <v>122</v>
      </c>
      <c r="E81" s="6" t="s">
        <v>127</v>
      </c>
      <c r="F81" s="6" t="s">
        <v>128</v>
      </c>
      <c r="G81" s="4" t="s">
        <v>129</v>
      </c>
      <c r="H81" s="7" t="s">
        <v>77</v>
      </c>
      <c r="I81" s="4" t="s">
        <v>30</v>
      </c>
      <c r="J81" s="4"/>
      <c r="K81" s="6"/>
    </row>
    <row r="82" spans="1:11" ht="30" customHeight="1">
      <c r="A82" s="3">
        <v>78</v>
      </c>
      <c r="B82" s="3" t="s">
        <v>49</v>
      </c>
      <c r="C82" s="3" t="s">
        <v>523</v>
      </c>
      <c r="D82" s="3" t="s">
        <v>122</v>
      </c>
      <c r="E82" s="8" t="s">
        <v>524</v>
      </c>
      <c r="F82" s="8" t="s">
        <v>525</v>
      </c>
      <c r="G82" s="3" t="s">
        <v>526</v>
      </c>
      <c r="H82" s="7" t="s">
        <v>77</v>
      </c>
      <c r="I82" s="3" t="s">
        <v>30</v>
      </c>
      <c r="J82" s="3"/>
      <c r="K82" s="8" t="s">
        <v>79</v>
      </c>
    </row>
    <row r="83" spans="1:11" ht="30" customHeight="1">
      <c r="A83" s="4">
        <v>79</v>
      </c>
      <c r="B83" s="4" t="s">
        <v>49</v>
      </c>
      <c r="C83" s="4" t="s">
        <v>523</v>
      </c>
      <c r="D83" s="4" t="s">
        <v>122</v>
      </c>
      <c r="E83" s="6" t="s">
        <v>527</v>
      </c>
      <c r="F83" s="6" t="s">
        <v>528</v>
      </c>
      <c r="G83" s="4" t="inlineStr">
        <is>
          <t xml:space="preserve">SH-FM-WI017-02</t>
        </is>
      </c>
      <c r="H83" s="7" t="inlineStr">
        <is>
          <t xml:space="preserve">기존 절차 연계</t>
        </is>
      </c>
      <c r="I83" s="4" t="s">
        <v>30</v>
      </c>
      <c r="J83" s="4"/>
      <c r="K83" s="6" t="inlineStr">
        <is>
          <t xml:space="preserve">[2026-09-22 확정] SH-WI-017(청정도 및 이물관리 작업표준) 연계 확정(품질경영담당 일괄판단, 부서 정식회신 생략) — FM번호 재부여: SH-FM-QP018-03 → SH-FM-WI017-02</t>
        </is>
      </c>
    </row>
    <row r="84" spans="1:11" ht="30" customHeight="1">
      <c r="A84" s="3">
        <v>80</v>
      </c>
      <c r="B84" s="3" t="s">
        <v>49</v>
      </c>
      <c r="C84" s="3" t="s">
        <v>523</v>
      </c>
      <c r="D84" s="3" t="s">
        <v>122</v>
      </c>
      <c r="E84" s="8" t="s">
        <v>531</v>
      </c>
      <c r="F84" s="8" t="s">
        <v>532</v>
      </c>
      <c r="G84" s="3" t="inlineStr">
        <is>
          <t xml:space="preserve">SH-FM-WI017-03</t>
        </is>
      </c>
      <c r="H84" s="7" t="inlineStr">
        <is>
          <t xml:space="preserve">기존 절차 연계</t>
        </is>
      </c>
      <c r="I84" s="3" t="s">
        <v>30</v>
      </c>
      <c r="J84" s="3"/>
      <c r="K84" s="8" t="inlineStr">
        <is>
          <t xml:space="preserve">[2026-09-22 확정] SH-WI-017(청정도 및 이물관리 작업표준) 연계 확정(품질경영담당 일괄판단, 부서 정식회신 생략) — FM번호 재부여: SH-FM-WI008-15 → SH-FM-WI017-03</t>
        </is>
      </c>
    </row>
    <row r="85" spans="1:11" ht="30" customHeight="1">
      <c r="A85" s="4">
        <v>81</v>
      </c>
      <c r="B85" s="4" t="s">
        <v>49</v>
      </c>
      <c r="C85" s="4" t="s">
        <v>535</v>
      </c>
      <c r="D85" s="4" t="s">
        <v>122</v>
      </c>
      <c r="E85" s="6" t="s">
        <v>536</v>
      </c>
      <c r="F85" s="6" t="s">
        <v>537</v>
      </c>
      <c r="G85" s="4" t="s">
        <v>538</v>
      </c>
      <c r="H85" s="7" t="s">
        <v>77</v>
      </c>
      <c r="I85" s="4" t="s">
        <v>30</v>
      </c>
      <c r="J85" s="4"/>
      <c r="K85" s="6" t="s">
        <v>79</v>
      </c>
    </row>
    <row r="86" spans="1:11" ht="30" customHeight="1">
      <c r="A86" s="3">
        <v>82</v>
      </c>
      <c r="B86" s="3" t="s">
        <v>49</v>
      </c>
      <c r="C86" s="3" t="s">
        <v>535</v>
      </c>
      <c r="D86" s="3" t="s">
        <v>122</v>
      </c>
      <c r="E86" s="8"/>
      <c r="F86" s="8" t="s">
        <v>540</v>
      </c>
      <c r="G86" s="3" t="s">
        <v>541</v>
      </c>
      <c r="H86" s="7" t="s">
        <v>77</v>
      </c>
      <c r="I86" s="3" t="s">
        <v>30</v>
      </c>
      <c r="J86" s="3"/>
      <c r="K86" s="8" t="s">
        <v>79</v>
      </c>
    </row>
    <row r="87" spans="1:11" ht="30" customHeight="1">
      <c r="A87" s="4">
        <v>83</v>
      </c>
      <c r="B87" s="4" t="s">
        <v>49</v>
      </c>
      <c r="C87" s="4" t="s">
        <v>535</v>
      </c>
      <c r="D87" s="4" t="s">
        <v>122</v>
      </c>
      <c r="E87" s="6"/>
      <c r="F87" s="6" t="s">
        <v>542</v>
      </c>
      <c r="G87" s="4" t="s">
        <v>543</v>
      </c>
      <c r="H87" s="7" t="s">
        <v>77</v>
      </c>
      <c r="I87" s="4" t="s">
        <v>30</v>
      </c>
      <c r="J87" s="4"/>
      <c r="K87" s="6" t="s">
        <v>79</v>
      </c>
    </row>
    <row r="88" spans="1:11" ht="30" customHeight="1">
      <c r="A88" s="3">
        <v>84</v>
      </c>
      <c r="B88" s="3" t="s">
        <v>51</v>
      </c>
      <c r="C88" s="3" t="s">
        <v>839</v>
      </c>
      <c r="D88" s="3" t="s">
        <v>122</v>
      </c>
      <c r="E88" s="8" t="s">
        <v>843</v>
      </c>
      <c r="F88" s="8" t="s">
        <v>844</v>
      </c>
      <c r="G88" s="3" t="s">
        <v>845</v>
      </c>
      <c r="H88" s="7" t="s">
        <v>77</v>
      </c>
      <c r="I88" s="3" t="s">
        <v>30</v>
      </c>
      <c r="J88" s="3"/>
      <c r="K88" s="8" t="s">
        <v>79</v>
      </c>
    </row>
    <row r="89" spans="1:11" ht="30" customHeight="1">
      <c r="A89" s="4">
        <v>85</v>
      </c>
      <c r="B89" s="4" t="s">
        <v>51</v>
      </c>
      <c r="C89" s="4" t="s">
        <v>851</v>
      </c>
      <c r="D89" s="4" t="s">
        <v>122</v>
      </c>
      <c r="E89" s="6" t="s">
        <v>856</v>
      </c>
      <c r="F89" s="6" t="s">
        <v>857</v>
      </c>
      <c r="G89" s="4" t="s">
        <v>858</v>
      </c>
      <c r="H89" s="7" t="s">
        <v>77</v>
      </c>
      <c r="I89" s="4" t="s">
        <v>30</v>
      </c>
      <c r="J89" s="4"/>
      <c r="K89" s="6" t="s">
        <v>79</v>
      </c>
    </row>
    <row r="90" spans="1:11" ht="30" customHeight="1">
      <c r="A90" s="3">
        <v>86</v>
      </c>
      <c r="B90" s="3" t="s">
        <v>51</v>
      </c>
      <c r="C90" s="3" t="s">
        <v>880</v>
      </c>
      <c r="D90" s="3" t="s">
        <v>122</v>
      </c>
      <c r="E90" s="8" t="s">
        <v>881</v>
      </c>
      <c r="F90" s="8" t="s">
        <v>882</v>
      </c>
      <c r="G90" s="3" t="s">
        <v>883</v>
      </c>
      <c r="H90" s="7" t="s">
        <v>77</v>
      </c>
      <c r="I90" s="3" t="s">
        <v>30</v>
      </c>
      <c r="J90" s="3"/>
      <c r="K90" s="8" t="s">
        <v>79</v>
      </c>
    </row>
    <row r="91" spans="1:11" ht="30" customHeight="1">
      <c r="A91" s="4">
        <v>87</v>
      </c>
      <c r="B91" s="4" t="s">
        <v>51</v>
      </c>
      <c r="C91" s="4" t="s">
        <v>880</v>
      </c>
      <c r="D91" s="4" t="s">
        <v>122</v>
      </c>
      <c r="E91" s="6" t="s">
        <v>885</v>
      </c>
      <c r="F91" s="6" t="s">
        <v>886</v>
      </c>
      <c r="G91" s="4" t="s">
        <v>887</v>
      </c>
      <c r="H91" s="7" t="s">
        <v>77</v>
      </c>
      <c r="I91" s="4" t="s">
        <v>30</v>
      </c>
      <c r="J91" s="4"/>
      <c r="K91" s="6" t="s">
        <v>79</v>
      </c>
    </row>
    <row r="92" spans="1:11" ht="30" customHeight="1">
      <c r="A92" s="3">
        <v>88</v>
      </c>
      <c r="B92" s="3" t="s">
        <v>51</v>
      </c>
      <c r="C92" s="3" t="s">
        <v>880</v>
      </c>
      <c r="D92" s="3" t="s">
        <v>122</v>
      </c>
      <c r="E92" s="8" t="s">
        <v>890</v>
      </c>
      <c r="F92" s="8" t="s">
        <v>891</v>
      </c>
      <c r="G92" s="3" t="s">
        <v>892</v>
      </c>
      <c r="H92" s="7" t="s">
        <v>77</v>
      </c>
      <c r="I92" s="3" t="s">
        <v>30</v>
      </c>
      <c r="J92" s="3"/>
      <c r="K92" s="8"/>
    </row>
    <row r="93" spans="1:11" ht="30" customHeight="1">
      <c r="A93" s="4">
        <v>89</v>
      </c>
      <c r="B93" s="4" t="s">
        <v>51</v>
      </c>
      <c r="C93" s="4" t="s">
        <v>880</v>
      </c>
      <c r="D93" s="4" t="s">
        <v>122</v>
      </c>
      <c r="E93" s="6" t="s">
        <v>894</v>
      </c>
      <c r="F93" s="6" t="s">
        <v>895</v>
      </c>
      <c r="G93" s="4" t="s">
        <v>896</v>
      </c>
      <c r="H93" s="7" t="s">
        <v>77</v>
      </c>
      <c r="I93" s="4" t="s">
        <v>30</v>
      </c>
      <c r="J93" s="4"/>
      <c r="K93" s="6" t="s">
        <v>79</v>
      </c>
    </row>
    <row r="94" spans="1:11" ht="30" customHeight="1">
      <c r="A94" s="3">
        <v>90</v>
      </c>
      <c r="B94" s="3" t="s">
        <v>51</v>
      </c>
      <c r="C94" s="3" t="s">
        <v>880</v>
      </c>
      <c r="D94" s="3" t="s">
        <v>122</v>
      </c>
      <c r="E94" s="8" t="s">
        <v>898</v>
      </c>
      <c r="F94" s="8" t="s">
        <v>899</v>
      </c>
      <c r="G94" s="3" t="s">
        <v>900</v>
      </c>
      <c r="H94" s="7" t="s">
        <v>77</v>
      </c>
      <c r="I94" s="3" t="s">
        <v>30</v>
      </c>
      <c r="J94" s="3"/>
      <c r="K94" s="8"/>
    </row>
    <row r="95" spans="1:11" ht="30" customHeight="1">
      <c r="A95" s="4">
        <v>91</v>
      </c>
      <c r="B95" s="4" t="s">
        <v>51</v>
      </c>
      <c r="C95" s="4" t="s">
        <v>880</v>
      </c>
      <c r="D95" s="4" t="s">
        <v>122</v>
      </c>
      <c r="E95" s="6" t="s">
        <v>906</v>
      </c>
      <c r="F95" s="6" t="s">
        <v>907</v>
      </c>
      <c r="G95" s="4" t="s">
        <v>908</v>
      </c>
      <c r="H95" s="7" t="s">
        <v>77</v>
      </c>
      <c r="I95" s="4" t="s">
        <v>30</v>
      </c>
      <c r="J95" s="4"/>
      <c r="K95" s="6" t="s">
        <v>79</v>
      </c>
    </row>
  </sheetData>
  <autoFilter ref="A4:K95" xr:uid="{00000000-0009-0000-0000-00000B000000}"/>
  <mergeCells count="3">
    <mergeCell ref="A2:K2"/>
    <mergeCell ref="A1:K1"/>
    <mergeCell ref="A3:K3"/>
  </mergeCells>
  <phoneticPr fontId="15" type="noConversion"/>
  <dataValidations count="1">
    <dataValidation type="list" allowBlank="1" sqref="J5:J95" xr:uid="{00000000-0002-0000-0B00-000000000000}">
      <formula1>"미착수,진행중,완료,해당없음"</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92"/>
  <sheetViews>
    <sheetView showGridLines="0" workbookViewId="0">
      <pane ySplit="4" topLeftCell="A5" activePane="bottomLeft" state="frozen"/>
      <selection pane="bottomLeft" sqref="A1:K1"/>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994</v>
      </c>
      <c r="B1" s="25"/>
      <c r="C1" s="25"/>
      <c r="D1" s="25"/>
      <c r="E1" s="25"/>
      <c r="F1" s="25"/>
      <c r="G1" s="25"/>
      <c r="H1" s="25"/>
      <c r="I1" s="25"/>
      <c r="J1" s="25"/>
      <c r="K1" s="25"/>
    </row>
    <row r="2" spans="1:11" ht="15.95" customHeight="1">
      <c r="A2" s="27" t="s">
        <v>995</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47</v>
      </c>
      <c r="C5" s="4" t="s">
        <v>324</v>
      </c>
      <c r="D5" s="4" t="s">
        <v>166</v>
      </c>
      <c r="E5" s="6" t="s">
        <v>337</v>
      </c>
      <c r="F5" s="6" t="s">
        <v>338</v>
      </c>
      <c r="G5" s="4" t="s">
        <v>339</v>
      </c>
      <c r="H5" s="10" t="s">
        <v>134</v>
      </c>
      <c r="I5" s="4" t="s">
        <v>27</v>
      </c>
      <c r="J5" s="4"/>
      <c r="K5" s="6"/>
    </row>
    <row r="6" spans="1:11" ht="30" customHeight="1">
      <c r="A6" s="3">
        <v>2</v>
      </c>
      <c r="B6" s="3" t="s">
        <v>47</v>
      </c>
      <c r="C6" s="3" t="s">
        <v>350</v>
      </c>
      <c r="D6" s="3" t="s">
        <v>166</v>
      </c>
      <c r="E6" s="8"/>
      <c r="F6" s="8" t="s">
        <v>355</v>
      </c>
      <c r="G6" s="3" t="s">
        <v>356</v>
      </c>
      <c r="H6" s="10" t="s">
        <v>134</v>
      </c>
      <c r="I6" s="3" t="s">
        <v>27</v>
      </c>
      <c r="J6" s="3"/>
      <c r="K6" s="8"/>
    </row>
    <row r="7" spans="1:11" ht="30" customHeight="1">
      <c r="A7" s="4">
        <v>3</v>
      </c>
      <c r="B7" s="4" t="s">
        <v>47</v>
      </c>
      <c r="C7" s="4" t="s">
        <v>350</v>
      </c>
      <c r="D7" s="4" t="s">
        <v>166</v>
      </c>
      <c r="E7" s="6"/>
      <c r="F7" s="6" t="s">
        <v>357</v>
      </c>
      <c r="G7" s="4" t="s">
        <v>358</v>
      </c>
      <c r="H7" s="10" t="s">
        <v>134</v>
      </c>
      <c r="I7" s="4" t="s">
        <v>27</v>
      </c>
      <c r="J7" s="4"/>
      <c r="K7" s="6"/>
    </row>
    <row r="8" spans="1:11" ht="30" customHeight="1">
      <c r="A8" s="3">
        <v>4</v>
      </c>
      <c r="B8" s="3" t="s">
        <v>47</v>
      </c>
      <c r="C8" s="3" t="s">
        <v>350</v>
      </c>
      <c r="D8" s="3" t="s">
        <v>166</v>
      </c>
      <c r="E8" s="8"/>
      <c r="F8" s="8" t="s">
        <v>359</v>
      </c>
      <c r="G8" s="3" t="inlineStr">
        <is>
          <t xml:space="preserve">SH-FM-WI006-10</t>
        </is>
      </c>
      <c r="H8" s="7" t="inlineStr">
        <is>
          <t xml:space="preserve">기존 절차 연계</t>
        </is>
      </c>
      <c r="I8" s="3" t="s">
        <v>27</v>
      </c>
      <c r="J8" s="3"/>
      <c r="K8" s="8" t="inlineStr">
        <is>
          <t xml:space="preserve">[2026-09-22 확정] SH-WI-006(계측기 사용 및 일상점검 표준) 연계 확정(품질경영담당 일괄판단, 부서 정식회신 생략) — FM번호 재부여: SH-FM-INS-N15 → SH-FM-WI006-10</t>
        </is>
      </c>
    </row>
    <row r="9" spans="1:11" ht="30" customHeight="1">
      <c r="A9" s="4">
        <v>5</v>
      </c>
      <c r="B9" s="4" t="s">
        <v>47</v>
      </c>
      <c r="C9" s="4" t="s">
        <v>350</v>
      </c>
      <c r="D9" s="4" t="s">
        <v>166</v>
      </c>
      <c r="E9" s="6"/>
      <c r="F9" s="6" t="s">
        <v>362</v>
      </c>
      <c r="G9" s="4" t="inlineStr">
        <is>
          <t xml:space="preserve">SH-FM-QP012-01</t>
        </is>
      </c>
      <c r="H9" s="7" t="inlineStr">
        <is>
          <t xml:space="preserve">기존 절차 연계</t>
        </is>
      </c>
      <c r="I9" s="4" t="s">
        <v>27</v>
      </c>
      <c r="J9" s="4"/>
      <c r="K9" s="6" t="inlineStr">
        <is>
          <t xml:space="preserve">[2026-09-22 확정] SH-QP-012(생산 및 공정관리 절차서) 연계 확정(품질경영담당 일괄판단, 부서 정식회신 생략) — FM번호 재부여: SH-FM-INS-N16 → SH-FM-QP012-01</t>
        </is>
      </c>
    </row>
    <row r="10" spans="1:11" ht="30" customHeight="1">
      <c r="A10" s="3">
        <v>6</v>
      </c>
      <c r="B10" s="3" t="s">
        <v>47</v>
      </c>
      <c r="C10" s="3" t="s">
        <v>367</v>
      </c>
      <c r="D10" s="3" t="s">
        <v>166</v>
      </c>
      <c r="E10" s="8" t="s">
        <v>368</v>
      </c>
      <c r="F10" s="8" t="s">
        <v>369</v>
      </c>
      <c r="G10" s="3" t="s">
        <v>370</v>
      </c>
      <c r="H10" s="10" t="s">
        <v>134</v>
      </c>
      <c r="I10" s="3" t="s">
        <v>27</v>
      </c>
      <c r="J10" s="3"/>
      <c r="K10" s="8"/>
    </row>
    <row r="11" spans="1:11" ht="30" customHeight="1">
      <c r="A11" s="4">
        <v>7</v>
      </c>
      <c r="B11" s="4" t="s">
        <v>47</v>
      </c>
      <c r="C11" s="4" t="s">
        <v>367</v>
      </c>
      <c r="D11" s="4" t="s">
        <v>166</v>
      </c>
      <c r="E11" s="6"/>
      <c r="F11" s="6" t="s">
        <v>371</v>
      </c>
      <c r="G11" s="4" t="s">
        <v>374</v>
      </c>
      <c r="H11" s="10" t="s">
        <v>134</v>
      </c>
      <c r="I11" s="4" t="s">
        <v>27</v>
      </c>
      <c r="J11" s="4"/>
      <c r="K11" s="6"/>
    </row>
    <row r="12" spans="1:11" ht="30" customHeight="1">
      <c r="A12" s="3">
        <v>8</v>
      </c>
      <c r="B12" s="3" t="s">
        <v>46</v>
      </c>
      <c r="C12" s="3" t="s">
        <v>142</v>
      </c>
      <c r="D12" s="3" t="s">
        <v>72</v>
      </c>
      <c r="E12" s="8" t="s">
        <v>162</v>
      </c>
      <c r="F12" s="8" t="s">
        <v>163</v>
      </c>
      <c r="G12" s="3" t="s">
        <v>164</v>
      </c>
      <c r="H12" s="10" t="s">
        <v>134</v>
      </c>
      <c r="I12" s="3" t="s">
        <v>27</v>
      </c>
      <c r="J12" s="3"/>
      <c r="K12" s="8"/>
    </row>
    <row r="13" spans="1:11" ht="30" customHeight="1">
      <c r="A13" s="4">
        <v>9</v>
      </c>
      <c r="B13" s="4" t="s">
        <v>47</v>
      </c>
      <c r="C13" s="4" t="s">
        <v>222</v>
      </c>
      <c r="D13" s="4" t="s">
        <v>72</v>
      </c>
      <c r="E13" s="6"/>
      <c r="F13" s="6" t="s">
        <v>232</v>
      </c>
      <c r="G13" s="4" t="s">
        <v>233</v>
      </c>
      <c r="H13" s="10" t="s">
        <v>134</v>
      </c>
      <c r="I13" s="4" t="s">
        <v>27</v>
      </c>
      <c r="J13" s="4"/>
      <c r="K13" s="6"/>
    </row>
    <row r="14" spans="1:11" ht="30" customHeight="1">
      <c r="A14" s="3">
        <v>10</v>
      </c>
      <c r="B14" s="3" t="s">
        <v>47</v>
      </c>
      <c r="C14" s="3" t="s">
        <v>222</v>
      </c>
      <c r="D14" s="3" t="s">
        <v>72</v>
      </c>
      <c r="E14" s="8"/>
      <c r="F14" s="8" t="s">
        <v>234</v>
      </c>
      <c r="G14" s="3" t="s">
        <v>235</v>
      </c>
      <c r="H14" s="10" t="s">
        <v>134</v>
      </c>
      <c r="I14" s="3" t="s">
        <v>27</v>
      </c>
      <c r="J14" s="3"/>
      <c r="K14" s="8"/>
    </row>
    <row r="15" spans="1:11" ht="30" customHeight="1">
      <c r="A15" s="4">
        <v>11</v>
      </c>
      <c r="B15" s="4" t="s">
        <v>47</v>
      </c>
      <c r="C15" s="4" t="s">
        <v>239</v>
      </c>
      <c r="D15" s="4" t="s">
        <v>72</v>
      </c>
      <c r="E15" s="6" t="s">
        <v>240</v>
      </c>
      <c r="F15" s="6" t="s">
        <v>241</v>
      </c>
      <c r="G15" s="4" t="s">
        <v>242</v>
      </c>
      <c r="H15" s="10" t="s">
        <v>134</v>
      </c>
      <c r="I15" s="4" t="s">
        <v>27</v>
      </c>
      <c r="J15" s="4"/>
      <c r="K15" s="6"/>
    </row>
    <row r="16" spans="1:11" ht="30" customHeight="1">
      <c r="A16" s="3">
        <v>12</v>
      </c>
      <c r="B16" s="3" t="s">
        <v>47</v>
      </c>
      <c r="C16" s="3" t="s">
        <v>254</v>
      </c>
      <c r="D16" s="3" t="s">
        <v>72</v>
      </c>
      <c r="E16" s="8" t="s">
        <v>255</v>
      </c>
      <c r="F16" s="8" t="s">
        <v>256</v>
      </c>
      <c r="G16" s="3" t="s">
        <v>257</v>
      </c>
      <c r="H16" s="10" t="s">
        <v>134</v>
      </c>
      <c r="I16" s="3" t="s">
        <v>27</v>
      </c>
      <c r="J16" s="3"/>
      <c r="K16" s="8"/>
    </row>
    <row r="17" spans="1:11" ht="30" customHeight="1">
      <c r="A17" s="4">
        <v>13</v>
      </c>
      <c r="B17" s="4" t="s">
        <v>51</v>
      </c>
      <c r="C17" s="4" t="s">
        <v>695</v>
      </c>
      <c r="D17" s="4" t="s">
        <v>72</v>
      </c>
      <c r="E17" s="6" t="s">
        <v>696</v>
      </c>
      <c r="F17" s="6" t="s">
        <v>697</v>
      </c>
      <c r="G17" s="4" t="s">
        <v>698</v>
      </c>
      <c r="H17" s="10" t="s">
        <v>134</v>
      </c>
      <c r="I17" s="4" t="s">
        <v>27</v>
      </c>
      <c r="J17" s="4"/>
      <c r="K17" s="6"/>
    </row>
    <row r="18" spans="1:11" ht="30" customHeight="1">
      <c r="A18" s="3">
        <v>14</v>
      </c>
      <c r="B18" s="3" t="s">
        <v>51</v>
      </c>
      <c r="C18" s="3" t="s">
        <v>711</v>
      </c>
      <c r="D18" s="3" t="s">
        <v>72</v>
      </c>
      <c r="E18" s="8" t="s">
        <v>712</v>
      </c>
      <c r="F18" s="8" t="s">
        <v>713</v>
      </c>
      <c r="G18" s="3" t="s">
        <v>714</v>
      </c>
      <c r="H18" s="10" t="s">
        <v>134</v>
      </c>
      <c r="I18" s="3" t="s">
        <v>27</v>
      </c>
      <c r="J18" s="3"/>
      <c r="K18" s="8"/>
    </row>
    <row r="19" spans="1:11" ht="30" customHeight="1">
      <c r="A19" s="4">
        <v>15</v>
      </c>
      <c r="B19" s="4" t="s">
        <v>51</v>
      </c>
      <c r="C19" s="4" t="s">
        <v>711</v>
      </c>
      <c r="D19" s="4" t="s">
        <v>72</v>
      </c>
      <c r="E19" s="6" t="s">
        <v>715</v>
      </c>
      <c r="F19" s="6" t="s">
        <v>716</v>
      </c>
      <c r="G19" s="4" t="inlineStr">
        <is>
          <t xml:space="preserve">SH-FM-QP002-01</t>
        </is>
      </c>
      <c r="H19" s="7" t="inlineStr">
        <is>
          <t xml:space="preserve">기존 절차 연계</t>
        </is>
      </c>
      <c r="I19" s="4" t="s">
        <v>27</v>
      </c>
      <c r="J19" s="4"/>
      <c r="K19" s="6" t="inlineStr">
        <is>
          <t xml:space="preserve">[2026-09-22 확정] SH-QP-002(문서화된 정보 관리 절차서) 연계 확정(품질경영담당 일괄판단, 부서 정식회신 생략) — FM번호 재부여: SH-FM-QMS-N14 → SH-FM-QP002-01</t>
        </is>
      </c>
    </row>
    <row r="20" spans="1:11" ht="30" customHeight="1">
      <c r="A20" s="3">
        <v>16</v>
      </c>
      <c r="B20" s="3" t="s">
        <v>51</v>
      </c>
      <c r="C20" s="3" t="s">
        <v>711</v>
      </c>
      <c r="D20" s="3" t="s">
        <v>72</v>
      </c>
      <c r="E20" s="8" t="s">
        <v>720</v>
      </c>
      <c r="F20" s="8" t="s">
        <v>721</v>
      </c>
      <c r="G20" s="3" t="s">
        <v>722</v>
      </c>
      <c r="H20" s="10" t="s">
        <v>134</v>
      </c>
      <c r="I20" s="3" t="s">
        <v>27</v>
      </c>
      <c r="J20" s="3"/>
      <c r="K20" s="8"/>
    </row>
    <row r="21" spans="1:11" ht="30" customHeight="1">
      <c r="A21" s="4">
        <v>17</v>
      </c>
      <c r="B21" s="4" t="s">
        <v>51</v>
      </c>
      <c r="C21" s="4" t="s">
        <v>711</v>
      </c>
      <c r="D21" s="4" t="s">
        <v>72</v>
      </c>
      <c r="E21" s="6"/>
      <c r="F21" s="6" t="s">
        <v>727</v>
      </c>
      <c r="G21" s="4" t="s">
        <v>728</v>
      </c>
      <c r="H21" s="10" t="s">
        <v>134</v>
      </c>
      <c r="I21" s="4" t="s">
        <v>27</v>
      </c>
      <c r="J21" s="4"/>
      <c r="K21" s="6"/>
    </row>
    <row r="22" spans="1:11" ht="30" customHeight="1">
      <c r="A22" s="3">
        <v>18</v>
      </c>
      <c r="B22" s="3" t="s">
        <v>51</v>
      </c>
      <c r="C22" s="3" t="s">
        <v>747</v>
      </c>
      <c r="D22" s="3" t="s">
        <v>72</v>
      </c>
      <c r="E22" s="8" t="s">
        <v>748</v>
      </c>
      <c r="F22" s="8" t="s">
        <v>749</v>
      </c>
      <c r="G22" s="3" t="s">
        <v>750</v>
      </c>
      <c r="H22" s="10" t="s">
        <v>134</v>
      </c>
      <c r="I22" s="3" t="s">
        <v>27</v>
      </c>
      <c r="J22" s="3"/>
      <c r="K22" s="8"/>
    </row>
    <row r="23" spans="1:11" ht="30" customHeight="1">
      <c r="A23" s="4">
        <v>19</v>
      </c>
      <c r="B23" s="4" t="s">
        <v>51</v>
      </c>
      <c r="C23" s="4" t="s">
        <v>747</v>
      </c>
      <c r="D23" s="4" t="s">
        <v>72</v>
      </c>
      <c r="E23" s="6" t="s">
        <v>751</v>
      </c>
      <c r="F23" s="6" t="s">
        <v>752</v>
      </c>
      <c r="G23" s="4" t="inlineStr">
        <is>
          <t xml:space="preserve">SH-FM-QP006-03</t>
        </is>
      </c>
      <c r="H23" s="7" t="inlineStr">
        <is>
          <t xml:space="preserve">기존 절차 연계</t>
        </is>
      </c>
      <c r="I23" s="4" t="s">
        <v>28</v>
      </c>
      <c r="J23" s="4"/>
      <c r="K23" s="6" t="inlineStr">
        <is>
          <t xml:space="preserve">[2026-09-22 확정] SH-QP-006(교육훈련 및 역량관리 절차서) 연계 확정(품질경영담당 일괄판단, 부서 정식회신 생략) — FM번호 재부여: SH-FM-QMS-N22 → SH-FM-QP006-03</t>
        </is>
      </c>
    </row>
    <row r="24" spans="1:11" ht="30" customHeight="1">
      <c r="A24" s="3">
        <v>20</v>
      </c>
      <c r="B24" s="3" t="s">
        <v>51</v>
      </c>
      <c r="C24" s="3" t="s">
        <v>747</v>
      </c>
      <c r="D24" s="3" t="s">
        <v>72</v>
      </c>
      <c r="E24" s="8" t="s">
        <v>759</v>
      </c>
      <c r="F24" s="8" t="s">
        <v>760</v>
      </c>
      <c r="G24" s="3" t="s">
        <v>761</v>
      </c>
      <c r="H24" s="10" t="s">
        <v>134</v>
      </c>
      <c r="I24" s="3" t="s">
        <v>28</v>
      </c>
      <c r="J24" s="3"/>
      <c r="K24" s="8"/>
    </row>
    <row r="25" spans="1:11" ht="30" customHeight="1">
      <c r="A25" s="4">
        <v>21</v>
      </c>
      <c r="B25" s="4" t="s">
        <v>51</v>
      </c>
      <c r="C25" s="4" t="s">
        <v>747</v>
      </c>
      <c r="D25" s="4" t="s">
        <v>72</v>
      </c>
      <c r="E25" s="6" t="s">
        <v>762</v>
      </c>
      <c r="F25" s="6" t="s">
        <v>763</v>
      </c>
      <c r="G25" s="4" t="s">
        <v>764</v>
      </c>
      <c r="H25" s="10" t="s">
        <v>134</v>
      </c>
      <c r="I25" s="4" t="s">
        <v>28</v>
      </c>
      <c r="J25" s="4"/>
      <c r="K25" s="6"/>
    </row>
    <row r="26" spans="1:11" ht="30" customHeight="1">
      <c r="A26" s="3">
        <v>22</v>
      </c>
      <c r="B26" s="3" t="s">
        <v>51</v>
      </c>
      <c r="C26" s="3" t="s">
        <v>747</v>
      </c>
      <c r="D26" s="3" t="s">
        <v>72</v>
      </c>
      <c r="E26" s="8" t="s">
        <v>773</v>
      </c>
      <c r="F26" s="8" t="s">
        <v>774</v>
      </c>
      <c r="G26" s="3" t="s">
        <v>775</v>
      </c>
      <c r="H26" s="10" t="s">
        <v>134</v>
      </c>
      <c r="I26" s="3" t="s">
        <v>28</v>
      </c>
      <c r="J26" s="3"/>
      <c r="K26" s="8"/>
    </row>
    <row r="27" spans="1:11" ht="30" customHeight="1">
      <c r="A27" s="4">
        <v>23</v>
      </c>
      <c r="B27" s="4" t="s">
        <v>51</v>
      </c>
      <c r="C27" s="4" t="s">
        <v>747</v>
      </c>
      <c r="D27" s="4" t="s">
        <v>72</v>
      </c>
      <c r="E27" s="6" t="s">
        <v>776</v>
      </c>
      <c r="F27" s="6" t="s">
        <v>777</v>
      </c>
      <c r="G27" s="4" t="s">
        <v>778</v>
      </c>
      <c r="H27" s="10" t="s">
        <v>134</v>
      </c>
      <c r="I27" s="4" t="s">
        <v>28</v>
      </c>
      <c r="J27" s="4"/>
      <c r="K27" s="6"/>
    </row>
    <row r="28" spans="1:11" ht="30" customHeight="1">
      <c r="A28" s="3">
        <v>24</v>
      </c>
      <c r="B28" s="3" t="s">
        <v>51</v>
      </c>
      <c r="C28" s="3" t="s">
        <v>799</v>
      </c>
      <c r="D28" s="3" t="s">
        <v>72</v>
      </c>
      <c r="E28" s="8" t="s">
        <v>800</v>
      </c>
      <c r="F28" s="8" t="s">
        <v>801</v>
      </c>
      <c r="G28" s="3" t="s">
        <v>802</v>
      </c>
      <c r="H28" s="10" t="s">
        <v>134</v>
      </c>
      <c r="I28" s="3" t="s">
        <v>28</v>
      </c>
      <c r="J28" s="3"/>
      <c r="K28" s="8"/>
    </row>
    <row r="29" spans="1:11" ht="30" customHeight="1">
      <c r="A29" s="4">
        <v>25</v>
      </c>
      <c r="B29" s="4" t="s">
        <v>51</v>
      </c>
      <c r="C29" s="4" t="s">
        <v>799</v>
      </c>
      <c r="D29" s="4" t="s">
        <v>72</v>
      </c>
      <c r="E29" s="6" t="s">
        <v>803</v>
      </c>
      <c r="F29" s="6" t="s">
        <v>804</v>
      </c>
      <c r="G29" s="4" t="s">
        <v>805</v>
      </c>
      <c r="H29" s="10" t="s">
        <v>134</v>
      </c>
      <c r="I29" s="4" t="s">
        <v>28</v>
      </c>
      <c r="J29" s="4"/>
      <c r="K29" s="6"/>
    </row>
    <row r="30" spans="1:11" ht="30" customHeight="1">
      <c r="A30" s="3">
        <v>26</v>
      </c>
      <c r="B30" s="3" t="s">
        <v>51</v>
      </c>
      <c r="C30" s="3" t="s">
        <v>799</v>
      </c>
      <c r="D30" s="3" t="s">
        <v>72</v>
      </c>
      <c r="E30" s="8" t="s">
        <v>807</v>
      </c>
      <c r="F30" s="8" t="s">
        <v>808</v>
      </c>
      <c r="G30" s="3" t="inlineStr">
        <is>
          <t xml:space="preserve">SH-FM-QP014-02</t>
        </is>
      </c>
      <c r="H30" s="7" t="inlineStr">
        <is>
          <t xml:space="preserve">기존 절차 연계</t>
        </is>
      </c>
      <c r="I30" s="3" t="s">
        <v>28</v>
      </c>
      <c r="J30" s="3"/>
      <c r="K30" s="8" t="inlineStr">
        <is>
          <t xml:space="preserve">[2026-09-22 확정] SH-QP-014(부적합품 및 재작업 관리 절차서) 연계 확정(품질경영담당 일괄판단, 부서 정식회신 생략) — FM번호 재부여: SH-FM-QMS-N35 → SH-FM-QP014-02</t>
        </is>
      </c>
    </row>
    <row r="31" spans="1:11" ht="30" customHeight="1">
      <c r="A31" s="4">
        <v>27</v>
      </c>
      <c r="B31" s="4" t="s">
        <v>51</v>
      </c>
      <c r="C31" s="4" t="s">
        <v>799</v>
      </c>
      <c r="D31" s="4" t="s">
        <v>72</v>
      </c>
      <c r="E31" s="6" t="s">
        <v>811</v>
      </c>
      <c r="F31" s="6" t="s">
        <v>812</v>
      </c>
      <c r="G31" s="4" t="s">
        <v>813</v>
      </c>
      <c r="H31" s="10" t="s">
        <v>134</v>
      </c>
      <c r="I31" s="4" t="s">
        <v>28</v>
      </c>
      <c r="J31" s="4"/>
      <c r="K31" s="6"/>
    </row>
    <row r="32" spans="1:11" ht="30" customHeight="1">
      <c r="A32" s="3">
        <v>28</v>
      </c>
      <c r="B32" s="3" t="s">
        <v>51</v>
      </c>
      <c r="C32" s="3" t="s">
        <v>799</v>
      </c>
      <c r="D32" s="3" t="s">
        <v>72</v>
      </c>
      <c r="E32" s="8" t="s">
        <v>815</v>
      </c>
      <c r="F32" s="8" t="s">
        <v>816</v>
      </c>
      <c r="G32" s="3" t="inlineStr">
        <is>
          <t xml:space="preserve">SH-FM-QP014-03</t>
        </is>
      </c>
      <c r="H32" s="7" t="inlineStr">
        <is>
          <t xml:space="preserve">기존 절차 연계</t>
        </is>
      </c>
      <c r="I32" s="3" t="s">
        <v>28</v>
      </c>
      <c r="J32" s="3"/>
      <c r="K32" s="8" t="inlineStr">
        <is>
          <t xml:space="preserve">[2026-09-22 확정] SH-QP-014(부적합품 및 재작업 관리 절차서) 연계 확정(품질경영담당 일괄판단, 부서 정식회신 생략) — FM번호 재부여: SH-FM-QMS-N37 → SH-FM-QP014-03</t>
        </is>
      </c>
    </row>
    <row r="33" spans="1:11" ht="30" customHeight="1">
      <c r="A33" s="4">
        <v>29</v>
      </c>
      <c r="B33" s="4" t="s">
        <v>51</v>
      </c>
      <c r="C33" s="4" t="s">
        <v>819</v>
      </c>
      <c r="D33" s="4" t="s">
        <v>72</v>
      </c>
      <c r="E33" s="6" t="s">
        <v>826</v>
      </c>
      <c r="F33" s="6" t="s">
        <v>827</v>
      </c>
      <c r="G33" s="4" t="s">
        <v>828</v>
      </c>
      <c r="H33" s="10" t="s">
        <v>134</v>
      </c>
      <c r="I33" s="4" t="s">
        <v>28</v>
      </c>
      <c r="J33" s="4"/>
      <c r="K33" s="6"/>
    </row>
    <row r="34" spans="1:11" ht="30" customHeight="1">
      <c r="A34" s="3">
        <v>30</v>
      </c>
      <c r="B34" s="3" t="s">
        <v>51</v>
      </c>
      <c r="C34" s="3" t="s">
        <v>819</v>
      </c>
      <c r="D34" s="3" t="s">
        <v>72</v>
      </c>
      <c r="E34" s="8" t="s">
        <v>829</v>
      </c>
      <c r="F34" s="8" t="s">
        <v>830</v>
      </c>
      <c r="G34" s="3" t="s">
        <v>831</v>
      </c>
      <c r="H34" s="10" t="s">
        <v>134</v>
      </c>
      <c r="I34" s="3" t="s">
        <v>28</v>
      </c>
      <c r="J34" s="3"/>
      <c r="K34" s="8"/>
    </row>
    <row r="35" spans="1:11" ht="30" customHeight="1">
      <c r="A35" s="4">
        <v>31</v>
      </c>
      <c r="B35" s="4" t="s">
        <v>51</v>
      </c>
      <c r="C35" s="4" t="s">
        <v>819</v>
      </c>
      <c r="D35" s="4" t="s">
        <v>72</v>
      </c>
      <c r="E35" s="6"/>
      <c r="F35" s="6" t="s">
        <v>837</v>
      </c>
      <c r="G35" s="4" t="s">
        <v>838</v>
      </c>
      <c r="H35" s="10" t="s">
        <v>134</v>
      </c>
      <c r="I35" s="4" t="s">
        <v>28</v>
      </c>
      <c r="J35" s="4"/>
      <c r="K35" s="6"/>
    </row>
    <row r="36" spans="1:11" ht="30" customHeight="1">
      <c r="A36" s="3">
        <v>32</v>
      </c>
      <c r="B36" s="3" t="s">
        <v>51</v>
      </c>
      <c r="C36" s="3" t="s">
        <v>914</v>
      </c>
      <c r="D36" s="3" t="s">
        <v>72</v>
      </c>
      <c r="E36" s="8" t="s">
        <v>915</v>
      </c>
      <c r="F36" s="8" t="s">
        <v>916</v>
      </c>
      <c r="G36" s="3" t="s">
        <v>917</v>
      </c>
      <c r="H36" s="10" t="s">
        <v>134</v>
      </c>
      <c r="I36" s="3" t="s">
        <v>28</v>
      </c>
      <c r="J36" s="3"/>
      <c r="K36" s="8"/>
    </row>
    <row r="37" spans="1:11" ht="30" customHeight="1">
      <c r="A37" s="4">
        <v>33</v>
      </c>
      <c r="B37" s="4" t="s">
        <v>51</v>
      </c>
      <c r="C37" s="4" t="s">
        <v>914</v>
      </c>
      <c r="D37" s="4" t="s">
        <v>72</v>
      </c>
      <c r="E37" s="6" t="s">
        <v>918</v>
      </c>
      <c r="F37" s="6" t="s">
        <v>919</v>
      </c>
      <c r="G37" s="4" t="s">
        <v>920</v>
      </c>
      <c r="H37" s="10" t="s">
        <v>134</v>
      </c>
      <c r="I37" s="4" t="s">
        <v>28</v>
      </c>
      <c r="J37" s="4"/>
      <c r="K37" s="6"/>
    </row>
    <row r="38" spans="1:11" ht="30" customHeight="1">
      <c r="A38" s="3">
        <v>34</v>
      </c>
      <c r="B38" s="3" t="s">
        <v>51</v>
      </c>
      <c r="C38" s="3" t="s">
        <v>914</v>
      </c>
      <c r="D38" s="3" t="s">
        <v>72</v>
      </c>
      <c r="E38" s="8" t="s">
        <v>921</v>
      </c>
      <c r="F38" s="8" t="s">
        <v>922</v>
      </c>
      <c r="G38" s="3" t="s">
        <v>923</v>
      </c>
      <c r="H38" s="10" t="s">
        <v>134</v>
      </c>
      <c r="I38" s="3" t="s">
        <v>28</v>
      </c>
      <c r="J38" s="3"/>
      <c r="K38" s="8"/>
    </row>
    <row r="39" spans="1:11" ht="30" customHeight="1">
      <c r="A39" s="4">
        <v>35</v>
      </c>
      <c r="B39" s="4" t="s">
        <v>51</v>
      </c>
      <c r="C39" s="4" t="s">
        <v>914</v>
      </c>
      <c r="D39" s="4" t="s">
        <v>72</v>
      </c>
      <c r="E39" s="6" t="s">
        <v>924</v>
      </c>
      <c r="F39" s="6" t="s">
        <v>925</v>
      </c>
      <c r="G39" s="4" t="s">
        <v>926</v>
      </c>
      <c r="H39" s="10" t="s">
        <v>134</v>
      </c>
      <c r="I39" s="4" t="s">
        <v>28</v>
      </c>
      <c r="J39" s="4"/>
      <c r="K39" s="6"/>
    </row>
    <row r="40" spans="1:11" ht="30" customHeight="1">
      <c r="A40" s="3">
        <v>36</v>
      </c>
      <c r="B40" s="3" t="s">
        <v>51</v>
      </c>
      <c r="C40" s="3" t="s">
        <v>914</v>
      </c>
      <c r="D40" s="3" t="s">
        <v>72</v>
      </c>
      <c r="E40" s="8" t="s">
        <v>933</v>
      </c>
      <c r="F40" s="8" t="s">
        <v>934</v>
      </c>
      <c r="G40" s="3" t="s">
        <v>935</v>
      </c>
      <c r="H40" s="10" t="s">
        <v>134</v>
      </c>
      <c r="I40" s="3" t="s">
        <v>28</v>
      </c>
      <c r="J40" s="3"/>
      <c r="K40" s="8"/>
    </row>
    <row r="41" spans="1:11" ht="30" customHeight="1">
      <c r="A41" s="4">
        <v>37</v>
      </c>
      <c r="B41" s="4" t="s">
        <v>46</v>
      </c>
      <c r="C41" s="4" t="s">
        <v>121</v>
      </c>
      <c r="D41" s="4" t="s">
        <v>122</v>
      </c>
      <c r="E41" s="6"/>
      <c r="F41" s="6" t="s">
        <v>135</v>
      </c>
      <c r="G41" s="4" t="inlineStr">
        <is>
          <t xml:space="preserve">SH-FM-QP014-01</t>
        </is>
      </c>
      <c r="H41" s="7" t="inlineStr">
        <is>
          <t xml:space="preserve">기존 절차 연계</t>
        </is>
      </c>
      <c r="I41" s="4" t="s">
        <v>28</v>
      </c>
      <c r="J41" s="4"/>
      <c r="K41" s="6" t="inlineStr">
        <is>
          <t xml:space="preserve">[2026-09-22 확정] SH-QP-014(부적합품 및 재작업 관리 절차서) 연계 확정(품질경영담당 일괄판단, 부서 정식회신 생략) — FM번호 재부여: SH-FM-PRD-N02 → SH-FM-QP014-01</t>
        </is>
      </c>
    </row>
    <row r="42" spans="1:11" ht="30" customHeight="1">
      <c r="A42" s="3">
        <v>38</v>
      </c>
      <c r="B42" s="3" t="s">
        <v>46</v>
      </c>
      <c r="C42" s="3" t="s">
        <v>121</v>
      </c>
      <c r="D42" s="3" t="s">
        <v>122</v>
      </c>
      <c r="E42" s="8"/>
      <c r="F42" s="8" t="s">
        <v>139</v>
      </c>
      <c r="G42" s="3" t="inlineStr">
        <is>
          <t xml:space="preserve">SH-FM-WI030-01</t>
        </is>
      </c>
      <c r="H42" s="7" t="inlineStr">
        <is>
          <t xml:space="preserve">기존 절차 연계</t>
        </is>
      </c>
      <c r="I42" s="3" t="s">
        <v>28</v>
      </c>
      <c r="J42" s="3"/>
      <c r="K42" s="8" t="inlineStr">
        <is>
          <t xml:space="preserve">[2026-09-22 확정] SH-WI-030(고객감사·인증심사 현장대응 표준) 연계 확정(품질경영담당 일괄판단, 부서 정식회신 생략) — FM번호 재부여: SH-FM-PRD-N03 → SH-FM-WI030-01</t>
        </is>
      </c>
    </row>
    <row r="43" spans="1:11" ht="30" customHeight="1">
      <c r="A43" s="4">
        <v>39</v>
      </c>
      <c r="B43" s="4" t="s">
        <v>51</v>
      </c>
      <c r="C43" s="4" t="s">
        <v>729</v>
      </c>
      <c r="D43" s="4" t="s">
        <v>122</v>
      </c>
      <c r="E43" s="6" t="s">
        <v>730</v>
      </c>
      <c r="F43" s="6" t="s">
        <v>731</v>
      </c>
      <c r="G43" s="4" t="inlineStr">
        <is>
          <t xml:space="preserve">SH-FM-QP025-02</t>
        </is>
      </c>
      <c r="H43" s="7" t="inlineStr">
        <is>
          <t xml:space="preserve">기존 절차 연계</t>
        </is>
      </c>
      <c r="I43" s="4" t="s">
        <v>28</v>
      </c>
      <c r="J43" s="4"/>
      <c r="K43" s="6" t="inlineStr">
        <is>
          <t xml:space="preserve">[2026-09-22 확정] SH-QP-025(고객별 요구사항(CSR) 관리 절차서) 연계 확정(품질경영담당 일괄판단, 부서 정식회신 생략) — FM번호 재부여: SH-FM-QMS-N17 → SH-FM-QP025-02</t>
        </is>
      </c>
    </row>
    <row r="44" spans="1:11" ht="30" customHeight="1">
      <c r="A44" s="3">
        <v>40</v>
      </c>
      <c r="B44" s="3" t="s">
        <v>51</v>
      </c>
      <c r="C44" s="3" t="s">
        <v>729</v>
      </c>
      <c r="D44" s="3" t="s">
        <v>122</v>
      </c>
      <c r="E44" s="8" t="s">
        <v>734</v>
      </c>
      <c r="F44" s="8" t="s">
        <v>735</v>
      </c>
      <c r="G44" s="3" t="inlineStr">
        <is>
          <t xml:space="preserve">SH-FM-QP025-03</t>
        </is>
      </c>
      <c r="H44" s="7" t="inlineStr">
        <is>
          <t xml:space="preserve">기존 절차 연계</t>
        </is>
      </c>
      <c r="I44" s="3" t="s">
        <v>28</v>
      </c>
      <c r="J44" s="3"/>
      <c r="K44" s="8" t="inlineStr">
        <is>
          <t xml:space="preserve">[2026-09-22 확정] SH-QP-025(고객별 요구사항(CSR) 관리 절차서) 연계 확정(품질경영담당 일괄판단, 부서 정식회신 생략) — FM번호 재부여: SH-FM-QMS-N18 → SH-FM-QP025-03</t>
        </is>
      </c>
    </row>
    <row r="45" spans="1:11" ht="30" customHeight="1">
      <c r="A45" s="4">
        <v>41</v>
      </c>
      <c r="B45" s="4" t="s">
        <v>51</v>
      </c>
      <c r="C45" s="4" t="s">
        <v>729</v>
      </c>
      <c r="D45" s="4" t="s">
        <v>122</v>
      </c>
      <c r="E45" s="6" t="s">
        <v>742</v>
      </c>
      <c r="F45" s="6" t="s">
        <v>743</v>
      </c>
      <c r="G45" s="4" t="s">
        <v>744</v>
      </c>
      <c r="H45" s="10" t="s">
        <v>134</v>
      </c>
      <c r="I45" s="4" t="s">
        <v>28</v>
      </c>
      <c r="J45" s="4"/>
      <c r="K45" s="6"/>
    </row>
    <row r="46" spans="1:11" ht="30" customHeight="1">
      <c r="A46" s="3">
        <v>42</v>
      </c>
      <c r="B46" s="3" t="s">
        <v>47</v>
      </c>
      <c r="C46" s="3" t="s">
        <v>324</v>
      </c>
      <c r="D46" s="3" t="s">
        <v>166</v>
      </c>
      <c r="E46" s="8" t="s">
        <v>325</v>
      </c>
      <c r="F46" s="8" t="s">
        <v>326</v>
      </c>
      <c r="G46" s="3" t="s">
        <v>327</v>
      </c>
      <c r="H46" s="7" t="s">
        <v>77</v>
      </c>
      <c r="I46" s="3" t="s">
        <v>29</v>
      </c>
      <c r="J46" s="3"/>
      <c r="K46" s="8" t="s">
        <v>79</v>
      </c>
    </row>
    <row r="47" spans="1:11" ht="30" customHeight="1">
      <c r="A47" s="4">
        <v>43</v>
      </c>
      <c r="B47" s="4" t="s">
        <v>47</v>
      </c>
      <c r="C47" s="4" t="s">
        <v>324</v>
      </c>
      <c r="D47" s="4" t="s">
        <v>166</v>
      </c>
      <c r="E47" s="6" t="s">
        <v>329</v>
      </c>
      <c r="F47" s="6" t="s">
        <v>330</v>
      </c>
      <c r="G47" s="4" t="s">
        <v>331</v>
      </c>
      <c r="H47" s="7" t="s">
        <v>77</v>
      </c>
      <c r="I47" s="4" t="s">
        <v>29</v>
      </c>
      <c r="J47" s="4"/>
      <c r="K47" s="6" t="s">
        <v>79</v>
      </c>
    </row>
    <row r="48" spans="1:11" ht="30" customHeight="1">
      <c r="A48" s="3">
        <v>44</v>
      </c>
      <c r="B48" s="3" t="s">
        <v>47</v>
      </c>
      <c r="C48" s="3" t="s">
        <v>324</v>
      </c>
      <c r="D48" s="3" t="s">
        <v>166</v>
      </c>
      <c r="E48" s="8" t="s">
        <v>333</v>
      </c>
      <c r="F48" s="8" t="s">
        <v>334</v>
      </c>
      <c r="G48" s="3" t="s">
        <v>335</v>
      </c>
      <c r="H48" s="7" t="s">
        <v>77</v>
      </c>
      <c r="I48" s="3" t="s">
        <v>29</v>
      </c>
      <c r="J48" s="3"/>
      <c r="K48" s="8" t="s">
        <v>79</v>
      </c>
    </row>
    <row r="49" spans="1:11" ht="30" customHeight="1">
      <c r="A49" s="4">
        <v>45</v>
      </c>
      <c r="B49" s="4" t="s">
        <v>47</v>
      </c>
      <c r="C49" s="4" t="s">
        <v>324</v>
      </c>
      <c r="D49" s="4" t="s">
        <v>166</v>
      </c>
      <c r="E49" s="6" t="s">
        <v>340</v>
      </c>
      <c r="F49" s="6" t="s">
        <v>330</v>
      </c>
      <c r="G49" s="4" t="s">
        <v>341</v>
      </c>
      <c r="H49" s="7" t="s">
        <v>77</v>
      </c>
      <c r="I49" s="4" t="s">
        <v>29</v>
      </c>
      <c r="J49" s="4"/>
      <c r="K49" s="6" t="s">
        <v>79</v>
      </c>
    </row>
    <row r="50" spans="1:11" ht="30" customHeight="1">
      <c r="A50" s="3">
        <v>46</v>
      </c>
      <c r="B50" s="3" t="s">
        <v>47</v>
      </c>
      <c r="C50" s="3" t="s">
        <v>324</v>
      </c>
      <c r="D50" s="3" t="s">
        <v>166</v>
      </c>
      <c r="E50" s="8" t="s">
        <v>343</v>
      </c>
      <c r="F50" s="8" t="s">
        <v>344</v>
      </c>
      <c r="G50" s="3" t="s">
        <v>345</v>
      </c>
      <c r="H50" s="7" t="s">
        <v>77</v>
      </c>
      <c r="I50" s="3" t="s">
        <v>29</v>
      </c>
      <c r="J50" s="3"/>
      <c r="K50" s="8" t="s">
        <v>79</v>
      </c>
    </row>
    <row r="51" spans="1:11" ht="30" customHeight="1">
      <c r="A51" s="4">
        <v>47</v>
      </c>
      <c r="B51" s="4" t="s">
        <v>47</v>
      </c>
      <c r="C51" s="4" t="s">
        <v>350</v>
      </c>
      <c r="D51" s="4" t="s">
        <v>166</v>
      </c>
      <c r="E51" s="6" t="s">
        <v>351</v>
      </c>
      <c r="F51" s="6" t="s">
        <v>352</v>
      </c>
      <c r="G51" s="4" t="s">
        <v>353</v>
      </c>
      <c r="H51" s="7" t="s">
        <v>77</v>
      </c>
      <c r="I51" s="4" t="s">
        <v>29</v>
      </c>
      <c r="J51" s="4"/>
      <c r="K51" s="6"/>
    </row>
    <row r="52" spans="1:11" ht="30" customHeight="1">
      <c r="A52" s="3">
        <v>48</v>
      </c>
      <c r="B52" s="3" t="s">
        <v>46</v>
      </c>
      <c r="C52" s="3" t="s">
        <v>71</v>
      </c>
      <c r="D52" s="3" t="s">
        <v>72</v>
      </c>
      <c r="E52" s="8" t="s">
        <v>73</v>
      </c>
      <c r="F52" s="8" t="s">
        <v>74</v>
      </c>
      <c r="G52" s="3" t="s">
        <v>75</v>
      </c>
      <c r="H52" s="7" t="s">
        <v>77</v>
      </c>
      <c r="I52" s="3" t="s">
        <v>29</v>
      </c>
      <c r="J52" s="3"/>
      <c r="K52" s="8" t="s">
        <v>79</v>
      </c>
    </row>
    <row r="53" spans="1:11" ht="30" customHeight="1">
      <c r="A53" s="4">
        <v>49</v>
      </c>
      <c r="B53" s="4" t="s">
        <v>46</v>
      </c>
      <c r="C53" s="4" t="s">
        <v>71</v>
      </c>
      <c r="D53" s="4" t="s">
        <v>72</v>
      </c>
      <c r="E53" s="6" t="s">
        <v>80</v>
      </c>
      <c r="F53" s="6" t="s">
        <v>81</v>
      </c>
      <c r="G53" s="4" t="inlineStr">
        <is>
          <t xml:space="preserve">SH-FM-WI022-01</t>
        </is>
      </c>
      <c r="H53" s="7" t="inlineStr">
        <is>
          <t xml:space="preserve">기존 절차 연계</t>
        </is>
      </c>
      <c r="I53" s="4" t="s">
        <v>29</v>
      </c>
      <c r="J53" s="4"/>
      <c r="K53" s="6" t="inlineStr">
        <is>
          <t xml:space="preserve">[2026-09-22 확정] SH-WI-022(변경 초기유동 및 강화검사 작업표준) 연계 확정(품질경영담당 일괄판단, 부서 정식회신 생략) — FM번호 재부여: SH-FM-QP010-02 → SH-FM-WI022-01</t>
        </is>
      </c>
    </row>
    <row r="54" spans="1:11" ht="30" customHeight="1">
      <c r="A54" s="3">
        <v>50</v>
      </c>
      <c r="B54" s="3" t="s">
        <v>46</v>
      </c>
      <c r="C54" s="3" t="s">
        <v>71</v>
      </c>
      <c r="D54" s="3" t="s">
        <v>72</v>
      </c>
      <c r="E54" s="8" t="s">
        <v>96</v>
      </c>
      <c r="F54" s="8" t="s">
        <v>97</v>
      </c>
      <c r="G54" s="3" t="s">
        <v>98</v>
      </c>
      <c r="H54" s="7" t="s">
        <v>77</v>
      </c>
      <c r="I54" s="3" t="s">
        <v>29</v>
      </c>
      <c r="J54" s="3"/>
      <c r="K54" s="8" t="s">
        <v>79</v>
      </c>
    </row>
    <row r="55" spans="1:11" ht="30" customHeight="1">
      <c r="A55" s="4">
        <v>51</v>
      </c>
      <c r="B55" s="4" t="s">
        <v>46</v>
      </c>
      <c r="C55" s="4" t="s">
        <v>100</v>
      </c>
      <c r="D55" s="4" t="s">
        <v>72</v>
      </c>
      <c r="E55" s="6" t="s">
        <v>113</v>
      </c>
      <c r="F55" s="6" t="s">
        <v>114</v>
      </c>
      <c r="G55" s="4" t="inlineStr">
        <is>
          <t xml:space="preserve">SH-FM-WI020-02</t>
        </is>
      </c>
      <c r="H55" s="7" t="inlineStr">
        <is>
          <t xml:space="preserve">기존 절차 연계</t>
        </is>
      </c>
      <c r="I55" s="4" t="s">
        <v>29</v>
      </c>
      <c r="J55" s="4"/>
      <c r="K55" s="6" t="inlineStr">
        <is>
          <t xml:space="preserve">[2026-09-22 확정] SH-WI-020(비상상황 생산복구 작업표준) 연계 확정(품질경영담당 일괄판단, 부서 정식회신 생략) — FM번호 재부여: SH-FM-QP003-01 → SH-FM-WI020-02</t>
        </is>
      </c>
    </row>
    <row r="56" spans="1:11" ht="30" customHeight="1">
      <c r="A56" s="3">
        <v>52</v>
      </c>
      <c r="B56" s="3" t="s">
        <v>46</v>
      </c>
      <c r="C56" s="3" t="s">
        <v>142</v>
      </c>
      <c r="D56" s="3" t="s">
        <v>72</v>
      </c>
      <c r="E56" s="8" t="s">
        <v>158</v>
      </c>
      <c r="F56" s="8" t="s">
        <v>159</v>
      </c>
      <c r="G56" s="3" t="s">
        <v>160</v>
      </c>
      <c r="H56" s="7" t="s">
        <v>77</v>
      </c>
      <c r="I56" s="3" t="s">
        <v>29</v>
      </c>
      <c r="J56" s="3"/>
      <c r="K56" s="8" t="s">
        <v>79</v>
      </c>
    </row>
    <row r="57" spans="1:11" ht="30" customHeight="1">
      <c r="A57" s="4">
        <v>53</v>
      </c>
      <c r="B57" s="4" t="s">
        <v>47</v>
      </c>
      <c r="C57" s="4" t="s">
        <v>222</v>
      </c>
      <c r="D57" s="4" t="s">
        <v>72</v>
      </c>
      <c r="E57" s="6" t="s">
        <v>223</v>
      </c>
      <c r="F57" s="6" t="s">
        <v>224</v>
      </c>
      <c r="G57" s="4" t="s">
        <v>225</v>
      </c>
      <c r="H57" s="7" t="s">
        <v>77</v>
      </c>
      <c r="I57" s="4" t="s">
        <v>29</v>
      </c>
      <c r="J57" s="4"/>
      <c r="K57" s="6"/>
    </row>
    <row r="58" spans="1:11" ht="30" customHeight="1">
      <c r="A58" s="3">
        <v>54</v>
      </c>
      <c r="B58" s="3" t="s">
        <v>47</v>
      </c>
      <c r="C58" s="3" t="s">
        <v>222</v>
      </c>
      <c r="D58" s="3" t="s">
        <v>72</v>
      </c>
      <c r="E58" s="8"/>
      <c r="F58" s="8" t="s">
        <v>236</v>
      </c>
      <c r="G58" s="3" t="s">
        <v>237</v>
      </c>
      <c r="H58" s="7" t="s">
        <v>77</v>
      </c>
      <c r="I58" s="3" t="s">
        <v>29</v>
      </c>
      <c r="J58" s="3"/>
      <c r="K58" s="8"/>
    </row>
    <row r="59" spans="1:11" ht="30" customHeight="1">
      <c r="A59" s="4">
        <v>55</v>
      </c>
      <c r="B59" s="4" t="s">
        <v>47</v>
      </c>
      <c r="C59" s="4" t="s">
        <v>239</v>
      </c>
      <c r="D59" s="4" t="s">
        <v>72</v>
      </c>
      <c r="E59" s="6" t="s">
        <v>243</v>
      </c>
      <c r="F59" s="6" t="s">
        <v>244</v>
      </c>
      <c r="G59" s="4" t="inlineStr">
        <is>
          <t xml:space="preserve">SH-FM-WI001-02</t>
        </is>
      </c>
      <c r="H59" s="7" t="inlineStr">
        <is>
          <t xml:space="preserve">기존 절차 연계</t>
        </is>
      </c>
      <c r="I59" s="4" t="s">
        <v>29</v>
      </c>
      <c r="J59" s="4"/>
      <c r="K59" s="6" t="inlineStr">
        <is>
          <t xml:space="preserve">[2026-09-22 확정] SH-WI-001(생산 작업준비 및 초품확인 표준) 연계 확정(품질경영담당 일괄판단, 부서 정식회신 생략) — FM번호 재부여: SH-FM-QP013-05 → SH-FM-WI001-02</t>
        </is>
      </c>
    </row>
    <row r="60" spans="1:11" ht="30" customHeight="1">
      <c r="A60" s="3">
        <v>56</v>
      </c>
      <c r="B60" s="3" t="s">
        <v>47</v>
      </c>
      <c r="C60" s="3" t="s">
        <v>239</v>
      </c>
      <c r="D60" s="3" t="s">
        <v>72</v>
      </c>
      <c r="E60" s="8" t="s">
        <v>250</v>
      </c>
      <c r="F60" s="8" t="s">
        <v>251</v>
      </c>
      <c r="G60" s="3" t="s">
        <v>252</v>
      </c>
      <c r="H60" s="7" t="s">
        <v>77</v>
      </c>
      <c r="I60" s="3" t="s">
        <v>29</v>
      </c>
      <c r="J60" s="3"/>
      <c r="K60" s="8" t="s">
        <v>79</v>
      </c>
    </row>
    <row r="61" spans="1:11" ht="30" customHeight="1">
      <c r="A61" s="4">
        <v>57</v>
      </c>
      <c r="B61" s="4" t="s">
        <v>47</v>
      </c>
      <c r="C61" s="4" t="s">
        <v>254</v>
      </c>
      <c r="D61" s="4" t="s">
        <v>72</v>
      </c>
      <c r="E61" s="6" t="s">
        <v>258</v>
      </c>
      <c r="F61" s="6" t="s">
        <v>259</v>
      </c>
      <c r="G61" s="4" t="inlineStr">
        <is>
          <t xml:space="preserve">SH-FM-WI027-03</t>
        </is>
      </c>
      <c r="H61" s="7" t="inlineStr">
        <is>
          <t xml:space="preserve">기존 절차 연계</t>
        </is>
      </c>
      <c r="I61" s="4" t="s">
        <v>29</v>
      </c>
      <c r="J61" s="4"/>
      <c r="K61" s="6" t="inlineStr">
        <is>
          <t xml:space="preserve">[2026-09-22 확정] SH-WI-027(검사성적서 및 품질기록 작성표준) 연계 확정(품질경영담당 일괄판단, 부서 정식회신 생략) — FM번호 재부여: SH-FM-WI006-01 → SH-FM-WI027-03</t>
        </is>
      </c>
    </row>
    <row r="62" spans="1:11" ht="30" customHeight="1">
      <c r="A62" s="3">
        <v>58</v>
      </c>
      <c r="B62" s="3" t="s">
        <v>47</v>
      </c>
      <c r="C62" s="3" t="s">
        <v>268</v>
      </c>
      <c r="D62" s="3" t="s">
        <v>72</v>
      </c>
      <c r="E62" s="8" t="s">
        <v>269</v>
      </c>
      <c r="F62" s="8" t="s">
        <v>270</v>
      </c>
      <c r="G62" s="3" t="s">
        <v>271</v>
      </c>
      <c r="H62" s="7" t="s">
        <v>77</v>
      </c>
      <c r="I62" s="3" t="s">
        <v>29</v>
      </c>
      <c r="J62" s="3"/>
      <c r="K62" s="8"/>
    </row>
    <row r="63" spans="1:11" ht="30" customHeight="1">
      <c r="A63" s="4">
        <v>59</v>
      </c>
      <c r="B63" s="4" t="s">
        <v>47</v>
      </c>
      <c r="C63" s="4" t="s">
        <v>268</v>
      </c>
      <c r="D63" s="4" t="s">
        <v>72</v>
      </c>
      <c r="E63" s="6" t="s">
        <v>273</v>
      </c>
      <c r="F63" s="6" t="s">
        <v>274</v>
      </c>
      <c r="G63" s="4" t="s">
        <v>275</v>
      </c>
      <c r="H63" s="7" t="s">
        <v>77</v>
      </c>
      <c r="I63" s="4" t="s">
        <v>29</v>
      </c>
      <c r="J63" s="4"/>
      <c r="K63" s="6" t="s">
        <v>79</v>
      </c>
    </row>
    <row r="64" spans="1:11" ht="30" customHeight="1">
      <c r="A64" s="3">
        <v>60</v>
      </c>
      <c r="B64" s="3" t="s">
        <v>51</v>
      </c>
      <c r="C64" s="3" t="s">
        <v>784</v>
      </c>
      <c r="D64" s="3" t="s">
        <v>122</v>
      </c>
      <c r="E64" s="8" t="s">
        <v>785</v>
      </c>
      <c r="F64" s="8" t="s">
        <v>786</v>
      </c>
      <c r="G64" s="3" t="inlineStr">
        <is>
          <t xml:space="preserve">SH-FM-QP006-05</t>
        </is>
      </c>
      <c r="H64" s="7" t="inlineStr">
        <is>
          <t xml:space="preserve">기존 절차 연계</t>
        </is>
      </c>
      <c r="I64" s="3" t="s">
        <v>29</v>
      </c>
      <c r="J64" s="3"/>
      <c r="K64" s="8" t="inlineStr">
        <is>
          <t xml:space="preserve">[2026-09-22 확정] SH-QP-006(교육훈련 및 역량관리 절차서) 연계 확정(품질경영담당 일괄판단, 부서 정식회신 생략) — FM번호 재부여: SH-FM-QMS-N30 → SH-FM-QP006-05</t>
        </is>
      </c>
    </row>
    <row r="65" spans="1:11" ht="30" customHeight="1">
      <c r="A65" s="4">
        <v>61</v>
      </c>
      <c r="B65" s="4" t="s">
        <v>51</v>
      </c>
      <c r="C65" s="4" t="s">
        <v>784</v>
      </c>
      <c r="D65" s="4" t="s">
        <v>122</v>
      </c>
      <c r="E65" s="6" t="s">
        <v>793</v>
      </c>
      <c r="F65" s="6" t="s">
        <v>794</v>
      </c>
      <c r="G65" s="4" t="s">
        <v>795</v>
      </c>
      <c r="H65" s="10" t="s">
        <v>134</v>
      </c>
      <c r="I65" s="4" t="s">
        <v>29</v>
      </c>
      <c r="J65" s="4"/>
      <c r="K65" s="6"/>
    </row>
    <row r="66" spans="1:11" ht="30" customHeight="1">
      <c r="A66" s="3">
        <v>62</v>
      </c>
      <c r="B66" s="3" t="s">
        <v>51</v>
      </c>
      <c r="C66" s="3" t="s">
        <v>784</v>
      </c>
      <c r="D66" s="3" t="s">
        <v>122</v>
      </c>
      <c r="E66" s="8" t="s">
        <v>796</v>
      </c>
      <c r="F66" s="8" t="s">
        <v>797</v>
      </c>
      <c r="G66" s="3" t="s">
        <v>798</v>
      </c>
      <c r="H66" s="10" t="s">
        <v>134</v>
      </c>
      <c r="I66" s="3" t="s">
        <v>29</v>
      </c>
      <c r="J66" s="3"/>
      <c r="K66" s="8"/>
    </row>
    <row r="67" spans="1:11" ht="30" customHeight="1">
      <c r="A67" s="4">
        <v>63</v>
      </c>
      <c r="B67" s="4" t="s">
        <v>51</v>
      </c>
      <c r="C67" s="4" t="s">
        <v>868</v>
      </c>
      <c r="D67" s="4" t="s">
        <v>122</v>
      </c>
      <c r="E67" s="6" t="s">
        <v>869</v>
      </c>
      <c r="F67" s="6" t="s">
        <v>870</v>
      </c>
      <c r="G67" s="4" t="s">
        <v>871</v>
      </c>
      <c r="H67" s="10" t="s">
        <v>134</v>
      </c>
      <c r="I67" s="4" t="s">
        <v>29</v>
      </c>
      <c r="J67" s="4"/>
      <c r="K67" s="6"/>
    </row>
    <row r="68" spans="1:11" ht="30" customHeight="1">
      <c r="A68" s="3">
        <v>64</v>
      </c>
      <c r="B68" s="3" t="s">
        <v>51</v>
      </c>
      <c r="C68" s="3" t="s">
        <v>868</v>
      </c>
      <c r="D68" s="3" t="s">
        <v>122</v>
      </c>
      <c r="E68" s="8" t="s">
        <v>877</v>
      </c>
      <c r="F68" s="8" t="s">
        <v>878</v>
      </c>
      <c r="G68" s="3" t="s">
        <v>879</v>
      </c>
      <c r="H68" s="10" t="s">
        <v>134</v>
      </c>
      <c r="I68" s="3" t="s">
        <v>29</v>
      </c>
      <c r="J68" s="3"/>
      <c r="K68" s="8"/>
    </row>
    <row r="69" spans="1:11" ht="30" customHeight="1">
      <c r="A69" s="4">
        <v>65</v>
      </c>
      <c r="B69" s="4" t="s">
        <v>47</v>
      </c>
      <c r="C69" s="4" t="s">
        <v>268</v>
      </c>
      <c r="D69" s="4" t="s">
        <v>72</v>
      </c>
      <c r="E69" s="6" t="s">
        <v>277</v>
      </c>
      <c r="F69" s="6" t="s">
        <v>278</v>
      </c>
      <c r="G69" s="4" t="s">
        <v>279</v>
      </c>
      <c r="H69" s="7" t="s">
        <v>77</v>
      </c>
      <c r="I69" s="4" t="s">
        <v>30</v>
      </c>
      <c r="J69" s="4"/>
      <c r="K69" s="6" t="s">
        <v>79</v>
      </c>
    </row>
    <row r="70" spans="1:11" ht="30" customHeight="1">
      <c r="A70" s="3">
        <v>66</v>
      </c>
      <c r="B70" s="3" t="s">
        <v>47</v>
      </c>
      <c r="C70" s="3" t="s">
        <v>268</v>
      </c>
      <c r="D70" s="3" t="s">
        <v>72</v>
      </c>
      <c r="E70" s="8" t="s">
        <v>280</v>
      </c>
      <c r="F70" s="8" t="s">
        <v>281</v>
      </c>
      <c r="G70" s="3" t="s">
        <v>282</v>
      </c>
      <c r="H70" s="7" t="s">
        <v>77</v>
      </c>
      <c r="I70" s="3" t="s">
        <v>30</v>
      </c>
      <c r="J70" s="3"/>
      <c r="K70" s="8" t="s">
        <v>79</v>
      </c>
    </row>
    <row r="71" spans="1:11" ht="30" customHeight="1">
      <c r="A71" s="4">
        <v>67</v>
      </c>
      <c r="B71" s="4" t="s">
        <v>47</v>
      </c>
      <c r="C71" s="4" t="s">
        <v>268</v>
      </c>
      <c r="D71" s="4" t="s">
        <v>72</v>
      </c>
      <c r="E71" s="6"/>
      <c r="F71" s="6" t="s">
        <v>284</v>
      </c>
      <c r="G71" s="4" t="s">
        <v>285</v>
      </c>
      <c r="H71" s="7" t="s">
        <v>77</v>
      </c>
      <c r="I71" s="4" t="s">
        <v>30</v>
      </c>
      <c r="J71" s="4"/>
      <c r="K71" s="6" t="s">
        <v>79</v>
      </c>
    </row>
    <row r="72" spans="1:11" ht="30" customHeight="1">
      <c r="A72" s="3">
        <v>68</v>
      </c>
      <c r="B72" s="3" t="s">
        <v>47</v>
      </c>
      <c r="C72" s="3" t="s">
        <v>268</v>
      </c>
      <c r="D72" s="3" t="s">
        <v>72</v>
      </c>
      <c r="E72" s="8" t="s">
        <v>286</v>
      </c>
      <c r="F72" s="8" t="s">
        <v>287</v>
      </c>
      <c r="G72" s="3" t="s">
        <v>288</v>
      </c>
      <c r="H72" s="7" t="s">
        <v>77</v>
      </c>
      <c r="I72" s="3" t="s">
        <v>30</v>
      </c>
      <c r="J72" s="3"/>
      <c r="K72" s="8" t="s">
        <v>79</v>
      </c>
    </row>
    <row r="73" spans="1:11" ht="30" customHeight="1">
      <c r="A73" s="4">
        <v>69</v>
      </c>
      <c r="B73" s="4" t="s">
        <v>47</v>
      </c>
      <c r="C73" s="4" t="s">
        <v>268</v>
      </c>
      <c r="D73" s="4" t="s">
        <v>72</v>
      </c>
      <c r="E73" s="6" t="s">
        <v>291</v>
      </c>
      <c r="F73" s="6" t="s">
        <v>292</v>
      </c>
      <c r="G73" s="4" t="s">
        <v>293</v>
      </c>
      <c r="H73" s="7" t="s">
        <v>77</v>
      </c>
      <c r="I73" s="4" t="s">
        <v>30</v>
      </c>
      <c r="J73" s="4"/>
      <c r="K73" s="6" t="s">
        <v>79</v>
      </c>
    </row>
    <row r="74" spans="1:11" ht="30" customHeight="1">
      <c r="A74" s="3">
        <v>70</v>
      </c>
      <c r="B74" s="3" t="s">
        <v>47</v>
      </c>
      <c r="C74" s="3" t="s">
        <v>268</v>
      </c>
      <c r="D74" s="3" t="s">
        <v>72</v>
      </c>
      <c r="E74" s="8" t="s">
        <v>295</v>
      </c>
      <c r="F74" s="8" t="s">
        <v>296</v>
      </c>
      <c r="G74" s="3" t="s">
        <v>297</v>
      </c>
      <c r="H74" s="7" t="s">
        <v>77</v>
      </c>
      <c r="I74" s="3" t="s">
        <v>30</v>
      </c>
      <c r="J74" s="3"/>
      <c r="K74" s="8" t="s">
        <v>79</v>
      </c>
    </row>
    <row r="75" spans="1:11" ht="30" customHeight="1">
      <c r="A75" s="4">
        <v>71</v>
      </c>
      <c r="B75" s="4" t="s">
        <v>47</v>
      </c>
      <c r="C75" s="4" t="s">
        <v>268</v>
      </c>
      <c r="D75" s="4" t="s">
        <v>72</v>
      </c>
      <c r="E75" s="6" t="s">
        <v>299</v>
      </c>
      <c r="F75" s="6" t="s">
        <v>300</v>
      </c>
      <c r="G75" s="4" t="s">
        <v>301</v>
      </c>
      <c r="H75" s="7" t="s">
        <v>77</v>
      </c>
      <c r="I75" s="4" t="s">
        <v>30</v>
      </c>
      <c r="J75" s="4"/>
      <c r="K75" s="6"/>
    </row>
    <row r="76" spans="1:11" ht="30" customHeight="1">
      <c r="A76" s="3">
        <v>72</v>
      </c>
      <c r="B76" s="3" t="s">
        <v>47</v>
      </c>
      <c r="C76" s="3" t="s">
        <v>268</v>
      </c>
      <c r="D76" s="3" t="s">
        <v>72</v>
      </c>
      <c r="E76" s="8" t="s">
        <v>303</v>
      </c>
      <c r="F76" s="8" t="s">
        <v>304</v>
      </c>
      <c r="G76" s="3" t="s">
        <v>305</v>
      </c>
      <c r="H76" s="7" t="s">
        <v>77</v>
      </c>
      <c r="I76" s="3" t="s">
        <v>30</v>
      </c>
      <c r="J76" s="3"/>
      <c r="K76" s="8" t="s">
        <v>79</v>
      </c>
    </row>
    <row r="77" spans="1:11" ht="30" customHeight="1">
      <c r="A77" s="4">
        <v>73</v>
      </c>
      <c r="B77" s="4" t="s">
        <v>47</v>
      </c>
      <c r="C77" s="4" t="s">
        <v>268</v>
      </c>
      <c r="D77" s="4" t="s">
        <v>72</v>
      </c>
      <c r="E77" s="6" t="s">
        <v>307</v>
      </c>
      <c r="F77" s="6" t="s">
        <v>308</v>
      </c>
      <c r="G77" s="4" t="s">
        <v>309</v>
      </c>
      <c r="H77" s="7" t="s">
        <v>77</v>
      </c>
      <c r="I77" s="4" t="s">
        <v>30</v>
      </c>
      <c r="J77" s="4"/>
      <c r="K77" s="6"/>
    </row>
    <row r="78" spans="1:11" ht="30" customHeight="1">
      <c r="A78" s="3">
        <v>74</v>
      </c>
      <c r="B78" s="3" t="s">
        <v>47</v>
      </c>
      <c r="C78" s="3" t="s">
        <v>311</v>
      </c>
      <c r="D78" s="3" t="s">
        <v>72</v>
      </c>
      <c r="E78" s="8" t="s">
        <v>312</v>
      </c>
      <c r="F78" s="8" t="s">
        <v>313</v>
      </c>
      <c r="G78" s="3" t="s">
        <v>314</v>
      </c>
      <c r="H78" s="7" t="s">
        <v>77</v>
      </c>
      <c r="I78" s="3" t="s">
        <v>30</v>
      </c>
      <c r="J78" s="3"/>
      <c r="K78" s="8" t="s">
        <v>79</v>
      </c>
    </row>
    <row r="79" spans="1:11" ht="30" customHeight="1">
      <c r="A79" s="4">
        <v>75</v>
      </c>
      <c r="B79" s="4" t="s">
        <v>47</v>
      </c>
      <c r="C79" s="4" t="s">
        <v>311</v>
      </c>
      <c r="D79" s="4" t="s">
        <v>72</v>
      </c>
      <c r="E79" s="6" t="s">
        <v>316</v>
      </c>
      <c r="F79" s="6" t="s">
        <v>317</v>
      </c>
      <c r="G79" s="4" t="s">
        <v>318</v>
      </c>
      <c r="H79" s="7" t="s">
        <v>77</v>
      </c>
      <c r="I79" s="4" t="s">
        <v>30</v>
      </c>
      <c r="J79" s="4"/>
      <c r="K79" s="6"/>
    </row>
    <row r="80" spans="1:11" ht="30" customHeight="1">
      <c r="A80" s="3">
        <v>76</v>
      </c>
      <c r="B80" s="3" t="s">
        <v>47</v>
      </c>
      <c r="C80" s="3" t="s">
        <v>311</v>
      </c>
      <c r="D80" s="3" t="s">
        <v>72</v>
      </c>
      <c r="E80" s="8" t="s">
        <v>320</v>
      </c>
      <c r="F80" s="8" t="s">
        <v>321</v>
      </c>
      <c r="G80" s="3" t="s">
        <v>322</v>
      </c>
      <c r="H80" s="7" t="s">
        <v>77</v>
      </c>
      <c r="I80" s="3" t="s">
        <v>30</v>
      </c>
      <c r="J80" s="3"/>
      <c r="K80" s="8"/>
    </row>
    <row r="81" spans="1:11" ht="30" customHeight="1">
      <c r="A81" s="4">
        <v>77</v>
      </c>
      <c r="B81" s="4" t="s">
        <v>51</v>
      </c>
      <c r="C81" s="4" t="s">
        <v>695</v>
      </c>
      <c r="D81" s="4" t="s">
        <v>72</v>
      </c>
      <c r="E81" s="6" t="s">
        <v>699</v>
      </c>
      <c r="F81" s="6" t="s">
        <v>700</v>
      </c>
      <c r="G81" s="4" t="inlineStr">
        <is>
          <t xml:space="preserve">SH-FM-WI020-03</t>
        </is>
      </c>
      <c r="H81" s="7" t="inlineStr">
        <is>
          <t xml:space="preserve">기존 절차 연계</t>
        </is>
      </c>
      <c r="I81" s="4" t="s">
        <v>30</v>
      </c>
      <c r="J81" s="4"/>
      <c r="K81" s="6" t="inlineStr">
        <is>
          <t xml:space="preserve">[2026-09-22 확정] SH-WI-020(비상상황 생산복구 작업표준) 연계 확정(품질경영담당 일괄판단, 부서 정식회신 생략) — FM번호 재부여: SH-FM-QP010-05 → SH-FM-WI020-03</t>
        </is>
      </c>
    </row>
    <row r="82" spans="1:11" ht="30" customHeight="1">
      <c r="A82" s="3">
        <v>78</v>
      </c>
      <c r="B82" s="3" t="s">
        <v>51</v>
      </c>
      <c r="C82" s="3" t="s">
        <v>695</v>
      </c>
      <c r="D82" s="3" t="s">
        <v>72</v>
      </c>
      <c r="E82" s="8" t="s">
        <v>703</v>
      </c>
      <c r="F82" s="8" t="s">
        <v>704</v>
      </c>
      <c r="G82" s="3" t="s">
        <v>705</v>
      </c>
      <c r="H82" s="7" t="s">
        <v>77</v>
      </c>
      <c r="I82" s="3" t="s">
        <v>30</v>
      </c>
      <c r="J82" s="3"/>
      <c r="K82" s="8" t="s">
        <v>79</v>
      </c>
    </row>
    <row r="83" spans="1:11" ht="30" customHeight="1">
      <c r="A83" s="4">
        <v>79</v>
      </c>
      <c r="B83" s="4" t="s">
        <v>51</v>
      </c>
      <c r="C83" s="4" t="s">
        <v>695</v>
      </c>
      <c r="D83" s="4" t="s">
        <v>72</v>
      </c>
      <c r="E83" s="6" t="s">
        <v>707</v>
      </c>
      <c r="F83" s="6" t="s">
        <v>708</v>
      </c>
      <c r="G83" s="4" t="s">
        <v>709</v>
      </c>
      <c r="H83" s="7" t="s">
        <v>77</v>
      </c>
      <c r="I83" s="4" t="s">
        <v>30</v>
      </c>
      <c r="J83" s="4"/>
      <c r="K83" s="6" t="s">
        <v>79</v>
      </c>
    </row>
    <row r="84" spans="1:11" ht="30" customHeight="1">
      <c r="A84" s="3">
        <v>80</v>
      </c>
      <c r="B84" s="3" t="s">
        <v>51</v>
      </c>
      <c r="C84" s="3" t="s">
        <v>711</v>
      </c>
      <c r="D84" s="3" t="s">
        <v>72</v>
      </c>
      <c r="E84" s="8" t="s">
        <v>723</v>
      </c>
      <c r="F84" s="8" t="s">
        <v>724</v>
      </c>
      <c r="G84" s="3" t="s">
        <v>725</v>
      </c>
      <c r="H84" s="7" t="s">
        <v>77</v>
      </c>
      <c r="I84" s="3" t="s">
        <v>30</v>
      </c>
      <c r="J84" s="3"/>
      <c r="K84" s="8" t="s">
        <v>79</v>
      </c>
    </row>
    <row r="85" spans="1:11" ht="30" customHeight="1">
      <c r="A85" s="4">
        <v>81</v>
      </c>
      <c r="B85" s="4" t="s">
        <v>51</v>
      </c>
      <c r="C85" s="4" t="s">
        <v>747</v>
      </c>
      <c r="D85" s="4" t="s">
        <v>72</v>
      </c>
      <c r="E85" s="6" t="s">
        <v>765</v>
      </c>
      <c r="F85" s="6" t="s">
        <v>766</v>
      </c>
      <c r="G85" s="4" t="s">
        <v>767</v>
      </c>
      <c r="H85" s="7" t="s">
        <v>77</v>
      </c>
      <c r="I85" s="4" t="s">
        <v>30</v>
      </c>
      <c r="J85" s="4"/>
      <c r="K85" s="6" t="s">
        <v>79</v>
      </c>
    </row>
    <row r="86" spans="1:11" ht="30" customHeight="1">
      <c r="A86" s="3">
        <v>82</v>
      </c>
      <c r="B86" s="3" t="s">
        <v>51</v>
      </c>
      <c r="C86" s="3" t="s">
        <v>819</v>
      </c>
      <c r="D86" s="3" t="s">
        <v>72</v>
      </c>
      <c r="E86" s="8" t="s">
        <v>820</v>
      </c>
      <c r="F86" s="8" t="s">
        <v>821</v>
      </c>
      <c r="G86" s="3" t="s">
        <v>822</v>
      </c>
      <c r="H86" s="7" t="s">
        <v>77</v>
      </c>
      <c r="I86" s="3" t="s">
        <v>30</v>
      </c>
      <c r="J86" s="3"/>
      <c r="K86" s="8"/>
    </row>
    <row r="87" spans="1:11" ht="30" customHeight="1">
      <c r="A87" s="4">
        <v>83</v>
      </c>
      <c r="B87" s="4" t="s">
        <v>51</v>
      </c>
      <c r="C87" s="4" t="s">
        <v>819</v>
      </c>
      <c r="D87" s="4" t="s">
        <v>72</v>
      </c>
      <c r="E87" s="6" t="s">
        <v>832</v>
      </c>
      <c r="F87" s="6" t="s">
        <v>833</v>
      </c>
      <c r="G87" s="4" t="s">
        <v>834</v>
      </c>
      <c r="H87" s="7" t="s">
        <v>77</v>
      </c>
      <c r="I87" s="4" t="s">
        <v>30</v>
      </c>
      <c r="J87" s="4"/>
      <c r="K87" s="6" t="s">
        <v>79</v>
      </c>
    </row>
    <row r="88" spans="1:11" ht="30" customHeight="1">
      <c r="A88" s="3">
        <v>84</v>
      </c>
      <c r="B88" s="3" t="s">
        <v>51</v>
      </c>
      <c r="C88" s="3" t="s">
        <v>914</v>
      </c>
      <c r="D88" s="3" t="s">
        <v>72</v>
      </c>
      <c r="E88" s="8" t="s">
        <v>928</v>
      </c>
      <c r="F88" s="8" t="s">
        <v>929</v>
      </c>
      <c r="G88" s="3" t="s">
        <v>930</v>
      </c>
      <c r="H88" s="7" t="s">
        <v>77</v>
      </c>
      <c r="I88" s="3" t="s">
        <v>30</v>
      </c>
      <c r="J88" s="3"/>
      <c r="K88" s="8"/>
    </row>
    <row r="89" spans="1:11" ht="30" customHeight="1">
      <c r="A89" s="4">
        <v>85</v>
      </c>
      <c r="B89" s="4" t="s">
        <v>51</v>
      </c>
      <c r="C89" s="4" t="s">
        <v>729</v>
      </c>
      <c r="D89" s="4" t="s">
        <v>122</v>
      </c>
      <c r="E89" s="6" t="s">
        <v>738</v>
      </c>
      <c r="F89" s="6" t="s">
        <v>739</v>
      </c>
      <c r="G89" s="4" t="s">
        <v>740</v>
      </c>
      <c r="H89" s="7" t="s">
        <v>77</v>
      </c>
      <c r="I89" s="4" t="s">
        <v>30</v>
      </c>
      <c r="J89" s="4"/>
      <c r="K89" s="6"/>
    </row>
    <row r="90" spans="1:11" ht="30" customHeight="1">
      <c r="A90" s="3">
        <v>86</v>
      </c>
      <c r="B90" s="3" t="s">
        <v>51</v>
      </c>
      <c r="C90" s="3" t="s">
        <v>784</v>
      </c>
      <c r="D90" s="3" t="s">
        <v>122</v>
      </c>
      <c r="E90" s="8" t="s">
        <v>789</v>
      </c>
      <c r="F90" s="8" t="s">
        <v>790</v>
      </c>
      <c r="G90" s="3" t="s">
        <v>791</v>
      </c>
      <c r="H90" s="7" t="s">
        <v>77</v>
      </c>
      <c r="I90" s="3" t="s">
        <v>30</v>
      </c>
      <c r="J90" s="3"/>
      <c r="K90" s="8"/>
    </row>
    <row r="91" spans="1:11" ht="30" customHeight="1">
      <c r="A91" s="4">
        <v>87</v>
      </c>
      <c r="B91" s="4" t="s">
        <v>51</v>
      </c>
      <c r="C91" s="4" t="s">
        <v>868</v>
      </c>
      <c r="D91" s="4" t="s">
        <v>122</v>
      </c>
      <c r="E91" s="6" t="s">
        <v>873</v>
      </c>
      <c r="F91" s="6" t="s">
        <v>874</v>
      </c>
      <c r="G91" s="4" t="s">
        <v>875</v>
      </c>
      <c r="H91" s="7" t="s">
        <v>77</v>
      </c>
      <c r="I91" s="4" t="s">
        <v>30</v>
      </c>
      <c r="J91" s="4"/>
      <c r="K91" s="6" t="s">
        <v>79</v>
      </c>
    </row>
    <row r="92" spans="1:11" ht="30" customHeight="1">
      <c r="A92" s="3">
        <v>88</v>
      </c>
      <c r="B92" s="3" t="s">
        <v>51</v>
      </c>
      <c r="C92" s="3" t="s">
        <v>880</v>
      </c>
      <c r="D92" s="3" t="s">
        <v>122</v>
      </c>
      <c r="E92" s="8" t="s">
        <v>902</v>
      </c>
      <c r="F92" s="8" t="s">
        <v>903</v>
      </c>
      <c r="G92" s="3" t="s">
        <v>904</v>
      </c>
      <c r="H92" s="7" t="s">
        <v>77</v>
      </c>
      <c r="I92" s="3" t="s">
        <v>30</v>
      </c>
      <c r="J92" s="3"/>
      <c r="K92" s="8"/>
    </row>
  </sheetData>
  <autoFilter ref="A4:K92" xr:uid="{00000000-0009-0000-0000-00000C000000}"/>
  <mergeCells count="3">
    <mergeCell ref="A2:K2"/>
    <mergeCell ref="A1:K1"/>
    <mergeCell ref="A3:K3"/>
  </mergeCells>
  <phoneticPr fontId="15" type="noConversion"/>
  <dataValidations count="1">
    <dataValidation type="list" allowBlank="1" sqref="J5:J92" xr:uid="{00000000-0002-0000-0C00-000000000000}">
      <formula1>"미착수,진행중,완료,해당없음"</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6"/>
  <sheetViews>
    <sheetView showGridLines="0" workbookViewId="0">
      <pane ySplit="4" topLeftCell="A5" activePane="bottomLeft" state="frozen"/>
      <selection pane="bottomLeft" sqref="A1:K1"/>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996</v>
      </c>
      <c r="B1" s="25"/>
      <c r="C1" s="25"/>
      <c r="D1" s="25"/>
      <c r="E1" s="25"/>
      <c r="F1" s="25"/>
      <c r="G1" s="25"/>
      <c r="H1" s="25"/>
      <c r="I1" s="25"/>
      <c r="J1" s="25"/>
      <c r="K1" s="25"/>
    </row>
    <row r="2" spans="1:11" ht="15.95" customHeight="1">
      <c r="A2" s="27" t="s">
        <v>997</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47</v>
      </c>
      <c r="C5" s="4" t="s">
        <v>189</v>
      </c>
      <c r="D5" s="4" t="s">
        <v>166</v>
      </c>
      <c r="E5" s="6" t="s">
        <v>203</v>
      </c>
      <c r="F5" s="6" t="s">
        <v>204</v>
      </c>
      <c r="G5" s="4" t="inlineStr">
        <is>
          <t xml:space="preserve">SH-FM-QP013-10</t>
        </is>
      </c>
      <c r="H5" s="7" t="inlineStr">
        <is>
          <t xml:space="preserve">기존 절차 연계</t>
        </is>
      </c>
      <c r="I5" s="4" t="s">
        <v>27</v>
      </c>
      <c r="J5" s="4"/>
      <c r="K5" s="6" t="inlineStr">
        <is>
          <t xml:space="preserve">[2026-09-22 확정] SH-QP-013(검사 및 시험관리 절차서) 연계 확정(품질경영담당 일괄판단, 부서 정식회신 생략) — FM번호 재부여: SH-FM-INS-N01 → SH-FM-QP013-10</t>
        </is>
      </c>
    </row>
    <row r="6" spans="1:11" ht="30" customHeight="1">
      <c r="A6" s="3">
        <v>2</v>
      </c>
      <c r="B6" s="3" t="s">
        <v>47</v>
      </c>
      <c r="C6" s="3" t="s">
        <v>189</v>
      </c>
      <c r="D6" s="3" t="s">
        <v>166</v>
      </c>
      <c r="E6" s="8" t="s">
        <v>207</v>
      </c>
      <c r="F6" s="8" t="s">
        <v>208</v>
      </c>
      <c r="G6" s="3" t="inlineStr">
        <is>
          <t xml:space="preserve">SH-FM-WI029-02</t>
        </is>
      </c>
      <c r="H6" s="7" t="inlineStr">
        <is>
          <t xml:space="preserve">기존 절차 연계</t>
        </is>
      </c>
      <c r="I6" s="3" t="s">
        <v>27</v>
      </c>
      <c r="J6" s="3"/>
      <c r="K6" s="8" t="inlineStr">
        <is>
          <t xml:space="preserve">[2026-09-22 확정] SH-WI-029(공급자 변경품 및 초도품 확인표준) 연계 확정(품질경영담당 일괄판단, 부서 정식회신 생략) — FM번호 재부여: SH-FM-INS-N02 → SH-FM-WI029-02</t>
        </is>
      </c>
    </row>
    <row r="7" spans="1:11" ht="30" customHeight="1">
      <c r="A7" s="4">
        <v>3</v>
      </c>
      <c r="B7" s="4" t="s">
        <v>47</v>
      </c>
      <c r="C7" s="4" t="s">
        <v>189</v>
      </c>
      <c r="D7" s="4" t="s">
        <v>166</v>
      </c>
      <c r="E7" s="6" t="s">
        <v>219</v>
      </c>
      <c r="F7" s="6" t="s">
        <v>220</v>
      </c>
      <c r="G7" s="4" t="s">
        <v>221</v>
      </c>
      <c r="H7" s="10" t="s">
        <v>134</v>
      </c>
      <c r="I7" s="4" t="s">
        <v>27</v>
      </c>
      <c r="J7" s="4"/>
      <c r="K7" s="6"/>
    </row>
    <row r="8" spans="1:11" ht="30" customHeight="1">
      <c r="A8" s="3">
        <v>4</v>
      </c>
      <c r="B8" s="3" t="s">
        <v>47</v>
      </c>
      <c r="C8" s="3" t="s">
        <v>222</v>
      </c>
      <c r="D8" s="3" t="s">
        <v>72</v>
      </c>
      <c r="E8" s="8" t="s">
        <v>228</v>
      </c>
      <c r="F8" s="8" t="s">
        <v>229</v>
      </c>
      <c r="G8" s="3" t="s">
        <v>230</v>
      </c>
      <c r="H8" s="10" t="s">
        <v>134</v>
      </c>
      <c r="I8" s="3" t="s">
        <v>27</v>
      </c>
      <c r="J8" s="3"/>
      <c r="K8" s="8"/>
    </row>
    <row r="9" spans="1:11" ht="30" customHeight="1">
      <c r="A9" s="4">
        <v>5</v>
      </c>
      <c r="B9" s="4" t="s">
        <v>47</v>
      </c>
      <c r="C9" s="4" t="s">
        <v>254</v>
      </c>
      <c r="D9" s="4" t="s">
        <v>72</v>
      </c>
      <c r="E9" s="6" t="s">
        <v>262</v>
      </c>
      <c r="F9" s="6" t="s">
        <v>263</v>
      </c>
      <c r="G9" s="4" t="s">
        <v>264</v>
      </c>
      <c r="H9" s="10" t="s">
        <v>134</v>
      </c>
      <c r="I9" s="4" t="s">
        <v>27</v>
      </c>
      <c r="J9" s="4"/>
      <c r="K9" s="6"/>
    </row>
    <row r="10" spans="1:11" ht="30" customHeight="1">
      <c r="A10" s="3">
        <v>6</v>
      </c>
      <c r="B10" s="3" t="s">
        <v>47</v>
      </c>
      <c r="C10" s="3" t="s">
        <v>254</v>
      </c>
      <c r="D10" s="3" t="s">
        <v>72</v>
      </c>
      <c r="E10" s="8" t="s">
        <v>265</v>
      </c>
      <c r="F10" s="8" t="s">
        <v>266</v>
      </c>
      <c r="G10" s="3" t="s">
        <v>267</v>
      </c>
      <c r="H10" s="10" t="s">
        <v>134</v>
      </c>
      <c r="I10" s="3" t="s">
        <v>27</v>
      </c>
      <c r="J10" s="3"/>
      <c r="K10" s="8"/>
    </row>
    <row r="11" spans="1:11" ht="30" customHeight="1">
      <c r="A11" s="4">
        <v>7</v>
      </c>
      <c r="B11" s="4" t="s">
        <v>47</v>
      </c>
      <c r="C11" s="4" t="s">
        <v>189</v>
      </c>
      <c r="D11" s="4" t="s">
        <v>166</v>
      </c>
      <c r="E11" s="6" t="s">
        <v>190</v>
      </c>
      <c r="F11" s="6" t="s">
        <v>191</v>
      </c>
      <c r="G11" s="4" t="s">
        <v>192</v>
      </c>
      <c r="H11" s="7" t="s">
        <v>77</v>
      </c>
      <c r="I11" s="4" t="s">
        <v>28</v>
      </c>
      <c r="J11" s="4"/>
      <c r="K11" s="6"/>
    </row>
    <row r="12" spans="1:11" ht="30" customHeight="1">
      <c r="A12" s="3">
        <v>8</v>
      </c>
      <c r="B12" s="3" t="s">
        <v>47</v>
      </c>
      <c r="C12" s="3" t="s">
        <v>189</v>
      </c>
      <c r="D12" s="3" t="s">
        <v>166</v>
      </c>
      <c r="E12" s="8" t="s">
        <v>195</v>
      </c>
      <c r="F12" s="8" t="s">
        <v>196</v>
      </c>
      <c r="G12" s="3" t="s">
        <v>197</v>
      </c>
      <c r="H12" s="7" t="s">
        <v>77</v>
      </c>
      <c r="I12" s="3" t="s">
        <v>28</v>
      </c>
      <c r="J12" s="3"/>
      <c r="K12" s="8"/>
    </row>
    <row r="13" spans="1:11" ht="30" customHeight="1">
      <c r="A13" s="4">
        <v>9</v>
      </c>
      <c r="B13" s="4" t="s">
        <v>50</v>
      </c>
      <c r="C13" s="4" t="s">
        <v>544</v>
      </c>
      <c r="D13" s="4" t="s">
        <v>72</v>
      </c>
      <c r="E13" s="6" t="s">
        <v>563</v>
      </c>
      <c r="F13" s="6" t="s">
        <v>564</v>
      </c>
      <c r="G13" s="4" t="s">
        <v>565</v>
      </c>
      <c r="H13" s="10" t="s">
        <v>134</v>
      </c>
      <c r="I13" s="4" t="s">
        <v>28</v>
      </c>
      <c r="J13" s="4"/>
      <c r="K13" s="6"/>
    </row>
    <row r="14" spans="1:11" ht="30" customHeight="1">
      <c r="A14" s="3">
        <v>10</v>
      </c>
      <c r="B14" s="3" t="s">
        <v>50</v>
      </c>
      <c r="C14" s="3" t="s">
        <v>544</v>
      </c>
      <c r="D14" s="3" t="s">
        <v>72</v>
      </c>
      <c r="E14" s="8" t="s">
        <v>566</v>
      </c>
      <c r="F14" s="8" t="s">
        <v>567</v>
      </c>
      <c r="G14" s="3" t="s">
        <v>568</v>
      </c>
      <c r="H14" s="10" t="s">
        <v>134</v>
      </c>
      <c r="I14" s="3" t="s">
        <v>28</v>
      </c>
      <c r="J14" s="3"/>
      <c r="K14" s="8"/>
    </row>
    <row r="15" spans="1:11" ht="30" customHeight="1">
      <c r="A15" s="4">
        <v>11</v>
      </c>
      <c r="B15" s="4" t="s">
        <v>50</v>
      </c>
      <c r="C15" s="4" t="s">
        <v>577</v>
      </c>
      <c r="D15" s="4" t="s">
        <v>72</v>
      </c>
      <c r="E15" s="6" t="s">
        <v>590</v>
      </c>
      <c r="F15" s="6" t="s">
        <v>591</v>
      </c>
      <c r="G15" s="4" t="s">
        <v>592</v>
      </c>
      <c r="H15" s="10" t="s">
        <v>134</v>
      </c>
      <c r="I15" s="4" t="s">
        <v>28</v>
      </c>
      <c r="J15" s="4"/>
      <c r="K15" s="6"/>
    </row>
    <row r="16" spans="1:11" ht="30" customHeight="1">
      <c r="A16" s="3">
        <v>12</v>
      </c>
      <c r="B16" s="3" t="s">
        <v>50</v>
      </c>
      <c r="C16" s="3" t="s">
        <v>577</v>
      </c>
      <c r="D16" s="3" t="s">
        <v>72</v>
      </c>
      <c r="E16" s="8" t="s">
        <v>593</v>
      </c>
      <c r="F16" s="8" t="s">
        <v>594</v>
      </c>
      <c r="G16" s="3" t="s">
        <v>595</v>
      </c>
      <c r="H16" s="10" t="s">
        <v>134</v>
      </c>
      <c r="I16" s="3" t="s">
        <v>28</v>
      </c>
      <c r="J16" s="3"/>
      <c r="K16" s="8"/>
    </row>
    <row r="17" spans="1:11" ht="30" customHeight="1">
      <c r="A17" s="4">
        <v>13</v>
      </c>
      <c r="B17" s="4" t="s">
        <v>50</v>
      </c>
      <c r="C17" s="4" t="s">
        <v>577</v>
      </c>
      <c r="D17" s="4" t="s">
        <v>72</v>
      </c>
      <c r="E17" s="6"/>
      <c r="F17" s="6" t="s">
        <v>614</v>
      </c>
      <c r="G17" s="4" t="s">
        <v>615</v>
      </c>
      <c r="H17" s="10" t="s">
        <v>134</v>
      </c>
      <c r="I17" s="4" t="s">
        <v>28</v>
      </c>
      <c r="J17" s="4"/>
      <c r="K17" s="6"/>
    </row>
    <row r="18" spans="1:11" ht="30" customHeight="1">
      <c r="A18" s="3">
        <v>14</v>
      </c>
      <c r="B18" s="3" t="s">
        <v>50</v>
      </c>
      <c r="C18" s="3" t="s">
        <v>616</v>
      </c>
      <c r="D18" s="3" t="s">
        <v>72</v>
      </c>
      <c r="E18" s="8" t="s">
        <v>617</v>
      </c>
      <c r="F18" s="8" t="s">
        <v>618</v>
      </c>
      <c r="G18" s="3" t="inlineStr">
        <is>
          <t xml:space="preserve">SH-FM-WI028-04</t>
        </is>
      </c>
      <c r="H18" s="7" t="inlineStr">
        <is>
          <t xml:space="preserve">기존 절차 연계</t>
        </is>
      </c>
      <c r="I18" s="3" t="s">
        <v>28</v>
      </c>
      <c r="J18" s="3"/>
      <c r="K18" s="8" t="inlineStr">
        <is>
          <t xml:space="preserve">[2026-09-22 확정] SH-WI-028(장기재고 및 유효기간 관리표준) 연계 확정(품질경영담당 일괄판단, 부서 정식회신 생략) — FM번호 재부여: SH-FM-MAT-N12 → SH-FM-WI028-04</t>
        </is>
      </c>
    </row>
    <row r="19" spans="1:11" ht="30" customHeight="1">
      <c r="A19" s="4">
        <v>15</v>
      </c>
      <c r="B19" s="4" t="s">
        <v>50</v>
      </c>
      <c r="C19" s="4" t="s">
        <v>616</v>
      </c>
      <c r="D19" s="4" t="s">
        <v>72</v>
      </c>
      <c r="E19" s="6" t="s">
        <v>621</v>
      </c>
      <c r="F19" s="6" t="s">
        <v>594</v>
      </c>
      <c r="G19" s="4" t="s">
        <v>622</v>
      </c>
      <c r="H19" s="10" t="s">
        <v>134</v>
      </c>
      <c r="I19" s="4" t="s">
        <v>28</v>
      </c>
      <c r="J19" s="4"/>
      <c r="K19" s="6"/>
    </row>
    <row r="20" spans="1:11" ht="30" customHeight="1">
      <c r="A20" s="3">
        <v>16</v>
      </c>
      <c r="B20" s="3" t="s">
        <v>47</v>
      </c>
      <c r="C20" s="3" t="s">
        <v>189</v>
      </c>
      <c r="D20" s="3" t="s">
        <v>166</v>
      </c>
      <c r="E20" s="8" t="s">
        <v>199</v>
      </c>
      <c r="F20" s="8" t="s">
        <v>200</v>
      </c>
      <c r="G20" s="3" t="s">
        <v>201</v>
      </c>
      <c r="H20" s="7" t="s">
        <v>77</v>
      </c>
      <c r="I20" s="3" t="s">
        <v>29</v>
      </c>
      <c r="J20" s="3"/>
      <c r="K20" s="8"/>
    </row>
    <row r="21" spans="1:11" ht="30" customHeight="1">
      <c r="A21" s="4">
        <v>17</v>
      </c>
      <c r="B21" s="4" t="s">
        <v>47</v>
      </c>
      <c r="C21" s="4" t="s">
        <v>189</v>
      </c>
      <c r="D21" s="4" t="s">
        <v>166</v>
      </c>
      <c r="E21" s="6" t="s">
        <v>211</v>
      </c>
      <c r="F21" s="6" t="s">
        <v>212</v>
      </c>
      <c r="G21" s="4" t="s">
        <v>213</v>
      </c>
      <c r="H21" s="7" t="s">
        <v>77</v>
      </c>
      <c r="I21" s="4" t="s">
        <v>29</v>
      </c>
      <c r="J21" s="4"/>
      <c r="K21" s="6" t="s">
        <v>79</v>
      </c>
    </row>
    <row r="22" spans="1:11" ht="30" customHeight="1">
      <c r="A22" s="3">
        <v>18</v>
      </c>
      <c r="B22" s="3" t="s">
        <v>47</v>
      </c>
      <c r="C22" s="3" t="s">
        <v>189</v>
      </c>
      <c r="D22" s="3" t="s">
        <v>166</v>
      </c>
      <c r="E22" s="8" t="s">
        <v>215</v>
      </c>
      <c r="F22" s="8" t="s">
        <v>216</v>
      </c>
      <c r="G22" s="3" t="s">
        <v>217</v>
      </c>
      <c r="H22" s="7" t="s">
        <v>77</v>
      </c>
      <c r="I22" s="3" t="s">
        <v>29</v>
      </c>
      <c r="J22" s="3"/>
      <c r="K22" s="8"/>
    </row>
    <row r="23" spans="1:11" ht="30" customHeight="1">
      <c r="A23" s="4">
        <v>19</v>
      </c>
      <c r="B23" s="4" t="s">
        <v>50</v>
      </c>
      <c r="C23" s="4" t="s">
        <v>544</v>
      </c>
      <c r="D23" s="4" t="s">
        <v>72</v>
      </c>
      <c r="E23" s="6" t="s">
        <v>545</v>
      </c>
      <c r="F23" s="6" t="s">
        <v>546</v>
      </c>
      <c r="G23" s="4" t="inlineStr">
        <is>
          <t xml:space="preserve">SH-FM-QP018-10</t>
        </is>
      </c>
      <c r="H23" s="7" t="inlineStr">
        <is>
          <t xml:space="preserve">기존 절차 연계</t>
        </is>
      </c>
      <c r="I23" s="4" t="s">
        <v>29</v>
      </c>
      <c r="J23" s="4"/>
      <c r="K23" s="6" t="inlineStr">
        <is>
          <t xml:space="preserve">[2026-09-22 확정] SH-QP-018(식별 및 추적성 관리 절차서) 연계 확정(품질경영담당 일괄판단, 부서 정식회신 생략) — FM번호 재부여: SH-FM-WI009-02 → SH-FM-QP018-10</t>
        </is>
      </c>
    </row>
    <row r="24" spans="1:11" ht="30" customHeight="1">
      <c r="A24" s="3">
        <v>20</v>
      </c>
      <c r="B24" s="3" t="s">
        <v>50</v>
      </c>
      <c r="C24" s="3" t="s">
        <v>577</v>
      </c>
      <c r="D24" s="3" t="s">
        <v>72</v>
      </c>
      <c r="E24" s="8" t="s">
        <v>578</v>
      </c>
      <c r="F24" s="8" t="s">
        <v>579</v>
      </c>
      <c r="G24" s="3" t="s">
        <v>580</v>
      </c>
      <c r="H24" s="7" t="s">
        <v>77</v>
      </c>
      <c r="I24" s="3" t="s">
        <v>29</v>
      </c>
      <c r="J24" s="3"/>
      <c r="K24" s="8"/>
    </row>
    <row r="25" spans="1:11" ht="30" customHeight="1">
      <c r="A25" s="4">
        <v>21</v>
      </c>
      <c r="B25" s="4" t="s">
        <v>50</v>
      </c>
      <c r="C25" s="4" t="s">
        <v>577</v>
      </c>
      <c r="D25" s="4" t="s">
        <v>72</v>
      </c>
      <c r="E25" s="6" t="s">
        <v>582</v>
      </c>
      <c r="F25" s="6" t="s">
        <v>583</v>
      </c>
      <c r="G25" s="4" t="s">
        <v>584</v>
      </c>
      <c r="H25" s="7" t="s">
        <v>77</v>
      </c>
      <c r="I25" s="4" t="s">
        <v>29</v>
      </c>
      <c r="J25" s="4"/>
      <c r="K25" s="6" t="s">
        <v>79</v>
      </c>
    </row>
    <row r="26" spans="1:11" ht="30" customHeight="1">
      <c r="A26" s="3">
        <v>22</v>
      </c>
      <c r="B26" s="3" t="s">
        <v>50</v>
      </c>
      <c r="C26" s="3" t="s">
        <v>577</v>
      </c>
      <c r="D26" s="3" t="s">
        <v>72</v>
      </c>
      <c r="E26" s="8" t="s">
        <v>586</v>
      </c>
      <c r="F26" s="8" t="s">
        <v>587</v>
      </c>
      <c r="G26" s="3" t="s">
        <v>588</v>
      </c>
      <c r="H26" s="7" t="s">
        <v>77</v>
      </c>
      <c r="I26" s="3" t="s">
        <v>29</v>
      </c>
      <c r="J26" s="3"/>
      <c r="K26" s="8" t="s">
        <v>79</v>
      </c>
    </row>
    <row r="27" spans="1:11" ht="30" customHeight="1">
      <c r="A27" s="4">
        <v>23</v>
      </c>
      <c r="B27" s="4" t="s">
        <v>50</v>
      </c>
      <c r="C27" s="4" t="s">
        <v>577</v>
      </c>
      <c r="D27" s="4" t="s">
        <v>72</v>
      </c>
      <c r="E27" s="6" t="s">
        <v>596</v>
      </c>
      <c r="F27" s="6" t="s">
        <v>597</v>
      </c>
      <c r="G27" s="4" t="s">
        <v>598</v>
      </c>
      <c r="H27" s="7" t="s">
        <v>77</v>
      </c>
      <c r="I27" s="4" t="s">
        <v>29</v>
      </c>
      <c r="J27" s="4"/>
      <c r="K27" s="6"/>
    </row>
    <row r="28" spans="1:11" ht="30" customHeight="1">
      <c r="A28" s="3">
        <v>24</v>
      </c>
      <c r="B28" s="3" t="s">
        <v>50</v>
      </c>
      <c r="C28" s="3" t="s">
        <v>577</v>
      </c>
      <c r="D28" s="3" t="s">
        <v>72</v>
      </c>
      <c r="E28" s="8"/>
      <c r="F28" s="8" t="s">
        <v>600</v>
      </c>
      <c r="G28" s="3" t="s">
        <v>601</v>
      </c>
      <c r="H28" s="7" t="s">
        <v>77</v>
      </c>
      <c r="I28" s="3" t="s">
        <v>29</v>
      </c>
      <c r="J28" s="3"/>
      <c r="K28" s="8"/>
    </row>
    <row r="29" spans="1:11" ht="30" customHeight="1">
      <c r="A29" s="4">
        <v>25</v>
      </c>
      <c r="B29" s="4" t="s">
        <v>50</v>
      </c>
      <c r="C29" s="4" t="s">
        <v>577</v>
      </c>
      <c r="D29" s="4" t="s">
        <v>72</v>
      </c>
      <c r="E29" s="6"/>
      <c r="F29" s="6" t="s">
        <v>603</v>
      </c>
      <c r="G29" s="4" t="s">
        <v>604</v>
      </c>
      <c r="H29" s="7" t="s">
        <v>77</v>
      </c>
      <c r="I29" s="4" t="s">
        <v>30</v>
      </c>
      <c r="J29" s="4"/>
      <c r="K29" s="6"/>
    </row>
    <row r="30" spans="1:11" ht="30" customHeight="1">
      <c r="A30" s="3">
        <v>26</v>
      </c>
      <c r="B30" s="3" t="s">
        <v>50</v>
      </c>
      <c r="C30" s="3" t="s">
        <v>577</v>
      </c>
      <c r="D30" s="3" t="s">
        <v>72</v>
      </c>
      <c r="E30" s="8"/>
      <c r="F30" s="8" t="s">
        <v>611</v>
      </c>
      <c r="G30" s="3" t="s">
        <v>612</v>
      </c>
      <c r="H30" s="7" t="s">
        <v>77</v>
      </c>
      <c r="I30" s="3" t="s">
        <v>30</v>
      </c>
      <c r="J30" s="3"/>
      <c r="K30" s="8" t="s">
        <v>79</v>
      </c>
    </row>
    <row r="31" spans="1:11" ht="30" customHeight="1">
      <c r="A31" s="4">
        <v>27</v>
      </c>
      <c r="B31" s="4" t="s">
        <v>50</v>
      </c>
      <c r="C31" s="4" t="s">
        <v>616</v>
      </c>
      <c r="D31" s="4" t="s">
        <v>72</v>
      </c>
      <c r="E31" s="6" t="s">
        <v>623</v>
      </c>
      <c r="F31" s="6" t="s">
        <v>597</v>
      </c>
      <c r="G31" s="4" t="s">
        <v>624</v>
      </c>
      <c r="H31" s="7" t="s">
        <v>77</v>
      </c>
      <c r="I31" s="4" t="s">
        <v>30</v>
      </c>
      <c r="J31" s="4"/>
      <c r="K31" s="6" t="s">
        <v>79</v>
      </c>
    </row>
    <row r="32" spans="1:11" ht="30" customHeight="1">
      <c r="A32" s="3">
        <v>28</v>
      </c>
      <c r="B32" s="3" t="s">
        <v>50</v>
      </c>
      <c r="C32" s="3" t="s">
        <v>616</v>
      </c>
      <c r="D32" s="3" t="s">
        <v>72</v>
      </c>
      <c r="E32" s="8" t="s">
        <v>626</v>
      </c>
      <c r="F32" s="8" t="s">
        <v>603</v>
      </c>
      <c r="G32" s="3" t="s">
        <v>627</v>
      </c>
      <c r="H32" s="7" t="s">
        <v>77</v>
      </c>
      <c r="I32" s="3" t="s">
        <v>30</v>
      </c>
      <c r="J32" s="3"/>
      <c r="K32" s="8"/>
    </row>
    <row r="33" spans="1:11" ht="30" customHeight="1">
      <c r="A33" s="4">
        <v>29</v>
      </c>
      <c r="B33" s="4" t="s">
        <v>50</v>
      </c>
      <c r="C33" s="4" t="s">
        <v>630</v>
      </c>
      <c r="D33" s="4" t="s">
        <v>72</v>
      </c>
      <c r="E33" s="6" t="s">
        <v>638</v>
      </c>
      <c r="F33" s="6" t="s">
        <v>639</v>
      </c>
      <c r="G33" s="4" t="s">
        <v>640</v>
      </c>
      <c r="H33" s="7" t="s">
        <v>77</v>
      </c>
      <c r="I33" s="4" t="s">
        <v>30</v>
      </c>
      <c r="J33" s="4"/>
      <c r="K33" s="6" t="s">
        <v>79</v>
      </c>
    </row>
    <row r="34" spans="1:11" ht="30" customHeight="1">
      <c r="A34" s="3">
        <v>30</v>
      </c>
      <c r="B34" s="3" t="s">
        <v>50</v>
      </c>
      <c r="C34" s="3" t="s">
        <v>630</v>
      </c>
      <c r="D34" s="3" t="s">
        <v>72</v>
      </c>
      <c r="E34" s="8" t="s">
        <v>643</v>
      </c>
      <c r="F34" s="8" t="s">
        <v>644</v>
      </c>
      <c r="G34" s="3" t="s">
        <v>645</v>
      </c>
      <c r="H34" s="7" t="s">
        <v>77</v>
      </c>
      <c r="I34" s="3" t="s">
        <v>30</v>
      </c>
      <c r="J34" s="3"/>
      <c r="K34" s="8" t="s">
        <v>79</v>
      </c>
    </row>
    <row r="35" spans="1:11" ht="30" customHeight="1">
      <c r="A35" s="4">
        <v>31</v>
      </c>
      <c r="B35" s="4" t="s">
        <v>50</v>
      </c>
      <c r="C35" s="4" t="s">
        <v>630</v>
      </c>
      <c r="D35" s="4" t="s">
        <v>72</v>
      </c>
      <c r="E35" s="6" t="s">
        <v>647</v>
      </c>
      <c r="F35" s="6" t="s">
        <v>648</v>
      </c>
      <c r="G35" s="4" t="s">
        <v>649</v>
      </c>
      <c r="H35" s="7" t="s">
        <v>77</v>
      </c>
      <c r="I35" s="4" t="s">
        <v>30</v>
      </c>
      <c r="J35" s="4"/>
      <c r="K35" s="6" t="s">
        <v>79</v>
      </c>
    </row>
    <row r="36" spans="1:11" ht="30" customHeight="1">
      <c r="A36" s="3">
        <v>32</v>
      </c>
      <c r="B36" s="3" t="s">
        <v>50</v>
      </c>
      <c r="C36" s="3" t="s">
        <v>630</v>
      </c>
      <c r="D36" s="3" t="s">
        <v>72</v>
      </c>
      <c r="E36" s="8" t="s">
        <v>651</v>
      </c>
      <c r="F36" s="8" t="s">
        <v>652</v>
      </c>
      <c r="G36" s="3" t="s">
        <v>653</v>
      </c>
      <c r="H36" s="7" t="s">
        <v>77</v>
      </c>
      <c r="I36" s="3" t="s">
        <v>30</v>
      </c>
      <c r="J36" s="3"/>
      <c r="K36" s="8" t="s">
        <v>79</v>
      </c>
    </row>
  </sheetData>
  <autoFilter ref="A4:K36" xr:uid="{00000000-0009-0000-0000-00000D000000}"/>
  <mergeCells count="3">
    <mergeCell ref="A2:K2"/>
    <mergeCell ref="A1:K1"/>
    <mergeCell ref="A3:K3"/>
  </mergeCells>
  <phoneticPr fontId="15" type="noConversion"/>
  <dataValidations count="1">
    <dataValidation type="list" allowBlank="1" sqref="J5:J36" xr:uid="{00000000-0002-0000-0D00-000000000000}">
      <formula1>"미착수,진행중,완료,해당없음"</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3"/>
  <sheetViews>
    <sheetView showGridLines="0" workbookViewId="0">
      <pane ySplit="4" topLeftCell="A5" activePane="bottomLeft" state="frozen"/>
      <selection pane="bottomLeft" sqref="A1:K1"/>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998</v>
      </c>
      <c r="B1" s="25"/>
      <c r="C1" s="25"/>
      <c r="D1" s="25"/>
      <c r="E1" s="25"/>
      <c r="F1" s="25"/>
      <c r="G1" s="25"/>
      <c r="H1" s="25"/>
      <c r="I1" s="25"/>
      <c r="J1" s="25"/>
      <c r="K1" s="25"/>
    </row>
    <row r="2" spans="1:11" ht="15.95" customHeight="1">
      <c r="A2" s="27" t="s">
        <v>999</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46</v>
      </c>
      <c r="C5" s="4" t="s">
        <v>165</v>
      </c>
      <c r="D5" s="4" t="s">
        <v>166</v>
      </c>
      <c r="E5" s="6"/>
      <c r="F5" s="6" t="s">
        <v>176</v>
      </c>
      <c r="G5" s="4" t="inlineStr">
        <is>
          <t xml:space="preserve">SH-FM-QP003-05</t>
        </is>
      </c>
      <c r="H5" s="7" t="inlineStr">
        <is>
          <t xml:space="preserve">기존 절차 연계</t>
        </is>
      </c>
      <c r="I5" s="4" t="s">
        <v>27</v>
      </c>
      <c r="J5" s="4"/>
      <c r="K5" s="6" t="inlineStr">
        <is>
          <t xml:space="preserve">[2026-09-22 확정] SH-QP-003(기록관리 절차서) 연계 확정(품질경영담당 일괄판단, 부서 정식회신 생략) — FM번호 재부여: SH-FM-PRD-N08 → SH-FM-QP003-05</t>
        </is>
      </c>
    </row>
    <row r="6" spans="1:11" ht="30" customHeight="1">
      <c r="A6" s="3">
        <v>2</v>
      </c>
      <c r="B6" s="3" t="s">
        <v>46</v>
      </c>
      <c r="C6" s="3" t="s">
        <v>165</v>
      </c>
      <c r="D6" s="3" t="s">
        <v>166</v>
      </c>
      <c r="E6" s="8"/>
      <c r="F6" s="8" t="s">
        <v>180</v>
      </c>
      <c r="G6" s="3" t="inlineStr">
        <is>
          <t xml:space="preserve">SH-FM-QP003-06</t>
        </is>
      </c>
      <c r="H6" s="7" t="inlineStr">
        <is>
          <t xml:space="preserve">기존 절차 연계</t>
        </is>
      </c>
      <c r="I6" s="3" t="s">
        <v>27</v>
      </c>
      <c r="J6" s="3"/>
      <c r="K6" s="8" t="inlineStr">
        <is>
          <t xml:space="preserve">[2026-09-22 확정] SH-QP-003(기록관리 절차서) 연계 확정(품질경영담당 일괄판단, 부서 정식회신 생략) — FM번호 재부여: SH-FM-PRD-N09 → SH-FM-QP003-06</t>
        </is>
      </c>
    </row>
    <row r="7" spans="1:11" ht="30" customHeight="1">
      <c r="A7" s="4">
        <v>3</v>
      </c>
      <c r="B7" s="4" t="s">
        <v>46</v>
      </c>
      <c r="C7" s="4" t="s">
        <v>165</v>
      </c>
      <c r="D7" s="4" t="s">
        <v>166</v>
      </c>
      <c r="E7" s="6"/>
      <c r="F7" s="6" t="s">
        <v>183</v>
      </c>
      <c r="G7" s="4" t="s">
        <v>184</v>
      </c>
      <c r="H7" s="10" t="s">
        <v>134</v>
      </c>
      <c r="I7" s="4" t="s">
        <v>27</v>
      </c>
      <c r="J7" s="4"/>
      <c r="K7" s="6"/>
    </row>
    <row r="8" spans="1:11" ht="30" customHeight="1">
      <c r="A8" s="3">
        <v>4</v>
      </c>
      <c r="B8" s="3" t="s">
        <v>46</v>
      </c>
      <c r="C8" s="3" t="s">
        <v>165</v>
      </c>
      <c r="D8" s="3" t="s">
        <v>166</v>
      </c>
      <c r="E8" s="8"/>
      <c r="F8" s="8" t="s">
        <v>187</v>
      </c>
      <c r="G8" s="3" t="s">
        <v>188</v>
      </c>
      <c r="H8" s="10" t="s">
        <v>134</v>
      </c>
      <c r="I8" s="3" t="s">
        <v>27</v>
      </c>
      <c r="J8" s="3"/>
      <c r="K8" s="8"/>
    </row>
    <row r="9" spans="1:11" ht="30" customHeight="1">
      <c r="A9" s="4">
        <v>5</v>
      </c>
      <c r="B9" s="4" t="s">
        <v>48</v>
      </c>
      <c r="C9" s="4" t="s">
        <v>401</v>
      </c>
      <c r="D9" s="4" t="s">
        <v>72</v>
      </c>
      <c r="E9" s="6" t="s">
        <v>402</v>
      </c>
      <c r="F9" s="6" t="s">
        <v>403</v>
      </c>
      <c r="G9" s="4" t="s">
        <v>404</v>
      </c>
      <c r="H9" s="10" t="s">
        <v>134</v>
      </c>
      <c r="I9" s="4" t="s">
        <v>28</v>
      </c>
      <c r="J9" s="4"/>
      <c r="K9" s="6" t="s">
        <v>405</v>
      </c>
    </row>
    <row r="10" spans="1:11" ht="30" customHeight="1">
      <c r="A10" s="3">
        <v>6</v>
      </c>
      <c r="B10" s="3" t="s">
        <v>48</v>
      </c>
      <c r="C10" s="3" t="s">
        <v>401</v>
      </c>
      <c r="D10" s="3" t="s">
        <v>72</v>
      </c>
      <c r="E10" s="8" t="s">
        <v>406</v>
      </c>
      <c r="F10" s="8" t="s">
        <v>407</v>
      </c>
      <c r="G10" s="3" t="s">
        <v>408</v>
      </c>
      <c r="H10" s="10" t="s">
        <v>134</v>
      </c>
      <c r="I10" s="3" t="s">
        <v>28</v>
      </c>
      <c r="J10" s="3"/>
      <c r="K10" s="8"/>
    </row>
    <row r="11" spans="1:11" ht="30" customHeight="1">
      <c r="A11" s="4">
        <v>7</v>
      </c>
      <c r="B11" s="4" t="s">
        <v>48</v>
      </c>
      <c r="C11" s="4" t="s">
        <v>401</v>
      </c>
      <c r="D11" s="4" t="s">
        <v>72</v>
      </c>
      <c r="E11" s="6" t="s">
        <v>409</v>
      </c>
      <c r="F11" s="6" t="s">
        <v>410</v>
      </c>
      <c r="G11" s="4" t="s">
        <v>411</v>
      </c>
      <c r="H11" s="10" t="s">
        <v>134</v>
      </c>
      <c r="I11" s="4" t="s">
        <v>28</v>
      </c>
      <c r="J11" s="4"/>
      <c r="K11" s="6"/>
    </row>
    <row r="12" spans="1:11" ht="30" customHeight="1">
      <c r="A12" s="3">
        <v>8</v>
      </c>
      <c r="B12" s="3" t="s">
        <v>48</v>
      </c>
      <c r="C12" s="3" t="s">
        <v>401</v>
      </c>
      <c r="D12" s="3" t="s">
        <v>72</v>
      </c>
      <c r="E12" s="8" t="s">
        <v>412</v>
      </c>
      <c r="F12" s="8" t="s">
        <v>413</v>
      </c>
      <c r="G12" s="3" t="s">
        <v>414</v>
      </c>
      <c r="H12" s="10" t="s">
        <v>134</v>
      </c>
      <c r="I12" s="3" t="s">
        <v>28</v>
      </c>
      <c r="J12" s="3"/>
      <c r="K12" s="8"/>
    </row>
    <row r="13" spans="1:11" ht="30" customHeight="1">
      <c r="A13" s="4">
        <v>9</v>
      </c>
      <c r="B13" s="4" t="s">
        <v>48</v>
      </c>
      <c r="C13" s="4" t="s">
        <v>401</v>
      </c>
      <c r="D13" s="4" t="s">
        <v>72</v>
      </c>
      <c r="E13" s="6" t="s">
        <v>420</v>
      </c>
      <c r="F13" s="6" t="s">
        <v>421</v>
      </c>
      <c r="G13" s="4" t="inlineStr">
        <is>
          <t xml:space="preserve">SH-FM-QP015-01</t>
        </is>
      </c>
      <c r="H13" s="7" t="inlineStr">
        <is>
          <t xml:space="preserve">기존 절차 연계</t>
        </is>
      </c>
      <c r="I13" s="4" t="s">
        <v>28</v>
      </c>
      <c r="J13" s="4"/>
      <c r="K13" s="6" t="inlineStr">
        <is>
          <t xml:space="preserve">[2026-09-22 확정] SH-QP-015(변경관리 절차서) 연계 확정(품질경영담당 일괄판단, 부서 정식회신 생략) — FM번호 재부여: SH-FM-EQP-N06 → SH-FM-QP015-01</t>
        </is>
      </c>
    </row>
    <row r="14" spans="1:11" ht="30" customHeight="1">
      <c r="A14" s="3">
        <v>10</v>
      </c>
      <c r="B14" s="3" t="s">
        <v>48</v>
      </c>
      <c r="C14" s="3" t="s">
        <v>401</v>
      </c>
      <c r="D14" s="3" t="s">
        <v>72</v>
      </c>
      <c r="E14" s="8" t="s">
        <v>433</v>
      </c>
      <c r="F14" s="8" t="s">
        <v>434</v>
      </c>
      <c r="G14" s="3" t="s">
        <v>435</v>
      </c>
      <c r="H14" s="10" t="s">
        <v>134</v>
      </c>
      <c r="I14" s="3" t="s">
        <v>29</v>
      </c>
      <c r="J14" s="3"/>
      <c r="K14" s="8"/>
    </row>
    <row r="15" spans="1:11" ht="30" customHeight="1">
      <c r="A15" s="4">
        <v>11</v>
      </c>
      <c r="B15" s="4" t="s">
        <v>48</v>
      </c>
      <c r="C15" s="4" t="s">
        <v>401</v>
      </c>
      <c r="D15" s="4" t="s">
        <v>72</v>
      </c>
      <c r="E15" s="6" t="s">
        <v>436</v>
      </c>
      <c r="F15" s="6" t="s">
        <v>437</v>
      </c>
      <c r="G15" s="4" t="s">
        <v>438</v>
      </c>
      <c r="H15" s="10" t="s">
        <v>134</v>
      </c>
      <c r="I15" s="4" t="s">
        <v>29</v>
      </c>
      <c r="J15" s="4"/>
      <c r="K15" s="6"/>
    </row>
    <row r="16" spans="1:11" ht="30" customHeight="1">
      <c r="A16" s="3">
        <v>12</v>
      </c>
      <c r="B16" s="3" t="s">
        <v>48</v>
      </c>
      <c r="C16" s="3" t="s">
        <v>401</v>
      </c>
      <c r="D16" s="3" t="s">
        <v>72</v>
      </c>
      <c r="E16" s="8" t="s">
        <v>439</v>
      </c>
      <c r="F16" s="8" t="s">
        <v>440</v>
      </c>
      <c r="G16" s="3" t="s">
        <v>441</v>
      </c>
      <c r="H16" s="10" t="s">
        <v>134</v>
      </c>
      <c r="I16" s="3" t="s">
        <v>29</v>
      </c>
      <c r="J16" s="3"/>
      <c r="K16" s="8"/>
    </row>
    <row r="17" spans="1:11" ht="30" customHeight="1">
      <c r="A17" s="4">
        <v>13</v>
      </c>
      <c r="B17" s="4" t="s">
        <v>48</v>
      </c>
      <c r="C17" s="4" t="s">
        <v>453</v>
      </c>
      <c r="D17" s="4" t="s">
        <v>72</v>
      </c>
      <c r="E17" s="6" t="s">
        <v>454</v>
      </c>
      <c r="F17" s="6" t="s">
        <v>455</v>
      </c>
      <c r="G17" s="4" t="s">
        <v>456</v>
      </c>
      <c r="H17" s="10" t="s">
        <v>134</v>
      </c>
      <c r="I17" s="4" t="s">
        <v>29</v>
      </c>
      <c r="J17" s="4"/>
      <c r="K17" s="6"/>
    </row>
    <row r="18" spans="1:11" ht="30" customHeight="1">
      <c r="A18" s="3">
        <v>14</v>
      </c>
      <c r="B18" s="3" t="s">
        <v>48</v>
      </c>
      <c r="C18" s="3" t="s">
        <v>453</v>
      </c>
      <c r="D18" s="3" t="s">
        <v>72</v>
      </c>
      <c r="E18" s="8"/>
      <c r="F18" s="8" t="s">
        <v>457</v>
      </c>
      <c r="G18" s="3" t="s">
        <v>458</v>
      </c>
      <c r="H18" s="10" t="s">
        <v>134</v>
      </c>
      <c r="I18" s="3" t="s">
        <v>29</v>
      </c>
      <c r="J18" s="3"/>
      <c r="K18" s="8"/>
    </row>
    <row r="19" spans="1:11" ht="30" customHeight="1">
      <c r="A19" s="4">
        <v>15</v>
      </c>
      <c r="B19" s="4" t="s">
        <v>48</v>
      </c>
      <c r="C19" s="4" t="s">
        <v>384</v>
      </c>
      <c r="D19" s="4" t="s">
        <v>72</v>
      </c>
      <c r="E19" s="6" t="s">
        <v>394</v>
      </c>
      <c r="F19" s="6" t="s">
        <v>395</v>
      </c>
      <c r="G19" s="4" t="s">
        <v>396</v>
      </c>
      <c r="H19" s="7" t="s">
        <v>77</v>
      </c>
      <c r="I19" s="4" t="s">
        <v>30</v>
      </c>
      <c r="J19" s="4"/>
      <c r="K19" s="6" t="s">
        <v>79</v>
      </c>
    </row>
    <row r="20" spans="1:11" ht="30" customHeight="1">
      <c r="A20" s="3">
        <v>16</v>
      </c>
      <c r="B20" s="3" t="s">
        <v>48</v>
      </c>
      <c r="C20" s="3" t="s">
        <v>401</v>
      </c>
      <c r="D20" s="3" t="s">
        <v>72</v>
      </c>
      <c r="E20" s="8" t="s">
        <v>416</v>
      </c>
      <c r="F20" s="8" t="s">
        <v>417</v>
      </c>
      <c r="G20" s="3" t="inlineStr">
        <is>
          <t xml:space="preserve">SH-FM-WI015-02</t>
        </is>
      </c>
      <c r="H20" s="7" t="inlineStr">
        <is>
          <t xml:space="preserve">기존 절차 연계</t>
        </is>
      </c>
      <c r="I20" s="3" t="s">
        <v>30</v>
      </c>
      <c r="J20" s="3"/>
      <c r="K20" s="8" t="inlineStr">
        <is>
          <t xml:space="preserve">[2026-09-22 확정] SH-WI-015(작업자 표준작업 및 교대인수인계 표준) 연계 확정(품질경영담당 일괄판단, 부서 정식회신 생략) — FM번호 재부여: SH-FM-WI018-01 → SH-FM-WI015-02</t>
        </is>
      </c>
    </row>
    <row r="21" spans="1:11" ht="30" customHeight="1">
      <c r="A21" s="4">
        <v>17</v>
      </c>
      <c r="B21" s="4" t="s">
        <v>48</v>
      </c>
      <c r="C21" s="4" t="s">
        <v>401</v>
      </c>
      <c r="D21" s="4" t="s">
        <v>72</v>
      </c>
      <c r="E21" s="6" t="s">
        <v>424</v>
      </c>
      <c r="F21" s="6" t="s">
        <v>425</v>
      </c>
      <c r="G21" s="4" t="s">
        <v>426</v>
      </c>
      <c r="H21" s="7" t="s">
        <v>77</v>
      </c>
      <c r="I21" s="4" t="s">
        <v>30</v>
      </c>
      <c r="J21" s="4"/>
      <c r="K21" s="6" t="s">
        <v>79</v>
      </c>
    </row>
    <row r="22" spans="1:11" ht="30" customHeight="1">
      <c r="A22" s="3">
        <v>18</v>
      </c>
      <c r="B22" s="3" t="s">
        <v>48</v>
      </c>
      <c r="C22" s="3" t="s">
        <v>401</v>
      </c>
      <c r="D22" s="3" t="s">
        <v>72</v>
      </c>
      <c r="E22" s="8" t="s">
        <v>429</v>
      </c>
      <c r="F22" s="8" t="s">
        <v>430</v>
      </c>
      <c r="G22" s="3" t="s">
        <v>431</v>
      </c>
      <c r="H22" s="7" t="s">
        <v>77</v>
      </c>
      <c r="I22" s="3" t="s">
        <v>30</v>
      </c>
      <c r="J22" s="3"/>
      <c r="K22" s="8" t="s">
        <v>79</v>
      </c>
    </row>
    <row r="23" spans="1:11" ht="30" customHeight="1">
      <c r="A23" s="4">
        <v>19</v>
      </c>
      <c r="B23" s="4" t="s">
        <v>48</v>
      </c>
      <c r="C23" s="4" t="s">
        <v>453</v>
      </c>
      <c r="D23" s="4" t="s">
        <v>72</v>
      </c>
      <c r="E23" s="6"/>
      <c r="F23" s="6" t="s">
        <v>407</v>
      </c>
      <c r="G23" s="4" t="s">
        <v>459</v>
      </c>
      <c r="H23" s="10" t="s">
        <v>134</v>
      </c>
      <c r="I23" s="4" t="s">
        <v>30</v>
      </c>
      <c r="J23" s="4"/>
      <c r="K23" s="6"/>
    </row>
  </sheetData>
  <autoFilter ref="A4:K23" xr:uid="{00000000-0009-0000-0000-00000E000000}"/>
  <mergeCells count="3">
    <mergeCell ref="A2:K2"/>
    <mergeCell ref="A1:K1"/>
    <mergeCell ref="A3:K3"/>
  </mergeCells>
  <phoneticPr fontId="15" type="noConversion"/>
  <dataValidations count="1">
    <dataValidation type="list" allowBlank="1" sqref="J5:J23" xr:uid="{00000000-0002-0000-0E00-000000000000}">
      <formula1>"미착수,진행중,완료,해당없음"</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6"/>
  <sheetViews>
    <sheetView showGridLines="0" workbookViewId="0">
      <pane ySplit="4" topLeftCell="A5" activePane="bottomLeft" state="frozen"/>
      <selection pane="bottomLeft" sqref="A1:K1"/>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1000</v>
      </c>
      <c r="B1" s="25"/>
      <c r="C1" s="25"/>
      <c r="D1" s="25"/>
      <c r="E1" s="25"/>
      <c r="F1" s="25"/>
      <c r="G1" s="25"/>
      <c r="H1" s="25"/>
      <c r="I1" s="25"/>
      <c r="J1" s="25"/>
      <c r="K1" s="25"/>
    </row>
    <row r="2" spans="1:11" ht="15.95" customHeight="1">
      <c r="A2" s="27" t="s">
        <v>1001</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49</v>
      </c>
      <c r="C5" s="4" t="s">
        <v>514</v>
      </c>
      <c r="D5" s="4" t="s">
        <v>122</v>
      </c>
      <c r="E5" s="6" t="s">
        <v>515</v>
      </c>
      <c r="F5" s="6" t="s">
        <v>516</v>
      </c>
      <c r="G5" s="4" t="inlineStr">
        <is>
          <t xml:space="preserve">SH-FM-QP023-01</t>
        </is>
      </c>
      <c r="H5" s="7" t="inlineStr">
        <is>
          <t xml:space="preserve">기존 절차 연계</t>
        </is>
      </c>
      <c r="I5" s="4" t="s">
        <v>28</v>
      </c>
      <c r="J5" s="4"/>
      <c r="K5" s="6" t="inlineStr">
        <is>
          <t xml:space="preserve">[2026-09-22 확정] SH-QP-023(통계적 공정관리(SPC) 절차서) 연계 확정(품질경영담당 일괄판단, 부서 정식회신 생략) — FM번호 재부여: SH-FM-WI008-12 → SH-FM-QP023-01</t>
        </is>
      </c>
    </row>
    <row r="6" spans="1:11" ht="30" customHeight="1">
      <c r="A6" s="3">
        <v>2</v>
      </c>
      <c r="B6" s="3" t="s">
        <v>49</v>
      </c>
      <c r="C6" s="3" t="s">
        <v>514</v>
      </c>
      <c r="D6" s="3" t="s">
        <v>122</v>
      </c>
      <c r="E6" s="8" t="s">
        <v>519</v>
      </c>
      <c r="F6" s="8" t="s">
        <v>520</v>
      </c>
      <c r="G6" s="3" t="s">
        <v>521</v>
      </c>
      <c r="H6" s="7" t="s">
        <v>77</v>
      </c>
      <c r="I6" s="3" t="s">
        <v>29</v>
      </c>
      <c r="J6" s="3"/>
      <c r="K6" s="8"/>
    </row>
  </sheetData>
  <autoFilter ref="A4:K6" xr:uid="{00000000-0009-0000-0000-00000F000000}"/>
  <mergeCells count="3">
    <mergeCell ref="A2:K2"/>
    <mergeCell ref="A1:K1"/>
    <mergeCell ref="A3:K3"/>
  </mergeCells>
  <phoneticPr fontId="15" type="noConversion"/>
  <dataValidations count="1">
    <dataValidation type="list" allowBlank="1" sqref="J5:J6" xr:uid="{00000000-0002-0000-0F00-000000000000}">
      <formula1>"미착수,진행중,완료,해당없음"</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showGridLines="0" workbookViewId="0">
      <pane ySplit="4" topLeftCell="A5" activePane="bottomLeft" state="frozen"/>
      <selection pane="bottomLeft" activeCell="F22" sqref="F22"/>
    </sheetView>
  </sheetViews>
  <sheetFormatPr defaultRowHeight="16.5"/>
  <cols>
    <col min="1" max="1" width="5" customWidth="1"/>
    <col min="2" max="2" width="13" customWidth="1"/>
    <col min="3" max="3" width="7" customWidth="1"/>
    <col min="4" max="4" width="8" customWidth="1"/>
    <col min="5" max="5" width="32" customWidth="1"/>
    <col min="6" max="6" width="24" customWidth="1"/>
    <col min="7" max="7" width="13" customWidth="1"/>
    <col min="8" max="8" width="14" customWidth="1"/>
    <col min="9" max="9" width="13" customWidth="1"/>
    <col min="10" max="10" width="10" customWidth="1"/>
    <col min="11" max="11" width="16" customWidth="1"/>
  </cols>
  <sheetData>
    <row r="1" spans="1:11" ht="26.1" customHeight="1">
      <c r="A1" s="24" t="s">
        <v>1002</v>
      </c>
      <c r="B1" s="25"/>
      <c r="C1" s="25"/>
      <c r="D1" s="25"/>
      <c r="E1" s="25"/>
      <c r="F1" s="25"/>
      <c r="G1" s="25"/>
      <c r="H1" s="25"/>
      <c r="I1" s="25"/>
      <c r="J1" s="25"/>
      <c r="K1" s="25"/>
    </row>
    <row r="2" spans="1:11" ht="15.95" customHeight="1">
      <c r="A2" s="27" t="s">
        <v>1003</v>
      </c>
      <c r="B2" s="25"/>
      <c r="C2" s="25"/>
      <c r="D2" s="25"/>
      <c r="E2" s="25"/>
      <c r="F2" s="25"/>
      <c r="G2" s="25"/>
      <c r="H2" s="25"/>
      <c r="I2" s="25"/>
      <c r="J2" s="25"/>
      <c r="K2" s="25"/>
    </row>
    <row r="3" spans="1:11" ht="15.95" customHeight="1">
      <c r="A3" s="26" t="s">
        <v>36</v>
      </c>
      <c r="B3" s="25"/>
      <c r="C3" s="25"/>
      <c r="D3" s="25"/>
      <c r="E3" s="25"/>
      <c r="F3" s="25"/>
      <c r="G3" s="25"/>
      <c r="H3" s="25"/>
      <c r="I3" s="25"/>
      <c r="J3" s="25"/>
      <c r="K3" s="25"/>
    </row>
    <row r="4" spans="1:11" ht="30" customHeight="1">
      <c r="A4" s="2" t="s">
        <v>38</v>
      </c>
      <c r="B4" s="2" t="s">
        <v>39</v>
      </c>
      <c r="C4" s="2" t="s">
        <v>60</v>
      </c>
      <c r="D4" s="2" t="s">
        <v>10</v>
      </c>
      <c r="E4" s="2" t="s">
        <v>62</v>
      </c>
      <c r="F4" s="2" t="s">
        <v>63</v>
      </c>
      <c r="G4" s="2" t="s">
        <v>64</v>
      </c>
      <c r="H4" s="2" t="s">
        <v>67</v>
      </c>
      <c r="I4" s="2" t="s">
        <v>69</v>
      </c>
      <c r="J4" s="2" t="s">
        <v>31</v>
      </c>
      <c r="K4" s="2" t="s">
        <v>70</v>
      </c>
    </row>
    <row r="5" spans="1:11" ht="30" customHeight="1">
      <c r="A5" s="4">
        <v>1</v>
      </c>
      <c r="B5" s="4" t="s">
        <v>46</v>
      </c>
      <c r="C5" s="4" t="s">
        <v>165</v>
      </c>
      <c r="D5" s="4" t="s">
        <v>166</v>
      </c>
      <c r="E5" s="6"/>
      <c r="F5" s="6" t="s">
        <v>173</v>
      </c>
      <c r="G5" s="4" t="inlineStr">
        <is>
          <t xml:space="preserve">SH-FM-WI001-01</t>
        </is>
      </c>
      <c r="H5" s="7" t="inlineStr">
        <is>
          <t xml:space="preserve">기존 절차 연계</t>
        </is>
      </c>
      <c r="I5" s="4" t="s">
        <v>27</v>
      </c>
      <c r="J5" s="4"/>
      <c r="K5" s="6" t="inlineStr">
        <is>
          <t xml:space="preserve">[2026-09-22 확정] SH-WI-001(생산 작업준비 및 초품확인 표준) 연계 확정(품질경영담당 일괄판단, 부서 정식회신 생략) — FM번호 재부여: SH-FM-PRD-N07 → SH-FM-WI001-01</t>
        </is>
      </c>
    </row>
    <row r="6" spans="1:11" ht="30" customHeight="1">
      <c r="A6" s="3">
        <v>2</v>
      </c>
      <c r="B6" s="3" t="s">
        <v>46</v>
      </c>
      <c r="C6" s="3" t="s">
        <v>165</v>
      </c>
      <c r="D6" s="3" t="s">
        <v>166</v>
      </c>
      <c r="E6" s="8"/>
      <c r="F6" s="8" t="s">
        <v>185</v>
      </c>
      <c r="G6" s="3" t="s">
        <v>186</v>
      </c>
      <c r="H6" s="10" t="s">
        <v>134</v>
      </c>
      <c r="I6" s="3" t="s">
        <v>27</v>
      </c>
      <c r="J6" s="3"/>
      <c r="K6" s="8"/>
    </row>
    <row r="7" spans="1:11" ht="30" customHeight="1">
      <c r="A7" s="4">
        <v>3</v>
      </c>
      <c r="B7" s="4" t="s">
        <v>47</v>
      </c>
      <c r="C7" s="4" t="s">
        <v>350</v>
      </c>
      <c r="D7" s="4" t="s">
        <v>166</v>
      </c>
      <c r="E7" s="6"/>
      <c r="F7" s="6" t="s">
        <v>365</v>
      </c>
      <c r="G7" s="4" t="s">
        <v>366</v>
      </c>
      <c r="H7" s="10" t="s">
        <v>134</v>
      </c>
      <c r="I7" s="4" t="s">
        <v>28</v>
      </c>
      <c r="J7" s="4"/>
      <c r="K7" s="6"/>
    </row>
    <row r="8" spans="1:11" ht="30" customHeight="1">
      <c r="A8" s="3">
        <v>4</v>
      </c>
      <c r="B8" s="3" t="s">
        <v>48</v>
      </c>
      <c r="C8" s="3" t="s">
        <v>442</v>
      </c>
      <c r="D8" s="3" t="s">
        <v>72</v>
      </c>
      <c r="E8" s="8" t="s">
        <v>443</v>
      </c>
      <c r="F8" s="8" t="s">
        <v>444</v>
      </c>
      <c r="G8" s="3" t="s">
        <v>445</v>
      </c>
      <c r="H8" s="10" t="s">
        <v>134</v>
      </c>
      <c r="I8" s="3" t="s">
        <v>28</v>
      </c>
      <c r="J8" s="3"/>
      <c r="K8" s="8"/>
    </row>
    <row r="9" spans="1:11" ht="30" customHeight="1">
      <c r="A9" s="4">
        <v>5</v>
      </c>
      <c r="B9" s="4" t="s">
        <v>48</v>
      </c>
      <c r="C9" s="4" t="s">
        <v>460</v>
      </c>
      <c r="D9" s="4" t="s">
        <v>72</v>
      </c>
      <c r="E9" s="6" t="s">
        <v>461</v>
      </c>
      <c r="F9" s="6" t="s">
        <v>444</v>
      </c>
      <c r="G9" s="4" t="s">
        <v>462</v>
      </c>
      <c r="H9" s="10" t="s">
        <v>134</v>
      </c>
      <c r="I9" s="4" t="s">
        <v>29</v>
      </c>
      <c r="J9" s="4"/>
      <c r="K9" s="6"/>
    </row>
    <row r="10" spans="1:11" ht="30" customHeight="1">
      <c r="A10" s="3">
        <v>6</v>
      </c>
      <c r="B10" s="3" t="s">
        <v>48</v>
      </c>
      <c r="C10" s="3" t="s">
        <v>460</v>
      </c>
      <c r="D10" s="3" t="s">
        <v>72</v>
      </c>
      <c r="E10" s="8" t="s">
        <v>465</v>
      </c>
      <c r="F10" s="8" t="s">
        <v>466</v>
      </c>
      <c r="G10" s="3" t="s">
        <v>467</v>
      </c>
      <c r="H10" s="10" t="s">
        <v>134</v>
      </c>
      <c r="I10" s="3" t="s">
        <v>29</v>
      </c>
      <c r="J10" s="3"/>
      <c r="K10" s="8"/>
    </row>
    <row r="11" spans="1:11" ht="30" customHeight="1">
      <c r="A11" s="4">
        <v>7</v>
      </c>
      <c r="B11" s="4" t="s">
        <v>46</v>
      </c>
      <c r="C11" s="4" t="s">
        <v>100</v>
      </c>
      <c r="D11" s="4" t="s">
        <v>72</v>
      </c>
      <c r="E11" s="6" t="s">
        <v>105</v>
      </c>
      <c r="F11" s="6" t="s">
        <v>106</v>
      </c>
      <c r="G11" s="4" t="s">
        <v>107</v>
      </c>
      <c r="H11" s="7" t="s">
        <v>77</v>
      </c>
      <c r="I11" s="4" t="s">
        <v>30</v>
      </c>
      <c r="J11" s="4"/>
      <c r="K11" s="6" t="s">
        <v>79</v>
      </c>
    </row>
    <row r="12" spans="1:11" ht="30" customHeight="1">
      <c r="A12" s="3">
        <v>8</v>
      </c>
      <c r="B12" s="3" t="s">
        <v>51</v>
      </c>
      <c r="C12" s="3" t="s">
        <v>729</v>
      </c>
      <c r="D12" s="3" t="s">
        <v>122</v>
      </c>
      <c r="E12" s="8"/>
      <c r="F12" s="8" t="s">
        <v>745</v>
      </c>
      <c r="G12" s="3" t="s">
        <v>746</v>
      </c>
      <c r="H12" s="10" t="s">
        <v>134</v>
      </c>
      <c r="I12" s="3" t="s">
        <v>30</v>
      </c>
      <c r="J12" s="3"/>
      <c r="K12" s="8"/>
    </row>
  </sheetData>
  <autoFilter ref="A4:K12" xr:uid="{00000000-0009-0000-0000-000010000000}"/>
  <mergeCells count="3">
    <mergeCell ref="A2:K2"/>
    <mergeCell ref="A1:K1"/>
    <mergeCell ref="A3:K3"/>
  </mergeCells>
  <phoneticPr fontId="15" type="noConversion"/>
  <dataValidations count="1">
    <dataValidation type="list" allowBlank="1" sqref="J5:J12" xr:uid="{00000000-0002-0000-1000-000000000000}">
      <formula1>"미착수,진행중,완료,해당없음"</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2</vt:i4>
      </vt:variant>
    </vt:vector>
  </HeadingPairs>
  <TitlesOfParts>
    <vt:vector size="19" baseType="lpstr">
      <vt:lpstr>0_대시보드</vt:lpstr>
      <vt:lpstr>요약</vt:lpstr>
      <vt:lpstr>전체_필요서류리스트</vt:lpstr>
      <vt:lpstr>신규작성_실행리스트</vt:lpstr>
      <vt:lpstr>FM양식번호_초안</vt:lpstr>
      <vt:lpstr>C1_생산조건관리</vt:lpstr>
      <vt:lpstr>C2_검사시험</vt:lpstr>
      <vt:lpstr>C3_설비관리</vt:lpstr>
      <vt:lpstr>C4_금형관리</vt:lpstr>
      <vt:lpstr>C5_자재관리</vt:lpstr>
      <vt:lpstr>C6_품질경영체제</vt:lpstr>
      <vt:lpstr>D_생산팀</vt:lpstr>
      <vt:lpstr>D_품질팀</vt:lpstr>
      <vt:lpstr>D_구매자재팀</vt:lpstr>
      <vt:lpstr>D_생산기술</vt:lpstr>
      <vt:lpstr>D_개발팀</vt:lpstr>
      <vt:lpstr>D_부서 미정</vt:lpstr>
      <vt:lpstr>'0_대시보드'!Print_Area</vt:lpstr>
      <vt:lpstr>전체_필요서류리스트!Print_Area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철호 박</cp:lastModifiedBy>
  <cp:lastPrinted>2026-09-17T05:26:58Z</cp:lastPrinted>
  <dcterms:created xsi:type="dcterms:W3CDTF">2026-09-17T02:17:27Z</dcterms:created>
  <dcterms:modified xsi:type="dcterms:W3CDTF">2026-09-21T23:19:58Z</dcterms:modified>
</cp:coreProperties>
</file>